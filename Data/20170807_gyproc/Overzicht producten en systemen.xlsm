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760" yWindow="90" windowWidth="17715" windowHeight="13290"/>
  </bookViews>
  <sheets>
    <sheet name="Eig Producten" sheetId="1" r:id="rId1"/>
    <sheet name="Productenlijst" sheetId="3" r:id="rId2"/>
    <sheet name="Eig Systemen + lijst" sheetId="4" r:id="rId3"/>
  </sheets>
  <externalReferences>
    <externalReference r:id="rId4"/>
    <externalReference r:id="rId5"/>
    <externalReference r:id="rId6"/>
  </externalReferences>
  <definedNames>
    <definedName name="_xlnm._FilterDatabase" localSheetId="0" hidden="1">'Eig Producten'!$A$1:$CJ$46</definedName>
    <definedName name="_xlnm._FilterDatabase" localSheetId="2" hidden="1">'Eig Systemen + lijst'!$A$2:$GQ$95</definedName>
    <definedName name="_xlnm._FilterDatabase" localSheetId="1" hidden="1">Productenlijst!$A$1:$AS$677</definedName>
    <definedName name="EersteCel" localSheetId="2">#REF!</definedName>
    <definedName name="EersteCel">#REF!</definedName>
    <definedName name="LaatsteCel" localSheetId="2">#REF!</definedName>
    <definedName name="LaatsteCel">#REF!</definedName>
    <definedName name="_xlnm.Print_Area" localSheetId="0">'Eig Producten'!#REF!</definedName>
    <definedName name="_xlnm.Print_Titles" localSheetId="0">'Eig Producten'!$1:$1</definedName>
  </definedNames>
  <calcPr calcId="145621"/>
</workbook>
</file>

<file path=xl/calcChain.xml><?xml version="1.0" encoding="utf-8"?>
<calcChain xmlns="http://schemas.openxmlformats.org/spreadsheetml/2006/main">
  <c r="IN66" i="4" l="1"/>
  <c r="KH66" i="4"/>
  <c r="KI66" i="4"/>
  <c r="KN66" i="4"/>
  <c r="KO66" i="4"/>
  <c r="P88" i="4"/>
  <c r="P89" i="4" s="1"/>
  <c r="Q88" i="4"/>
  <c r="Q89" i="4" s="1"/>
  <c r="R88" i="4"/>
  <c r="R89" i="4" s="1"/>
  <c r="S88" i="4"/>
  <c r="T88" i="4"/>
  <c r="U88" i="4"/>
  <c r="U89" i="4" s="1"/>
  <c r="V88" i="4"/>
  <c r="V89" i="4" s="1"/>
  <c r="W88" i="4"/>
  <c r="X88" i="4"/>
  <c r="Y88" i="4"/>
  <c r="Y89" i="4" s="1"/>
  <c r="Z88" i="4"/>
  <c r="Z89" i="4" s="1"/>
  <c r="AA88" i="4"/>
  <c r="AB88" i="4"/>
  <c r="AC88" i="4"/>
  <c r="AC89" i="4" s="1"/>
  <c r="AD88" i="4"/>
  <c r="AD89" i="4" s="1"/>
  <c r="AE88" i="4"/>
  <c r="AE89" i="4" s="1"/>
  <c r="AF88" i="4"/>
  <c r="AG88" i="4"/>
  <c r="AG89" i="4" s="1"/>
  <c r="AH88" i="4"/>
  <c r="AH89" i="4" s="1"/>
  <c r="AI88" i="4"/>
  <c r="AI89" i="4" s="1"/>
  <c r="AJ88" i="4"/>
  <c r="AJ89" i="4" s="1"/>
  <c r="AK88" i="4"/>
  <c r="AK89" i="4" s="1"/>
  <c r="AL88" i="4"/>
  <c r="AL89" i="4" s="1"/>
  <c r="AM88" i="4"/>
  <c r="AM89" i="4" s="1"/>
  <c r="AN88" i="4"/>
  <c r="AO88" i="4"/>
  <c r="AO89" i="4" s="1"/>
  <c r="AP88" i="4"/>
  <c r="AP89" i="4" s="1"/>
  <c r="AQ88" i="4"/>
  <c r="AQ89" i="4" s="1"/>
  <c r="AR88" i="4"/>
  <c r="AS88" i="4"/>
  <c r="AS89" i="4" s="1"/>
  <c r="AT88" i="4"/>
  <c r="AT89" i="4" s="1"/>
  <c r="AU88" i="4"/>
  <c r="AU89" i="4" s="1"/>
  <c r="AV88" i="4"/>
  <c r="AW88" i="4"/>
  <c r="AW89" i="4" s="1"/>
  <c r="FP88" i="4"/>
  <c r="FP89" i="4" s="1"/>
  <c r="HS88" i="4"/>
  <c r="HS89" i="4" s="1"/>
  <c r="IE88" i="4"/>
  <c r="IE89" i="4" s="1"/>
  <c r="IF88" i="4"/>
  <c r="IF89" i="4" s="1"/>
  <c r="IG88" i="4"/>
  <c r="IG89" i="4" s="1"/>
  <c r="IH88" i="4"/>
  <c r="IH89" i="4" s="1"/>
  <c r="II88" i="4"/>
  <c r="IJ88" i="4"/>
  <c r="IJ89" i="4" s="1"/>
  <c r="IK88" i="4"/>
  <c r="IK89" i="4" s="1"/>
  <c r="IL88" i="4"/>
  <c r="IL89" i="4" s="1"/>
  <c r="IM88" i="4"/>
  <c r="IN88" i="4"/>
  <c r="IN89" i="4" s="1"/>
  <c r="IO88" i="4"/>
  <c r="IO89" i="4" s="1"/>
  <c r="IP88" i="4"/>
  <c r="IP89" i="4" s="1"/>
  <c r="IQ88" i="4"/>
  <c r="IR88" i="4"/>
  <c r="IR89" i="4" s="1"/>
  <c r="IS88" i="4"/>
  <c r="IS89" i="4" s="1"/>
  <c r="OQ88" i="4"/>
  <c r="OQ89" i="4" s="1"/>
  <c r="OU88" i="4"/>
  <c r="OY88" i="4"/>
  <c r="OY89" i="4" s="1"/>
  <c r="PB88" i="4"/>
  <c r="PB89" i="4" s="1"/>
  <c r="PF88" i="4"/>
  <c r="PF89" i="4" s="1"/>
  <c r="PM88" i="4"/>
  <c r="PQ88" i="4"/>
  <c r="PQ89" i="4" s="1"/>
  <c r="PR88" i="4"/>
  <c r="PR89" i="4" s="1"/>
  <c r="PS88" i="4"/>
  <c r="PS89" i="4" s="1"/>
  <c r="PT88" i="4"/>
  <c r="PU88" i="4"/>
  <c r="PU89" i="4" s="1"/>
  <c r="PV88" i="4"/>
  <c r="PV89" i="4" s="1"/>
  <c r="PW88" i="4"/>
  <c r="PW89" i="4" s="1"/>
  <c r="PX88" i="4"/>
  <c r="PY88" i="4"/>
  <c r="PY89" i="4" s="1"/>
  <c r="PZ88" i="4"/>
  <c r="PZ89" i="4" s="1"/>
  <c r="QA88" i="4"/>
  <c r="QA89" i="4" s="1"/>
  <c r="QB88" i="4"/>
  <c r="QB89" i="4" s="1"/>
  <c r="QC88" i="4"/>
  <c r="QC89" i="4" s="1"/>
  <c r="QD88" i="4"/>
  <c r="QD89" i="4" s="1"/>
  <c r="QE88" i="4"/>
  <c r="QE89" i="4" s="1"/>
  <c r="QF88" i="4"/>
  <c r="QG88" i="4"/>
  <c r="QG89" i="4" s="1"/>
  <c r="QH88" i="4"/>
  <c r="QH89" i="4" s="1"/>
  <c r="QK88" i="4"/>
  <c r="QK89" i="4" s="1"/>
  <c r="QL88" i="4"/>
  <c r="QM88" i="4"/>
  <c r="QM89" i="4" s="1"/>
  <c r="QR88" i="4"/>
  <c r="QR89" i="4" s="1"/>
  <c r="QV88" i="4"/>
  <c r="QV89" i="4" s="1"/>
  <c r="QZ88" i="4"/>
  <c r="RA88" i="4"/>
  <c r="RA89" i="4" s="1"/>
  <c r="RB88" i="4"/>
  <c r="RB89" i="4" s="1"/>
  <c r="RC88" i="4"/>
  <c r="RC89" i="4" s="1"/>
  <c r="RD88" i="4"/>
  <c r="RE88" i="4"/>
  <c r="RE89" i="4" s="1"/>
  <c r="RF88" i="4"/>
  <c r="RF89" i="4" s="1"/>
  <c r="RG88" i="4"/>
  <c r="RG89" i="4" s="1"/>
  <c r="RH88" i="4"/>
  <c r="RI88" i="4"/>
  <c r="RI89" i="4" s="1"/>
  <c r="RJ88" i="4"/>
  <c r="RJ89" i="4" s="1"/>
  <c r="RK88" i="4"/>
  <c r="RK89" i="4" s="1"/>
  <c r="RL88" i="4"/>
  <c r="RM88" i="4"/>
  <c r="RM89" i="4" s="1"/>
  <c r="RN88" i="4"/>
  <c r="RN89" i="4" s="1"/>
  <c r="RO88" i="4"/>
  <c r="RO89" i="4" s="1"/>
  <c r="RP88" i="4"/>
  <c r="S89" i="4"/>
  <c r="T89" i="4"/>
  <c r="W89" i="4"/>
  <c r="X89" i="4"/>
  <c r="AA89" i="4"/>
  <c r="AB89" i="4"/>
  <c r="AF89" i="4"/>
  <c r="AN89" i="4"/>
  <c r="AR89" i="4"/>
  <c r="AV89" i="4"/>
  <c r="II89" i="4"/>
  <c r="IM89" i="4"/>
  <c r="IQ89" i="4"/>
  <c r="OR89" i="4"/>
  <c r="OS89" i="4"/>
  <c r="OU89" i="4"/>
  <c r="OV89" i="4"/>
  <c r="OW89" i="4"/>
  <c r="PG89" i="4"/>
  <c r="PH89" i="4"/>
  <c r="PJ89" i="4"/>
  <c r="PK89" i="4"/>
  <c r="PM89" i="4"/>
  <c r="PT89" i="4"/>
  <c r="PX89" i="4"/>
  <c r="QF89" i="4"/>
  <c r="QL89" i="4"/>
  <c r="QW89" i="4"/>
  <c r="QX89" i="4"/>
  <c r="QZ89" i="4"/>
  <c r="RD89" i="4"/>
  <c r="RH89" i="4"/>
  <c r="RL89" i="4"/>
  <c r="RP89" i="4"/>
  <c r="AWD89" i="4"/>
  <c r="AWJ89" i="4"/>
  <c r="VU92" i="4"/>
  <c r="VV92" i="4"/>
  <c r="VW92" i="4"/>
  <c r="VX92" i="4"/>
  <c r="VY92" i="4"/>
  <c r="VZ92" i="4"/>
  <c r="WA92" i="4"/>
  <c r="WB92" i="4"/>
  <c r="WC92" i="4"/>
  <c r="WD92" i="4"/>
  <c r="WE92" i="4"/>
  <c r="WF92" i="4"/>
  <c r="WG92" i="4"/>
  <c r="WH92" i="4"/>
  <c r="WI92" i="4"/>
  <c r="WJ92" i="4"/>
  <c r="WK92" i="4"/>
  <c r="WL92" i="4"/>
  <c r="WM92" i="4"/>
  <c r="WN92" i="4"/>
  <c r="WO92" i="4"/>
  <c r="WP92" i="4"/>
  <c r="WQ92" i="4"/>
  <c r="WR92" i="4"/>
  <c r="WS92" i="4"/>
  <c r="WT92" i="4"/>
  <c r="WU92" i="4"/>
  <c r="WV92" i="4"/>
  <c r="WW92" i="4"/>
  <c r="WX92" i="4"/>
  <c r="WY92" i="4"/>
  <c r="WZ92" i="4"/>
  <c r="XA92" i="4"/>
  <c r="XB92" i="4"/>
  <c r="XC92" i="4"/>
  <c r="XD92" i="4"/>
  <c r="XE92" i="4"/>
  <c r="XF92" i="4"/>
  <c r="XG92" i="4"/>
  <c r="XH92" i="4"/>
  <c r="XI92" i="4"/>
  <c r="XJ92" i="4"/>
  <c r="XK92" i="4"/>
  <c r="XL92" i="4"/>
  <c r="XM92" i="4"/>
  <c r="XN92" i="4"/>
  <c r="XO92" i="4"/>
  <c r="XP92" i="4"/>
  <c r="XQ92" i="4"/>
  <c r="XR92" i="4"/>
  <c r="XS92" i="4"/>
  <c r="XT92" i="4"/>
  <c r="XU92" i="4"/>
  <c r="XV92" i="4"/>
  <c r="XW92" i="4"/>
  <c r="XX92" i="4"/>
  <c r="XY92" i="4"/>
  <c r="XZ92" i="4"/>
  <c r="YA92" i="4"/>
  <c r="YB92" i="4"/>
  <c r="YC92" i="4"/>
  <c r="YD92" i="4"/>
  <c r="YE92" i="4"/>
  <c r="YF92" i="4"/>
  <c r="YG92" i="4"/>
  <c r="YH92" i="4"/>
  <c r="YI92" i="4"/>
  <c r="YJ92" i="4"/>
  <c r="YK92" i="4"/>
  <c r="YL92" i="4"/>
  <c r="YM92" i="4"/>
  <c r="YN92" i="4"/>
  <c r="YO92" i="4"/>
  <c r="YP92" i="4"/>
  <c r="YQ92" i="4"/>
  <c r="YR92" i="4"/>
  <c r="YS92" i="4"/>
  <c r="YT92" i="4"/>
  <c r="YU92" i="4"/>
  <c r="YV92" i="4"/>
  <c r="YW92" i="4"/>
  <c r="YX92" i="4"/>
  <c r="YY92" i="4"/>
  <c r="YZ92" i="4"/>
  <c r="ZA92" i="4"/>
  <c r="ZB92" i="4"/>
  <c r="ZC92" i="4"/>
  <c r="ZD92" i="4"/>
  <c r="ZE92" i="4"/>
  <c r="ZF92" i="4"/>
  <c r="ZG92" i="4"/>
  <c r="ZH92" i="4"/>
  <c r="ZI92" i="4"/>
  <c r="ZJ92" i="4"/>
  <c r="ZK92" i="4"/>
  <c r="ZL92" i="4"/>
  <c r="ZM92" i="4"/>
  <c r="ZN92" i="4"/>
  <c r="ZO92" i="4"/>
  <c r="ZP92" i="4"/>
  <c r="ZQ92" i="4"/>
  <c r="ZR92" i="4"/>
  <c r="ZS92" i="4"/>
  <c r="ZT92" i="4"/>
  <c r="ZU92" i="4"/>
  <c r="ZV92" i="4"/>
  <c r="ZW92" i="4"/>
  <c r="ZX92" i="4"/>
  <c r="ZY92" i="4"/>
  <c r="ZZ92" i="4"/>
  <c r="AAA92" i="4"/>
  <c r="AAB92" i="4"/>
  <c r="AAC92" i="4"/>
  <c r="AAD92" i="4"/>
  <c r="AAE92" i="4"/>
  <c r="AAF92" i="4"/>
  <c r="AAG92" i="4"/>
  <c r="AAH92" i="4"/>
  <c r="AAM92" i="4"/>
  <c r="AAN92" i="4"/>
  <c r="AAO92" i="4"/>
  <c r="AAP92" i="4"/>
  <c r="AAQ92" i="4"/>
  <c r="AAR92" i="4"/>
  <c r="AAS92" i="4"/>
  <c r="AAT92" i="4"/>
  <c r="AAU92" i="4"/>
  <c r="AAV92" i="4"/>
  <c r="AAW92" i="4"/>
  <c r="AAX92" i="4"/>
  <c r="AAY92" i="4"/>
  <c r="AAZ92" i="4"/>
  <c r="ABA92" i="4"/>
  <c r="ABB92" i="4"/>
  <c r="ABC92" i="4"/>
  <c r="ABD92" i="4"/>
  <c r="ABE92" i="4"/>
  <c r="ABF92" i="4"/>
  <c r="ABG92" i="4"/>
  <c r="ABH92" i="4"/>
  <c r="ABI92" i="4"/>
  <c r="ABJ92" i="4"/>
  <c r="ABK92" i="4"/>
  <c r="ABL92" i="4"/>
  <c r="ABM92" i="4"/>
  <c r="ABN92" i="4"/>
  <c r="ABO92" i="4"/>
  <c r="ABP92" i="4"/>
  <c r="ABQ92" i="4"/>
  <c r="ABR92" i="4"/>
  <c r="ABS92" i="4"/>
  <c r="ABT92" i="4"/>
  <c r="ABU92" i="4"/>
  <c r="ABV92" i="4"/>
  <c r="ABW92" i="4"/>
  <c r="ABX92" i="4"/>
  <c r="ABY92" i="4"/>
  <c r="ABZ92" i="4"/>
  <c r="ACA92" i="4"/>
  <c r="ACB92" i="4"/>
  <c r="ACC92" i="4"/>
  <c r="ACD92" i="4"/>
  <c r="ACE92" i="4"/>
  <c r="ACF92" i="4"/>
  <c r="ACG92" i="4"/>
  <c r="ACH92" i="4"/>
  <c r="ACI92" i="4"/>
  <c r="ACJ92" i="4"/>
  <c r="ACK92" i="4"/>
  <c r="ACL92" i="4"/>
  <c r="ACM92" i="4"/>
  <c r="ACN92" i="4"/>
  <c r="ACO92" i="4"/>
  <c r="ACP92" i="4"/>
  <c r="ACQ92" i="4"/>
  <c r="ACR92" i="4"/>
  <c r="ACS92" i="4"/>
  <c r="ACT92" i="4"/>
  <c r="ACU92" i="4"/>
  <c r="ACV92" i="4"/>
  <c r="ACW92" i="4"/>
  <c r="ACX92" i="4"/>
  <c r="ACY92" i="4"/>
  <c r="ACZ92" i="4"/>
  <c r="ADA92" i="4"/>
  <c r="ADB92" i="4"/>
  <c r="ADC92" i="4"/>
  <c r="ADD92" i="4"/>
  <c r="ADE92" i="4"/>
  <c r="ADF92" i="4"/>
  <c r="ADG92" i="4"/>
  <c r="ADH92" i="4"/>
  <c r="ADI92" i="4"/>
  <c r="ADJ92" i="4"/>
  <c r="ADK92" i="4"/>
  <c r="ADL92" i="4"/>
  <c r="ADM92" i="4"/>
  <c r="ADN92" i="4"/>
  <c r="ADO92" i="4"/>
  <c r="ADP92" i="4"/>
  <c r="ADQ92" i="4"/>
  <c r="ADR92" i="4"/>
  <c r="ADS92" i="4"/>
  <c r="ADT92" i="4"/>
  <c r="ADU92" i="4"/>
  <c r="ADV92" i="4"/>
  <c r="ADW92" i="4"/>
  <c r="ADX92" i="4"/>
  <c r="ADY92" i="4"/>
  <c r="ADZ92" i="4"/>
  <c r="AEA92" i="4"/>
  <c r="AEB92" i="4"/>
  <c r="AEC92" i="4"/>
  <c r="AED92" i="4"/>
  <c r="AEE92" i="4"/>
  <c r="AEF92" i="4"/>
  <c r="AEG92" i="4"/>
  <c r="AEH92" i="4"/>
  <c r="AEI92" i="4"/>
  <c r="AEJ92" i="4"/>
  <c r="AEK92" i="4"/>
  <c r="AEL92" i="4"/>
  <c r="AEM92" i="4"/>
  <c r="AEN92" i="4"/>
  <c r="AEO92" i="4"/>
  <c r="AEP92" i="4"/>
  <c r="AEQ92" i="4"/>
  <c r="AER92" i="4"/>
  <c r="AES92" i="4"/>
  <c r="AET92" i="4"/>
  <c r="AEU92" i="4"/>
  <c r="AEV92" i="4"/>
  <c r="AEW92" i="4"/>
  <c r="AEX92" i="4"/>
  <c r="AEY92" i="4"/>
  <c r="AEZ92" i="4"/>
  <c r="AFA92" i="4"/>
  <c r="AFB92" i="4"/>
  <c r="AFC92" i="4"/>
  <c r="AFD92" i="4"/>
  <c r="AFE92" i="4"/>
  <c r="AFF92" i="4"/>
  <c r="AFG92" i="4"/>
  <c r="AFH92" i="4"/>
  <c r="AFI92" i="4"/>
  <c r="AFJ92" i="4"/>
  <c r="AFK92" i="4"/>
  <c r="P93" i="4"/>
  <c r="Q93" i="4"/>
  <c r="R93" i="4"/>
  <c r="S93" i="4"/>
  <c r="T93" i="4"/>
  <c r="U93" i="4"/>
  <c r="V93" i="4"/>
  <c r="W93" i="4"/>
  <c r="X93" i="4"/>
  <c r="Y93" i="4"/>
  <c r="Z93" i="4"/>
  <c r="AA93" i="4"/>
  <c r="AB93" i="4"/>
  <c r="AC93" i="4"/>
  <c r="AD93" i="4"/>
  <c r="AE93" i="4"/>
  <c r="AF93" i="4"/>
  <c r="AG93" i="4"/>
  <c r="AH93" i="4"/>
  <c r="AI93" i="4"/>
  <c r="AJ93" i="4"/>
  <c r="AK93" i="4"/>
  <c r="AL93" i="4"/>
  <c r="AM93" i="4"/>
  <c r="AN93" i="4"/>
  <c r="AO93" i="4"/>
  <c r="AP93" i="4"/>
  <c r="AQ93" i="4"/>
  <c r="AR93" i="4"/>
  <c r="AS93" i="4"/>
  <c r="AT93" i="4"/>
  <c r="AU93" i="4"/>
  <c r="AV93" i="4"/>
  <c r="AW93" i="4"/>
  <c r="AY93" i="4"/>
  <c r="AZ93" i="4"/>
  <c r="BA93" i="4"/>
  <c r="BB93" i="4"/>
  <c r="BC93" i="4"/>
  <c r="BD93" i="4"/>
  <c r="BE93" i="4"/>
  <c r="BF93" i="4"/>
  <c r="BG93" i="4"/>
  <c r="BH93" i="4"/>
  <c r="BI93" i="4"/>
  <c r="BJ93" i="4"/>
  <c r="BK93" i="4"/>
  <c r="BL93" i="4"/>
  <c r="BM93" i="4"/>
  <c r="BN93" i="4"/>
  <c r="BO93" i="4"/>
  <c r="BP93" i="4"/>
  <c r="BQ93" i="4"/>
  <c r="BR93" i="4"/>
  <c r="BS93" i="4"/>
  <c r="BT93" i="4"/>
  <c r="BU93" i="4"/>
  <c r="BV93" i="4"/>
  <c r="BW93" i="4"/>
  <c r="BY93" i="4"/>
  <c r="BZ93" i="4"/>
  <c r="CA93" i="4"/>
  <c r="CB93" i="4"/>
  <c r="CC93" i="4"/>
  <c r="CD93" i="4"/>
  <c r="CE93" i="4"/>
  <c r="CF93" i="4"/>
  <c r="CG93" i="4"/>
  <c r="CH93" i="4"/>
  <c r="CI93" i="4"/>
  <c r="CJ93" i="4"/>
  <c r="CK93" i="4"/>
  <c r="CL93" i="4"/>
  <c r="CM93" i="4"/>
  <c r="CN93" i="4"/>
  <c r="CO93" i="4"/>
  <c r="CP93" i="4"/>
  <c r="CQ93" i="4"/>
  <c r="CR93" i="4"/>
  <c r="CS93" i="4"/>
  <c r="CT93" i="4"/>
  <c r="CU93" i="4"/>
  <c r="CW93" i="4"/>
  <c r="CX93" i="4"/>
  <c r="CY93" i="4"/>
  <c r="CZ93" i="4"/>
  <c r="DA93" i="4"/>
  <c r="DB93" i="4"/>
  <c r="DC93" i="4"/>
  <c r="DD93" i="4"/>
  <c r="DE93" i="4"/>
  <c r="DF93" i="4"/>
  <c r="DG93" i="4"/>
  <c r="DH93" i="4"/>
  <c r="DI93" i="4"/>
  <c r="DJ93" i="4"/>
  <c r="DK93" i="4"/>
  <c r="DL93" i="4"/>
  <c r="DM93" i="4"/>
  <c r="DN93" i="4"/>
  <c r="DO93" i="4"/>
  <c r="DP93" i="4"/>
  <c r="DQ93" i="4"/>
  <c r="DR93" i="4"/>
  <c r="DS93" i="4"/>
  <c r="DU93" i="4"/>
  <c r="DV93" i="4"/>
  <c r="DW93" i="4"/>
  <c r="DX93" i="4"/>
  <c r="DY93" i="4"/>
  <c r="DZ93" i="4"/>
  <c r="EA93" i="4"/>
  <c r="EB93" i="4"/>
  <c r="EC93" i="4"/>
  <c r="ED93" i="4"/>
  <c r="EE93" i="4"/>
  <c r="EF93" i="4"/>
  <c r="EG93" i="4"/>
  <c r="EI93" i="4"/>
  <c r="EJ93" i="4"/>
  <c r="EK93" i="4"/>
  <c r="EL93" i="4"/>
  <c r="EM93" i="4"/>
  <c r="EN93" i="4"/>
  <c r="EO93" i="4"/>
  <c r="EP93" i="4"/>
  <c r="EQ93" i="4"/>
  <c r="ER93" i="4"/>
  <c r="ES93" i="4"/>
  <c r="ET93" i="4"/>
  <c r="EU93" i="4"/>
  <c r="EV93" i="4"/>
  <c r="EW93" i="4"/>
  <c r="EX93" i="4"/>
  <c r="EZ93" i="4"/>
  <c r="FA93" i="4"/>
  <c r="FB93" i="4"/>
  <c r="FC93" i="4"/>
  <c r="FD93" i="4"/>
  <c r="FE93" i="4"/>
  <c r="FF93" i="4"/>
  <c r="FG93" i="4"/>
  <c r="FH93" i="4"/>
  <c r="FI93" i="4"/>
  <c r="FJ93" i="4"/>
  <c r="FK93" i="4"/>
  <c r="FL93" i="4"/>
  <c r="FM93" i="4"/>
  <c r="FN93" i="4"/>
  <c r="FO93" i="4"/>
  <c r="FP93" i="4"/>
  <c r="FR93" i="4"/>
  <c r="FS93" i="4"/>
  <c r="FT93" i="4"/>
  <c r="FU93" i="4"/>
  <c r="FW93" i="4"/>
  <c r="FX93" i="4"/>
  <c r="FY93" i="4"/>
  <c r="FZ93" i="4"/>
  <c r="GA93" i="4"/>
  <c r="GB93" i="4"/>
  <c r="GC93" i="4"/>
  <c r="GD93" i="4"/>
  <c r="GE93" i="4"/>
  <c r="GF93" i="4"/>
  <c r="GG93" i="4"/>
  <c r="GH93" i="4"/>
  <c r="GI93" i="4"/>
  <c r="GJ93" i="4"/>
  <c r="GL93" i="4"/>
  <c r="GM93" i="4"/>
  <c r="GN93" i="4"/>
  <c r="GO93" i="4"/>
  <c r="GP93" i="4"/>
  <c r="GR93" i="4"/>
  <c r="GS93" i="4"/>
  <c r="GT93" i="4"/>
  <c r="GU93" i="4"/>
  <c r="GV93" i="4"/>
  <c r="GW93" i="4"/>
  <c r="GX93" i="4"/>
  <c r="GY93" i="4"/>
  <c r="GZ93" i="4"/>
  <c r="HA93" i="4"/>
  <c r="HB93" i="4"/>
  <c r="HC93" i="4"/>
  <c r="HD93" i="4"/>
  <c r="HE93" i="4"/>
  <c r="HF93" i="4"/>
  <c r="HH93" i="4"/>
  <c r="HI93" i="4"/>
  <c r="HJ93" i="4"/>
  <c r="HK93" i="4"/>
  <c r="HL93" i="4"/>
  <c r="HM93" i="4"/>
  <c r="HN93" i="4"/>
  <c r="HO93" i="4"/>
  <c r="HP93" i="4"/>
  <c r="HS93" i="4"/>
  <c r="HT93" i="4"/>
  <c r="HU93" i="4"/>
  <c r="HV93" i="4"/>
  <c r="HW93" i="4"/>
  <c r="HX93" i="4"/>
  <c r="HY93" i="4"/>
  <c r="HZ93" i="4"/>
  <c r="IA93" i="4"/>
  <c r="IB93" i="4"/>
  <c r="IC93" i="4"/>
  <c r="ID93" i="4"/>
  <c r="IE93" i="4"/>
  <c r="IF93" i="4"/>
  <c r="IG93" i="4"/>
  <c r="IH93" i="4"/>
  <c r="II93" i="4"/>
  <c r="IJ93" i="4"/>
  <c r="IK93" i="4"/>
  <c r="IL93" i="4"/>
  <c r="IM93" i="4"/>
  <c r="IN93" i="4"/>
  <c r="IO93" i="4"/>
  <c r="IP93" i="4"/>
  <c r="IQ93" i="4"/>
  <c r="IR93" i="4"/>
  <c r="IS93" i="4"/>
  <c r="IU93" i="4"/>
  <c r="IV93" i="4"/>
  <c r="IW93" i="4"/>
  <c r="IX93" i="4"/>
  <c r="IY93" i="4"/>
  <c r="IZ93" i="4"/>
  <c r="JA93" i="4"/>
  <c r="JB93" i="4"/>
  <c r="JC93" i="4"/>
  <c r="JD93" i="4"/>
  <c r="JE93" i="4"/>
  <c r="JF93" i="4"/>
  <c r="JG93" i="4"/>
  <c r="JH93" i="4"/>
  <c r="JI93" i="4"/>
  <c r="JJ93" i="4"/>
  <c r="JK93" i="4"/>
  <c r="JL93" i="4"/>
  <c r="JM93" i="4"/>
  <c r="JN93" i="4"/>
  <c r="JO93" i="4"/>
  <c r="JP93" i="4"/>
  <c r="JQ93" i="4"/>
  <c r="JR93" i="4"/>
  <c r="JS93" i="4"/>
  <c r="JT93" i="4"/>
  <c r="JU93" i="4"/>
  <c r="JV93" i="4"/>
  <c r="JW93" i="4"/>
  <c r="JX93" i="4"/>
  <c r="JY93" i="4"/>
  <c r="JZ93" i="4"/>
  <c r="KA93" i="4"/>
  <c r="KB93" i="4"/>
  <c r="KC93" i="4"/>
  <c r="KE93" i="4"/>
  <c r="KF93" i="4"/>
  <c r="KG93" i="4"/>
  <c r="KH93" i="4"/>
  <c r="KI93" i="4"/>
  <c r="KJ93" i="4"/>
  <c r="KK93" i="4"/>
  <c r="KL93" i="4"/>
  <c r="KM93" i="4"/>
  <c r="KN93" i="4"/>
  <c r="KO93" i="4"/>
  <c r="KP93" i="4"/>
  <c r="KR93" i="4"/>
  <c r="KS93" i="4"/>
  <c r="KT93" i="4"/>
  <c r="KU93" i="4"/>
  <c r="KV93" i="4"/>
  <c r="KW93" i="4"/>
  <c r="KX93" i="4"/>
  <c r="KY93" i="4"/>
  <c r="KZ93" i="4"/>
  <c r="LA93" i="4"/>
  <c r="LB93" i="4"/>
  <c r="LC93" i="4"/>
  <c r="LD93" i="4"/>
  <c r="LE93" i="4"/>
  <c r="LF93" i="4"/>
  <c r="LG93" i="4"/>
  <c r="LI93" i="4"/>
  <c r="LJ93" i="4"/>
  <c r="LK93" i="4"/>
  <c r="LL93" i="4"/>
  <c r="LM93" i="4"/>
  <c r="LN93" i="4"/>
  <c r="LO93" i="4"/>
  <c r="LP93" i="4"/>
  <c r="LQ93" i="4"/>
  <c r="LR93" i="4"/>
  <c r="LS93" i="4"/>
  <c r="LT93" i="4"/>
  <c r="LU93" i="4"/>
  <c r="LV93" i="4"/>
  <c r="LW93" i="4"/>
  <c r="LX93" i="4"/>
  <c r="LY93" i="4"/>
  <c r="LZ93" i="4"/>
  <c r="MA93" i="4"/>
  <c r="MB93" i="4"/>
  <c r="MC93" i="4"/>
  <c r="MD93" i="4"/>
  <c r="ME93" i="4"/>
  <c r="MF93" i="4"/>
  <c r="MG93" i="4"/>
  <c r="MH93" i="4"/>
  <c r="MI93" i="4"/>
  <c r="MJ93" i="4"/>
  <c r="MK93" i="4"/>
  <c r="ML93" i="4"/>
  <c r="MM93" i="4"/>
  <c r="MN93" i="4"/>
  <c r="MO93" i="4"/>
  <c r="MP93" i="4"/>
  <c r="MQ93" i="4"/>
  <c r="MR93" i="4"/>
  <c r="MS93" i="4"/>
  <c r="MT93" i="4"/>
  <c r="MU93" i="4"/>
  <c r="MV93" i="4"/>
  <c r="MW93" i="4"/>
  <c r="MX93" i="4"/>
  <c r="MY93" i="4"/>
  <c r="NA93" i="4"/>
  <c r="NB93" i="4"/>
  <c r="NC93" i="4"/>
  <c r="ND93" i="4"/>
  <c r="NE93" i="4"/>
  <c r="NF93" i="4"/>
  <c r="NG93" i="4"/>
  <c r="NH93" i="4"/>
  <c r="NI93" i="4"/>
  <c r="NJ93" i="4"/>
  <c r="NK93" i="4"/>
  <c r="NL93" i="4"/>
  <c r="NM93" i="4"/>
  <c r="NN93" i="4"/>
  <c r="NO93" i="4"/>
  <c r="NP93" i="4"/>
  <c r="NQ93" i="4"/>
  <c r="NS93" i="4"/>
  <c r="NT93" i="4"/>
  <c r="NU93" i="4"/>
  <c r="NV93" i="4"/>
  <c r="NW93" i="4"/>
  <c r="NX93" i="4"/>
  <c r="NY93" i="4"/>
  <c r="NZ93" i="4"/>
  <c r="OA93" i="4"/>
  <c r="OB93" i="4"/>
  <c r="OC93" i="4"/>
  <c r="OD93" i="4"/>
  <c r="OF93" i="4"/>
  <c r="OG93" i="4"/>
  <c r="OH93" i="4"/>
  <c r="OI93" i="4"/>
  <c r="OJ93" i="4"/>
  <c r="OK93" i="4"/>
  <c r="OL93" i="4"/>
  <c r="OM93" i="4"/>
  <c r="ON93" i="4"/>
  <c r="OQ93" i="4"/>
  <c r="OR93" i="4"/>
  <c r="OS93" i="4"/>
  <c r="OT93" i="4"/>
  <c r="OU93" i="4"/>
  <c r="OV93" i="4"/>
  <c r="OW93" i="4"/>
  <c r="OX93" i="4"/>
  <c r="OY93" i="4"/>
  <c r="OZ93" i="4"/>
  <c r="PA93" i="4"/>
  <c r="PB93" i="4"/>
  <c r="PC93" i="4"/>
  <c r="PD93" i="4"/>
  <c r="PE93" i="4"/>
  <c r="PF93" i="4"/>
  <c r="PG93" i="4"/>
  <c r="PH93" i="4"/>
  <c r="PI93" i="4"/>
  <c r="PJ93" i="4"/>
  <c r="PK93" i="4"/>
  <c r="PL93" i="4"/>
  <c r="PM93" i="4"/>
  <c r="PN93" i="4"/>
  <c r="PO93" i="4"/>
  <c r="PP93" i="4"/>
  <c r="PQ93" i="4"/>
  <c r="PR93" i="4"/>
  <c r="PS93" i="4"/>
  <c r="PT93" i="4"/>
  <c r="PU93" i="4"/>
  <c r="PV93" i="4"/>
  <c r="PW93" i="4"/>
  <c r="PX93" i="4"/>
  <c r="PY93" i="4"/>
  <c r="PZ93" i="4"/>
  <c r="QA93" i="4"/>
  <c r="QB93" i="4"/>
  <c r="QC93" i="4"/>
  <c r="QD93" i="4"/>
  <c r="QE93" i="4"/>
  <c r="QF93" i="4"/>
  <c r="QG93" i="4"/>
  <c r="QH93" i="4"/>
  <c r="QI93" i="4"/>
  <c r="QJ93" i="4"/>
  <c r="QK93" i="4"/>
  <c r="QL93" i="4"/>
  <c r="QM93" i="4"/>
  <c r="QN93" i="4"/>
  <c r="QO93" i="4"/>
  <c r="QP93" i="4"/>
  <c r="QQ93" i="4"/>
  <c r="QR93" i="4"/>
  <c r="QS93" i="4"/>
  <c r="QT93" i="4"/>
  <c r="QU93" i="4"/>
  <c r="QV93" i="4"/>
  <c r="QW93" i="4"/>
  <c r="QX93" i="4"/>
  <c r="QY93" i="4"/>
  <c r="QZ93" i="4"/>
  <c r="RA93" i="4"/>
  <c r="RB93" i="4"/>
  <c r="RC93" i="4"/>
  <c r="RD93" i="4"/>
  <c r="RE93" i="4"/>
  <c r="RF93" i="4"/>
  <c r="RG93" i="4"/>
  <c r="RH93" i="4"/>
  <c r="RI93" i="4"/>
  <c r="RJ93" i="4"/>
  <c r="RK93" i="4"/>
  <c r="RL93" i="4"/>
  <c r="RM93" i="4"/>
  <c r="RN93" i="4"/>
  <c r="RO93" i="4"/>
  <c r="RP93" i="4"/>
  <c r="RQ93" i="4"/>
  <c r="RR93" i="4"/>
  <c r="RS93" i="4"/>
  <c r="RT93" i="4"/>
  <c r="RV93" i="4"/>
  <c r="RW93" i="4"/>
  <c r="RX93" i="4"/>
  <c r="RY93" i="4"/>
  <c r="RZ93" i="4"/>
  <c r="SA93" i="4"/>
  <c r="SB93" i="4"/>
  <c r="SC93" i="4"/>
  <c r="SD93" i="4"/>
  <c r="SE93" i="4"/>
  <c r="SF93" i="4"/>
  <c r="SG93" i="4"/>
  <c r="SH93" i="4"/>
  <c r="SI93" i="4"/>
  <c r="SJ93" i="4"/>
  <c r="SK93" i="4"/>
  <c r="SL93" i="4"/>
  <c r="SM93" i="4"/>
  <c r="SO93" i="4"/>
  <c r="SP93" i="4"/>
  <c r="SQ93" i="4"/>
  <c r="SR93" i="4"/>
  <c r="SS93" i="4"/>
  <c r="ST93" i="4"/>
  <c r="SU93" i="4"/>
  <c r="SV93" i="4"/>
  <c r="SX93" i="4"/>
  <c r="SY93" i="4"/>
  <c r="SZ93" i="4"/>
  <c r="TA93" i="4"/>
  <c r="TB93" i="4"/>
  <c r="TC93" i="4"/>
  <c r="TD93" i="4"/>
  <c r="TE93" i="4"/>
  <c r="TF93" i="4"/>
  <c r="TG93" i="4"/>
  <c r="TH93" i="4"/>
  <c r="TI93" i="4"/>
  <c r="TK93" i="4"/>
  <c r="TL93" i="4"/>
  <c r="TM93" i="4"/>
  <c r="TN93" i="4"/>
  <c r="TO93" i="4"/>
  <c r="TP93" i="4"/>
  <c r="TQ93" i="4"/>
  <c r="TR93" i="4"/>
  <c r="TS93" i="4"/>
  <c r="TT93" i="4"/>
  <c r="TU93" i="4"/>
  <c r="TV93" i="4"/>
  <c r="TW93" i="4"/>
  <c r="TX93" i="4"/>
  <c r="TY93" i="4"/>
  <c r="TZ93" i="4"/>
  <c r="UB93" i="4"/>
  <c r="UC93" i="4"/>
  <c r="UD93" i="4"/>
  <c r="UE93" i="4"/>
  <c r="UF93" i="4"/>
  <c r="UG93" i="4"/>
  <c r="UH93" i="4"/>
  <c r="UI93" i="4"/>
  <c r="UJ93" i="4"/>
  <c r="UK93" i="4"/>
  <c r="UM93" i="4"/>
  <c r="UN93" i="4"/>
  <c r="UO93" i="4"/>
  <c r="UP93" i="4"/>
  <c r="UQ93" i="4"/>
  <c r="UR93" i="4"/>
  <c r="US93" i="4"/>
  <c r="UT93" i="4"/>
  <c r="UU93" i="4"/>
  <c r="UV93" i="4"/>
  <c r="UW93" i="4"/>
  <c r="UX93" i="4"/>
  <c r="UY93" i="4"/>
  <c r="UZ93" i="4"/>
  <c r="VA93" i="4"/>
  <c r="VC93" i="4"/>
  <c r="VD93" i="4"/>
  <c r="VE93" i="4"/>
  <c r="VF93" i="4"/>
  <c r="VG93" i="4"/>
  <c r="VH93" i="4"/>
  <c r="VI93" i="4"/>
  <c r="VJ93" i="4"/>
  <c r="VL93" i="4"/>
  <c r="VM93" i="4"/>
  <c r="VN93" i="4"/>
  <c r="VO93" i="4"/>
  <c r="VU93" i="4"/>
  <c r="WB93" i="4"/>
  <c r="WF93" i="4"/>
  <c r="WM93" i="4"/>
  <c r="WQ93" i="4"/>
  <c r="WX93" i="4"/>
  <c r="XB93" i="4"/>
  <c r="XI93" i="4"/>
  <c r="XM93" i="4"/>
  <c r="XT93" i="4"/>
  <c r="XX93" i="4"/>
  <c r="YE93" i="4"/>
  <c r="YI93" i="4"/>
  <c r="YP93" i="4"/>
  <c r="YT93" i="4"/>
  <c r="ZA93" i="4"/>
  <c r="ZE93" i="4"/>
  <c r="ZL93" i="4"/>
  <c r="ZP93" i="4"/>
  <c r="ZW93" i="4"/>
  <c r="AAA93" i="4"/>
  <c r="AAH93" i="4"/>
  <c r="AAM93" i="4"/>
  <c r="AAT93" i="4"/>
  <c r="AAX93" i="4"/>
  <c r="ABE93" i="4"/>
  <c r="ABI93" i="4"/>
  <c r="ABP93" i="4"/>
  <c r="ABT93" i="4"/>
  <c r="ACA93" i="4"/>
  <c r="ACE93" i="4"/>
  <c r="ACL93" i="4"/>
  <c r="ACP93" i="4"/>
  <c r="ACW93" i="4"/>
  <c r="ADA93" i="4"/>
  <c r="ADH93" i="4"/>
  <c r="ADL93" i="4"/>
  <c r="ADS93" i="4"/>
  <c r="ADW93" i="4"/>
  <c r="AED93" i="4"/>
  <c r="AEH93" i="4"/>
  <c r="AEO93" i="4"/>
  <c r="AES93" i="4"/>
  <c r="AEZ93" i="4"/>
  <c r="AFD93" i="4"/>
  <c r="AFK93" i="4"/>
  <c r="AFL93" i="4"/>
  <c r="AFR93" i="4"/>
  <c r="AFW93" i="4"/>
  <c r="AGB93" i="4"/>
  <c r="AGG93" i="4"/>
  <c r="AGL93" i="4"/>
  <c r="AGQ93" i="4"/>
  <c r="AGU93" i="4"/>
  <c r="AHB93" i="4"/>
  <c r="AHF93" i="4"/>
  <c r="AHM93" i="4"/>
  <c r="AHQ93" i="4"/>
  <c r="AHX93" i="4"/>
  <c r="AIB93" i="4"/>
  <c r="AII93" i="4"/>
  <c r="AIM93" i="4"/>
  <c r="AIT93" i="4"/>
  <c r="AIX93" i="4"/>
  <c r="AJE93" i="4"/>
  <c r="AJI93" i="4"/>
  <c r="AJP93" i="4"/>
  <c r="AJT93" i="4"/>
  <c r="AKA93" i="4"/>
  <c r="AKE93" i="4"/>
  <c r="AKL93" i="4"/>
  <c r="AKP93" i="4"/>
  <c r="AKW93" i="4"/>
  <c r="ALA93" i="4"/>
  <c r="ALH93" i="4"/>
  <c r="ALL93" i="4"/>
  <c r="ALS93" i="4"/>
  <c r="ALW93" i="4"/>
  <c r="AMD93" i="4"/>
  <c r="AMH93" i="4"/>
  <c r="AMO93" i="4"/>
  <c r="AMS93" i="4"/>
  <c r="AMZ93" i="4"/>
  <c r="AND93" i="4"/>
  <c r="ANK93" i="4"/>
  <c r="ANO93" i="4"/>
  <c r="ANV93" i="4"/>
  <c r="ANZ93" i="4"/>
  <c r="AOG93" i="4"/>
  <c r="AOK93" i="4"/>
  <c r="AOR93" i="4"/>
  <c r="AOV93" i="4"/>
  <c r="APC93" i="4"/>
  <c r="APG93" i="4"/>
  <c r="APN93" i="4"/>
  <c r="ATB93" i="4"/>
  <c r="ATG93" i="4"/>
  <c r="ATK93" i="4"/>
  <c r="ATR93" i="4"/>
  <c r="ATV93" i="4"/>
  <c r="AUC93" i="4"/>
  <c r="AUG93" i="4"/>
  <c r="AUN93" i="4"/>
  <c r="AUS93" i="4"/>
  <c r="AUX93" i="4"/>
  <c r="AVA93" i="4"/>
  <c r="AVF93" i="4"/>
  <c r="AVG93" i="4"/>
  <c r="AVJ93" i="4"/>
  <c r="AVK93" i="4"/>
  <c r="AVL93" i="4"/>
  <c r="AVM93" i="4"/>
  <c r="AVN93" i="4"/>
  <c r="AVO93" i="4"/>
  <c r="AVP93" i="4"/>
  <c r="AVQ93" i="4"/>
  <c r="AVR93" i="4"/>
  <c r="AVS93" i="4"/>
  <c r="AVT93" i="4"/>
  <c r="AVU93" i="4"/>
  <c r="AVV93" i="4"/>
  <c r="AVW93" i="4"/>
  <c r="AVX93" i="4"/>
  <c r="AVY93" i="4"/>
  <c r="AVZ93" i="4"/>
  <c r="AWA93" i="4"/>
  <c r="AWB93" i="4"/>
  <c r="AWC93" i="4"/>
  <c r="AWD93" i="4"/>
  <c r="AWE93" i="4"/>
  <c r="AWF93" i="4"/>
  <c r="AWG93" i="4"/>
  <c r="AWH93" i="4"/>
  <c r="AWI93" i="4"/>
  <c r="AWJ93" i="4"/>
  <c r="AWK93" i="4"/>
  <c r="AWL93" i="4"/>
  <c r="AWM93" i="4"/>
  <c r="AWN93" i="4"/>
  <c r="AWO93" i="4"/>
  <c r="AWP93" i="4"/>
  <c r="AWQ93" i="4"/>
  <c r="AWR93" i="4"/>
  <c r="AWS93" i="4"/>
  <c r="AWT93" i="4"/>
  <c r="AWU93" i="4"/>
  <c r="AWV93" i="4"/>
  <c r="AG29" i="3" l="1"/>
  <c r="AG30" i="3"/>
  <c r="AG31" i="3"/>
  <c r="AG32" i="3"/>
  <c r="AG33" i="3"/>
  <c r="AG34" i="3"/>
  <c r="AG35" i="3"/>
  <c r="AG36" i="3"/>
  <c r="AG37" i="3"/>
  <c r="AG38" i="3"/>
  <c r="AG39" i="3"/>
  <c r="AG40" i="3"/>
  <c r="AG41" i="3"/>
  <c r="AG42" i="3"/>
  <c r="AG43" i="3"/>
  <c r="AG44" i="3"/>
  <c r="AG45" i="3"/>
  <c r="AG46" i="3"/>
  <c r="AG47" i="3"/>
  <c r="AG48" i="3"/>
  <c r="AG49" i="3"/>
  <c r="AG50" i="3"/>
  <c r="AG51" i="3"/>
  <c r="AG52" i="3"/>
  <c r="AG53" i="3"/>
  <c r="AG54" i="3"/>
  <c r="AG55" i="3"/>
  <c r="AG56" i="3"/>
  <c r="AG57" i="3"/>
  <c r="AG59" i="3"/>
  <c r="AG60" i="3"/>
  <c r="AG61" i="3"/>
  <c r="AG62" i="3"/>
  <c r="AG63" i="3"/>
  <c r="AG64" i="3"/>
  <c r="AG68" i="3"/>
  <c r="AG69" i="3"/>
  <c r="AG70" i="3"/>
  <c r="AG71" i="3"/>
  <c r="AG72" i="3"/>
  <c r="AG73" i="3"/>
  <c r="AG74" i="3"/>
  <c r="AG75" i="3"/>
  <c r="AG76" i="3"/>
  <c r="AG77" i="3"/>
  <c r="AG78" i="3"/>
  <c r="AG79" i="3"/>
  <c r="AG80" i="3"/>
  <c r="AG81" i="3"/>
  <c r="AG82" i="3"/>
  <c r="AG83" i="3"/>
  <c r="AG84" i="3"/>
  <c r="AG85" i="3"/>
  <c r="AG86" i="3"/>
  <c r="AG87" i="3"/>
  <c r="AG88" i="3"/>
  <c r="AG89" i="3"/>
  <c r="AG90" i="3"/>
  <c r="AG91" i="3"/>
  <c r="AG92" i="3"/>
  <c r="AG93" i="3"/>
  <c r="AG94" i="3"/>
  <c r="AG95" i="3"/>
  <c r="AG96" i="3"/>
  <c r="AG97" i="3"/>
  <c r="AG98" i="3"/>
  <c r="AG99" i="3"/>
  <c r="AG100" i="3"/>
  <c r="AG101" i="3"/>
  <c r="AG102" i="3"/>
  <c r="AG103" i="3"/>
  <c r="AG104" i="3"/>
  <c r="AG105" i="3"/>
  <c r="AG106" i="3"/>
  <c r="AG107" i="3"/>
  <c r="AG108" i="3"/>
  <c r="AG109" i="3"/>
  <c r="AG110" i="3"/>
  <c r="AG111" i="3"/>
  <c r="AG112" i="3"/>
  <c r="AG113" i="3"/>
  <c r="AG114" i="3"/>
  <c r="AG115" i="3"/>
  <c r="AG214" i="3"/>
  <c r="AG220" i="3"/>
  <c r="AG221" i="3"/>
  <c r="AG222" i="3"/>
  <c r="AG223" i="3"/>
  <c r="AG224" i="3"/>
  <c r="AG234" i="3"/>
  <c r="AG235" i="3"/>
  <c r="AG236" i="3"/>
  <c r="AG237" i="3"/>
  <c r="AG238" i="3"/>
  <c r="AH243" i="3"/>
  <c r="AH244" i="3"/>
  <c r="AH245" i="3"/>
  <c r="AH246" i="3"/>
  <c r="AH247" i="3"/>
  <c r="AH248" i="3"/>
  <c r="AH249" i="3"/>
  <c r="AH250" i="3"/>
  <c r="AH251" i="3"/>
  <c r="AG263" i="3"/>
  <c r="AG264" i="3"/>
  <c r="AG265" i="3"/>
  <c r="AG266" i="3"/>
  <c r="AG267" i="3"/>
  <c r="AG268" i="3"/>
  <c r="AG269" i="3"/>
  <c r="AG270" i="3"/>
  <c r="AG271" i="3"/>
  <c r="AG272" i="3"/>
  <c r="AG273" i="3"/>
  <c r="AL549" i="3"/>
  <c r="AG554" i="3"/>
</calcChain>
</file>

<file path=xl/sharedStrings.xml><?xml version="1.0" encoding="utf-8"?>
<sst xmlns="http://schemas.openxmlformats.org/spreadsheetml/2006/main" count="30663" uniqueCount="5502">
  <si>
    <t>Category NL</t>
  </si>
  <si>
    <t>Characteristic NL</t>
  </si>
  <si>
    <t>Characteristic FR</t>
  </si>
  <si>
    <t>Characteristic EN</t>
  </si>
  <si>
    <t>Line</t>
  </si>
  <si>
    <t>Unit</t>
  </si>
  <si>
    <t>Field type</t>
  </si>
  <si>
    <t>Voegprod</t>
  </si>
  <si>
    <t>Artikelnummer</t>
  </si>
  <si>
    <t>Code produit</t>
  </si>
  <si>
    <t>Product code</t>
  </si>
  <si>
    <t>Text monolanguage</t>
  </si>
  <si>
    <t>N</t>
  </si>
  <si>
    <t>x</t>
  </si>
  <si>
    <t>Algemeen</t>
  </si>
  <si>
    <t>Status</t>
  </si>
  <si>
    <t>Etat</t>
  </si>
  <si>
    <t>Drop down</t>
  </si>
  <si>
    <t>Boolean</t>
  </si>
  <si>
    <t>Text multilanguage</t>
  </si>
  <si>
    <t>PIB naam NL</t>
  </si>
  <si>
    <t>Nom FIP NL</t>
  </si>
  <si>
    <t>PIS name NL</t>
  </si>
  <si>
    <t>PIB naam FR</t>
  </si>
  <si>
    <t>Nom FIP FR</t>
  </si>
  <si>
    <t>PIS name FR</t>
  </si>
  <si>
    <t>PIB ondertitel NL</t>
  </si>
  <si>
    <t>FIP sous-titre NL</t>
  </si>
  <si>
    <t>PIS subtitle NL</t>
  </si>
  <si>
    <t>PIB ondertitel FR</t>
  </si>
  <si>
    <t>FIP sous-titre FR</t>
  </si>
  <si>
    <t xml:space="preserve">PIS subtitle FR </t>
  </si>
  <si>
    <t>Plaat</t>
  </si>
  <si>
    <t>Tegel</t>
  </si>
  <si>
    <t>Profiel</t>
  </si>
  <si>
    <t>Luik</t>
  </si>
  <si>
    <t>Oud artikelnummer</t>
  </si>
  <si>
    <t>Code produit ancien</t>
  </si>
  <si>
    <t>Old article number</t>
  </si>
  <si>
    <t>Beschrijving</t>
  </si>
  <si>
    <t>Benaming prijslijst NL</t>
  </si>
  <si>
    <t>Dénomination Liste de Prix NL</t>
  </si>
  <si>
    <t>Designation PL NL</t>
  </si>
  <si>
    <t>Benaming prijslijst FR</t>
  </si>
  <si>
    <t>Dénomination Liste de Prix FR</t>
  </si>
  <si>
    <t>Designation PL FR</t>
  </si>
  <si>
    <t>HTML</t>
  </si>
  <si>
    <t>n</t>
  </si>
  <si>
    <t>Samenstelling NL</t>
  </si>
  <si>
    <t>Composition NL</t>
  </si>
  <si>
    <t>Samenstelling FR</t>
  </si>
  <si>
    <t>Composition FR</t>
  </si>
  <si>
    <t>Normen</t>
  </si>
  <si>
    <t>Productnorm</t>
  </si>
  <si>
    <t>Norme produit</t>
  </si>
  <si>
    <t>Product standard</t>
  </si>
  <si>
    <t>Type kort</t>
  </si>
  <si>
    <t>Type court</t>
  </si>
  <si>
    <t>Type Short</t>
  </si>
  <si>
    <t>Type lang NL</t>
  </si>
  <si>
    <t>Type long NL</t>
  </si>
  <si>
    <t>Type Long NL</t>
  </si>
  <si>
    <t>Type lang FR</t>
  </si>
  <si>
    <t>Type long FR</t>
  </si>
  <si>
    <t>Type Long FR</t>
  </si>
  <si>
    <t>Reactie bij brand</t>
  </si>
  <si>
    <t>Réaction au feu</t>
  </si>
  <si>
    <t>Reaction to fire</t>
  </si>
  <si>
    <t>Reactie bij brand Norm</t>
  </si>
  <si>
    <t>Réaction au feu Norme</t>
  </si>
  <si>
    <t>Reaction to fire Standard</t>
  </si>
  <si>
    <t>DOP</t>
  </si>
  <si>
    <t>DOP Nummer</t>
  </si>
  <si>
    <t>Numéro DOP</t>
  </si>
  <si>
    <t>DOP Number</t>
  </si>
  <si>
    <t>Integer</t>
  </si>
  <si>
    <t>DOP URL NL</t>
  </si>
  <si>
    <t>DOP URL FR</t>
  </si>
  <si>
    <t>Vorm en afm</t>
  </si>
  <si>
    <t>Kantvorm</t>
  </si>
  <si>
    <t>Forme du bord</t>
  </si>
  <si>
    <t>Edge profile</t>
  </si>
  <si>
    <t>Dikte</t>
  </si>
  <si>
    <t>Epaisseur</t>
  </si>
  <si>
    <t>Thickness</t>
  </si>
  <si>
    <t>mm</t>
  </si>
  <si>
    <t>Breedte</t>
  </si>
  <si>
    <t>Largeur</t>
  </si>
  <si>
    <t>Width</t>
  </si>
  <si>
    <t>Lengte</t>
  </si>
  <si>
    <t>Longueur</t>
  </si>
  <si>
    <t>Length</t>
  </si>
  <si>
    <t>Dikte isolatie</t>
  </si>
  <si>
    <t>Epaisseur isolation</t>
  </si>
  <si>
    <t>Thickness Isolation</t>
  </si>
  <si>
    <t>Totale dikte</t>
  </si>
  <si>
    <t>Epaisseur totale</t>
  </si>
  <si>
    <t>Total thickness</t>
  </si>
  <si>
    <t>H2</t>
  </si>
  <si>
    <t>Gewicht</t>
  </si>
  <si>
    <t>Weight</t>
  </si>
  <si>
    <t>Oppervlaktegewicht</t>
  </si>
  <si>
    <t>Poids surfacique</t>
  </si>
  <si>
    <t>Areal weight</t>
  </si>
  <si>
    <t>kg/m²</t>
  </si>
  <si>
    <t>Poids</t>
  </si>
  <si>
    <t>Thermisch</t>
  </si>
  <si>
    <r>
      <t xml:space="preserve">Thermische geleidbaarheid </t>
    </r>
    <r>
      <rPr>
        <sz val="10"/>
        <rFont val="Symbol"/>
        <family val="1"/>
        <charset val="2"/>
      </rPr>
      <t>l</t>
    </r>
  </si>
  <si>
    <r>
      <t xml:space="preserve">Conductivité thermique </t>
    </r>
    <r>
      <rPr>
        <sz val="10"/>
        <rFont val="Symbol"/>
        <family val="1"/>
        <charset val="2"/>
      </rPr>
      <t>l</t>
    </r>
  </si>
  <si>
    <r>
      <t xml:space="preserve">Thermal conductivity </t>
    </r>
    <r>
      <rPr>
        <sz val="10"/>
        <rFont val="Symbol"/>
        <family val="1"/>
        <charset val="2"/>
      </rPr>
      <t>l</t>
    </r>
  </si>
  <si>
    <t>W/mK</t>
  </si>
  <si>
    <t>Decim (10,2)</t>
  </si>
  <si>
    <r>
      <t xml:space="preserve">Thermische geleidb. isolatie </t>
    </r>
    <r>
      <rPr>
        <sz val="10"/>
        <rFont val="Symbol"/>
        <family val="1"/>
        <charset val="2"/>
      </rPr>
      <t>l</t>
    </r>
  </si>
  <si>
    <r>
      <t xml:space="preserve">Conductivité thermique isolation </t>
    </r>
    <r>
      <rPr>
        <sz val="10"/>
        <rFont val="Symbol"/>
        <family val="1"/>
        <charset val="2"/>
      </rPr>
      <t>l</t>
    </r>
  </si>
  <si>
    <r>
      <t xml:space="preserve">Thermal conductivity Isolation </t>
    </r>
    <r>
      <rPr>
        <sz val="10"/>
        <rFont val="Symbol"/>
        <family val="1"/>
        <charset val="2"/>
      </rPr>
      <t>l</t>
    </r>
  </si>
  <si>
    <t>Decim (10,3)</t>
  </si>
  <si>
    <t>Lineaire uitzettings-coëfficiënt tgv temp</t>
  </si>
  <si>
    <t>Coefficient de dilatation linéaire sous l'influence de la temp.</t>
  </si>
  <si>
    <t>Linear coefficient of expansion due to temperature</t>
  </si>
  <si>
    <t>m/(m.K)</t>
  </si>
  <si>
    <t>Lin.uitz.temp. VW NL</t>
  </si>
  <si>
    <t>Coeff. dilat. lin. sous l'influence de temp. Condit NL</t>
  </si>
  <si>
    <t>Linear coeff. expansion temp Condit NL</t>
  </si>
  <si>
    <t>Lin.uitz.temp. VW FR</t>
  </si>
  <si>
    <t>Coeff. dilat. lin. sous l'influence de temp. Condit FR</t>
  </si>
  <si>
    <t>Linear coeff. expansion temp Condit FR</t>
  </si>
  <si>
    <t>Hygroscopisch</t>
  </si>
  <si>
    <t>Waterdampdiffusie-weerstandsgetal μ</t>
  </si>
  <si>
    <t>Facteur de résistance à la diffusion de la vapeur d'eau μ</t>
  </si>
  <si>
    <t>Water vapour resistance factor μ</t>
  </si>
  <si>
    <t>Waterdampdiffusie-weerst. isolatie μ</t>
  </si>
  <si>
    <t>Facteur résist. diffusion vapeur d'eau Isolation μ</t>
  </si>
  <si>
    <t>Water vapour resistance factor Isolation μ</t>
  </si>
  <si>
    <t>Waterdampdiffusie-weerstand μd</t>
  </si>
  <si>
    <t>Résistance à la diffusion de la vapeur d'eau μd</t>
  </si>
  <si>
    <t>Water vapour resistance μd</t>
  </si>
  <si>
    <t>m</t>
  </si>
  <si>
    <t>Lineaire uitzettings-coëfficiënt tgv RV</t>
  </si>
  <si>
    <t>Coefficient de dilatation linéaire sous l'influence de l'humidité relative</t>
  </si>
  <si>
    <t>Linear coefficient of expansion due to RH</t>
  </si>
  <si>
    <t>m/(m.%R.V.)</t>
  </si>
  <si>
    <t>Lin.uitz.vocht VW NL</t>
  </si>
  <si>
    <t>Coeff. dilat. lin. sous l'influence de HR. Condit NL</t>
  </si>
  <si>
    <t>Linear coeff. expansion RH Condit NL</t>
  </si>
  <si>
    <t>Lin.uitz.vocht VW FR</t>
  </si>
  <si>
    <t>Coeff. dilat. lin. sous l'influence de HR. Condit FR</t>
  </si>
  <si>
    <t>Linear coeff. expansion RH Condit FR</t>
  </si>
  <si>
    <r>
      <t>Overgangsgeluidisolatie D</t>
    </r>
    <r>
      <rPr>
        <vertAlign val="subscript"/>
        <sz val="10"/>
        <rFont val="Arial"/>
        <family val="2"/>
      </rPr>
      <t>n,c,w</t>
    </r>
  </si>
  <si>
    <t>dB</t>
  </si>
  <si>
    <t>Isolatiepaneel</t>
  </si>
  <si>
    <t>Prijslijst</t>
  </si>
  <si>
    <t>Basishoeveelheidseenheid</t>
  </si>
  <si>
    <t>Unité de quantité de base NL</t>
  </si>
  <si>
    <t>Base unit of measure NL</t>
  </si>
  <si>
    <t>EAN</t>
  </si>
  <si>
    <t>EAN Eenheid</t>
  </si>
  <si>
    <t>EAN Unité</t>
  </si>
  <si>
    <t>EAN Unit</t>
  </si>
  <si>
    <t>Intrastatnummer</t>
  </si>
  <si>
    <t>Numéro Intrastat</t>
  </si>
  <si>
    <t>Intrastat number</t>
  </si>
  <si>
    <t>Habito</t>
  </si>
  <si>
    <t>Impact resistance</t>
  </si>
  <si>
    <t>Veldnaam NL</t>
  </si>
  <si>
    <t>Veldnaam FR</t>
  </si>
  <si>
    <t>Veldnaam EN</t>
  </si>
  <si>
    <t>Eenheid</t>
  </si>
  <si>
    <t>Type veld</t>
  </si>
  <si>
    <t>SchW</t>
  </si>
  <si>
    <t>VzW</t>
  </si>
  <si>
    <t>Schacht</t>
  </si>
  <si>
    <t>Plafond</t>
  </si>
  <si>
    <t>A01</t>
  </si>
  <si>
    <t>Integer number</t>
  </si>
  <si>
    <t>Épaisseur</t>
  </si>
  <si>
    <t>Opbouw frame - Regels</t>
  </si>
  <si>
    <t>Structure de l'ossature - Lisses</t>
  </si>
  <si>
    <t>Composition frame - Transom</t>
  </si>
  <si>
    <t>Opbouw frame - Stijlen</t>
  </si>
  <si>
    <t>Structure de l'ossature - Montants</t>
  </si>
  <si>
    <t>Composition frame - Post</t>
  </si>
  <si>
    <t>Plaatdikte(n) + type(n)</t>
  </si>
  <si>
    <t>Épaisseur(s) des plaques + type(s)</t>
  </si>
  <si>
    <t>Thickness of boards + types</t>
  </si>
  <si>
    <t>Binnenluchtkwaliteit</t>
  </si>
  <si>
    <t>Qualité d'air</t>
  </si>
  <si>
    <t>Indoor air quality</t>
  </si>
  <si>
    <t>A02</t>
  </si>
  <si>
    <t>Max. h.o.h. afstand plaatdragende profielen - Overlangse plaatsing 1200mm plaatbreedte</t>
  </si>
  <si>
    <t>Entre-axe maximal des montants - Pose parallèle largeur des plaques 1200mm</t>
  </si>
  <si>
    <t>Maximal axial distance main support - Parallel direction 1200mm wide boards</t>
  </si>
  <si>
    <t>Maximale hoogte - Toepassingsgebied 1 (volgens DIN 18183)</t>
  </si>
  <si>
    <t>Hauteur maximale - Domaine d'application 1</t>
  </si>
  <si>
    <t>Maximal height - Field of application 1</t>
  </si>
  <si>
    <t>Maximale hoogte - Toepassingsgebied 2 (volgens DIN 18183)</t>
  </si>
  <si>
    <t>Hauteur maximale - Domaine d'application 2</t>
  </si>
  <si>
    <t>Maximal height - Field of application 2</t>
  </si>
  <si>
    <t>A03</t>
  </si>
  <si>
    <r>
      <t>Max. h.o.h. afstand plaatdragende profielen - Dwarse plaatsing g</t>
    </r>
    <r>
      <rPr>
        <vertAlign val="subscript"/>
        <sz val="10"/>
        <rFont val="Arial"/>
        <family val="2"/>
      </rPr>
      <t>1</t>
    </r>
  </si>
  <si>
    <r>
      <t>Max. h.o.h. afstand plaatdragende profielen - Overlangse plaatsing 600mm plaatbreedte g</t>
    </r>
    <r>
      <rPr>
        <vertAlign val="subscript"/>
        <sz val="10"/>
        <rFont val="Arial"/>
        <family val="2"/>
      </rPr>
      <t>2</t>
    </r>
  </si>
  <si>
    <t>Maximale overspanning plaatdragende profielen a_1</t>
  </si>
  <si>
    <t>Portée maximale 'a' des profilés porteurs a</t>
  </si>
  <si>
    <t>Maximal span main support a</t>
  </si>
  <si>
    <t>Maximale overspanning primaire profielen d_1</t>
  </si>
  <si>
    <t>Portée maximale des profilés primaires d</t>
  </si>
  <si>
    <t>Maximal span primary support d</t>
  </si>
  <si>
    <t>Maximale overspanning plaatdragende profielen a_2</t>
  </si>
  <si>
    <t>Maximale overspanning primaire profielen d_2</t>
  </si>
  <si>
    <t>Maximale overspanning - h.o.h.-afstand plaatdragende MSV 500mm</t>
  </si>
  <si>
    <t>Portée maximale - Entre-axe des profilés de support MSV 500mm</t>
  </si>
  <si>
    <t>Maximal span - Axial distance main support 500mm</t>
  </si>
  <si>
    <t>Maximale overspanning - h.o.h.-afstand plaatdragende MSV 400mm</t>
  </si>
  <si>
    <t>Portée maximale - Entre-axe des profilés de support MSV 400mm</t>
  </si>
  <si>
    <t>Maximal span - Axial distance main support 400mm</t>
  </si>
  <si>
    <t>Maximale overspanning - h.o.h.-afstand plaatdragende MSV 300mm</t>
  </si>
  <si>
    <t>Portée maximale - Entre-axe des profilés de support MSV 300mm</t>
  </si>
  <si>
    <t>Maximal span - Axial distance main support 300mm</t>
  </si>
  <si>
    <t>A04</t>
  </si>
  <si>
    <t>Stabiliteit bij brand</t>
  </si>
  <si>
    <t>Stabilité au feu</t>
  </si>
  <si>
    <t>Stability during fire</t>
  </si>
  <si>
    <t>Volgens norm</t>
  </si>
  <si>
    <t>Suivant norme</t>
  </si>
  <si>
    <t>Following standard</t>
  </si>
  <si>
    <t>Brand langs profielzijde getest</t>
  </si>
  <si>
    <t>Incendie du côté des profilés</t>
  </si>
  <si>
    <t>Fire at profile side</t>
  </si>
  <si>
    <t>Brand langs plaatzijde getest</t>
  </si>
  <si>
    <t>Incendie du côté des plaques</t>
  </si>
  <si>
    <t>Fire at board side</t>
  </si>
  <si>
    <t>Maximale hoogte bij brand - Toepassingsgebied 1 (volgens DIN 18183)</t>
  </si>
  <si>
    <t>Hauteur maximale Feu - Domaine d'application 1</t>
  </si>
  <si>
    <t>Maximal height Fire - Field of application 1</t>
  </si>
  <si>
    <t>Maximale hoogte bij brand - Toepassingsgebied 2 (volgens DIN 18183)</t>
  </si>
  <si>
    <t>Hauteur maximale Feua - Domaine d'application 2</t>
  </si>
  <si>
    <t>Maximal height Fire - Field of application 2</t>
  </si>
  <si>
    <t>B01</t>
  </si>
  <si>
    <t>Isolatie: Frame 1 - Type</t>
  </si>
  <si>
    <t>Isolant: Rangée 1 - Type</t>
  </si>
  <si>
    <t>Insulation: Frame 1 - Type</t>
  </si>
  <si>
    <t>Isolatie: Frame 1 - Dikte</t>
  </si>
  <si>
    <t>Isolant: Rangée 1 - Epaisseur</t>
  </si>
  <si>
    <t>Insulation: Frame 1 - Thickness</t>
  </si>
  <si>
    <t>Isolatie: Frame 1 - Massadichtheid</t>
  </si>
  <si>
    <t>Isolant: Rangée 1 - Densité</t>
  </si>
  <si>
    <t>Insulation: Frame 1 - Density</t>
  </si>
  <si>
    <t>Isolatie: Frame 2 - Type</t>
  </si>
  <si>
    <t>Isolant: Rangée 2 - Type</t>
  </si>
  <si>
    <t>Insulation: Frame 2 - Type</t>
  </si>
  <si>
    <t>Isolatie: Frame 2 - Dikte</t>
  </si>
  <si>
    <t>Isolant: Rangée 2 - Epaisseur</t>
  </si>
  <si>
    <t>Insulation: Frame 2 - Thickness</t>
  </si>
  <si>
    <t>Isolatie: Frame 2 - Massadichtheid</t>
  </si>
  <si>
    <t>Isolant: Rangée 2 - Densité</t>
  </si>
  <si>
    <t>Insulation: Frame 2 - Density</t>
  </si>
  <si>
    <t>Isolatie: Frame 3 - Type</t>
  </si>
  <si>
    <t>Isolant: Rangée 3 - Type</t>
  </si>
  <si>
    <t>Insulation: Frame 3 - Type</t>
  </si>
  <si>
    <t>Isolatie: Frame 3 - Dikte</t>
  </si>
  <si>
    <t>Isolant: Rangée 3 - Epaisseur</t>
  </si>
  <si>
    <t>Insulation: Frame 3 - Thickness</t>
  </si>
  <si>
    <t>Isolatie: Frame 3 - Massadichtheid</t>
  </si>
  <si>
    <t>Isolant: Rangée 3 - Densité</t>
  </si>
  <si>
    <t>Insulation: Frame 3 - Density</t>
  </si>
  <si>
    <t>Basiswand NL</t>
  </si>
  <si>
    <t>Mur de base NL</t>
  </si>
  <si>
    <t>Basic wall NL</t>
  </si>
  <si>
    <t>Basiswand FR</t>
  </si>
  <si>
    <t>Mur de base FR</t>
  </si>
  <si>
    <t>Basic wall FR</t>
  </si>
  <si>
    <t>Basiswand - Gewicht</t>
  </si>
  <si>
    <t>Mur de base - Masse superficielle</t>
  </si>
  <si>
    <t>Basic wall - Weight</t>
  </si>
  <si>
    <t>Flankerende vloeren NL</t>
  </si>
  <si>
    <t>Sols adjacents NL</t>
  </si>
  <si>
    <t>Flanking floors NL</t>
  </si>
  <si>
    <t>Flankerende vloeren FR</t>
  </si>
  <si>
    <t>Sols adjacents FR</t>
  </si>
  <si>
    <t>Flanking floors FR</t>
  </si>
  <si>
    <t>Flankerende vloeren - Gewicht</t>
  </si>
  <si>
    <t>Sols adjacents - Poids</t>
  </si>
  <si>
    <t>Flanking floors - weight</t>
  </si>
  <si>
    <t>Dak - Bekleding NL</t>
  </si>
  <si>
    <t>Toiture - Couverture NL</t>
  </si>
  <si>
    <t>Roof - Finishing NL</t>
  </si>
  <si>
    <t>Dak - Bekleding FR</t>
  </si>
  <si>
    <t>Toiture - Couverture FR</t>
  </si>
  <si>
    <t>Roof - Finishing FR</t>
  </si>
  <si>
    <t>Dak - Onderdak NL</t>
  </si>
  <si>
    <t>Toiture - Sous-toiture NL</t>
  </si>
  <si>
    <t>Roof - Tiling battens NL</t>
  </si>
  <si>
    <t>Dak - Onderdak FR</t>
  </si>
  <si>
    <t>Toiture - Sous-toiture FR</t>
  </si>
  <si>
    <t>Roof - Tiling battens FR</t>
  </si>
  <si>
    <t>Dak - Draagstructuur NL</t>
  </si>
  <si>
    <t>Toiture - Structure portante NL</t>
  </si>
  <si>
    <t>Roof - Rafters NL</t>
  </si>
  <si>
    <t>Dak - Draagstructuur FR</t>
  </si>
  <si>
    <t>Toiture - Structure portante FR</t>
  </si>
  <si>
    <t>Roof - Rafters FR</t>
  </si>
  <si>
    <t>Ligging tov gordingen NL</t>
  </si>
  <si>
    <t>Situation par rapport aux chevrons NL</t>
  </si>
  <si>
    <t>Position to joists NL</t>
  </si>
  <si>
    <t>Ligging tov gordingen FR</t>
  </si>
  <si>
    <t>Situation par rapport aux chevrons FR</t>
  </si>
  <si>
    <t>Position to joists FR</t>
  </si>
  <si>
    <t>Bestaande vloerconstructie - Bekleding NL</t>
  </si>
  <si>
    <t>Plancher existant - Platelage NL</t>
  </si>
  <si>
    <t>Existing floor - Finishing NL</t>
  </si>
  <si>
    <t>Bestaande vloerconstructie - Bekleding FR</t>
  </si>
  <si>
    <t>Plancher existant - Platelage FR</t>
  </si>
  <si>
    <t>Existing floor - Finishing FR</t>
  </si>
  <si>
    <t>Bestaande vloerconstructie - Balklaag NL</t>
  </si>
  <si>
    <t>Plancher existant - Solives en bois NL</t>
  </si>
  <si>
    <t>Existing floor - Joists NL</t>
  </si>
  <si>
    <t>Bestaande vloerconstructie - Balklaag FR</t>
  </si>
  <si>
    <t>Plancher existant - Solives en bois FR</t>
  </si>
  <si>
    <t>Existing floor - Joists FR</t>
  </si>
  <si>
    <t>Bestaande vloerconstructie - Bestaand plafond NL</t>
  </si>
  <si>
    <t>Plancher existant - Plafond existant NL</t>
  </si>
  <si>
    <t>Existing floor - Existing ceiling NL</t>
  </si>
  <si>
    <t>Bestaande vloerconstructie - Bestaand plafond FR</t>
  </si>
  <si>
    <t>Plancher existant - Plafond existant FR</t>
  </si>
  <si>
    <t>Existing floor - Existing ceiling FR</t>
  </si>
  <si>
    <r>
      <t>Bestaande situatie - Luchtgeluidisolatie R</t>
    </r>
    <r>
      <rPr>
        <vertAlign val="subscript"/>
        <sz val="10"/>
        <rFont val="Arial"/>
        <family val="2"/>
      </rPr>
      <t>w</t>
    </r>
  </si>
  <si>
    <t>Bestaande situatie - Luchtgeluidisolatie - Spectrale aanpassingswaarde C</t>
  </si>
  <si>
    <t>Situation existante - Isolation aux bruits aériens - Valeur d'adaptation spectrale C</t>
  </si>
  <si>
    <t>Existing situation - Airborne sound insulation - Adaptation value C</t>
  </si>
  <si>
    <r>
      <t>Bestaande situatie - Luchtgeluidisolatie - Spectrale aanpassingswaarde C</t>
    </r>
    <r>
      <rPr>
        <vertAlign val="subscript"/>
        <sz val="10"/>
        <rFont val="Arial"/>
        <family val="2"/>
      </rPr>
      <t>tr</t>
    </r>
  </si>
  <si>
    <r>
      <t>Bestaande situatie - Contactgeluidisolatie L</t>
    </r>
    <r>
      <rPr>
        <vertAlign val="subscript"/>
        <sz val="10"/>
        <rFont val="Arial"/>
        <family val="2"/>
      </rPr>
      <t>n;w</t>
    </r>
  </si>
  <si>
    <r>
      <t>Bestaande situatie - Contactgeluidisolatie - Aanpassingswaarde C</t>
    </r>
    <r>
      <rPr>
        <vertAlign val="subscript"/>
        <sz val="10"/>
        <rFont val="Arial"/>
        <family val="2"/>
      </rPr>
      <t>L</t>
    </r>
  </si>
  <si>
    <t>Spouwdiepte</t>
  </si>
  <si>
    <t>Epaisseur du vide</t>
  </si>
  <si>
    <t>Cavity depth</t>
  </si>
  <si>
    <r>
      <t>Luchtgeluidisolatie R</t>
    </r>
    <r>
      <rPr>
        <vertAlign val="subscript"/>
        <sz val="10"/>
        <rFont val="Arial"/>
        <family val="2"/>
      </rPr>
      <t>w</t>
    </r>
  </si>
  <si>
    <t>Luchtgeluidisolatie - Spectrale aanpassingswaarde C</t>
  </si>
  <si>
    <t>Isolation acoustique aux bruits aériens - Valeur d'adaptation C</t>
  </si>
  <si>
    <t>Airborne sound insulation - Adaptation value C</t>
  </si>
  <si>
    <r>
      <t>Luchtgeluidisolatie - Spectrale aanpassingswaarde C</t>
    </r>
    <r>
      <rPr>
        <vertAlign val="subscript"/>
        <sz val="10"/>
        <rFont val="Arial"/>
        <family val="2"/>
      </rPr>
      <t>tr</t>
    </r>
  </si>
  <si>
    <r>
      <t>Verbetering DR</t>
    </r>
    <r>
      <rPr>
        <vertAlign val="subscript"/>
        <sz val="10"/>
        <rFont val="Arial"/>
        <family val="2"/>
      </rPr>
      <t>w</t>
    </r>
  </si>
  <si>
    <r>
      <t>Contactgeluidisolatie L</t>
    </r>
    <r>
      <rPr>
        <vertAlign val="subscript"/>
        <sz val="10"/>
        <rFont val="Arial"/>
        <family val="2"/>
      </rPr>
      <t>n;w</t>
    </r>
  </si>
  <si>
    <r>
      <t>Contactgeluidisolatie - Aanpassingswaarde C</t>
    </r>
    <r>
      <rPr>
        <vertAlign val="subscript"/>
        <sz val="10"/>
        <rFont val="Arial"/>
        <family val="2"/>
      </rPr>
      <t>L</t>
    </r>
  </si>
  <si>
    <r>
      <t>Verbetering DL</t>
    </r>
    <r>
      <rPr>
        <vertAlign val="subscript"/>
        <sz val="10"/>
        <rFont val="Arial"/>
        <family val="2"/>
      </rPr>
      <t>n;w</t>
    </r>
  </si>
  <si>
    <r>
      <t>Luchtgeluidsisolatie in situ D</t>
    </r>
    <r>
      <rPr>
        <vertAlign val="subscript"/>
        <sz val="10"/>
        <color indexed="8"/>
        <rFont val="Arial"/>
        <family val="2"/>
      </rPr>
      <t>nT,w</t>
    </r>
  </si>
  <si>
    <r>
      <t>Contactgeluidsisolatie in situ L'</t>
    </r>
    <r>
      <rPr>
        <vertAlign val="subscript"/>
        <sz val="10"/>
        <color indexed="8"/>
        <rFont val="Arial"/>
        <family val="2"/>
      </rPr>
      <t>nT,w</t>
    </r>
  </si>
  <si>
    <r>
      <t>Overgangsgeluidisolatie D</t>
    </r>
    <r>
      <rPr>
        <vertAlign val="subscript"/>
        <sz val="10"/>
        <rFont val="Arial"/>
        <family val="2"/>
      </rPr>
      <t xml:space="preserve">n,c,w </t>
    </r>
    <r>
      <rPr>
        <sz val="10"/>
        <rFont val="Arial"/>
        <family val="2"/>
      </rPr>
      <t>correctie1</t>
    </r>
  </si>
  <si>
    <r>
      <t>Overgangsgeluidisolatie D</t>
    </r>
    <r>
      <rPr>
        <vertAlign val="subscript"/>
        <sz val="10"/>
        <rFont val="Arial"/>
        <family val="2"/>
      </rPr>
      <t xml:space="preserve">n,c,w </t>
    </r>
    <r>
      <rPr>
        <sz val="10"/>
        <rFont val="Arial"/>
        <family val="2"/>
      </rPr>
      <t>correctie2</t>
    </r>
  </si>
  <si>
    <r>
      <t>Absorptiefactor a</t>
    </r>
    <r>
      <rPr>
        <vertAlign val="subscript"/>
        <sz val="10"/>
        <rFont val="Arial"/>
        <family val="2"/>
      </rPr>
      <t>w</t>
    </r>
  </si>
  <si>
    <t>Decimal number 2</t>
  </si>
  <si>
    <t>Indicator</t>
  </si>
  <si>
    <t>Indicateur</t>
  </si>
  <si>
    <t>B02</t>
  </si>
  <si>
    <t>W/m²K</t>
  </si>
  <si>
    <t>Berekende isolatiewaarde U</t>
  </si>
  <si>
    <t>Isolation thermique calculée U</t>
  </si>
  <si>
    <t>Calculated thermal insulation U</t>
  </si>
  <si>
    <t>Berekende warmteweerstand R</t>
  </si>
  <si>
    <t>Résistance thermique calculée R</t>
  </si>
  <si>
    <t>Calculated thermal resistance R</t>
  </si>
  <si>
    <t>m²K/W</t>
  </si>
  <si>
    <t>C01</t>
  </si>
  <si>
    <t>Impactweerstand</t>
  </si>
  <si>
    <t>Résistance aux chocs</t>
  </si>
  <si>
    <t>Impactweerstand (gangkant)</t>
  </si>
  <si>
    <t>Résistance aux chocs (côté couloir)</t>
  </si>
  <si>
    <t>Impact resistance (hallway side)</t>
  </si>
  <si>
    <t/>
  </si>
  <si>
    <t>C05</t>
  </si>
  <si>
    <t>Subcategorie NL</t>
  </si>
  <si>
    <t>Subcategorie FR</t>
  </si>
  <si>
    <t>Vochtbestendigheid</t>
  </si>
  <si>
    <t>Résistance à l'humidité</t>
  </si>
  <si>
    <t>Humidity</t>
  </si>
  <si>
    <t>Vochtbestendigheid (niet gangkant)</t>
  </si>
  <si>
    <t>Résistance à l'humidité (côté non couloir)</t>
  </si>
  <si>
    <t>Humidity (not hallway side)</t>
  </si>
  <si>
    <t>Pleister</t>
  </si>
  <si>
    <t>Primer</t>
  </si>
  <si>
    <t>Dagkant</t>
  </si>
  <si>
    <t>Perfo plaat</t>
  </si>
  <si>
    <t>Toebehoren</t>
  </si>
  <si>
    <t>Kooflijst</t>
  </si>
  <si>
    <t>GypForm</t>
  </si>
  <si>
    <t>GypArt</t>
  </si>
  <si>
    <t>GT Instant</t>
  </si>
  <si>
    <t>Hanger</t>
  </si>
  <si>
    <t>Schroef</t>
  </si>
  <si>
    <t>Lijm</t>
  </si>
  <si>
    <t>PIB URL NL</t>
  </si>
  <si>
    <t>PIB URL FR</t>
  </si>
  <si>
    <t>Image</t>
  </si>
  <si>
    <t>URL</t>
  </si>
  <si>
    <t>http://www.gyproc.be/downloadpib?PIB=G124584&amp;TYPE=IMG</t>
  </si>
  <si>
    <t>http://www.gyproc.be/downloaddop?DOP=SG_GY_2013_D1DFD05D003D002_FR.pdf</t>
  </si>
  <si>
    <t>http://www.gyproc.be/downloaddop?DOP=SG_GY_2013_D1DFD05D003D002_NL.pdf</t>
  </si>
  <si>
    <t>ST</t>
  </si>
  <si>
    <t>(blanco)</t>
  </si>
  <si>
    <t>corniches préformées en plâtre revêtues de carton</t>
  </si>
  <si>
    <t>voorgevormde kroonlijsten van gipsplaten</t>
  </si>
  <si>
    <t>--</t>
  </si>
  <si>
    <t>NBN EN 14209:2006</t>
  </si>
  <si>
    <t>Gypcove Maxi 127</t>
  </si>
  <si>
    <t>Gypcove</t>
  </si>
  <si>
    <t>NIEUW</t>
  </si>
  <si>
    <t>G124584</t>
  </si>
  <si>
    <t>http://www.gyproc.be/downloadpib?PIB=G124583&amp;TYPE=IMG</t>
  </si>
  <si>
    <t>Gypcove Mini 100</t>
  </si>
  <si>
    <t>G124583</t>
  </si>
  <si>
    <t>http://www.gyproc.be/downloadpib?PIB=G129461&amp;TYPE=IMG</t>
  </si>
  <si>
    <t>Râpe pour les bords</t>
  </si>
  <si>
    <t>Kantenrasp</t>
  </si>
  <si>
    <t>G129461</t>
  </si>
  <si>
    <t>http://www.gyproc.be/downloadpib?PIB=G124445&amp;TYPE=IMG</t>
  </si>
  <si>
    <t>Ponceur à main Gyproc</t>
  </si>
  <si>
    <t>Handschuurder Gyproc</t>
  </si>
  <si>
    <t>G124445</t>
  </si>
  <si>
    <t>http://www.gyproc.be/downloadpib?PIB=G109399&amp;TYPE=IMG</t>
  </si>
  <si>
    <t>Gaze à poncer</t>
  </si>
  <si>
    <t>Schuurgaas</t>
  </si>
  <si>
    <t>G109399</t>
  </si>
  <si>
    <t>http://www.gyproc.be/downloadpib?PIB=G127775&amp;TYPE=IMG</t>
  </si>
  <si>
    <t>Couteau ABA</t>
  </si>
  <si>
    <t>ABA-Plamuurmes</t>
  </si>
  <si>
    <t>G127775</t>
  </si>
  <si>
    <t>http://www.gyproc.be/downloadpib?PIB=G109398&amp;TYPE=IMG</t>
  </si>
  <si>
    <t>Adapteur de vissage</t>
  </si>
  <si>
    <t>Schroefkoppeling</t>
  </si>
  <si>
    <t>G109398</t>
  </si>
  <si>
    <t>http://www.gyproc.be/downloadpib?PIB=G130371&amp;TYPE=IMG</t>
  </si>
  <si>
    <t>http://www.gyproc.be/downloaddop?DOP=SG_GY_2013_D1DFD05D003D001_FR.pdf</t>
  </si>
  <si>
    <t>http://www.gyproc.be/downloaddop?DOP=SG_GY_2013_D1DFD05D003D001_NL.pdf</t>
  </si>
  <si>
    <t>RL</t>
  </si>
  <si>
    <t>bande de jointoiement pour plaque de plâtre</t>
  </si>
  <si>
    <t>voegband voor gipsplaten</t>
  </si>
  <si>
    <t>NBN EN 13963:2014</t>
  </si>
  <si>
    <t>Bande d'armature Flexible</t>
  </si>
  <si>
    <t>Flexibele voegband 70 mm</t>
  </si>
  <si>
    <t>G130371</t>
  </si>
  <si>
    <t>http://www.gyproc.be/downloadpib?PIB=G109395&amp;TYPE=IMG</t>
  </si>
  <si>
    <t>Bande d'armaturepour angles saillants</t>
  </si>
  <si>
    <t>Voegband voor buitenhoeken</t>
  </si>
  <si>
    <t>G109395</t>
  </si>
  <si>
    <t>http://www.gyproc.be/downloadpib?PIB=G111229&amp;TYPE=IMG</t>
  </si>
  <si>
    <t>Bande d'armature pour angles rentrants</t>
  </si>
  <si>
    <t>Voegband voor binnenhoeken</t>
  </si>
  <si>
    <t>G111229</t>
  </si>
  <si>
    <t>http://www.gyproc.be/downloadpib?PIB=G130319&amp;TYPE=IMG</t>
  </si>
  <si>
    <t>Bande d'armature ABA Hydro</t>
  </si>
  <si>
    <t>ABA-Voegband Hydro</t>
  </si>
  <si>
    <t>G130319</t>
  </si>
  <si>
    <t>http://www.gyproc.be/downloadpib?PIB=G109393&amp;TYPE=IMG</t>
  </si>
  <si>
    <t>Bande d'armature autocollante</t>
  </si>
  <si>
    <t>Zelfklevende voegband</t>
  </si>
  <si>
    <t>G109393</t>
  </si>
  <si>
    <t>http://www.gyproc.be/downloadpib?PIB=G120996&amp;TYPE=IMG</t>
  </si>
  <si>
    <t>BOX</t>
  </si>
  <si>
    <t>Chevilles pour plafond</t>
  </si>
  <si>
    <t>Plafondplug</t>
  </si>
  <si>
    <t>G120996</t>
  </si>
  <si>
    <t>http://www.gyproc.be/downloadpib?PIB=G120994&amp;TYPE=IMG</t>
  </si>
  <si>
    <t>Chevilles pour cloison revêtement double</t>
  </si>
  <si>
    <t>Wandplug dubbele beplating</t>
  </si>
  <si>
    <t>G120994</t>
  </si>
  <si>
    <t>http://www.gyproc.be/downloadpib?PIB=G120993&amp;TYPE=IMG</t>
  </si>
  <si>
    <t>Chevilles pour cloison revêtement simple</t>
  </si>
  <si>
    <t>Wandplug enkele beplating</t>
  </si>
  <si>
    <t>G120993</t>
  </si>
  <si>
    <t>http://www.gyproc.be/downloadpib?PIB=G120995&amp;TYPE=IMG</t>
  </si>
  <si>
    <t>Chevilles</t>
  </si>
  <si>
    <t>Schroefpluggen</t>
  </si>
  <si>
    <t>G120995</t>
  </si>
  <si>
    <t>http://www.gyproc.be/downloadpib?PIB=G109390&amp;TYPE=IMG</t>
  </si>
  <si>
    <t>Bande acoustique</t>
  </si>
  <si>
    <t>Akoestische tape</t>
  </si>
  <si>
    <t>G109390</t>
  </si>
  <si>
    <t>http://www.gyproc.be/downloadpib?PIB=G130318&amp;TYPE=IMG</t>
  </si>
  <si>
    <t>http://www.gyproc.be/downloaddop?DOP=SG_GY_2013_D1DCD01D005D032_FR.pdf</t>
  </si>
  <si>
    <t>http://www.gyproc.be/downloaddop?DOP=SG_GY_2013_D1DCD01D005D032_NL.pdf</t>
  </si>
  <si>
    <t>NBN EN 14566+A1:2009</t>
  </si>
  <si>
    <t>A1</t>
  </si>
  <si>
    <t>vis pour plaque de plâtre</t>
  </si>
  <si>
    <t>gipskartonschroef</t>
  </si>
  <si>
    <t>USN</t>
  </si>
  <si>
    <t>Vis Gyproc DG 25 mm</t>
  </si>
  <si>
    <t>Gyproc DG Schroeven 25 mm</t>
  </si>
  <si>
    <t>G130318</t>
  </si>
  <si>
    <t>http://www.gyproc.be/downloadpib?PIB=G119602&amp;TYPE=IMG</t>
  </si>
  <si>
    <t>WSD</t>
  </si>
  <si>
    <t>Vis teks 13 mm</t>
  </si>
  <si>
    <t>Teksschroeven 13 mm</t>
  </si>
  <si>
    <t>G119602</t>
  </si>
  <si>
    <t>http://www.gyproc.be/downloadpib?PIB=G109392&amp;TYPE=IMG</t>
  </si>
  <si>
    <t>TMN</t>
  </si>
  <si>
    <t>Vis Gyproc 35 mm</t>
  </si>
  <si>
    <t>Gyproc schroeven 35 mm</t>
  </si>
  <si>
    <t>Vis Gyproc</t>
  </si>
  <si>
    <t>Gyproc schroeven</t>
  </si>
  <si>
    <t>G109392</t>
  </si>
  <si>
    <t>http://www.gyproc.be/downloadpib?PIB=G109391&amp;TYPE=IMG</t>
  </si>
  <si>
    <t>Vis Gyproc 25 mm</t>
  </si>
  <si>
    <t>Gyproc schroeven 25 mm</t>
  </si>
  <si>
    <t>G109391</t>
  </si>
  <si>
    <t>http://www.gyproc.be/downloadpib?PIB=G109388&amp;TYPE=IMG</t>
  </si>
  <si>
    <t>http://www.gyproc.be/downloaddop?DOP=SG_GY_2013_D5DAD01D005_FR.pdf</t>
  </si>
  <si>
    <t>http://www.gyproc.be/downloaddop?DOP=SG_GY_2013_D5DAD01D005_NL.pdf</t>
  </si>
  <si>
    <t>NPD</t>
  </si>
  <si>
    <t>enduit de jointoiement pour plaque de plâtre</t>
  </si>
  <si>
    <t>voegproduct voor gipsplaten</t>
  </si>
  <si>
    <t>3A</t>
  </si>
  <si>
    <t>RenovAll</t>
  </si>
  <si>
    <t>G109388</t>
  </si>
  <si>
    <t>http://www.gyproc.be/downloadpib?PIB=G111530&amp;TYPE=IMG</t>
  </si>
  <si>
    <t>G111530</t>
  </si>
  <si>
    <t>http://www.gyproc.be/downloadpib?PIB=G109387&amp;TYPE=IMG</t>
  </si>
  <si>
    <t>Enduit Mix</t>
  </si>
  <si>
    <t>Plamuur Mix</t>
  </si>
  <si>
    <t>G109387</t>
  </si>
  <si>
    <t>http://www.gyproc.be/downloadpib?PIB=G109386&amp;TYPE=IMG</t>
  </si>
  <si>
    <t>G109386</t>
  </si>
  <si>
    <t>http://www.gyproc.be/downloadpib?PIB=G130401&amp;TYPE=IMG</t>
  </si>
  <si>
    <t>http://www.gyproc.be/downloaddop?DOP=SG_GY_2013_D5DAD01D007_FR.pdf</t>
  </si>
  <si>
    <t>http://www.gyproc.be/downloaddop?DOP=SG_GY_2013_D5DAD01D007_NL.pdf</t>
  </si>
  <si>
    <t>3B</t>
  </si>
  <si>
    <t>Enduit</t>
  </si>
  <si>
    <t>Plamuur</t>
  </si>
  <si>
    <t>G130401</t>
  </si>
  <si>
    <t>http://www.gyproc.be/downloadpib?PIB=G109385&amp;TYPE=IMG</t>
  </si>
  <si>
    <t>Reboucheur Mix</t>
  </si>
  <si>
    <t>Vulmiddel Mix</t>
  </si>
  <si>
    <t>G109385</t>
  </si>
  <si>
    <t>http://www.gyproc.be/downloadpib?PIB=G109384&amp;TYPE=IMG</t>
  </si>
  <si>
    <t>G109384</t>
  </si>
  <si>
    <t>http://www.gyproc.be/downloadpib?PIB=G126139&amp;TYPE=IMG</t>
  </si>
  <si>
    <t>Betongrip Easy</t>
  </si>
  <si>
    <t>Résine artificielle, résistante aux alcalis, insaponifiable et légèrement verte, à base d’eau et avec une très fine dimension des particules</t>
  </si>
  <si>
    <t>Alkalibestendige, nagenoeg onverzeepbare kunstharsdispersie op waterbasis met zeer fijne deeltjesgrootte, lichtgroen van kleur</t>
  </si>
  <si>
    <t>G126139</t>
  </si>
  <si>
    <t>http://www.gyproc.be/downloadpib?PIB=G109372&amp;TYPE=IMG</t>
  </si>
  <si>
    <t>Prod. de prétraitement</t>
  </si>
  <si>
    <t>Voorstrijkmiddel</t>
  </si>
  <si>
    <t>G109372</t>
  </si>
  <si>
    <t>http://www.gyproc.be/downloadpib?PIB=G126138&amp;TYPE=IMG</t>
  </si>
  <si>
    <t>G126138</t>
  </si>
  <si>
    <t>http://www.gyproc.be/downloadpib?PIB=G109371&amp;TYPE=IMG</t>
  </si>
  <si>
    <t>Primaire à peintre</t>
  </si>
  <si>
    <t>Schilderprimer</t>
  </si>
  <si>
    <t>G109371</t>
  </si>
  <si>
    <t>http://www.gyproc.be/downloadpib?PIB=G109370&amp;TYPE=IMG</t>
  </si>
  <si>
    <t>Primaire papier-peint</t>
  </si>
  <si>
    <t>Behangprimer</t>
  </si>
  <si>
    <t>G109370</t>
  </si>
  <si>
    <t>http://www.gyproc.be/downloadpib?PIB=G130403&amp;TYPE=IMG</t>
  </si>
  <si>
    <t>http://www.gyproc.be/downloaddop?DOP=SG_GY_2013_E5EAE01E001E032_FR.pdf</t>
  </si>
  <si>
    <t>http://www.gyproc.be/downloaddop?DOP=SG_GY_2013_E5EAE01E001E032_NL.pdf</t>
  </si>
  <si>
    <t>B2/20/2</t>
  </si>
  <si>
    <t>NBN EN 13279-1:2009</t>
  </si>
  <si>
    <t>Plâtre Universel</t>
  </si>
  <si>
    <t>Universeel gips</t>
  </si>
  <si>
    <t>G130403</t>
  </si>
  <si>
    <t>http://www.gyproc.be/downloadpib?PIB=G130402&amp;TYPE=IMG</t>
  </si>
  <si>
    <t>http://www.gyproc.be/downloaddop?DOP=SG_GY_2013_E5EAE01E001E024_FR.pdf</t>
  </si>
  <si>
    <t>http://www.gyproc.be/downloaddop?DOP=SG_GY_2013_E5EAE01E001E024_NL.pdf</t>
  </si>
  <si>
    <t>A2</t>
  </si>
  <si>
    <t>Plâtre à Prise Rapide</t>
  </si>
  <si>
    <t>Snelwerkend gips</t>
  </si>
  <si>
    <t>G130402</t>
  </si>
  <si>
    <t>http://www.gyproc.be/downloadpib?PIB=G109356&amp;TYPE=IMG</t>
  </si>
  <si>
    <t>http://www.gyproc.be/downloaddop?DOP=SG_GY_2013_D7DAD02_FR.pdf</t>
  </si>
  <si>
    <t>http://www.gyproc.be/downloaddop?DOP=SG_GY_2013_D7DAD02_NL.pdf</t>
  </si>
  <si>
    <t>NBN EN 14496:2006</t>
  </si>
  <si>
    <t xml:space="preserve">adhésif à base de plâtre pour complexes d'isolation thermique/acoustique en plaques de plâtre et isolant </t>
  </si>
  <si>
    <t xml:space="preserve">lijm op gipsbasis voor samengestelde thermisch/akoestische isolatiepanelen en gipsplaten </t>
  </si>
  <si>
    <t>Plâtre L</t>
  </si>
  <si>
    <t>L-gips</t>
  </si>
  <si>
    <t>G109356</t>
  </si>
  <si>
    <t>http://www.gyproc.be/downloadpib?PIB=G130326&amp;TYPE=IMG</t>
  </si>
  <si>
    <t>Hydro JointMix</t>
  </si>
  <si>
    <t>G130326</t>
  </si>
  <si>
    <t>http://www.gyproc.be/downloadpib?PIB=A83630088&amp;TYPE=IMG</t>
  </si>
  <si>
    <t>BCT</t>
  </si>
  <si>
    <t>ProMix Premium</t>
  </si>
  <si>
    <t>A83630088</t>
  </si>
  <si>
    <t>http://www.gyproc.be/downloadpib?PIB=G130943&amp;TYPE=IMG</t>
  </si>
  <si>
    <t>ABA-Joint Mix</t>
  </si>
  <si>
    <t>G130943</t>
  </si>
  <si>
    <t>http://www.gyproc.be/downloadpib?PIB=G109355&amp;TYPE=IMG</t>
  </si>
  <si>
    <t>G109355</t>
  </si>
  <si>
    <t>http://www.gyproc.be/downloadpib?PIB=G130399&amp;TYPE=IMG</t>
  </si>
  <si>
    <t>ABA-Joint</t>
  </si>
  <si>
    <t>G130399</t>
  </si>
  <si>
    <t>http://www.gyproc.be/downloadpib?PIB=G132188&amp;TYPE=IMG</t>
  </si>
  <si>
    <t>BLI</t>
  </si>
  <si>
    <t>NBN EN 13964+A1:2007</t>
  </si>
  <si>
    <t>fixation des profilés à la structure porteuse</t>
  </si>
  <si>
    <t>bevestiging van de profielen aan de draagstructuur</t>
  </si>
  <si>
    <t>NBN EN 14195:2015</t>
  </si>
  <si>
    <t>PlaGyp R150/500</t>
  </si>
  <si>
    <t>Fil de suspension à oeillet</t>
  </si>
  <si>
    <t>Ophangdraad met oog</t>
  </si>
  <si>
    <t>PlaGyp® R150/500</t>
  </si>
  <si>
    <t>PlaGyp® R150</t>
  </si>
  <si>
    <t>G132188</t>
  </si>
  <si>
    <t>http://www.gyproc.be/downloadpib?PIB=G132187&amp;TYPE=IMG</t>
  </si>
  <si>
    <t>PlaGyp R150/250</t>
  </si>
  <si>
    <t>PlaGyp® R150/250</t>
  </si>
  <si>
    <t>G132187</t>
  </si>
  <si>
    <t>http://www.gyproc.be/downloadpib?PIB=G132186&amp;TYPE=IMG</t>
  </si>
  <si>
    <t>jonction des profilés de plafond entre eux</t>
  </si>
  <si>
    <t>onderling verbinden van profielen</t>
  </si>
  <si>
    <t>PlaGyp PD60/60</t>
  </si>
  <si>
    <t>Cavalier d'ancrage pour le système de plafond PlaGyp D</t>
  </si>
  <si>
    <t>Verbindingsruiter voor het PlaGyp D-plafondsysteem</t>
  </si>
  <si>
    <t>PlaGyp® PD60/60</t>
  </si>
  <si>
    <t>G132186</t>
  </si>
  <si>
    <t>http://www.gyproc.be/downloadpib?PIB=G132185&amp;TYPE=IMG</t>
  </si>
  <si>
    <t>PlaGyp PU60/125</t>
  </si>
  <si>
    <t>Suspente universelle pour profilés PlaGyp PC60/27</t>
  </si>
  <si>
    <t>Universele plafondhanger voor PlaGyp PC60/27</t>
  </si>
  <si>
    <t>PlaGyp® PU60/125</t>
  </si>
  <si>
    <t>G132185</t>
  </si>
  <si>
    <t>http://www.gyproc.be/downloadpib?PIB=G132184&amp;TYPE=IMG</t>
  </si>
  <si>
    <t>PlaGyp PV60/120</t>
  </si>
  <si>
    <t>Suspente à ressort pour profilés PlaGyp PC60/27</t>
  </si>
  <si>
    <t>Veerklemplafondhanger voor profiel PlaGyp PC60/27</t>
  </si>
  <si>
    <t>PlaGyp® PV60/120</t>
  </si>
  <si>
    <t>G132184</t>
  </si>
  <si>
    <t>http://www.gyproc.be/downloadpib?PIB=G132183&amp;TYPE=IMG</t>
  </si>
  <si>
    <t>fixation des profilés à la structure porteuse en bois</t>
  </si>
  <si>
    <t>bevestiging van de profielen aan de houten draagstructuur</t>
  </si>
  <si>
    <t>PlaGyp PH60/200</t>
  </si>
  <si>
    <t>Suspente sous solives en bois pour profilés PlaGyp PC60/27</t>
  </si>
  <si>
    <t>Plafondhanger onder houten draagstructuren voor profielen PlaGyp PC60/27</t>
  </si>
  <si>
    <t>PlaGyp® PH60/200</t>
  </si>
  <si>
    <t>PlaGyp® PH60/..</t>
  </si>
  <si>
    <t>G132183</t>
  </si>
  <si>
    <t>http://www.gyproc.be/downloadpib?PIB=G132182&amp;TYPE=IMG</t>
  </si>
  <si>
    <t>jonction de profilés dans le sens de la longueur</t>
  </si>
  <si>
    <t>verlenging van profielen</t>
  </si>
  <si>
    <t>PlaGyp PL60/100</t>
  </si>
  <si>
    <t>Éclisse de raccordement pour profilés PlaGyp PC60/27</t>
  </si>
  <si>
    <t>Verbindingsstuk voor PlaGyp PC60/27</t>
  </si>
  <si>
    <t>PlaGyp® PL60/100</t>
  </si>
  <si>
    <t>G132182</t>
  </si>
  <si>
    <t>PLA</t>
  </si>
  <si>
    <t>à 20 °C</t>
  </si>
  <si>
    <t>bij 20°C</t>
  </si>
  <si>
    <r>
      <t>7 x 10</t>
    </r>
    <r>
      <rPr>
        <vertAlign val="superscript"/>
        <sz val="10"/>
        <rFont val="Arial"/>
        <family val="2"/>
      </rPr>
      <t>-6</t>
    </r>
  </si>
  <si>
    <t xml:space="preserve">à H.R. de 65 % </t>
  </si>
  <si>
    <t>bij 65 % R.V.</t>
  </si>
  <si>
    <r>
      <t>5 x 10</t>
    </r>
    <r>
      <rPr>
        <vertAlign val="superscript"/>
        <sz val="10"/>
        <rFont val="Arial"/>
        <family val="2"/>
      </rPr>
      <t>-6</t>
    </r>
  </si>
  <si>
    <t>ABA</t>
  </si>
  <si>
    <t>NBN EN 520:2009</t>
  </si>
  <si>
    <t>A2-s1, d0 (B)</t>
  </si>
  <si>
    <t>plaque de plâtre</t>
  </si>
  <si>
    <t>gipskartonplaat</t>
  </si>
  <si>
    <t>A</t>
  </si>
  <si>
    <t>(niet op website)</t>
  </si>
  <si>
    <t>G131677</t>
  </si>
  <si>
    <t>http://www.gyproc.be/downloadpib?PIB=G131745&amp;TYPE=IMG</t>
  </si>
  <si>
    <t>http://www.gyproc.be/downloadpib?PIB=G131745&amp;TYPE=PDFFR</t>
  </si>
  <si>
    <t>http://www.gyproc.be/downloadpib?PIB=G131745&amp;TYPE=PDFNL</t>
  </si>
  <si>
    <t>Trémie Gyproc</t>
  </si>
  <si>
    <t>Hopper Gyproc</t>
  </si>
  <si>
    <t>Pour appliquer rapidement, aisément et proprement du composé à joints sur des profilés d’angle</t>
  </si>
  <si>
    <t>Om hoekprofielen snel, eenvoudig en netjes met voegspecie te bestrijken</t>
  </si>
  <si>
    <t>G131745</t>
  </si>
  <si>
    <t>http://www.gyproc.be/downloadpib?PIB=G131744&amp;TYPE=IMG</t>
  </si>
  <si>
    <t>http://www.gyproc.be/downloadpib?PIB=G131744&amp;TYPE=PDFFR</t>
  </si>
  <si>
    <t>http://www.gyproc.be/downloadpib?PIB=G131744&amp;TYPE=PDFNL</t>
  </si>
  <si>
    <t>Rouleur 1 côté - stainless steel</t>
  </si>
  <si>
    <t>Éénkantroller - stainless steel</t>
  </si>
  <si>
    <t>pour Optimus et AquaBead L-Trim</t>
  </si>
  <si>
    <t>Voor Optimus en AquaBead L-Trim</t>
  </si>
  <si>
    <t>G131744</t>
  </si>
  <si>
    <t>http://www.gyproc.be/downloadpib?PIB=G131742&amp;TYPE=IMG</t>
  </si>
  <si>
    <t>http://www.gyproc.be/downloadpib?PIB=G131742&amp;TYPE=PDFFR</t>
  </si>
  <si>
    <t>http://www.gyproc.be/downloadpib?PIB=G131742&amp;TYPE=PDFNL</t>
  </si>
  <si>
    <t>Rouleur pour angles intérieures - stainless steel</t>
  </si>
  <si>
    <t>Binnenhoekroller - stainless steel</t>
  </si>
  <si>
    <t>Pour EasyFlex PRO, Optimus et AquaBead</t>
  </si>
  <si>
    <t>Voor EasyFlex PRO, Optimus en AquaBead</t>
  </si>
  <si>
    <t>G128801</t>
  </si>
  <si>
    <t>G131742</t>
  </si>
  <si>
    <t>http://www.gyproc.be/downloadpib?PIB=G131829&amp;TYPE=IMG</t>
  </si>
  <si>
    <t>http://www.gyproc.be/downloadpib?PIB=G131829&amp;TYPE=PDFFR</t>
  </si>
  <si>
    <t>http://www.gyproc.be/downloadpib?PIB=G131829&amp;TYPE=PDFNL</t>
  </si>
  <si>
    <t>Rouleur pour angles extérieures - avec roues en caoutchouc</t>
  </si>
  <si>
    <t>Buitenhoekroller - met rubberen wieltjes</t>
  </si>
  <si>
    <t>G128190</t>
  </si>
  <si>
    <t>G131829</t>
  </si>
  <si>
    <t>http://www.gyproc.be/downloadpib?PIB=G128191&amp;TYPE=IMG</t>
  </si>
  <si>
    <t>Manche pour rouleur No-Coat</t>
  </si>
  <si>
    <t>Steel voor No-Coat roller</t>
  </si>
  <si>
    <t>G128191</t>
  </si>
  <si>
    <t>http://www.gyproc.be/downloadpib?PIB=G131743&amp;TYPE=IMG</t>
  </si>
  <si>
    <t>http://www.gyproc.be/downloadpib?PIB=G131743&amp;TYPE=PDFFR</t>
  </si>
  <si>
    <t>http://www.gyproc.be/downloadpib?PIB=G131743&amp;TYPE=PDFNL</t>
  </si>
  <si>
    <t>Rouleur pour angles extérieures - stainless steel</t>
  </si>
  <si>
    <t>Buitenhoekroller - stainless steel</t>
  </si>
  <si>
    <t>G131743</t>
  </si>
  <si>
    <t>http://www.gyproc.be/downloadpib?PIB=G127774&amp;TYPE=IMG</t>
  </si>
  <si>
    <t>Cisaille à tôle</t>
  </si>
  <si>
    <t>Blikschaar</t>
  </si>
  <si>
    <t>Pour couper des profilés métalliques légers</t>
  </si>
  <si>
    <t>Voor het knippen van lichte metalen profielen</t>
  </si>
  <si>
    <t>G127774</t>
  </si>
  <si>
    <t>http://www.gyproc.be/downloadpib?PIB=G127773&amp;TYPE=IMG</t>
  </si>
  <si>
    <t>Scie à guichet</t>
  </si>
  <si>
    <t>Steekzaag</t>
  </si>
  <si>
    <t>Pour la coupe des plaques de plâtre</t>
  </si>
  <si>
    <t>Voor het zagen van gaten in gipsgebonden platen</t>
  </si>
  <si>
    <t>G127773</t>
  </si>
  <si>
    <t>http://www.gyproc.be/downloadpib?PIB=G127776&amp;TYPE=IMG</t>
  </si>
  <si>
    <t>Plateau</t>
  </si>
  <si>
    <t>Spaarbord</t>
  </si>
  <si>
    <t>G127776</t>
  </si>
  <si>
    <t>http://www.gyproc.be/downloadpib?PIB=G103072&amp;TYPE=IMG</t>
  </si>
  <si>
    <t>Couteau de peintre 150 mm</t>
  </si>
  <si>
    <t>Plamuurmes 150 mm</t>
  </si>
  <si>
    <t>G103072</t>
  </si>
  <si>
    <t>http://www.gyproc.be/downloadpib?PIB=G131413&amp;TYPE=IMG</t>
  </si>
  <si>
    <t>Skimblade 150 cm</t>
  </si>
  <si>
    <t>Skimblade</t>
  </si>
  <si>
    <t>Dunbladrei</t>
  </si>
  <si>
    <t>G131413</t>
  </si>
  <si>
    <t>http://www.gyproc.be/downloadpib?PIB=G131412&amp;TYPE=IMG</t>
  </si>
  <si>
    <t>Skimblade 100 cm</t>
  </si>
  <si>
    <t>G131412</t>
  </si>
  <si>
    <t>http://www.gyproc.be/downloadpib?PIB=G103054&amp;TYPE=IMG</t>
  </si>
  <si>
    <t>Pince à agrafer MS</t>
  </si>
  <si>
    <t>MS-krultang</t>
  </si>
  <si>
    <t>Pince à agrafer les profilés Metal Sud</t>
  </si>
  <si>
    <t>Krultang voor Metal Stud-profielen</t>
  </si>
  <si>
    <t>G103054</t>
  </si>
  <si>
    <t>http://www.gyproc.be/downloadpib?PIB=G128180&amp;TYPE=IMG</t>
  </si>
  <si>
    <t>KAR</t>
  </si>
  <si>
    <t>Cheville d'ancrage</t>
  </si>
  <si>
    <t>Plafondanker</t>
  </si>
  <si>
    <t>Ancre en acier dur pour fixation dans du béton</t>
  </si>
  <si>
    <t>Stalen slaganker voor bevestiging in beton</t>
  </si>
  <si>
    <t>G128180</t>
  </si>
  <si>
    <t>http://www.gyproc.be/downloadpib?PIB=G103049&amp;TYPE=IMG</t>
  </si>
  <si>
    <t>Chevilles clouables SP6/40 mm</t>
  </si>
  <si>
    <t>Spijkerplug SP6/40 mm</t>
  </si>
  <si>
    <t>Cheville de fixation avec clou ad hoc</t>
  </si>
  <si>
    <t>Bevestigingsplug met bijhorende spijker</t>
  </si>
  <si>
    <t>G103049</t>
  </si>
  <si>
    <t>http://www.gyproc.be/downloadpib?PIB=G103264&amp;TYPE=IMG</t>
  </si>
  <si>
    <t>http://www.gyproc.be/downloadpib?PIB=G103264&amp;TYPE=PDFFR</t>
  </si>
  <si>
    <t>http://www.gyproc.be/downloadpib?PIB=G103264&amp;TYPE=PDFNL</t>
  </si>
  <si>
    <t>Clip de joints R111</t>
  </si>
  <si>
    <t>Voegenclip R111</t>
  </si>
  <si>
    <t>pour la jonction des bords d'about des plaques Gyplat</t>
  </si>
  <si>
    <t>Clip voor het verbinden van de kopse kanten van Gyplat-platen</t>
  </si>
  <si>
    <t>G103264</t>
  </si>
  <si>
    <t>http://www.gyproc.be/downloadpib?PIB=H88700000&amp;TYPE=IMG</t>
  </si>
  <si>
    <t>DS</t>
  </si>
  <si>
    <t>Snap-On clip</t>
  </si>
  <si>
    <t>Attache pour revêtements de poutrelles ou de colonnes en acier</t>
  </si>
  <si>
    <t>Clip voor bevestiging tegen stalen balken en kolommen</t>
  </si>
  <si>
    <t>H88700000</t>
  </si>
  <si>
    <t>http://www.gyproc.be/downloadpib?PIB=G132452&amp;TYPE=IMG</t>
  </si>
  <si>
    <t>PMN</t>
  </si>
  <si>
    <t>Vis Teks resistantes à corrosion 3,5/10 mm</t>
  </si>
  <si>
    <t>Teksschroef corrosiebestendig 3,5/10 mm</t>
  </si>
  <si>
    <t>G132452</t>
  </si>
  <si>
    <t>http://www.gyproc.be/downloadpib?PIB=G110847&amp;TYPE=IMG</t>
  </si>
  <si>
    <t>http://www.gyproc.be/downloadpib?PIB=G110847&amp;TYPE=PDFFR</t>
  </si>
  <si>
    <t>http://www.gyproc.be/downloadpib?PIB=G110847&amp;TYPE=PDFNL</t>
  </si>
  <si>
    <t>Vis teks 4,2/13 mm</t>
  </si>
  <si>
    <t>Teksschroef 4,2/13 mm</t>
  </si>
  <si>
    <t>Vis autoforeuses pour l’assemblage de profilés</t>
  </si>
  <si>
    <t>Zelfborende plaatschroef voor onderling bevestigingen van profielen</t>
  </si>
  <si>
    <t>G110847</t>
  </si>
  <si>
    <t>http://www.gyproc.be/downloadpib?PIB=G132693&amp;TYPE=IMG</t>
  </si>
  <si>
    <t>http://www.gyproc.be/downloadpib?PIB=G132693&amp;TYPE=PDFFR</t>
  </si>
  <si>
    <t>http://www.gyproc.be/downloadpib?PIB=G132693&amp;TYPE=PDFNL</t>
  </si>
  <si>
    <t>UMD</t>
  </si>
  <si>
    <t>Vis Climafit Rigitone Gold TN</t>
  </si>
  <si>
    <t>Climafit Rigitone Gold TN Schroeven</t>
  </si>
  <si>
    <t>G132693</t>
  </si>
  <si>
    <t>http://www.gyproc.be/downloadpib?PIB=G132692&amp;TYPE=IMG</t>
  </si>
  <si>
    <t>http://www.gyproc.be/downloadpib?PIB=G132692&amp;TYPE=PDFFR</t>
  </si>
  <si>
    <t>http://www.gyproc.be/downloadpib?PIB=G132692&amp;TYPE=PDFNL</t>
  </si>
  <si>
    <t>Vis Climafit Rigitone Gold TB</t>
  </si>
  <si>
    <t>Climafit Rigitone Gold TB Schroeven</t>
  </si>
  <si>
    <t>G132692</t>
  </si>
  <si>
    <t>http://www.gyproc.be/downloadpib?PIB=G131530&amp;TYPE=IMG</t>
  </si>
  <si>
    <t>Vis à fixation rapide Gyptone QSC Quick</t>
  </si>
  <si>
    <t>Snelbouwschroeven Gyptone QSC Quick</t>
  </si>
  <si>
    <t>Vis autoperceuses pour fixation des plaques Gyptone BIG Curve</t>
  </si>
  <si>
    <t>Zelftappende gipskartonschroeven voor bevestiging van Gyptone BIG Curve-platen</t>
  </si>
  <si>
    <t>G131530</t>
  </si>
  <si>
    <t>http://www.gyproc.be/downloadpib?PIB=G122944&amp;TYPE=IMG</t>
  </si>
  <si>
    <t>Vis à fixation rapide Rigitone 30 mm</t>
  </si>
  <si>
    <t>Snelbouwschroeven Rigitone 30 mm</t>
  </si>
  <si>
    <t>Vis autoperceuses pour fixation des plaques Rigitone</t>
  </si>
  <si>
    <t>Zelftappende gipskartonschroeven voor bevestiging van Rigitone-platen</t>
  </si>
  <si>
    <t>Vis à fixation rapide Rigitone® 30 mm</t>
  </si>
  <si>
    <t>Snelbouwschroeven Rigitone® 30 mm</t>
  </si>
  <si>
    <t>G122944</t>
  </si>
  <si>
    <t>Vis à fixation rapide TITAN TN/35 mm</t>
  </si>
  <si>
    <t>Snelbouwschroeven TITAN TN/35 mm</t>
  </si>
  <si>
    <t>Vis à fixation rapide TITAN/..</t>
  </si>
  <si>
    <t>Snelbouwschroeven TITAN/..</t>
  </si>
  <si>
    <t>G132860</t>
  </si>
  <si>
    <t>Vis à fixation rapide TITAN TN/25 mm</t>
  </si>
  <si>
    <t>Snelbouwschroeven TITAN TN/25 mm</t>
  </si>
  <si>
    <t>G132859</t>
  </si>
  <si>
    <t>http://www.gyproc.be/downloadpib?PIB=G132080&amp;TYPE=IMG</t>
  </si>
  <si>
    <t>UMN</t>
  </si>
  <si>
    <t>Vis à fixation rapide Rigidur 45 mm</t>
  </si>
  <si>
    <t>Rigidur snelbouwschroeven 45 mm</t>
  </si>
  <si>
    <t>Pour fixation des plaques Rigidur® H</t>
  </si>
  <si>
    <t>Voor het schroeven van Rigidur® H gipsvezelplaten</t>
  </si>
  <si>
    <t>Vis à fixation rapide Rigidur®</t>
  </si>
  <si>
    <t>Rigidur® snelbouwschroeven</t>
  </si>
  <si>
    <t>G132080</t>
  </si>
  <si>
    <t>http://www.gyproc.be/downloadpib?PIB=G132079&amp;TYPE=IMG</t>
  </si>
  <si>
    <t>Vis à fixation rapide Rigidur 30 mm</t>
  </si>
  <si>
    <t>Rigidur snelbouwschroeven 30 mm</t>
  </si>
  <si>
    <t>G132079</t>
  </si>
  <si>
    <t>http://www.gyproc.be/downloadpib?PIB=G129066&amp;TYPE=IMG</t>
  </si>
  <si>
    <t>Vis à fixation rapide Rigidur 22 mm</t>
  </si>
  <si>
    <t>Rigidur snelbouwschroeven 22 mm</t>
  </si>
  <si>
    <t>G129066</t>
  </si>
  <si>
    <t>http://www.gyproc.be/downloadpib?PIB=G129065&amp;TYPE=IMG</t>
  </si>
  <si>
    <t>Vis à fixation rapide Rigidur 19 mm</t>
  </si>
  <si>
    <t>Rigidur snelbouwschroeven 19 mm</t>
  </si>
  <si>
    <t>G129065</t>
  </si>
  <si>
    <t>http://www.gyproc.be/downloadpib?PIB=G103623&amp;TYPE=IMG</t>
  </si>
  <si>
    <t>http://www.gyproc.be/downloadpib?PIB=G103623&amp;TYPE=PDFFR</t>
  </si>
  <si>
    <t>http://www.gyproc.be/downloadpib?PIB=G103623&amp;TYPE=PDFNL</t>
  </si>
  <si>
    <t>TSD</t>
  </si>
  <si>
    <t>Vis à fixation rapide TT3,5/45 mm</t>
  </si>
  <si>
    <t>Snelbouwschroeven TT3,5/45 mm</t>
  </si>
  <si>
    <t>Vis autoforeuses pour fixation sur profilés métalliques jusqu’à 2,25 mm</t>
  </si>
  <si>
    <t>Zelfborende gipskartonschroeven voor bevestiging op metaal tot 2,25 mm</t>
  </si>
  <si>
    <t>Vis à fixation rapide TT3,5/..</t>
  </si>
  <si>
    <t>Snelbouwschroeven TT3,5/..</t>
  </si>
  <si>
    <t>G103623</t>
  </si>
  <si>
    <t>http://www.gyproc.be/downloadpib?PIB=G103628&amp;TYPE=IMG</t>
  </si>
  <si>
    <t>http://www.gyproc.be/downloadpib?PIB=G103628&amp;TYPE=PDFFR</t>
  </si>
  <si>
    <t>http://www.gyproc.be/downloadpib?PIB=G103628&amp;TYPE=PDFNL</t>
  </si>
  <si>
    <t>Vis à fixation rapide TT3,5/35 mm</t>
  </si>
  <si>
    <t>Snelbouwschroeven TT3,5/35 mm</t>
  </si>
  <si>
    <t>G103628</t>
  </si>
  <si>
    <t>http://www.gyproc.be/downloadpib?PIB=G103531&amp;TYPE=IMG</t>
  </si>
  <si>
    <t>http://www.gyproc.be/downloadpib?PIB=G103531&amp;TYPE=PDFFR</t>
  </si>
  <si>
    <t>http://www.gyproc.be/downloadpib?PIB=G103531&amp;TYPE=PDFNL</t>
  </si>
  <si>
    <t>Vis à fixation rapide TT3,5/25 mm</t>
  </si>
  <si>
    <t>Snelbouwschroeven TT3,5/25 mm</t>
  </si>
  <si>
    <t>G103531</t>
  </si>
  <si>
    <t>http://www.gyproc.be/downloadpib?PIB=G127048&amp;TYPE=IMG</t>
  </si>
  <si>
    <t>http://www.gyproc.be/downloadpib?PIB=G127048&amp;TYPE=PDFFR</t>
  </si>
  <si>
    <t>http://www.gyproc.be/downloadpib?PIB=G127048&amp;TYPE=PDFNL</t>
  </si>
  <si>
    <t>Vis à fixation rapide DG/45 mm</t>
  </si>
  <si>
    <t>Snelbouwschroeven DG/45 mm</t>
  </si>
  <si>
    <t>Vis autoperceuses pour fixation des plaques DuraGyp® sur bois et sur profilés métalliques</t>
  </si>
  <si>
    <t>Zelftappende gipskartonschroeven voor bevestiging van DuraGyp®-platen op metaal en hout</t>
  </si>
  <si>
    <t>Vis à fixation rapide DG/..</t>
  </si>
  <si>
    <t>Snelbouwschroeven DG/..</t>
  </si>
  <si>
    <t>G124506</t>
  </si>
  <si>
    <t>G127048</t>
  </si>
  <si>
    <t>http://www.gyproc.be/downloadpib?PIB=G127047&amp;TYPE=IMG</t>
  </si>
  <si>
    <t>http://www.gyproc.be/downloadpib?PIB=G127047&amp;TYPE=PDFFR</t>
  </si>
  <si>
    <t>http://www.gyproc.be/downloadpib?PIB=G127047&amp;TYPE=PDFNL</t>
  </si>
  <si>
    <t>Vis à fixation rapide DG/35 mm</t>
  </si>
  <si>
    <t>Snelbouwschroeven DG/35 mm</t>
  </si>
  <si>
    <t>G124505</t>
  </si>
  <si>
    <t>G127047</t>
  </si>
  <si>
    <t>http://www.gyproc.be/downloadpib?PIB=G127046&amp;TYPE=IMG</t>
  </si>
  <si>
    <t>http://www.gyproc.be/downloadpib?PIB=G127046&amp;TYPE=PDFFR</t>
  </si>
  <si>
    <t>http://www.gyproc.be/downloadpib?PIB=G127046&amp;TYPE=PDFNL</t>
  </si>
  <si>
    <t>Vis à fixation rapide DG/25 mm</t>
  </si>
  <si>
    <t>Snelbouwschroeven DG/25 mm</t>
  </si>
  <si>
    <t>G124504</t>
  </si>
  <si>
    <t>G127046</t>
  </si>
  <si>
    <t>http://www.gyproc.be/downloadpib?PIB=G128599&amp;TYPE=IMG</t>
  </si>
  <si>
    <t>http://www.gyproc.be/downloadpib?PIB=G128599&amp;TYPE=PDFFR</t>
  </si>
  <si>
    <t>http://www.gyproc.be/downloadpib?PIB=G128599&amp;TYPE=PDFNL</t>
  </si>
  <si>
    <t>Vis à fixation rapide 212/120 mm</t>
  </si>
  <si>
    <t>Snelbouwschroeven 212/120 mm</t>
  </si>
  <si>
    <t>Vis autoperceuses pour fixation sur bois ou sur profilés métalliques</t>
  </si>
  <si>
    <t>Zelftappende gipskartonschroeven voor bevestiging op metaal of hout</t>
  </si>
  <si>
    <t>Vis à fixation rapide 212/..</t>
  </si>
  <si>
    <t>Snelbouwschroeven 212/..</t>
  </si>
  <si>
    <t>G128599</t>
  </si>
  <si>
    <t>http://www.gyproc.be/downloadpib?PIB=G124691&amp;TYPE=IMG</t>
  </si>
  <si>
    <t>http://www.gyproc.be/downloadpib?PIB=G124691&amp;TYPE=PDFFR</t>
  </si>
  <si>
    <t>http://www.gyproc.be/downloadpib?PIB=G124691&amp;TYPE=PDFNL</t>
  </si>
  <si>
    <t>Vis à fixation rapide 212/90 mm</t>
  </si>
  <si>
    <t>Snelbouwschroeven 212/90 mm</t>
  </si>
  <si>
    <t>G124691</t>
  </si>
  <si>
    <t>http://www.gyproc.be/downloadpib?PIB=G124690&amp;TYPE=IMG</t>
  </si>
  <si>
    <t>http://www.gyproc.be/downloadpib?PIB=G124690&amp;TYPE=PDFFR</t>
  </si>
  <si>
    <t>http://www.gyproc.be/downloadpib?PIB=G124690&amp;TYPE=PDFNL</t>
  </si>
  <si>
    <t>Vis à fixation rapide 212/70 mm</t>
  </si>
  <si>
    <t>Snelbouwschroeven 212/70 mm</t>
  </si>
  <si>
    <t>G124690</t>
  </si>
  <si>
    <t>http://www.gyproc.be/downloadpib?PIB=G124689&amp;TYPE=IMG</t>
  </si>
  <si>
    <t>http://www.gyproc.be/downloadpib?PIB=G124689&amp;TYPE=PDFFR</t>
  </si>
  <si>
    <t>http://www.gyproc.be/downloadpib?PIB=G124689&amp;TYPE=PDFNL</t>
  </si>
  <si>
    <t>Vis à fixation rapide 212/55 mm</t>
  </si>
  <si>
    <t>Snelbouwschroeven 212/55 mm</t>
  </si>
  <si>
    <t>G124689</t>
  </si>
  <si>
    <t>http://www.gyproc.be/downloadpib?PIB=G124688&amp;TYPE=IMG</t>
  </si>
  <si>
    <t>http://www.gyproc.be/downloadpib?PIB=G124688&amp;TYPE=PDFFR</t>
  </si>
  <si>
    <t>http://www.gyproc.be/downloadpib?PIB=G124688&amp;TYPE=PDFNL</t>
  </si>
  <si>
    <t>Vis à fixation rapide 212/45 mm</t>
  </si>
  <si>
    <t>Snelbouwschroeven 212/45 mm</t>
  </si>
  <si>
    <t>G124688</t>
  </si>
  <si>
    <t>http://www.gyproc.be/downloadpib?PIB=G124687&amp;TYPE=IMG</t>
  </si>
  <si>
    <t>http://www.gyproc.be/downloadpib?PIB=G124687&amp;TYPE=PDFFR</t>
  </si>
  <si>
    <t>http://www.gyproc.be/downloadpib?PIB=G124687&amp;TYPE=PDFNL</t>
  </si>
  <si>
    <t>Vis à fixation rapide 212/35 mm</t>
  </si>
  <si>
    <t>Snelbouwschroeven 212/35 mm</t>
  </si>
  <si>
    <t>G124687</t>
  </si>
  <si>
    <t>http://www.gyproc.be/downloadpib?PIB=G124686&amp;TYPE=IMG</t>
  </si>
  <si>
    <t>http://www.gyproc.be/downloadpib?PIB=G124686&amp;TYPE=PDFFR</t>
  </si>
  <si>
    <t>http://www.gyproc.be/downloadpib?PIB=G124686&amp;TYPE=PDFNL</t>
  </si>
  <si>
    <t>Vis à fixation rapide 212/25 mm</t>
  </si>
  <si>
    <t>Snelbouwschroeven 212/25 mm</t>
  </si>
  <si>
    <t>G124686</t>
  </si>
  <si>
    <t>http://www.gyproc.be/downloadpib?PIB=G124522&amp;TYPE=IMG</t>
  </si>
  <si>
    <t>http://www.gyproc.be/webobjbpb/dossiers_pdf/Platre%20L%20FR.pdf</t>
  </si>
  <si>
    <t>http://www.gyproc.be/webobjbpb/dossiers_pdf/L%20Gips%20NL.pdf</t>
  </si>
  <si>
    <t>ZAK</t>
  </si>
  <si>
    <t>Plâtre adhésif pour le collage de plaques</t>
  </si>
  <si>
    <t>Kleefgips voor het kleven van platen</t>
  </si>
  <si>
    <t>G124522</t>
  </si>
  <si>
    <t>http://www.gyproc.be/downloadpib?PIB=G125815&amp;TYPE=IMG</t>
  </si>
  <si>
    <t>http://www.gyproc.be/downloadpib?PIB=G125815&amp;TYPE=PDFFR</t>
  </si>
  <si>
    <t>http://www.gyproc.be/downloadpib?PIB=G125815&amp;TYPE=PDFNL</t>
  </si>
  <si>
    <t>EI 60</t>
  </si>
  <si>
    <t>ProLock Steel Rf60 Plafond</t>
  </si>
  <si>
    <t>ProLock Steel Plafond Rf60</t>
  </si>
  <si>
    <t>Apart bestand</t>
  </si>
  <si>
    <t>Trappes de visite ProLock pour plafond Rf 1 h</t>
  </si>
  <si>
    <t>ProLock Inspectieluiken voor toepassing in plafonds Rf 1 h</t>
  </si>
  <si>
    <t>ProLock Steel Rf 60 Plafond</t>
  </si>
  <si>
    <t>ProLock Steel Plafond Rf 60</t>
  </si>
  <si>
    <t>G125815</t>
  </si>
  <si>
    <t>http://www.gyproc.be/downloadpib?PIB=G125814&amp;TYPE=IMG</t>
  </si>
  <si>
    <t>http://www.gyproc.be/downloadpib?PIB=G125814&amp;TYPE=PDFFR</t>
  </si>
  <si>
    <t>http://www.gyproc.be/downloadpib?PIB=G125814&amp;TYPE=PDFNL</t>
  </si>
  <si>
    <t>G125814</t>
  </si>
  <si>
    <t>http://www.gyproc.be/downloadpib?PIB=G124341&amp;TYPE=IMG</t>
  </si>
  <si>
    <t>http://www.gyproc.be/downloadpib?PIB=G124341&amp;TYPE=PDFFR</t>
  </si>
  <si>
    <t>http://www.gyproc.be/downloadpib?PIB=G124341&amp;TYPE=PDFNL</t>
  </si>
  <si>
    <t>G124341</t>
  </si>
  <si>
    <t>http://www.gyproc.be/downloadpib?PIB=G124932&amp;TYPE=IMG</t>
  </si>
  <si>
    <t>http://www.gyproc.be/downloadpib?PIB=G124932&amp;TYPE=PDFFR</t>
  </si>
  <si>
    <t>http://www.gyproc.be/downloadpib?PIB=G124932&amp;TYPE=PDFNL</t>
  </si>
  <si>
    <t>G124932</t>
  </si>
  <si>
    <t>http://www.gyproc.be/downloadpib?PIB=G124350&amp;TYPE=IMG</t>
  </si>
  <si>
    <t>http://www.gyproc.be/downloadpib?PIB=G124350&amp;TYPE=PDFFR</t>
  </si>
  <si>
    <t>http://www.gyproc.be/downloadpib?PIB=G124350&amp;TYPE=PDFNL</t>
  </si>
  <si>
    <t>G124350</t>
  </si>
  <si>
    <t>http://www.gyproc.be/downloadpib?PIB=G125826&amp;TYPE=IMG</t>
  </si>
  <si>
    <t>http://www.gyproc.be/downloadpib?PIB=G125826&amp;TYPE=PDFFR</t>
  </si>
  <si>
    <t>http://www.gyproc.be/downloadpib?PIB=G125826&amp;TYPE=PDFNL</t>
  </si>
  <si>
    <t>EI 30</t>
  </si>
  <si>
    <t>ProLock Steel Rf30 Plafond</t>
  </si>
  <si>
    <t>ProLock Steel Plafond Rf30</t>
  </si>
  <si>
    <t>Trappes de visite ProLock pour plafond Rf 1/2 h</t>
  </si>
  <si>
    <t>ProLock Inspectieluiken voor toepassing in plafonds Rf 1/2 h</t>
  </si>
  <si>
    <t>ProLock Steel Rf 30 Plafond</t>
  </si>
  <si>
    <t>ProLock Steel Plafond Rf 30</t>
  </si>
  <si>
    <t>G125826</t>
  </si>
  <si>
    <t>http://www.gyproc.be/downloadpib?PIB=G125825&amp;TYPE=IMG</t>
  </si>
  <si>
    <t>http://www.gyproc.be/downloadpib?PIB=G125825&amp;TYPE=PDFFR</t>
  </si>
  <si>
    <t>http://www.gyproc.be/downloadpib?PIB=G125825&amp;TYPE=PDFNL</t>
  </si>
  <si>
    <t>G125825</t>
  </si>
  <si>
    <t>http://www.gyproc.be/downloadpib?PIB=G124349&amp;TYPE=IMG</t>
  </si>
  <si>
    <t>http://www.gyproc.be/downloadpib?PIB=G124349&amp;TYPE=PDFFR</t>
  </si>
  <si>
    <t>http://www.gyproc.be/downloadpib?PIB=G124349&amp;TYPE=PDFNL</t>
  </si>
  <si>
    <t>G124349</t>
  </si>
  <si>
    <t>http://www.gyproc.be/downloadpib?PIB=G125486&amp;TYPE=IMG</t>
  </si>
  <si>
    <t>http://www.gyproc.be/downloadpib?PIB=G125486&amp;TYPE=PDFFR</t>
  </si>
  <si>
    <t>http://www.gyproc.be/downloadpib?PIB=G125486&amp;TYPE=PDFNL</t>
  </si>
  <si>
    <t>G125486</t>
  </si>
  <si>
    <t>http://www.gyproc.be/downloadpib?PIB=G124348&amp;TYPE=IMG</t>
  </si>
  <si>
    <t>http://www.gyproc.be/downloadpib?PIB=G124348&amp;TYPE=PDFFR</t>
  </si>
  <si>
    <t>http://www.gyproc.be/downloadpib?PIB=G124348&amp;TYPE=PDFNL</t>
  </si>
  <si>
    <t>G124348</t>
  </si>
  <si>
    <t>http://www.gyproc.be/downloadpib?PIB=G125827&amp;TYPE=IMG</t>
  </si>
  <si>
    <t>Sf 1/2 h</t>
  </si>
  <si>
    <t>ProLock Steel Sf30 Plafond</t>
  </si>
  <si>
    <t>ProLock Steel Plafond Sf30</t>
  </si>
  <si>
    <t>Trappe de visite ProLock pour plafond Sf 1/2 h (Sf = stabilité au feu)</t>
  </si>
  <si>
    <t>ProLock Inspectieluiken voor toepassing in plafonds Sf 1/2 h (Sf = stabiliteit bij brand)</t>
  </si>
  <si>
    <t>ProLock Steel Sf 30 Plafond</t>
  </si>
  <si>
    <t>ProLock Steel Plafond Sf 30</t>
  </si>
  <si>
    <t>G125828</t>
  </si>
  <si>
    <t>http://www.gyproc.be/downloadpib?PIB=G125827&amp;TYPE=PDFFR</t>
  </si>
  <si>
    <t>http://www.gyproc.be/downloadpib?PIB=G125827&amp;TYPE=PDFNL</t>
  </si>
  <si>
    <t>G125827</t>
  </si>
  <si>
    <t>http://www.gyproc.be/downloadpib?PIB=G124347&amp;TYPE=IMG</t>
  </si>
  <si>
    <t>http://www.gyproc.be/downloadpib?PIB=G124347&amp;TYPE=PDFFR</t>
  </si>
  <si>
    <t>http://www.gyproc.be/downloadpib?PIB=G124347&amp;TYPE=PDFNL</t>
  </si>
  <si>
    <t>G124347</t>
  </si>
  <si>
    <t>http://www.gyproc.be/downloadpib?PIB=G125245&amp;TYPE=IMG</t>
  </si>
  <si>
    <t>http://www.gyproc.be/downloadpib?PIB=G125245&amp;TYPE=PDFFR</t>
  </si>
  <si>
    <t>http://www.gyproc.be/downloadpib?PIB=G125245&amp;TYPE=PDFNL</t>
  </si>
  <si>
    <t>G125245</t>
  </si>
  <si>
    <t>http://www.gyproc.be/downloadpib?PIB=G124346&amp;TYPE=IMG</t>
  </si>
  <si>
    <t>http://www.gyproc.be/downloadpib?PIB=G124346&amp;TYPE=PDFFR</t>
  </si>
  <si>
    <t>http://www.gyproc.be/downloadpib?PIB=G124346&amp;TYPE=PDFNL</t>
  </si>
  <si>
    <t>G124346</t>
  </si>
  <si>
    <t>http://www.gyproc.be/downloadpib?PIB=G124773&amp;TYPE=IMG</t>
  </si>
  <si>
    <t>http://www.gyproc.be/downloadpib?PIB=G124773&amp;TYPE=PDFFR</t>
  </si>
  <si>
    <t>http://www.gyproc.be/downloadpib?PIB=G124773&amp;TYPE=PDFNL</t>
  </si>
  <si>
    <t>G124773</t>
  </si>
  <si>
    <t>http://www.gyproc.be/downloadpib?PIB=G125596&amp;TYPE=IMG</t>
  </si>
  <si>
    <t>http://www.gyproc.be/downloadpib?PIB=G125596&amp;TYPE=PDFFR</t>
  </si>
  <si>
    <t>http://www.gyproc.be/downloadpib?PIB=G125596&amp;TYPE=PDFNL</t>
  </si>
  <si>
    <t>G125596</t>
  </si>
  <si>
    <t>http://www.gyproc.be/downloadpib?PIB=G129552&amp;TYPE=IMG</t>
  </si>
  <si>
    <t>http://www.gyproc.be/downloadpib?PIB=G129552&amp;TYPE=PDFFR</t>
  </si>
  <si>
    <t>http://www.gyproc.be/downloadpib?PIB=G129552&amp;TYPE=PDFNL</t>
  </si>
  <si>
    <t>25 (+ 30)</t>
  </si>
  <si>
    <t>ProLock Steel Parois de Gaines EI60</t>
  </si>
  <si>
    <t>ProLock Steel Schacht EI60</t>
  </si>
  <si>
    <t>Trappe d'inspection ProLock Steel Parois de Gaines pour doublages Rf 1 h</t>
  </si>
  <si>
    <t>ProLock Inspectieluiken voor toepassing in schachtwanden Rf 1 h</t>
  </si>
  <si>
    <t>ProLock Steel Parois de Gaines EI 60</t>
  </si>
  <si>
    <t>ProLock Steel Schacht EI 60</t>
  </si>
  <si>
    <t>G129552</t>
  </si>
  <si>
    <t>http://www.gyproc.be/downloadpib?PIB=G129551&amp;TYPE=IMG</t>
  </si>
  <si>
    <t>http://www.gyproc.be/downloadpib?PIB=G129551&amp;TYPE=PDFFR</t>
  </si>
  <si>
    <t>http://www.gyproc.be/downloadpib?PIB=G129551&amp;TYPE=PDFNL</t>
  </si>
  <si>
    <t>G129551</t>
  </si>
  <si>
    <t>http://www.gyproc.be/downloadpib?PIB=G129550&amp;TYPE=IMG</t>
  </si>
  <si>
    <t>http://www.gyproc.be/downloadpib?PIB=G129550&amp;TYPE=PDFFR</t>
  </si>
  <si>
    <t>http://www.gyproc.be/downloadpib?PIB=G129550&amp;TYPE=PDFNL</t>
  </si>
  <si>
    <t>G129550</t>
  </si>
  <si>
    <t>http://www.gyproc.be/downloadpib?PIB=G129509&amp;TYPE=IMG</t>
  </si>
  <si>
    <t>http://www.gyproc.be/downloadpib?PIB=G129509&amp;TYPE=PDFFR</t>
  </si>
  <si>
    <t>http://www.gyproc.be/downloadpib?PIB=G129509&amp;TYPE=PDFNL</t>
  </si>
  <si>
    <t>G129509</t>
  </si>
  <si>
    <t>http://www.gyproc.be/downloadpib?PIB=G129549&amp;TYPE=IMG</t>
  </si>
  <si>
    <t>http://www.gyproc.be/downloadpib?PIB=G129549&amp;TYPE=PDFFR</t>
  </si>
  <si>
    <t>http://www.gyproc.be/downloadpib?PIB=G129549&amp;TYPE=PDFNL</t>
  </si>
  <si>
    <t>ProLock Steel Parois de Gaines EI30</t>
  </si>
  <si>
    <t>ProLock Steel Schacht EI30</t>
  </si>
  <si>
    <t>Trappe d'inspection ProLock Steel Parois de Gaines pour doublages Rf 1/2 h</t>
  </si>
  <si>
    <t>ProLock Inspectieluiken voor toepassing in schachtwanden Rf 1/2 h</t>
  </si>
  <si>
    <t>ProLock Steel Parois de Gaines EI 30</t>
  </si>
  <si>
    <t>ProLock Steel Schacht EI 30</t>
  </si>
  <si>
    <t>G129549</t>
  </si>
  <si>
    <t>http://www.gyproc.be/downloadpib?PIB=G129548&amp;TYPE=IMG</t>
  </si>
  <si>
    <t>http://www.gyproc.be/downloadpib?PIB=G129548&amp;TYPE=PDFFR</t>
  </si>
  <si>
    <t>http://www.gyproc.be/downloadpib?PIB=G129548&amp;TYPE=PDFNL</t>
  </si>
  <si>
    <t>G129548</t>
  </si>
  <si>
    <t>http://www.gyproc.be/downloadpib?PIB=G129547&amp;TYPE=IMG</t>
  </si>
  <si>
    <t>http://www.gyproc.be/downloadpib?PIB=G129547&amp;TYPE=PDFFR</t>
  </si>
  <si>
    <t>http://www.gyproc.be/downloadpib?PIB=G129547&amp;TYPE=PDFNL</t>
  </si>
  <si>
    <t>G129547</t>
  </si>
  <si>
    <t>http://www.gyproc.be/downloadpib?PIB=G129546&amp;TYPE=IMG</t>
  </si>
  <si>
    <t>http://www.gyproc.be/downloadpib?PIB=G129546&amp;TYPE=PDFFR</t>
  </si>
  <si>
    <t>http://www.gyproc.be/downloadpib?PIB=G129546&amp;TYPE=PDFNL</t>
  </si>
  <si>
    <t>G129546</t>
  </si>
  <si>
    <t>http://www.gyproc.be/downloadpib?PIB=G125823&amp;TYPE=IMG</t>
  </si>
  <si>
    <t>http://www.gyproc.be/downloadpib?PIB=G125823&amp;TYPE=PDFFR</t>
  </si>
  <si>
    <t>http://www.gyproc.be/downloadpib?PIB=G125823&amp;TYPE=PDFNL</t>
  </si>
  <si>
    <t>ProLock Steel Rf 60 Cloison</t>
  </si>
  <si>
    <t>ProLock Steel Rf 60 Wand</t>
  </si>
  <si>
    <t>Trappe de visite ProLock pour cloison Rf 1 h</t>
  </si>
  <si>
    <t>ProLock Inspectieluiken voor toepassing in wanden Rf 1 h</t>
  </si>
  <si>
    <t>G125823</t>
  </si>
  <si>
    <t>http://www.gyproc.be/downloadpib?PIB=G124354&amp;TYPE=IMG</t>
  </si>
  <si>
    <t>http://www.gyproc.be/downloadpib?PIB=G124354&amp;TYPE=PDFFR</t>
  </si>
  <si>
    <t>http://www.gyproc.be/downloadpib?PIB=G124354&amp;TYPE=PDFNL</t>
  </si>
  <si>
    <t>G124354</t>
  </si>
  <si>
    <t>http://www.gyproc.be/downloadpib?PIB=G125822&amp;TYPE=IMG</t>
  </si>
  <si>
    <t>http://www.gyproc.be/downloadpib?PIB=G125822&amp;TYPE=PDFFR</t>
  </si>
  <si>
    <t>http://www.gyproc.be/downloadpib?PIB=G125822&amp;TYPE=PDFNL</t>
  </si>
  <si>
    <t>G125822</t>
  </si>
  <si>
    <t>http://www.gyproc.be/downloadpib?PIB=G124353&amp;TYPE=IMG</t>
  </si>
  <si>
    <t>http://www.gyproc.be/downloadpib?PIB=G124353&amp;TYPE=PDFFR</t>
  </si>
  <si>
    <t>http://www.gyproc.be/downloadpib?PIB=G124353&amp;TYPE=PDFNL</t>
  </si>
  <si>
    <t>G124353</t>
  </si>
  <si>
    <t>http://www.gyproc.be/downloadpib?PIB=G125821&amp;TYPE=IMG</t>
  </si>
  <si>
    <t>http://www.gyproc.be/downloadpib?PIB=G125821&amp;TYPE=PDFFR</t>
  </si>
  <si>
    <t>http://www.gyproc.be/downloadpib?PIB=G125821&amp;TYPE=PDFNL</t>
  </si>
  <si>
    <t>G125821</t>
  </si>
  <si>
    <t>http://www.gyproc.be/downloadpib?PIB=G125820&amp;TYPE=IMG</t>
  </si>
  <si>
    <t>http://www.gyproc.be/downloadpib?PIB=G125820&amp;TYPE=PDFFR</t>
  </si>
  <si>
    <t>http://www.gyproc.be/downloadpib?PIB=G125820&amp;TYPE=PDFNL</t>
  </si>
  <si>
    <t>G125820</t>
  </si>
  <si>
    <t>http://www.gyproc.be/downloadpib?PIB=G125819&amp;TYPE=IMG</t>
  </si>
  <si>
    <t>http://www.gyproc.be/downloadpib?PIB=G125819&amp;TYPE=PDFFR</t>
  </si>
  <si>
    <t>http://www.gyproc.be/downloadpib?PIB=G125819&amp;TYPE=PDFNL</t>
  </si>
  <si>
    <t>ProLock Steel Rf 30 Cloison</t>
  </si>
  <si>
    <t>ProLock Steel Rf 30 Wand</t>
  </si>
  <si>
    <t>Trappe de visite ProLock pour cloison Rf 1/2 h</t>
  </si>
  <si>
    <t>ProLock Inspectieluiken voor toepassing in wanden Rf 1/2 h</t>
  </si>
  <si>
    <t xml:space="preserve">ProLock Steel Wand Rf 30 </t>
  </si>
  <si>
    <t>G125819</t>
  </si>
  <si>
    <t>http://www.gyproc.be/downloadpib?PIB=G124352&amp;TYPE=IMG</t>
  </si>
  <si>
    <t>http://www.gyproc.be/downloadpib?PIB=G124352&amp;TYPE=PDFFR</t>
  </si>
  <si>
    <t>http://www.gyproc.be/downloadpib?PIB=G124352&amp;TYPE=PDFNL</t>
  </si>
  <si>
    <t>G124352</t>
  </si>
  <si>
    <t>http://www.gyproc.be/downloadpib?PIB=G125818&amp;TYPE=IMG</t>
  </si>
  <si>
    <t>http://www.gyproc.be/downloadpib?PIB=G125818&amp;TYPE=PDFFR</t>
  </si>
  <si>
    <t>http://www.gyproc.be/downloadpib?PIB=G125818&amp;TYPE=PDFNL</t>
  </si>
  <si>
    <t>G125818</t>
  </si>
  <si>
    <t>http://www.gyproc.be/downloadpib?PIB=G124351&amp;TYPE=IMG</t>
  </si>
  <si>
    <t>http://www.gyproc.be/downloadpib?PIB=G124351&amp;TYPE=PDFFR</t>
  </si>
  <si>
    <t>http://www.gyproc.be/downloadpib?PIB=G124351&amp;TYPE=PDFNL</t>
  </si>
  <si>
    <t>G124351</t>
  </si>
  <si>
    <t>http://www.gyproc.be/downloadpib?PIB=G125812&amp;TYPE=IMG</t>
  </si>
  <si>
    <t>http://www.gyproc.be/downloadpib?PIB=G125812&amp;TYPE=PDFFR</t>
  </si>
  <si>
    <t>http://www.gyproc.be/downloadpib?PIB=G125812&amp;TYPE=PDFNL</t>
  </si>
  <si>
    <t>G125812</t>
  </si>
  <si>
    <t>http://www.gyproc.be/downloadpib?PIB=G125811&amp;TYPE=IMG</t>
  </si>
  <si>
    <t>http://www.gyproc.be/downloadpib?PIB=G125811&amp;TYPE=PDFFR</t>
  </si>
  <si>
    <t>http://www.gyproc.be/downloadpib?PIB=G125811&amp;TYPE=PDFNL</t>
  </si>
  <si>
    <t>G125811</t>
  </si>
  <si>
    <t>http://www.gyproc.be/downloadpib?PIB=G124832&amp;TYPE=IMG</t>
  </si>
  <si>
    <t>http://www.gyproc.be/downloadpib?PIB=G124832&amp;TYPE=PDFFR</t>
  </si>
  <si>
    <t>http://www.gyproc.be/downloadpib?PIB=G124832&amp;TYPE=PDFNL</t>
  </si>
  <si>
    <t>ProLock Alu Standard Double</t>
  </si>
  <si>
    <t>ProLock Alu Standaard Dubbel</t>
  </si>
  <si>
    <t>Trappes de visite standard pour cloison et plafond (parement double)</t>
  </si>
  <si>
    <t>Standaard voor inbouw in plafond of wand (dubbele beplating)</t>
  </si>
  <si>
    <t>G124832</t>
  </si>
  <si>
    <t>http://www.gyproc.be/downloadpib?PIB=G125831&amp;TYPE=IMG</t>
  </si>
  <si>
    <t>http://www.gyproc.be/downloadpib?PIB=G125831&amp;TYPE=PDFFR</t>
  </si>
  <si>
    <t>http://www.gyproc.be/downloadpib?PIB=G125831&amp;TYPE=PDFNL</t>
  </si>
  <si>
    <t>G125831</t>
  </si>
  <si>
    <t>http://www.gyproc.be/downloadpib?PIB=G125830&amp;TYPE=IMG</t>
  </si>
  <si>
    <t>http://www.gyproc.be/downloadpib?PIB=G125830&amp;TYPE=PDFFR</t>
  </si>
  <si>
    <t>http://www.gyproc.be/downloadpib?PIB=G125830&amp;TYPE=PDFNL</t>
  </si>
  <si>
    <t>G125830</t>
  </si>
  <si>
    <t>http://www.gyproc.be/downloadpib?PIB=G125829&amp;TYPE=IMG</t>
  </si>
  <si>
    <t>http://www.gyproc.be/downloadpib?PIB=G125829&amp;TYPE=PDFFR</t>
  </si>
  <si>
    <t>http://www.gyproc.be/downloadpib?PIB=G125829&amp;TYPE=PDFNL</t>
  </si>
  <si>
    <t>G125829</t>
  </si>
  <si>
    <t>http://www.gyproc.be/downloadpib?PIB=G128650&amp;TYPE=IMG</t>
  </si>
  <si>
    <t>http://www.gyproc.be/downloadpib?PIB=G128650&amp;TYPE=PDFFR</t>
  </si>
  <si>
    <t>http://www.gyproc.be/downloadpib?PIB=G128650&amp;TYPE=PDFNL</t>
  </si>
  <si>
    <t>G128650</t>
  </si>
  <si>
    <t>http://www.gyproc.be/downloadpib?PIB=G124748&amp;TYPE=IMG</t>
  </si>
  <si>
    <t>http://www.gyproc.be/downloadpib?PIB=G124748&amp;TYPE=PDFFR</t>
  </si>
  <si>
    <t>http://www.gyproc.be/downloadpib?PIB=G124748&amp;TYPE=PDFNL</t>
  </si>
  <si>
    <t>ProLock Alu Standard Simple</t>
  </si>
  <si>
    <t>ProLock Alu Standaard Enkel</t>
  </si>
  <si>
    <t>Trappes de visite standard pour cloison et plafond (parement simple)</t>
  </si>
  <si>
    <t>Standaard voor inbouw in plafond of wand</t>
  </si>
  <si>
    <t>G124748</t>
  </si>
  <si>
    <t>http://www.gyproc.be/downloadpib?PIB=G124294&amp;TYPE=IMG</t>
  </si>
  <si>
    <t>http://www.gyproc.be/downloadpib?PIB=G124294&amp;TYPE=PDFFR</t>
  </si>
  <si>
    <t>http://www.gyproc.be/downloadpib?PIB=G124294&amp;TYPE=PDFNL</t>
  </si>
  <si>
    <t>G124294</t>
  </si>
  <si>
    <t>http://www.gyproc.be/downloadpib?PIB=G124837&amp;TYPE=IMG</t>
  </si>
  <si>
    <t>http://www.gyproc.be/downloadpib?PIB=G124837&amp;TYPE=PDFFR</t>
  </si>
  <si>
    <t>http://www.gyproc.be/downloadpib?PIB=G124837&amp;TYPE=PDFNL</t>
  </si>
  <si>
    <t>G124837</t>
  </si>
  <si>
    <t>http://www.gyproc.be/downloadpib?PIB=G125165&amp;TYPE=IMG</t>
  </si>
  <si>
    <t>http://www.gyproc.be/downloadpib?PIB=G125165&amp;TYPE=PDFFR</t>
  </si>
  <si>
    <t>http://www.gyproc.be/downloadpib?PIB=G125165&amp;TYPE=PDFNL</t>
  </si>
  <si>
    <t>G125165</t>
  </si>
  <si>
    <t>http://www.gyproc.be/downloadpib?PIB=G124345&amp;TYPE=IMG</t>
  </si>
  <si>
    <t>http://www.gyproc.be/downloadpib?PIB=G124345&amp;TYPE=PDFFR</t>
  </si>
  <si>
    <t>http://www.gyproc.be/downloadpib?PIB=G124345&amp;TYPE=PDFNL</t>
  </si>
  <si>
    <t>G124345</t>
  </si>
  <si>
    <t>http://www.gyproc.be/downloadpib?PIB=G124344&amp;TYPE=IMG</t>
  </si>
  <si>
    <t>http://www.gyproc.be/downloadpib?PIB=G124344&amp;TYPE=PDFFR</t>
  </si>
  <si>
    <t>http://www.gyproc.be/downloadpib?PIB=G124344&amp;TYPE=PDFNL</t>
  </si>
  <si>
    <t>G124344</t>
  </si>
  <si>
    <t>http://www.gyproc.be/downloadpib?PIB=G124343&amp;TYPE=IMG</t>
  </si>
  <si>
    <t>http://www.gyproc.be/downloadpib?PIB=G124343&amp;TYPE=PDFFR</t>
  </si>
  <si>
    <t>http://www.gyproc.be/downloadpib?PIB=G124343&amp;TYPE=PDFNL</t>
  </si>
  <si>
    <t>G124343</t>
  </si>
  <si>
    <t>http://www.gyproc.be/downloadpib?PIB=G124342&amp;TYPE=IMG</t>
  </si>
  <si>
    <t>http://www.gyproc.be/downloadpib?PIB=G124342&amp;TYPE=PDFFR</t>
  </si>
  <si>
    <t>http://www.gyproc.be/downloadpib?PIB=G124342&amp;TYPE=PDFNL</t>
  </si>
  <si>
    <t>G124342</t>
  </si>
  <si>
    <t>http://www.gyproc.be/downloadpib?PIB=G124211&amp;TYPE=IMG</t>
  </si>
  <si>
    <t>http://www.gyproc.be/downloadpib?PIB=G124211&amp;TYPE=PDFFR</t>
  </si>
  <si>
    <t>http://www.gyproc.be/downloadpib?PIB=G124211&amp;TYPE=PDFNL</t>
  </si>
  <si>
    <t>G124211</t>
  </si>
  <si>
    <t>http://www.gyproc.be/downloadpib?PIB=G128583&amp;TYPE=IMG</t>
  </si>
  <si>
    <t>ProLock Easy</t>
  </si>
  <si>
    <t>Trappes de visite pour cloison et plafond pour le bricoleur</t>
  </si>
  <si>
    <t>Inspectieluiken DIY voor inbouw in plafond of wand</t>
  </si>
  <si>
    <t>G128583</t>
  </si>
  <si>
    <t>http://www.gyproc.be/downloadpib?PIB=G128582&amp;TYPE=IMG</t>
  </si>
  <si>
    <t>G128582</t>
  </si>
  <si>
    <t>http://www.gyproc.be/downloadpib?PIB=G103246&amp;TYPE=IMG</t>
  </si>
  <si>
    <t>http://www.gyproc.be/downloadpib?PIB=G103246&amp;TYPE=PDFFR</t>
  </si>
  <si>
    <t>http://www.gyproc.be/downloadpib?PIB=G103246&amp;TYPE=PDFNL</t>
  </si>
  <si>
    <t>H</t>
  </si>
  <si>
    <t>Vertebra VV50/2x4</t>
  </si>
  <si>
    <t>acier galvanisé à chaud</t>
  </si>
  <si>
    <t>thermisch verzinkt staal</t>
  </si>
  <si>
    <t>Suspente à ressort double</t>
  </si>
  <si>
    <t>Dubbele veerklem</t>
  </si>
  <si>
    <t>G103246</t>
  </si>
  <si>
    <t>http://www.gyproc.be/downloadpib?PIB=G103247&amp;TYPE=IMG</t>
  </si>
  <si>
    <t>http://www.gyproc.be/downloadpib?PIB=G103247&amp;TYPE=PDFFR</t>
  </si>
  <si>
    <t>http://www.gyproc.be/downloadpib?PIB=G103247&amp;TYPE=PDFNL</t>
  </si>
  <si>
    <t>http://www.gyproc.be/downloaddop?DOP=SG_GY_2013_D1DCD01D005D034_FR.pdf</t>
  </si>
  <si>
    <t>http://www.gyproc.be/downloaddop?DOP=SG_GY_2013_D1DCD01D005D034_NL.pdf</t>
  </si>
  <si>
    <t>PlaGyp R160/250</t>
  </si>
  <si>
    <t>Fil de suspension avec crochet</t>
  </si>
  <si>
    <t>Ophangdraad met haak</t>
  </si>
  <si>
    <t>G103247</t>
  </si>
  <si>
    <t>http://www.gyproc.be/downloadpib?PIB=G103245&amp;TYPE=IMG</t>
  </si>
  <si>
    <t>http://www.gyproc.be/downloadpib?PIB=G103245&amp;TYPE=PDFFR</t>
  </si>
  <si>
    <t>http://www.gyproc.be/downloadpib?PIB=G103245&amp;TYPE=PDFNL</t>
  </si>
  <si>
    <t>http://www.gyproc.be/downloaddop?DOP=SG_GY_2013_D1DBD01D012_FR.pdf</t>
  </si>
  <si>
    <t>http://www.gyproc.be/downloaddop?DOP=SG_GY_2013_D1DBD01D012_NL.pdf</t>
  </si>
  <si>
    <t>NBN EN 13501-1:2010</t>
  </si>
  <si>
    <t>Vertebra VU45/27</t>
  </si>
  <si>
    <t>Éclisse de raccordement pour profilé de support Vertebra SP45/27</t>
  </si>
  <si>
    <t>Verbindingsstuk voor plaatdragend profiel Vertebra SP45/27</t>
  </si>
  <si>
    <t>G103245</t>
  </si>
  <si>
    <t>http://www.gyproc.be/downloadpib?PIB=G103255&amp;TYPE=IMG</t>
  </si>
  <si>
    <t>http://www.gyproc.be/downloadpib?PIB=G103255&amp;TYPE=PDFFR</t>
  </si>
  <si>
    <t>http://www.gyproc.be/downloadpib?PIB=G103255&amp;TYPE=PDFNL</t>
  </si>
  <si>
    <t>http://www.gyproc.be/downloaddop?DOP=SG_GY_2013_C5CBC17C004C003_FR.pdf</t>
  </si>
  <si>
    <t>http://www.gyproc.be/downloaddop?DOP=SG_GY_2013_C5CBC17C004C003_NL.pdf</t>
  </si>
  <si>
    <t>élément d'ossature métallique</t>
  </si>
  <si>
    <t>metalen frame component</t>
  </si>
  <si>
    <t>U</t>
  </si>
  <si>
    <t>Vertebra VS50</t>
  </si>
  <si>
    <t>Profilé d’escaliers flexible pour relevés courbes</t>
  </si>
  <si>
    <t>Flexibel trapprofiel voor gebogen opkanten</t>
  </si>
  <si>
    <t>Vertebra VS</t>
  </si>
  <si>
    <t>G103255</t>
  </si>
  <si>
    <t>http://www.gyproc.be/downloadpib?PIB=G103254&amp;TYPE=IMG</t>
  </si>
  <si>
    <t>http://www.gyproc.be/downloadpib?PIB=G103254&amp;TYPE=PDFFR</t>
  </si>
  <si>
    <t>http://www.gyproc.be/downloadpib?PIB=G103254&amp;TYPE=PDFNL</t>
  </si>
  <si>
    <t>Vertebra VS40</t>
  </si>
  <si>
    <t>G103254</t>
  </si>
  <si>
    <t>http://www.gyproc.be/downloadpib?PIB=G103253&amp;TYPE=IMG</t>
  </si>
  <si>
    <t>http://www.gyproc.be/downloadpib?PIB=G103253&amp;TYPE=PDFFR</t>
  </si>
  <si>
    <t>http://www.gyproc.be/downloadpib?PIB=G103253&amp;TYPE=PDFNL</t>
  </si>
  <si>
    <t>Vertebra VS30</t>
  </si>
  <si>
    <t>G103253</t>
  </si>
  <si>
    <t>http://www.gyproc.be/downloadpib?PIB=G103251&amp;TYPE=IMG</t>
  </si>
  <si>
    <t>http://www.gyproc.be/downloadpib?PIB=G103251&amp;TYPE=PDFFR</t>
  </si>
  <si>
    <t>http://www.gyproc.be/downloadpib?PIB=G103251&amp;TYPE=PDFNL</t>
  </si>
  <si>
    <t>L</t>
  </si>
  <si>
    <t>Vertebra VAR</t>
  </si>
  <si>
    <t>Profilé périphérique pour jonctions droites, pour tous les types d’angles</t>
  </si>
  <si>
    <t>Randprofiel voor rechte aansluitingen onder willekeurige hoek</t>
  </si>
  <si>
    <t>G103251</t>
  </si>
  <si>
    <t>http://www.gyproc.be/downloadpib?PIB=G103252&amp;TYPE=IMG</t>
  </si>
  <si>
    <t>http://www.gyproc.be/downloadpib?PIB=G103252&amp;TYPE=PDFFR</t>
  </si>
  <si>
    <t>http://www.gyproc.be/downloadpib?PIB=G103252&amp;TYPE=PDFNL</t>
  </si>
  <si>
    <t>Vertebra VAF</t>
  </si>
  <si>
    <t>Profilé périphérique flexible pour plafonds Vertebra</t>
  </si>
  <si>
    <t>Flexibel aansluitingsprofiel in Vertebra-plafonds</t>
  </si>
  <si>
    <t>G103252</t>
  </si>
  <si>
    <t>http://www.gyproc.be/downloadpib?PIB=G103243&amp;TYPE=IMG</t>
  </si>
  <si>
    <t>http://www.gyproc.be/downloadpib?PIB=G103243&amp;TYPE=PDFFR</t>
  </si>
  <si>
    <t>http://www.gyproc.be/downloadpib?PIB=G103243&amp;TYPE=PDFNL</t>
  </si>
  <si>
    <t>C</t>
  </si>
  <si>
    <t>Vertebra SP45/27</t>
  </si>
  <si>
    <t>Profilé de support pour plafonds courbes Vertebra</t>
  </si>
  <si>
    <t>Plaatdragend plafondprofiel voor gebogen Vertebra-plafonds</t>
  </si>
  <si>
    <t>G103243</t>
  </si>
  <si>
    <t>http://www.gyproc.be/downloadpib?PIB=G103241&amp;TYPE=IMG</t>
  </si>
  <si>
    <t>http://www.gyproc.be/downloadpib?PIB=G103241&amp;TYPE=PDFFR</t>
  </si>
  <si>
    <t>http://www.gyproc.be/downloadpib?PIB=G103241&amp;TYPE=PDFNL</t>
  </si>
  <si>
    <t>Vertebra VT45</t>
  </si>
  <si>
    <t>Profilé de plafond primaire flexible pour plafonds courbes Vertebra</t>
  </si>
  <si>
    <t>Flexibel primair plafondprofiel voor gebogen Vertebra-plafonds</t>
  </si>
  <si>
    <t>G103241</t>
  </si>
  <si>
    <t>http://www.gyproc.be/downloadpib?PIB=G132829&amp;TYPE=IMG</t>
  </si>
  <si>
    <t>http://www.gyproc.be/downloadpib?PIB=G132829&amp;TYPE=PDFFR</t>
  </si>
  <si>
    <t>http://www.gyproc.be/downloadpib?PIB=G132829&amp;TYPE=PDFNL</t>
  </si>
  <si>
    <t>Vertebra GV75</t>
  </si>
  <si>
    <t>Profilé horizontal flexible pour cloisons et doublages courbes</t>
  </si>
  <si>
    <t>Flexibel horizontaal profiel voor gebogen wanden en voorzetwanden</t>
  </si>
  <si>
    <t>Vertebra GV</t>
  </si>
  <si>
    <t>G105533</t>
  </si>
  <si>
    <t>G132829</t>
  </si>
  <si>
    <t>http://www.gyproc.be/downloadpib?PIB=G132828&amp;TYPE=IMG</t>
  </si>
  <si>
    <t>http://www.gyproc.be/downloadpib?PIB=G132828&amp;TYPE=PDFFR</t>
  </si>
  <si>
    <t>http://www.gyproc.be/downloadpib?PIB=G132828&amp;TYPE=PDFNL</t>
  </si>
  <si>
    <t>Vertebra GV50</t>
  </si>
  <si>
    <t>G103250</t>
  </si>
  <si>
    <t>G132828</t>
  </si>
  <si>
    <t>http://www.gyproc.be/downloadpib?PIB=G132457&amp;TYPE=IMG</t>
  </si>
  <si>
    <t>http://www.gyproc.be/downloadpib?PIB=G132457&amp;TYPE=PDFFR</t>
  </si>
  <si>
    <t>http://www.gyproc.be/downloadpib?PIB=G132457&amp;TYPE=PDFNL</t>
  </si>
  <si>
    <t>Aérosol anti-corrosion</t>
  </si>
  <si>
    <t>Corrosiewerende spray</t>
  </si>
  <si>
    <t>Pour la protection des rainures des profilés C5-M</t>
  </si>
  <si>
    <t>Spray ter bescherming van zaagsnedes van het C5-M systeem</t>
  </si>
  <si>
    <t>Spray anticorrosion 400 ml</t>
  </si>
  <si>
    <t>Corrosiewerende spray 400 ml</t>
  </si>
  <si>
    <t>G132457</t>
  </si>
  <si>
    <t>http://www.gyproc.be/downloadpib?PIB=G132456&amp;TYPE=IMG</t>
  </si>
  <si>
    <t>http://www.gyproc.be/downloadpib?PIB=G132456&amp;TYPE=PDFFR</t>
  </si>
  <si>
    <t>http://www.gyproc.be/downloadpib?PIB=G132456&amp;TYPE=PDFNL</t>
  </si>
  <si>
    <t>Goupille Nonius inox</t>
  </si>
  <si>
    <t>Nonius borgpen inox</t>
  </si>
  <si>
    <t>acier inoxydable</t>
  </si>
  <si>
    <t>roestvrij staal</t>
  </si>
  <si>
    <t>Goupille Nonius anti-corrosion pour le système C5-M</t>
  </si>
  <si>
    <t>Roestvrij stalen Nonius borgpen voor het C5-M systeem</t>
  </si>
  <si>
    <t>G132456</t>
  </si>
  <si>
    <t>http://www.gyproc.be/downloadpib?PIB=G132450&amp;TYPE=IMG</t>
  </si>
  <si>
    <t>http://www.gyproc.be/downloadpib?PIB=G132450&amp;TYPE=PDFFR</t>
  </si>
  <si>
    <t>http://www.gyproc.be/downloadpib?PIB=G132450&amp;TYPE=PDFNL</t>
  </si>
  <si>
    <t>Nonius partie supérieure C5-M</t>
  </si>
  <si>
    <t>Nonius bovendeel C5-M</t>
  </si>
  <si>
    <t>acier galvanisé à chaud avec protection anticorrosion complémentaire</t>
  </si>
  <si>
    <t xml:space="preserve">thermisch verzinkt staal met bijkomende corrosiebescherming </t>
  </si>
  <si>
    <t>Partie supérieure Nonius anti-corrosion C5-M</t>
  </si>
  <si>
    <t>Corrosiebestendig bovendeel voor Nonius-plafondhanger</t>
  </si>
  <si>
    <t>Nonius partie supérieure C5M</t>
  </si>
  <si>
    <t>Nonius bovendeel C5M</t>
  </si>
  <si>
    <t>G132450</t>
  </si>
  <si>
    <t>http://www.gyproc.be/downloadpib?PIB=G132451&amp;TYPE=IMG</t>
  </si>
  <si>
    <t>http://www.gyproc.be/downloadpib?PIB=G132451&amp;TYPE=PDFFR</t>
  </si>
  <si>
    <t>http://www.gyproc.be/downloadpib?PIB=G132451&amp;TYPE=PDFNL</t>
  </si>
  <si>
    <t>G132451</t>
  </si>
  <si>
    <t>http://www.gyproc.be/downloadpib?PIB=G132453&amp;TYPE=IMG</t>
  </si>
  <si>
    <t>http://www.gyproc.be/downloadpib?PIB=G132453&amp;TYPE=PDFFR</t>
  </si>
  <si>
    <t>http://www.gyproc.be/downloadpib?PIB=G132453&amp;TYPE=PDFNL</t>
  </si>
  <si>
    <t>G132453</t>
  </si>
  <si>
    <t>http://www.gyproc.be/downloadpib?PIB=G132449&amp;TYPE=IMG</t>
  </si>
  <si>
    <t>http://www.gyproc.be/downloadpib?PIB=G132449&amp;TYPE=PDFFR</t>
  </si>
  <si>
    <t>http://www.gyproc.be/downloadpib?PIB=G132449&amp;TYPE=PDFNL</t>
  </si>
  <si>
    <t>Suspente nonius C5-M</t>
  </si>
  <si>
    <t>Nonius plafondhanger C5-M</t>
  </si>
  <si>
    <t>Suspente Nonius anti-corrosion</t>
  </si>
  <si>
    <t>Corrosiebestendige Nonius plafondhanger</t>
  </si>
  <si>
    <t>Suspente nonius pour CD 60-27 C5M</t>
  </si>
  <si>
    <t>Nonius plafondhanger voor CD 60-27 C5M</t>
  </si>
  <si>
    <t>G132449</t>
  </si>
  <si>
    <t>http://www.gyproc.be/downloadpib?PIB=G132448&amp;TYPE=IMG</t>
  </si>
  <si>
    <t>http://www.gyproc.be/downloadpib?PIB=G132448&amp;TYPE=PDFFR</t>
  </si>
  <si>
    <t>http://www.gyproc.be/downloadpib?PIB=G132448&amp;TYPE=PDFNL</t>
  </si>
  <si>
    <t>Cavalier d'ancrage C5-M</t>
  </si>
  <si>
    <t>Verbindingsruiter C5-M</t>
  </si>
  <si>
    <t>Cavalier d'ancrage anti-corrosion</t>
  </si>
  <si>
    <t>Corrosiebestendige verbindingsruiter</t>
  </si>
  <si>
    <t>Cavalier d'ancrage pour CD 60-27 C5M</t>
  </si>
  <si>
    <t>Verbindingsruiter voor CD 60-27 C5M</t>
  </si>
  <si>
    <t>G132448</t>
  </si>
  <si>
    <t>http://www.gyproc.be/downloadpib?PIB=G132454&amp;TYPE=IMG</t>
  </si>
  <si>
    <t>http://www.gyproc.be/downloadpib?PIB=G132454&amp;TYPE=PDFFR</t>
  </si>
  <si>
    <t>http://www.gyproc.be/downloadpib?PIB=G132454&amp;TYPE=PDFNL</t>
  </si>
  <si>
    <t>Suspente universelle C5-M</t>
  </si>
  <si>
    <t>Plafondhanger C5-M</t>
  </si>
  <si>
    <t>Suspente universelle anti-corrosion</t>
  </si>
  <si>
    <t>Corrosiebestendige plafondhanger</t>
  </si>
  <si>
    <t>Universele plafondhanger C5-M</t>
  </si>
  <si>
    <t>G132454</t>
  </si>
  <si>
    <t>http://www.gyproc.be/downloadpib?PIB=G132447&amp;TYPE=IMG</t>
  </si>
  <si>
    <t>http://www.gyproc.be/downloadpib?PIB=G132447&amp;TYPE=PDFFR</t>
  </si>
  <si>
    <t>http://www.gyproc.be/downloadpib?PIB=G132447&amp;TYPE=PDFNL</t>
  </si>
  <si>
    <t>Raccord C5-M</t>
  </si>
  <si>
    <t>Verbindingsstuk C5-M</t>
  </si>
  <si>
    <t>Éclisse de raccordement résistant à la corrosion</t>
  </si>
  <si>
    <t>Corrosiebestendig verbindingsstuk</t>
  </si>
  <si>
    <t>Eclisse de raccordement pour CD 60-27 C5</t>
  </si>
  <si>
    <t>Verbindingsstuk voor CD 60-27 C5M</t>
  </si>
  <si>
    <t>G132447</t>
  </si>
  <si>
    <t>http://www.gyproc.be/downloadpib?PIB=G132446&amp;TYPE=IMG</t>
  </si>
  <si>
    <t>http://www.gyproc.be/downloadpib?PIB=G132446&amp;TYPE=PDFFR</t>
  </si>
  <si>
    <t>http://www.gyproc.be/downloadpib?PIB=G132446&amp;TYPE=PDFNL</t>
  </si>
  <si>
    <t>Rail UD28 C5-M</t>
  </si>
  <si>
    <t>Randprofiel UD28 C5-M</t>
  </si>
  <si>
    <t>Profilé périphérique résistant à la corrosion</t>
  </si>
  <si>
    <t>Corrosiebestendig randprofiel</t>
  </si>
  <si>
    <t>Profilé périphérique UD 28 C5M</t>
  </si>
  <si>
    <t>Randprofiel UD 28 C5M</t>
  </si>
  <si>
    <t>G132446</t>
  </si>
  <si>
    <t>http://www.gyproc.be/downloadpib?PIB=G132455&amp;TYPE=IMG</t>
  </si>
  <si>
    <t>http://www.gyproc.be/downloadpib?PIB=G132455&amp;TYPE=PDFFR</t>
  </si>
  <si>
    <t>http://www.gyproc.be/downloadpib?PIB=G132455&amp;TYPE=PDFNL</t>
  </si>
  <si>
    <t>Fourrure CD60/27 C5-M</t>
  </si>
  <si>
    <t>Plafondprofiel CD60/27 C5-M</t>
  </si>
  <si>
    <t>Profilé de plafond résistant à la corrosion</t>
  </si>
  <si>
    <t>Corrosiebestendig plafondprofiel</t>
  </si>
  <si>
    <t>Profilé de plafond CD 60/27 C5M</t>
  </si>
  <si>
    <t>Plafondprofiel CD 60/27 C5M</t>
  </si>
  <si>
    <t>G132455</t>
  </si>
  <si>
    <t>UW100 C5-M</t>
  </si>
  <si>
    <t>Profilé mural horizontal resistant à la corrosion</t>
  </si>
  <si>
    <t>Corrosiebestendig horizontaal wandprofiel</t>
  </si>
  <si>
    <t>Profile mural horizontal UW.. C5-M</t>
  </si>
  <si>
    <t>Wandprofiel horizontaal UW.. C5-M</t>
  </si>
  <si>
    <t>G132748</t>
  </si>
  <si>
    <t>UW75 C5-M</t>
  </si>
  <si>
    <t>G132747</t>
  </si>
  <si>
    <t>UW50 C5-M</t>
  </si>
  <si>
    <t>G132746</t>
  </si>
  <si>
    <t>CW100 C5-M</t>
  </si>
  <si>
    <t>Profilé mural vertical resistant à la corrosion</t>
  </si>
  <si>
    <t>Corrosiebestendig verticaal wandprofiel</t>
  </si>
  <si>
    <t>Profile mural vertical CW.. C5-M</t>
  </si>
  <si>
    <t>Wandprofiel verticaal CW.. C5-M</t>
  </si>
  <si>
    <t>G132745</t>
  </si>
  <si>
    <t>CW75 C5-M</t>
  </si>
  <si>
    <t>G132744</t>
  </si>
  <si>
    <t>CW50 C5-M</t>
  </si>
  <si>
    <t>G132743</t>
  </si>
  <si>
    <t>http://www.gyproc.be/downloadpib?PIB=G103288&amp;TYPE=IMG</t>
  </si>
  <si>
    <t>http://www.gyproc.be/downloadpib?PIB=G103288&amp;TYPE=PDFFR</t>
  </si>
  <si>
    <t>http://www.gyproc.be/downloadpib?PIB=G103288&amp;TYPE=PDFNL</t>
  </si>
  <si>
    <t>http://www.gyproc.be/downloaddop?DOP=SG_GY_2013_C5CBC17C004C002_FR.pdf</t>
  </si>
  <si>
    <t>http://www.gyproc.be/downloaddop?DOP=SG_GY_2013_C5CBC17C004C002_NL.pdf</t>
  </si>
  <si>
    <t>W</t>
  </si>
  <si>
    <t>Profilé à ressort RB66</t>
  </si>
  <si>
    <t>Veerregel RB66</t>
  </si>
  <si>
    <t>Profilé porteur à ressort</t>
  </si>
  <si>
    <t>Verende plaatdragende regel</t>
  </si>
  <si>
    <t>G103288</t>
  </si>
  <si>
    <t>http://www.gyproc.be/downloadpib?PIB=G126290&amp;TYPE=IMG</t>
  </si>
  <si>
    <t>http://www.gyproc.be/downloadpib?PIB=G126290&amp;TYPE=PDFFR</t>
  </si>
  <si>
    <t>http://www.gyproc.be/downloadpib?PIB=G126290&amp;TYPE=PDFNL</t>
  </si>
  <si>
    <t>PA40/120</t>
  </si>
  <si>
    <t>acier galvanisé à chaud avec anneau de raccordement en EPDM</t>
  </si>
  <si>
    <t>thermisch verzinkt staal met EPDM verbindingsring</t>
  </si>
  <si>
    <t>Suspente acoustique universelle</t>
  </si>
  <si>
    <t>Universele akoestische hanger</t>
  </si>
  <si>
    <t>G126290</t>
  </si>
  <si>
    <t>http://www.gyproc.be/downloadpib?PIB=G103256&amp;TYPE=IMG</t>
  </si>
  <si>
    <t>http://www.gyproc.be/downloadpib?PIB=G103256&amp;TYPE=PDFFR</t>
  </si>
  <si>
    <t>http://www.gyproc.be/downloadpib?PIB=G103256&amp;TYPE=PDFNL</t>
  </si>
  <si>
    <t>http://www.gyproc.be/downloaddop?DOP=SG_GY_2013_C5CBC17C004C001_FR.pdf</t>
  </si>
  <si>
    <t>http://www.gyproc.be/downloaddop?DOP=SG_GY_2013_C5CBC17C004C001_NL.pdf</t>
  </si>
  <si>
    <t>PlaGyp Profil L R1023</t>
  </si>
  <si>
    <t>PlaGyp L-profiel R1023</t>
  </si>
  <si>
    <t>Cornière métallique</t>
  </si>
  <si>
    <t>Stalen hoekprofiel</t>
  </si>
  <si>
    <t>PlaGyp® Profil L R1023</t>
  </si>
  <si>
    <t>PlaGyp® L-profiel R1023</t>
  </si>
  <si>
    <t>G103256</t>
  </si>
  <si>
    <t>http://www.gyproc.be/downloadpib?PIB=G129217&amp;TYPE=PDFFR</t>
  </si>
  <si>
    <t>http://www.gyproc.be/downloadpib?PIB=G129217&amp;TYPE=PDFNL</t>
  </si>
  <si>
    <t>PlaGyp PU60/125 dB</t>
  </si>
  <si>
    <t>acier galvanisé à chaud et sylo-elast</t>
  </si>
  <si>
    <t>thermisch verzinkt staal en sylo-elast</t>
  </si>
  <si>
    <t>Suspente acoustique universelle pour profilés PC60/27</t>
  </si>
  <si>
    <t>Universele akoestische plafondhanger</t>
  </si>
  <si>
    <t>PlaGyp® PU60/125 dB</t>
  </si>
  <si>
    <t>G129217</t>
  </si>
  <si>
    <t>http://www.gyproc.be/downloadpib?PIB=G129216&amp;TYPE=IMG</t>
  </si>
  <si>
    <t>http://www.gyproc.be/downloadpib?PIB=G129216&amp;TYPE=PDFFR</t>
  </si>
  <si>
    <t>http://www.gyproc.be/downloadpib?PIB=G129216&amp;TYPE=PDFNL</t>
  </si>
  <si>
    <t>PlaGyp PD60/60 dB</t>
  </si>
  <si>
    <t>Cavalier d'ancrage acoustique</t>
  </si>
  <si>
    <t>Akoestische verbindingsruiter</t>
  </si>
  <si>
    <t>PlaGyp® PD60/60 dB</t>
  </si>
  <si>
    <t>G129216</t>
  </si>
  <si>
    <t>http://www.gyproc.be/downloadpib?PIB=G118933&amp;TYPE=IMG</t>
  </si>
  <si>
    <t>http://www.gyproc.be/downloadpib?PIB=G118933&amp;TYPE=PDFFR</t>
  </si>
  <si>
    <t>http://www.gyproc.be/downloadpib?PIB=G118933&amp;TYPE=PDFNL</t>
  </si>
  <si>
    <t>fixation des profilés aux poutres et colonnes en acier</t>
  </si>
  <si>
    <t>bevestiging van de profielen aan stalen balken en kolommen</t>
  </si>
  <si>
    <t>PlaGyp PF/60</t>
  </si>
  <si>
    <t>PlaGyp® PF/60</t>
  </si>
  <si>
    <t>G118933</t>
  </si>
  <si>
    <t>http://www.gyproc.be/downloadpib?PIB=G116024&amp;TYPE=IMG</t>
  </si>
  <si>
    <t>http://www.gyproc.be/downloadpib?PIB=G116024&amp;TYPE=PDFFR</t>
  </si>
  <si>
    <t>http://www.gyproc.be/downloadpib?PIB=G116024&amp;TYPE=PDFNL</t>
  </si>
  <si>
    <t>fixation de profilés au même niveau</t>
  </si>
  <si>
    <t>verbinding van profielen in hetzelfde vlak</t>
  </si>
  <si>
    <t>PlaGyp PX60/60</t>
  </si>
  <si>
    <t>Raccord en croix pour profilés PlaGyp PC 60/27</t>
  </si>
  <si>
    <t>Kruisverbinder voor profiel PlaGyp PC 60/27</t>
  </si>
  <si>
    <t>PlaGyp® PX60/60</t>
  </si>
  <si>
    <t>G116024</t>
  </si>
  <si>
    <t>http://www.gyproc.be/downloadpib?PIB=G115816&amp;TYPE=IMG</t>
  </si>
  <si>
    <t>http://www.gyproc.be/downloadpib?PIB=G115816&amp;TYPE=PDFFR</t>
  </si>
  <si>
    <t>http://www.gyproc.be/downloadpib?PIB=G115816&amp;TYPE=PDFNL</t>
  </si>
  <si>
    <t>PlaGyp NB</t>
  </si>
  <si>
    <t>Goupille Nonius</t>
  </si>
  <si>
    <t>Nonius-borgpen</t>
  </si>
  <si>
    <t>PlaGyp® NB</t>
  </si>
  <si>
    <t>G115816</t>
  </si>
  <si>
    <t>http://www.gyproc.be/downloadpib?PIB=G115815&amp;TYPE=IMG</t>
  </si>
  <si>
    <t>http://www.gyproc.be/downloadpib?PIB=G115815&amp;TYPE=PDFFR</t>
  </si>
  <si>
    <t>http://www.gyproc.be/downloadpib?PIB=G115815&amp;TYPE=PDFNL</t>
  </si>
  <si>
    <t>PlaGyp NL 1000</t>
  </si>
  <si>
    <t>Nonius partie supérieure</t>
  </si>
  <si>
    <t>Nonius-bovendeel voor PlaGyp NH Nonius-plafondhanger</t>
  </si>
  <si>
    <t>PlaGyp® NL</t>
  </si>
  <si>
    <t>G115815</t>
  </si>
  <si>
    <t>http://www.gyproc.be/downloadpib?PIB=G115814&amp;TYPE=IMG</t>
  </si>
  <si>
    <t>http://www.gyproc.be/downloadpib?PIB=G115814&amp;TYPE=PDFFR</t>
  </si>
  <si>
    <t>http://www.gyproc.be/downloadpib?PIB=G115814&amp;TYPE=PDFNL</t>
  </si>
  <si>
    <t>PlaGyp NL 800</t>
  </si>
  <si>
    <t>G115814</t>
  </si>
  <si>
    <t>http://www.gyproc.be/downloadpib?PIB=G115813&amp;TYPE=IMG</t>
  </si>
  <si>
    <t>http://www.gyproc.be/downloadpib?PIB=G115813&amp;TYPE=PDFFR</t>
  </si>
  <si>
    <t>http://www.gyproc.be/downloadpib?PIB=G115813&amp;TYPE=PDFNL</t>
  </si>
  <si>
    <t>PlaGyp NL 600</t>
  </si>
  <si>
    <t>G115813</t>
  </si>
  <si>
    <t>http://www.gyproc.be/downloadpib?PIB=G115812&amp;TYPE=IMG</t>
  </si>
  <si>
    <t>http://www.gyproc.be/downloadpib?PIB=G115812&amp;TYPE=PDFFR</t>
  </si>
  <si>
    <t>http://www.gyproc.be/downloadpib?PIB=G115812&amp;TYPE=PDFNL</t>
  </si>
  <si>
    <t>PlaGyp NL 400</t>
  </si>
  <si>
    <t>G115812</t>
  </si>
  <si>
    <t>http://www.gyproc.be/downloadpib?PIB=G115811&amp;TYPE=IMG</t>
  </si>
  <si>
    <t>http://www.gyproc.be/downloadpib?PIB=G115811&amp;TYPE=PDFFR</t>
  </si>
  <si>
    <t>http://www.gyproc.be/downloadpib?PIB=G115811&amp;TYPE=PDFNL</t>
  </si>
  <si>
    <t>PlaGyp NL 300</t>
  </si>
  <si>
    <t>G115811</t>
  </si>
  <si>
    <t>http://www.gyproc.be/downloadpib?PIB=G115810&amp;TYPE=IMG</t>
  </si>
  <si>
    <t>http://www.gyproc.be/downloadpib?PIB=G115810&amp;TYPE=PDFFR</t>
  </si>
  <si>
    <t>http://www.gyproc.be/downloadpib?PIB=G115810&amp;TYPE=PDFNL</t>
  </si>
  <si>
    <t>PlaGyp NL 200</t>
  </si>
  <si>
    <t>G115810</t>
  </si>
  <si>
    <t>http://www.gyproc.be/downloadpib?PIB=G115809&amp;TYPE=IMG</t>
  </si>
  <si>
    <t>http://www.gyproc.be/downloadpib?PIB=G115809&amp;TYPE=PDFFR</t>
  </si>
  <si>
    <t>http://www.gyproc.be/downloadpib?PIB=G115809&amp;TYPE=PDFNL</t>
  </si>
  <si>
    <t>PlaGyp NH</t>
  </si>
  <si>
    <t>Suspente Nonius pour profilés PlaGyp PC 60/27</t>
  </si>
  <si>
    <t>Nonius-plafondhanger voor profiel PlaGyp PC 60/27</t>
  </si>
  <si>
    <t>PlaGyp® NH</t>
  </si>
  <si>
    <t>G115809</t>
  </si>
  <si>
    <t>http://www.gyproc.be/downloadpib?PIB=G130782&amp;TYPE=PDFFR</t>
  </si>
  <si>
    <t>http://www.gyproc.be/downloadpib?PIB=G130782&amp;TYPE=PDFNL</t>
  </si>
  <si>
    <t>PlaGyp R155/3000</t>
  </si>
  <si>
    <t>Fil de suspension</t>
  </si>
  <si>
    <t>Ophangdraad</t>
  </si>
  <si>
    <t>PlaGyp® R155/3000</t>
  </si>
  <si>
    <t>G130782</t>
  </si>
  <si>
    <t>http://www.gyproc.be/downloadpib?PIB=G103259&amp;TYPE=IMG</t>
  </si>
  <si>
    <t>http://www.gyproc.be/downloadpib?PIB=G103259&amp;TYPE=PDFFR</t>
  </si>
  <si>
    <t>http://www.gyproc.be/downloadpib?PIB=G103259&amp;TYPE=PDFNL</t>
  </si>
  <si>
    <t>PlaGyp R150/1000</t>
  </si>
  <si>
    <t>PlaGyp® R150/1000</t>
  </si>
  <si>
    <t>G103259</t>
  </si>
  <si>
    <t>http://www.gyproc.be/downloadpib?PIB=G103258&amp;TYPE=IMG</t>
  </si>
  <si>
    <t>http://www.gyproc.be/downloadpib?PIB=G103258&amp;TYPE=PDFFR</t>
  </si>
  <si>
    <t>http://www.gyproc.be/downloadpib?PIB=G103258&amp;TYPE=PDFNL</t>
  </si>
  <si>
    <t>G103258</t>
  </si>
  <si>
    <t>http://www.gyproc.be/downloadpib?PIB=G103257&amp;TYPE=IMG</t>
  </si>
  <si>
    <t>http://www.gyproc.be/downloadpib?PIB=G103257&amp;TYPE=PDFFR</t>
  </si>
  <si>
    <t>http://www.gyproc.be/downloadpib?PIB=G103257&amp;TYPE=PDFNL</t>
  </si>
  <si>
    <t>G103257</t>
  </si>
  <si>
    <t>http://www.gyproc.be/downloadpib?PIB=G131786&amp;TYPE=IMG</t>
  </si>
  <si>
    <t>http://www.gyproc.be/downloadpib?PIB=G131786&amp;TYPE=PDFFR</t>
  </si>
  <si>
    <t>http://www.gyproc.be/downloadpib?PIB=G131786&amp;TYPE=PDFNL</t>
  </si>
  <si>
    <t>PlaGyp PH60/300</t>
  </si>
  <si>
    <t>G131786</t>
  </si>
  <si>
    <t>http://www.gyproc.be/downloadpib?PIB=G103269&amp;TYPE=IMG</t>
  </si>
  <si>
    <t>http://www.gyproc.be/downloadpib?PIB=G103269&amp;TYPE=PDFFR</t>
  </si>
  <si>
    <t>http://www.gyproc.be/downloadpib?PIB=G103269&amp;TYPE=PDFNL</t>
  </si>
  <si>
    <t>G103269</t>
  </si>
  <si>
    <t>http://www.gyproc.be/downloadpib?PIB=G103267&amp;TYPE=IMG</t>
  </si>
  <si>
    <t>http://www.gyproc.be/downloadpib?PIB=G103267&amp;TYPE=PDFFR</t>
  </si>
  <si>
    <t>http://www.gyproc.be/downloadpib?PIB=G103267&amp;TYPE=PDFNL</t>
  </si>
  <si>
    <t>G103267</t>
  </si>
  <si>
    <t>http://www.gyproc.be/downloadpib?PIB=G107013&amp;TYPE=IMG</t>
  </si>
  <si>
    <t>http://www.gyproc.be/downloadpib?PIB=G107013&amp;TYPE=PDFFR</t>
  </si>
  <si>
    <t>http://www.gyproc.be/downloadpib?PIB=G107013&amp;TYPE=PDFNL</t>
  </si>
  <si>
    <t>G107013</t>
  </si>
  <si>
    <t>http://www.gyproc.be/downloadpib?PIB=G130416&amp;TYPE=IMG</t>
  </si>
  <si>
    <t>PlaGyp PV60/120 QL</t>
  </si>
  <si>
    <t>PlaGyp® PV60/120 QL</t>
  </si>
  <si>
    <t>G130416</t>
  </si>
  <si>
    <t>http://www.gyproc.be/downloadpib?PIB=G103268&amp;TYPE=IMG</t>
  </si>
  <si>
    <t>http://www.gyproc.be/downloadpib?PIB=G103268&amp;TYPE=PDFFR</t>
  </si>
  <si>
    <t>http://www.gyproc.be/downloadpib?PIB=G103268&amp;TYPE=PDFNL</t>
  </si>
  <si>
    <t>G103268</t>
  </si>
  <si>
    <t>http://www.gyproc.be/downloadpib?PIB=G103266&amp;TYPE=IMG</t>
  </si>
  <si>
    <t>http://www.gyproc.be/downloadpib?PIB=G103266&amp;TYPE=PDFFR</t>
  </si>
  <si>
    <t>http://www.gyproc.be/downloadpib?PIB=G103266&amp;TYPE=PDFNL</t>
  </si>
  <si>
    <t>G103266</t>
  </si>
  <si>
    <t>G133934</t>
  </si>
  <si>
    <t>http://www.gyproc.be/downloadpib?PIB=G103278&amp;TYPE=IMG</t>
  </si>
  <si>
    <t>http://www.gyproc.be/downloadpib?PIB=G103278&amp;TYPE=PDFFR</t>
  </si>
  <si>
    <t>http://www.gyproc.be/downloadpib?PIB=G103278&amp;TYPE=PDFNL</t>
  </si>
  <si>
    <t>http://www.gyproc.be/downloaddop?DOP=SG_GY_2013_C5CAC01C001_FR.pdf</t>
  </si>
  <si>
    <t>http://www.gyproc.be/downloaddop?DOP=SG_GY_2013_C5CAC01C001_NL.pdf</t>
  </si>
  <si>
    <t>PlaGyp PU27/48</t>
  </si>
  <si>
    <t>Profilé périphérique pour le système de plafond PlaGyp</t>
  </si>
  <si>
    <t>Randprofiel voor het PlaGyp-plafondsysteem</t>
  </si>
  <si>
    <t>PlaGyp® PU27/48</t>
  </si>
  <si>
    <t>G103278</t>
  </si>
  <si>
    <t>http://www.gyproc.be/downloadpib?PIB=G103270&amp;TYPE=IMG</t>
  </si>
  <si>
    <t>http://www.gyproc.be/downloadpib?PIB=G103270&amp;TYPE=PDFFR</t>
  </si>
  <si>
    <t>http://www.gyproc.be/downloadpib?PIB=G103270&amp;TYPE=PDFNL</t>
  </si>
  <si>
    <t>PlaGyp PC60/27</t>
  </si>
  <si>
    <t>Profilé de plafond pour le système de plafond PlaGyp</t>
  </si>
  <si>
    <t>Plafondprofiel voor het PlaGyp-plafondsysteem</t>
  </si>
  <si>
    <t>PlaGyp® PC60/27</t>
  </si>
  <si>
    <t>G103270</t>
  </si>
  <si>
    <t>http://www.gyproc.be/downloadpib?PIB=G130115&amp;TYPE=IMG</t>
  </si>
  <si>
    <t>http://www.gyproc.be/downloadpib?PIB=G130115&amp;TYPE=PDFFR</t>
  </si>
  <si>
    <t>http://www.gyproc.be/downloadpib?PIB=G130115&amp;TYPE=PDFNL</t>
  </si>
  <si>
    <t>G130115</t>
  </si>
  <si>
    <t>http://www.gyproc.be/downloadpib?PIB=G127012&amp;TYPE=PDFFR</t>
  </si>
  <si>
    <t>http://www.gyproc.be/downloadpib?PIB=G127012&amp;TYPE=PDFNL</t>
  </si>
  <si>
    <t>Bande d'étanchéité souple PE/50</t>
  </si>
  <si>
    <t>Soepele isolatieband PE/50</t>
  </si>
  <si>
    <t>Bande d'étancéité acoustique pour jonctions avec le gros-oeuvre</t>
  </si>
  <si>
    <t>Akoestische dichtingsband voor ruwbouwaansluitingen</t>
  </si>
  <si>
    <t>Bande d'étanchéité souple PE</t>
  </si>
  <si>
    <t>Soepele isolatieband PE</t>
  </si>
  <si>
    <t>G127012</t>
  </si>
  <si>
    <t>http://www.gyproc.be/downloadpib?PIB=G103062&amp;TYPE=PDFFR</t>
  </si>
  <si>
    <t>http://www.gyproc.be/downloadpib?PIB=G103062&amp;TYPE=PDFNL</t>
  </si>
  <si>
    <t>Bande d'étanchéité souple PE/30</t>
  </si>
  <si>
    <t>Soepele isolatieband PE/30</t>
  </si>
  <si>
    <t>G103062</t>
  </si>
  <si>
    <t>http://www.gyproc.be/downloadpib?PIB=G103061&amp;TYPE=PDFFR</t>
  </si>
  <si>
    <t>http://www.gyproc.be/downloadpib?PIB=G103061&amp;TYPE=PDFNL</t>
  </si>
  <si>
    <t>Bande d'étanchéité souple PE/10</t>
  </si>
  <si>
    <t>Soepele isolatieband PE/10</t>
  </si>
  <si>
    <t>G103061</t>
  </si>
  <si>
    <t>http://www.gyproc.be/downloadpib?PIB=G103314&amp;TYPE=PDFFR</t>
  </si>
  <si>
    <t>http://www.gyproc.be/downloadpib?PIB=G103314&amp;TYPE=PDFNL</t>
  </si>
  <si>
    <t>http://www.gyproc.be/downloaddop?DOP=SG_GY_2013_C5CBC18C009_FR.pdf</t>
  </si>
  <si>
    <t>http://www.gyproc.be/downloaddop?DOP=SG_GY_2013_C5CBC18C009_NL.pdf</t>
  </si>
  <si>
    <t>Metal Stud MSR100</t>
  </si>
  <si>
    <t>Profilé vertical renforcé, épaisseur 1,5 mm</t>
  </si>
  <si>
    <t>Verticaal versterkt profiel, dikte 1,5 mm</t>
  </si>
  <si>
    <t>Metal Stud® MSR</t>
  </si>
  <si>
    <t>G103314</t>
  </si>
  <si>
    <t>http://www.gyproc.be/downloadpib?PIB=G103308&amp;TYPE=PDFFR</t>
  </si>
  <si>
    <t>http://www.gyproc.be/downloadpib?PIB=G103308&amp;TYPE=PDFNL</t>
  </si>
  <si>
    <t>G103308</t>
  </si>
  <si>
    <t>http://www.gyproc.be/downloadpib?PIB=G103298&amp;TYPE=PDFFR</t>
  </si>
  <si>
    <t>http://www.gyproc.be/downloadpib?PIB=G103298&amp;TYPE=PDFNL</t>
  </si>
  <si>
    <t>Metal Stud MSR75</t>
  </si>
  <si>
    <t>G103298</t>
  </si>
  <si>
    <t>http://www.gyproc.be/downloadpib?PIB=G103311&amp;TYPE=PDFFR</t>
  </si>
  <si>
    <t>http://www.gyproc.be/downloadpib?PIB=G103311&amp;TYPE=PDFNL</t>
  </si>
  <si>
    <t>G103311</t>
  </si>
  <si>
    <t>http://www.gyproc.be/downloadpib?PIB=G103312&amp;TYPE=PDFFR</t>
  </si>
  <si>
    <t>http://www.gyproc.be/downloadpib?PIB=G103312&amp;TYPE=PDFNL</t>
  </si>
  <si>
    <t>Metal Stud MSR70</t>
  </si>
  <si>
    <t>Profilé horizontal rehaussé, épaisseur 1 mm</t>
  </si>
  <si>
    <t>Verhoogd horizontaal profiel, dikte 1 mm</t>
  </si>
  <si>
    <t>G103312</t>
  </si>
  <si>
    <t>http://www.gyproc.be/downloadpib?PIB=G103467&amp;TYPE=PDFFR</t>
  </si>
  <si>
    <t>http://www.gyproc.be/downloadpib?PIB=G103467&amp;TYPE=PDFNL</t>
  </si>
  <si>
    <t>G103467</t>
  </si>
  <si>
    <t>http://www.gyproc.be/downloadpib?PIB=G103032&amp;TYPE=PDFFR</t>
  </si>
  <si>
    <t>http://www.gyproc.be/downloadpib?PIB=G103032&amp;TYPE=PDFNL</t>
  </si>
  <si>
    <t>Metal Stud MSR50</t>
  </si>
  <si>
    <t>G103032</t>
  </si>
  <si>
    <t>http://www.gyproc.be/downloadpib?PIB=G103466&amp;TYPE=PDFFR</t>
  </si>
  <si>
    <t>http://www.gyproc.be/downloadpib?PIB=G103466&amp;TYPE=PDFNL</t>
  </si>
  <si>
    <t>G103466</t>
  </si>
  <si>
    <t>http://www.gyproc.be/downloadpib?PIB=G103031&amp;TYPE=PDFFR</t>
  </si>
  <si>
    <t>http://www.gyproc.be/downloadpib?PIB=G103031&amp;TYPE=PDFNL</t>
  </si>
  <si>
    <t>http://www.gyproc.be/downloaddop?DOP=SG_GY_2013_C5CBC18C007_FR.pdf</t>
  </si>
  <si>
    <t>http://www.gyproc.be/downloaddop?DOP=SG_GY_2013_C5CBC18C007_NL.pdf</t>
  </si>
  <si>
    <t>Metal Stud MSP100</t>
  </si>
  <si>
    <t>Metal Stud® MSP</t>
  </si>
  <si>
    <t>G103031</t>
  </si>
  <si>
    <t>http://www.gyproc.be/downloadpib?PIB=G103292&amp;TYPE=PDFFR</t>
  </si>
  <si>
    <t>http://www.gyproc.be/downloadpib?PIB=G103292&amp;TYPE=PDFNL</t>
  </si>
  <si>
    <t>Metal Stud MSP75</t>
  </si>
  <si>
    <t>G103292</t>
  </si>
  <si>
    <t>http://www.gyproc.be/downloadpib?PIB=G104440&amp;TYPE=PDFFR</t>
  </si>
  <si>
    <t>http://www.gyproc.be/downloadpib?PIB=G104440&amp;TYPE=PDFNL</t>
  </si>
  <si>
    <t>Metal Stud MSP70</t>
  </si>
  <si>
    <t>G104440</t>
  </si>
  <si>
    <t>http://www.gyproc.be/downloadpib?PIB=G103465&amp;TYPE=PDFFR</t>
  </si>
  <si>
    <t>http://www.gyproc.be/downloadpib?PIB=G103465&amp;TYPE=PDFNL</t>
  </si>
  <si>
    <t>Metal Stud MSP50</t>
  </si>
  <si>
    <t>G103465</t>
  </si>
  <si>
    <t>http://www.gyproc.be/downloadpib?PIB=G129885&amp;TYPE=IMG</t>
  </si>
  <si>
    <t>http://www.gyproc.be/downloadpib?PIB=G129885&amp;TYPE=PDFNL</t>
  </si>
  <si>
    <t>http://www.gyproc.be/downloaddop?DOP=SG_GY_2013_C5CBC18C005_FR.pdf</t>
  </si>
  <si>
    <t>http://www.gyproc.be/downloaddop?DOP=SG_GY_2013_C5CBC18C005_NL.pdf</t>
  </si>
  <si>
    <t>Metal Stud SoundBlock Ext</t>
  </si>
  <si>
    <t>Profilés vertical pour isolation acoustique optimal</t>
  </si>
  <si>
    <t>Verticale profielen voor een optimale geluidsisolatie</t>
  </si>
  <si>
    <t>Metal Stud® SoundBlock Ext</t>
  </si>
  <si>
    <t>G129885</t>
  </si>
  <si>
    <t>http://www.gyproc.be/downloadpib?PIB=G129884&amp;TYPE=IMG</t>
  </si>
  <si>
    <t>Metal Stud SoundBlock Int</t>
  </si>
  <si>
    <t>Metal Stud® SoundBlock Int</t>
  </si>
  <si>
    <t>G129884</t>
  </si>
  <si>
    <t>http://www.gyproc.be/downloadpib?PIB=G130463&amp;TYPE=PDFFR</t>
  </si>
  <si>
    <t>http://www.gyproc.be/downloadpib?PIB=G130463&amp;TYPE=PDFNL</t>
  </si>
  <si>
    <t>Metal Stud SoundBlock 100</t>
  </si>
  <si>
    <t>Metal Stud® SoundBlock</t>
  </si>
  <si>
    <t>G130463</t>
  </si>
  <si>
    <t>http://www.gyproc.be/downloadpib?PIB=G130462&amp;TYPE=PDFFR</t>
  </si>
  <si>
    <t>http://www.gyproc.be/downloadpib?PIB=G130462&amp;TYPE=PDFNL</t>
  </si>
  <si>
    <t>G130462</t>
  </si>
  <si>
    <t>http://www.gyproc.be/downloadpib?PIB=G129259&amp;TYPE=PDFFR</t>
  </si>
  <si>
    <t>http://www.gyproc.be/downloadpib?PIB=G129259&amp;TYPE=PDFNL</t>
  </si>
  <si>
    <t>Metal Stud SoundBlock 75</t>
  </si>
  <si>
    <t>G129259</t>
  </si>
  <si>
    <t>http://www.gyproc.be/downloadpib?PIB=G129258&amp;TYPE=PDFFR</t>
  </si>
  <si>
    <t>http://www.gyproc.be/downloadpib?PIB=G129258&amp;TYPE=PDFNL</t>
  </si>
  <si>
    <t>G129258</t>
  </si>
  <si>
    <t>http://www.gyproc.be/downloadpib?PIB=G129257&amp;TYPE=PDFFR</t>
  </si>
  <si>
    <t>http://www.gyproc.be/downloadpib?PIB=G129257&amp;TYPE=PDFNL</t>
  </si>
  <si>
    <t>Metal Stud SoundBlock 50</t>
  </si>
  <si>
    <t>G129257</t>
  </si>
  <si>
    <t>http://www.gyproc.be/downloadpib?PIB=G129256&amp;TYPE=PDFFR</t>
  </si>
  <si>
    <t>http://www.gyproc.be/downloadpib?PIB=G129256&amp;TYPE=PDFNL</t>
  </si>
  <si>
    <t>G129256</t>
  </si>
  <si>
    <t>http://www.gyproc.be/downloadpib?PIB=G130145N&amp;TYPE=PDFFR</t>
  </si>
  <si>
    <t>http://www.gyproc.be/downloadpib?PIB=G130145N&amp;TYPE=PDFNL</t>
  </si>
  <si>
    <t>Metal Stud MSV150</t>
  </si>
  <si>
    <t>Profilé vertical</t>
  </si>
  <si>
    <t>Verticaal profiel</t>
  </si>
  <si>
    <t>Metal Stud® MSV</t>
  </si>
  <si>
    <t>G130145N</t>
  </si>
  <si>
    <t>http://www.gyproc.be/downloadpib?PIB=G130137N&amp;TYPE=PDFFR</t>
  </si>
  <si>
    <t>http://www.gyproc.be/downloadpib?PIB=G130137N&amp;TYPE=PDFNL</t>
  </si>
  <si>
    <t>G130137N</t>
  </si>
  <si>
    <t>http://www.gyproc.be/downloadpib?PIB=G106118N&amp;TYPE=PDFFR</t>
  </si>
  <si>
    <t>http://www.gyproc.be/downloadpib?PIB=G106118N&amp;TYPE=PDFNL</t>
  </si>
  <si>
    <t>Metal Stud MSV125</t>
  </si>
  <si>
    <t>G106118N</t>
  </si>
  <si>
    <t>http://www.gyproc.be/downloadpib?PIB=G103029N&amp;TYPE=PDFFR</t>
  </si>
  <si>
    <t>http://www.gyproc.be/downloadpib?PIB=G103029N&amp;TYPE=PDFNL</t>
  </si>
  <si>
    <t>G103029N</t>
  </si>
  <si>
    <t>http://www.gyproc.be/downloadpib?PIB=G126483N&amp;TYPE=PDFFR</t>
  </si>
  <si>
    <t>http://www.gyproc.be/downloadpib?PIB=G126483N&amp;TYPE=PDFNL</t>
  </si>
  <si>
    <t>G126483N</t>
  </si>
  <si>
    <t>http://www.gyproc.be/downloadpib?PIB=G103184N&amp;TYPE=PDFFR</t>
  </si>
  <si>
    <t>http://www.gyproc.be/downloadpib?PIB=G103184N&amp;TYPE=PDFNL</t>
  </si>
  <si>
    <t>http://www.gyproc.be/downloaddop?DOP=SG_GY_2013_C5CBC18C008_FR.pdf</t>
  </si>
  <si>
    <t>http://www.gyproc.be/downloaddop?DOP=SG_GY_2013_C5CBC18C008_NL.pdf</t>
  </si>
  <si>
    <t>G103184N</t>
  </si>
  <si>
    <t>http://www.gyproc.be/downloadpib?PIB=G102984N&amp;TYPE=PDFFR</t>
  </si>
  <si>
    <t>http://www.gyproc.be/downloadpib?PIB=G102984N&amp;TYPE=PDFNL</t>
  </si>
  <si>
    <t>Metal Stud MSV100</t>
  </si>
  <si>
    <t>G102984N</t>
  </si>
  <si>
    <t>http://www.gyproc.be/downloadpib?PIB=G103208N&amp;TYPE=PDFFR</t>
  </si>
  <si>
    <t>http://www.gyproc.be/downloadpib?PIB=G103208N&amp;TYPE=PDFNL</t>
  </si>
  <si>
    <t>G103208N</t>
  </si>
  <si>
    <t>http://www.gyproc.be/downloadpib?PIB=G103140N&amp;TYPE=PDFFR</t>
  </si>
  <si>
    <t>http://www.gyproc.be/downloadpib?PIB=G103140N&amp;TYPE=PDFNL</t>
  </si>
  <si>
    <t>G103140N</t>
  </si>
  <si>
    <t>http://www.gyproc.be/downloadpib?PIB=G103015N&amp;TYPE=PDFFR</t>
  </si>
  <si>
    <t>http://www.gyproc.be/downloadpib?PIB=G103015N&amp;TYPE=PDFNL</t>
  </si>
  <si>
    <t>G103015N</t>
  </si>
  <si>
    <t>http://www.gyproc.be/downloadpib?PIB=G129541N&amp;TYPE=PDFFR</t>
  </si>
  <si>
    <t>http://www.gyproc.be/downloadpib?PIB=G129541N&amp;TYPE=PDFNL</t>
  </si>
  <si>
    <t>Metal Stud MSV75</t>
  </si>
  <si>
    <t>G129541N</t>
  </si>
  <si>
    <t>http://www.gyproc.be/downloadpib?PIB=G103187N&amp;TYPE=PDFFR</t>
  </si>
  <si>
    <t>http://www.gyproc.be/downloadpib?PIB=G103187N&amp;TYPE=PDFNL</t>
  </si>
  <si>
    <t>G103187N</t>
  </si>
  <si>
    <t>http://www.gyproc.be/downloadpib?PIB=G102981N&amp;TYPE=PDFFR</t>
  </si>
  <si>
    <t>http://www.gyproc.be/downloadpib?PIB=G102981N&amp;TYPE=PDFNL</t>
  </si>
  <si>
    <t>G102981N</t>
  </si>
  <si>
    <t>http://www.gyproc.be/downloadpib?PIB=G102999N&amp;TYPE=PDFFR</t>
  </si>
  <si>
    <t>http://www.gyproc.be/downloadpib?PIB=G102999N&amp;TYPE=PDFNL</t>
  </si>
  <si>
    <t>G102999N</t>
  </si>
  <si>
    <t>http://www.gyproc.be/downloadpib?PIB=G103010N&amp;TYPE=IMG</t>
  </si>
  <si>
    <t>http://www.gyproc.be/downloadpib?PIB=G103010N&amp;TYPE=PDFFR</t>
  </si>
  <si>
    <t>http://www.gyproc.be/downloadpib?PIB=G103010N&amp;TYPE=PDFNL</t>
  </si>
  <si>
    <t>G103010N</t>
  </si>
  <si>
    <t>http://www.gyproc.be/downloadpib?PIB=G102983N&amp;TYPE=IMG</t>
  </si>
  <si>
    <t>http://www.gyproc.be/downloadpib?PIB=G102983N&amp;TYPE=PDFFR</t>
  </si>
  <si>
    <t>http://www.gyproc.be/downloadpib?PIB=G102983N&amp;TYPE=PDFNL</t>
  </si>
  <si>
    <t>G102983N</t>
  </si>
  <si>
    <t>http://www.gyproc.be/downloadpib?PIB=G102974N&amp;TYPE=IMG</t>
  </si>
  <si>
    <t>http://www.gyproc.be/downloadpib?PIB=G102974N&amp;TYPE=PDFFR</t>
  </si>
  <si>
    <t>http://www.gyproc.be/downloadpib?PIB=G102974N&amp;TYPE=PDFNL</t>
  </si>
  <si>
    <t>G102974N</t>
  </si>
  <si>
    <t>http://www.gyproc.be/downloadpib?PIB=G102967N&amp;TYPE=IMG</t>
  </si>
  <si>
    <t>http://www.gyproc.be/downloadpib?PIB=G102967N&amp;TYPE=PDFFR</t>
  </si>
  <si>
    <t>http://www.gyproc.be/downloadpib?PIB=G102967N&amp;TYPE=PDFNL</t>
  </si>
  <si>
    <t>Metal Stud MSV70</t>
  </si>
  <si>
    <t>G102967N</t>
  </si>
  <si>
    <t>http://www.gyproc.be/downloadpib?PIB=G102971N&amp;TYPE=IMG</t>
  </si>
  <si>
    <t>http://www.gyproc.be/downloadpib?PIB=G102971N&amp;TYPE=PDFFR</t>
  </si>
  <si>
    <t>http://www.gyproc.be/downloadpib?PIB=G102971N&amp;TYPE=PDFNL</t>
  </si>
  <si>
    <t>G102971N</t>
  </si>
  <si>
    <t>http://www.gyproc.be/downloadpib?PIB=G102965N&amp;TYPE=IMG</t>
  </si>
  <si>
    <t>http://www.gyproc.be/downloadpib?PIB=G102965N&amp;TYPE=PDFFR</t>
  </si>
  <si>
    <t>http://www.gyproc.be/downloadpib?PIB=G102965N&amp;TYPE=PDFNL</t>
  </si>
  <si>
    <t>G102965N</t>
  </si>
  <si>
    <t>http://www.gyproc.be/downloadpib?PIB=G102970N&amp;TYPE=IMG</t>
  </si>
  <si>
    <t>http://www.gyproc.be/downloadpib?PIB=G102970N&amp;TYPE=PDFFR</t>
  </si>
  <si>
    <t>http://www.gyproc.be/downloadpib?PIB=G102970N&amp;TYPE=PDFNL</t>
  </si>
  <si>
    <t>G102970N</t>
  </si>
  <si>
    <t>http://www.gyproc.be/downloadpib?PIB=G102969N&amp;TYPE=IMG</t>
  </si>
  <si>
    <t>http://www.gyproc.be/downloadpib?PIB=G102969N&amp;TYPE=PDFFR</t>
  </si>
  <si>
    <t>http://www.gyproc.be/downloadpib?PIB=G102969N&amp;TYPE=PDFNL</t>
  </si>
  <si>
    <t>G102969N</t>
  </si>
  <si>
    <t>http://www.gyproc.be/downloadpib?PIB=G102968N&amp;TYPE=IMG</t>
  </si>
  <si>
    <t>http://www.gyproc.be/downloadpib?PIB=G102968N&amp;TYPE=PDFFR</t>
  </si>
  <si>
    <t>http://www.gyproc.be/downloadpib?PIB=G102968N&amp;TYPE=PDFNL</t>
  </si>
  <si>
    <t>G102968N</t>
  </si>
  <si>
    <t>http://www.gyproc.be/downloadpib?PIB=G103165N&amp;TYPE=IMG</t>
  </si>
  <si>
    <t>http://www.gyproc.be/downloadpib?PIB=G103165N&amp;TYPE=PDFFR</t>
  </si>
  <si>
    <t>http://www.gyproc.be/downloadpib?PIB=G103165N&amp;TYPE=PDFNL</t>
  </si>
  <si>
    <t>Metal Stud MSV50</t>
  </si>
  <si>
    <t>G103165N</t>
  </si>
  <si>
    <t>http://www.gyproc.be/downloadpib?PIB=G102960N&amp;TYPE=IMG</t>
  </si>
  <si>
    <t>http://www.gyproc.be/downloadpib?PIB=G102960N&amp;TYPE=PDFFR</t>
  </si>
  <si>
    <t>http://www.gyproc.be/downloadpib?PIB=G102960N&amp;TYPE=PDFNL</t>
  </si>
  <si>
    <t>G102960N</t>
  </si>
  <si>
    <t>http://www.gyproc.be/downloadpib?PIB=G103027N&amp;TYPE=IMG</t>
  </si>
  <si>
    <t>http://www.gyproc.be/downloadpib?PIB=G103027N&amp;TYPE=PDFFR</t>
  </si>
  <si>
    <t>http://www.gyproc.be/downloadpib?PIB=G103027N&amp;TYPE=PDFNL</t>
  </si>
  <si>
    <t>G103027N</t>
  </si>
  <si>
    <t>http://www.gyproc.be/downloadpib?PIB=G102959N&amp;TYPE=IMG</t>
  </si>
  <si>
    <t>http://www.gyproc.be/downloadpib?PIB=G102959N&amp;TYPE=PDFFR</t>
  </si>
  <si>
    <t>http://www.gyproc.be/downloadpib?PIB=G102959N&amp;TYPE=PDFNL</t>
  </si>
  <si>
    <t>G102959N</t>
  </si>
  <si>
    <t>http://www.gyproc.be/downloadpib?PIB=G102958N&amp;TYPE=IMG</t>
  </si>
  <si>
    <t>http://www.gyproc.be/downloadpib?PIB=G102958N&amp;TYPE=PDFFR</t>
  </si>
  <si>
    <t>http://www.gyproc.be/downloadpib?PIB=G102958N&amp;TYPE=PDFNL</t>
  </si>
  <si>
    <t>G102958N</t>
  </si>
  <si>
    <t>http://www.gyproc.be/downloadpib?PIB=G102957N&amp;TYPE=IMG</t>
  </si>
  <si>
    <t>http://www.gyproc.be/downloadpib?PIB=G102957N&amp;TYPE=PDFFR</t>
  </si>
  <si>
    <t>http://www.gyproc.be/downloadpib?PIB=G102957N&amp;TYPE=PDFNL</t>
  </si>
  <si>
    <t>G102957N</t>
  </si>
  <si>
    <t>http://www.gyproc.be/downloadpib?PIB=G103113N&amp;TYPE=IMG</t>
  </si>
  <si>
    <t>http://www.gyproc.be/downloadpib?PIB=G103113N&amp;TYPE=PDFFR</t>
  </si>
  <si>
    <t>http://www.gyproc.be/downloadpib?PIB=G103113N&amp;TYPE=PDFNL</t>
  </si>
  <si>
    <t>G103113N</t>
  </si>
  <si>
    <t>http://www.gyproc.be/downloadpib?PIB=G104917N&amp;TYPE=IMG</t>
  </si>
  <si>
    <t>http://www.gyproc.be/downloadpib?PIB=G104917N&amp;TYPE=PDFFR</t>
  </si>
  <si>
    <t>http://www.gyproc.be/downloadpib?PIB=G104917N&amp;TYPE=PDFNL</t>
  </si>
  <si>
    <t>http://www.gyproc.be/downloaddop?DOP=SG_GY_2013_C5CBC18C006_FR.pdf</t>
  </si>
  <si>
    <t>http://www.gyproc.be/downloaddop?DOP=SG_GY_2013_C5CBC18C006_NL.pdf</t>
  </si>
  <si>
    <t>Metal Stud MSH150</t>
  </si>
  <si>
    <t>Profilé horizontal</t>
  </si>
  <si>
    <t>Horizontaal profiel</t>
  </si>
  <si>
    <t>Metal Stud® MSH</t>
  </si>
  <si>
    <t>G104917N</t>
  </si>
  <si>
    <t>http://www.gyproc.be/downloadpib?PIB=G102952N&amp;TYPE=IMG</t>
  </si>
  <si>
    <t>http://www.gyproc.be/downloadpib?PIB=G102952N&amp;TYPE=PDFFR</t>
  </si>
  <si>
    <t>http://www.gyproc.be/downloadpib?PIB=G102952N&amp;TYPE=PDFNL</t>
  </si>
  <si>
    <t>Metal Stud MSH125</t>
  </si>
  <si>
    <t>G102952N</t>
  </si>
  <si>
    <t>http://www.gyproc.be/downloadpib?PIB=G102944N&amp;TYPE=IMG</t>
  </si>
  <si>
    <t>http://www.gyproc.be/downloadpib?PIB=G102944N&amp;TYPE=PDFFR</t>
  </si>
  <si>
    <t>http://www.gyproc.be/downloadpib?PIB=G102944N&amp;TYPE=PDFNL</t>
  </si>
  <si>
    <t>Metal Stud MSH100</t>
  </si>
  <si>
    <t>G102944N</t>
  </si>
  <si>
    <t>http://www.gyproc.be/downloadpib?PIB=G102947N&amp;TYPE=IMG</t>
  </si>
  <si>
    <t>http://www.gyproc.be/downloadpib?PIB=G102947N&amp;TYPE=PDFFR</t>
  </si>
  <si>
    <t>http://www.gyproc.be/downloadpib?PIB=G102947N&amp;TYPE=PDFNL</t>
  </si>
  <si>
    <t>Metal Stud MSH75</t>
  </si>
  <si>
    <t>G102947N</t>
  </si>
  <si>
    <t>http://www.gyproc.be/downloadpib?PIB=G102943N&amp;TYPE=IMG</t>
  </si>
  <si>
    <t>http://www.gyproc.be/downloadpib?PIB=G102943N&amp;TYPE=PDFFR</t>
  </si>
  <si>
    <t>http://www.gyproc.be/downloadpib?PIB=G102943N&amp;TYPE=PDFNL</t>
  </si>
  <si>
    <t>Metal Stud MSH70</t>
  </si>
  <si>
    <t>G102943N</t>
  </si>
  <si>
    <t>http://www.gyproc.be/downloadpib?PIB=G102941N&amp;TYPE=IMG</t>
  </si>
  <si>
    <t>http://www.gyproc.be/downloadpib?PIB=G102941N&amp;TYPE=PDFFR</t>
  </si>
  <si>
    <t>http://www.gyproc.be/downloadpib?PIB=G102941N&amp;TYPE=PDFNL</t>
  </si>
  <si>
    <t>Metal Stud MSH50</t>
  </si>
  <si>
    <t>G102941N</t>
  </si>
  <si>
    <t>http://www.gyproc.be/downloadpib?PIB=G123100N&amp;TYPE=IMG</t>
  </si>
  <si>
    <t>http://www.gyproc.be/downloadpib?PIB=G123100N&amp;TYPE=PDFFR</t>
  </si>
  <si>
    <t>http://www.gyproc.be/downloadpib?PIB=G123100N&amp;TYPE=PDFNL</t>
  </si>
  <si>
    <t>G123100N</t>
  </si>
  <si>
    <t>http://www.gyproc.be/downloadpib?PIB=G129679&amp;TYPE=IMG</t>
  </si>
  <si>
    <t>http://www.gyproc.be/downloadpib?PIB=G129679&amp;TYPE=PDFFR</t>
  </si>
  <si>
    <t>http://www.gyproc.be/downloadpib?PIB=G129679&amp;TYPE=PDFNL</t>
  </si>
  <si>
    <t xml:space="preserve">profilé métallique pour plaques de plâtre </t>
  </si>
  <si>
    <t xml:space="preserve">metalen profiel voor gebruik met gipsplaten </t>
  </si>
  <si>
    <t>PB - FB</t>
  </si>
  <si>
    <t>NBN EN 14353+A1:2010</t>
  </si>
  <si>
    <t>Control Joint</t>
  </si>
  <si>
    <t>Profilé de parachèvement pour joints de dilatation</t>
  </si>
  <si>
    <t>Afwerkingsprofiel voor dilatatievoegen</t>
  </si>
  <si>
    <t>G129679</t>
  </si>
  <si>
    <t>http://www.gyproc.be/downloadpib?PIB=G132587&amp;TYPE=IMG</t>
  </si>
  <si>
    <t>http://www.gyproc.be/downloadpib?PIB=G132587&amp;TYPE=PDFFR</t>
  </si>
  <si>
    <t>http://www.gyproc.be/downloadpib?PIB=G132587&amp;TYPE=PDFNL</t>
  </si>
  <si>
    <t>AquaBead Flex Pro</t>
  </si>
  <si>
    <t>Profilé pliable résistante aux chocs, autocollant par hydro-activation</t>
  </si>
  <si>
    <t>Stootvast plooibaar profiel, met watergeactiveerde lijm</t>
  </si>
  <si>
    <t>G132587</t>
  </si>
  <si>
    <t>http://www.gyproc.be/downloadpib?PIB=G131739&amp;TYPE=IMG</t>
  </si>
  <si>
    <t>http://www.gyproc.be/downloadpib?PIB=G131739&amp;TYPE=PDFFR</t>
  </si>
  <si>
    <t>http://www.gyproc.be/downloadpib?PIB=G131739&amp;TYPE=PDFNL</t>
  </si>
  <si>
    <t>AquaBead Angle saillant</t>
  </si>
  <si>
    <t>AquaBead Buitenhoek</t>
  </si>
  <si>
    <t>Profilé pour des angles extérieures 90°, autocollant par hydro-activation</t>
  </si>
  <si>
    <t>Stootvast profiel voor buitenhoeken 90°, met watergeactiveerde lijm</t>
  </si>
  <si>
    <t>G131739</t>
  </si>
  <si>
    <t>http://www.gyproc.be/downloadpib?PIB=G131983&amp;TYPE=IMG</t>
  </si>
  <si>
    <t>http://www.gyproc.be/downloadpib?PIB=G131983&amp;TYPE=PDFFR</t>
  </si>
  <si>
    <t>http://www.gyproc.be/downloadpib?PIB=G131983&amp;TYPE=PDFNL</t>
  </si>
  <si>
    <t>G131983</t>
  </si>
  <si>
    <t>http://www.gyproc.be/downloadpib?PIB=G131740&amp;TYPE=IMG</t>
  </si>
  <si>
    <t>http://www.gyproc.be/downloadpib?PIB=G131740&amp;TYPE=PDFFR</t>
  </si>
  <si>
    <t>http://www.gyproc.be/downloadpib?PIB=G131740&amp;TYPE=PDFNL</t>
  </si>
  <si>
    <t>AquaBead L-Trim</t>
  </si>
  <si>
    <t>Profilé d’arrêt renforcé, résistante aux chocs, autocollant par hydro-activation</t>
  </si>
  <si>
    <t>Stootvast stopprofiel voor plaatdikte 12,5 mm, met watergeactiveerde lijm</t>
  </si>
  <si>
    <t>G131740</t>
  </si>
  <si>
    <t>http://www.gyproc.be/downloadpib?PIB=G131738&amp;TYPE=IMG</t>
  </si>
  <si>
    <t>http://www.gyproc.be/downloadpib?PIB=G131738&amp;TYPE=PDFFR</t>
  </si>
  <si>
    <t>http://www.gyproc.be/downloadpib?PIB=G131738&amp;TYPE=PDFNL</t>
  </si>
  <si>
    <t>Optimus Arch</t>
  </si>
  <si>
    <t>Profilé d’arrêt renforcé pour arrondis concaves</t>
  </si>
  <si>
    <t>Stootvast profiel voor gebogen hoekafwerking</t>
  </si>
  <si>
    <t>G128802</t>
  </si>
  <si>
    <t>G131738</t>
  </si>
  <si>
    <t>http://www.gyproc.be/downloadpib?PIB=G131737&amp;TYPE=IMG</t>
  </si>
  <si>
    <t>http://www.gyproc.be/downloadpib?PIB=G131737&amp;TYPE=PDFFR</t>
  </si>
  <si>
    <t>http://www.gyproc.be/downloadpib?PIB=G131737&amp;TYPE=PDFNL</t>
  </si>
  <si>
    <t>Optimus L-Trim</t>
  </si>
  <si>
    <t>Profilé d’arrêt renforcé, résistante aux chocs</t>
  </si>
  <si>
    <t>Stootvast stopprofiel voor plaatdikte 12,5 mm</t>
  </si>
  <si>
    <t>G126556</t>
  </si>
  <si>
    <t>G131737</t>
  </si>
  <si>
    <t>http://www.gyproc.be/downloadpib?PIB=G131741&amp;TYPE=IMG</t>
  </si>
  <si>
    <t>http://www.gyproc.be/downloadpib?PIB=G131741&amp;TYPE=PDFFR</t>
  </si>
  <si>
    <t>http://www.gyproc.be/downloadpib?PIB=G131741&amp;TYPE=PDFNL</t>
  </si>
  <si>
    <t>EasyFlex PRO</t>
  </si>
  <si>
    <t>Bande de parachèvement pliable, résistante aux chocs</t>
  </si>
  <si>
    <t>Stootvaste plooibare afwerkingsband</t>
  </si>
  <si>
    <t>G126555</t>
  </si>
  <si>
    <t>G131741</t>
  </si>
  <si>
    <t>http://www.gyproc.be/downloadpib?PIB=G129286&amp;TYPE=PDFFR</t>
  </si>
  <si>
    <t>http://www.gyproc.be/downloadpib?PIB=G129286&amp;TYPE=PDFNL</t>
  </si>
  <si>
    <t>Board Stop 15 mm</t>
  </si>
  <si>
    <t>Profilé d’arrêt pour plaques Gyptone et Gyproc®</t>
  </si>
  <si>
    <t>Stopprofiel voor Gyptone- en Gyproc®-platen</t>
  </si>
  <si>
    <t>Board Stop</t>
  </si>
  <si>
    <t>G129286</t>
  </si>
  <si>
    <t>http://www.gyproc.be/downloadpib?PIB=G116899&amp;TYPE=PDFFR</t>
  </si>
  <si>
    <t>http://www.gyproc.be/downloadpib?PIB=G116899&amp;TYPE=PDFNL</t>
  </si>
  <si>
    <t>Board Stop 12,5 mm</t>
  </si>
  <si>
    <t>G116899</t>
  </si>
  <si>
    <t>http://www.gyproc.be/downloadpib?PIB=G103287&amp;TYPE=PDFFR</t>
  </si>
  <si>
    <t>http://www.gyproc.be/downloadpib?PIB=G103287&amp;TYPE=PDFNL</t>
  </si>
  <si>
    <t>Metal Edge Trim</t>
  </si>
  <si>
    <t>Profilé d’arrêt pour plaques Gyproc®</t>
  </si>
  <si>
    <t>Stopprofiel voor Gyproc®-platen</t>
  </si>
  <si>
    <t>G103287</t>
  </si>
  <si>
    <t>http://www.gyproc.be/downloadpib?PIB=G103060&amp;TYPE=PDFFR</t>
  </si>
  <si>
    <t>http://www.gyproc.be/downloadpib?PIB=G103060&amp;TYPE=PDFNL</t>
  </si>
  <si>
    <t>Flex Corner 30 m</t>
  </si>
  <si>
    <t>Bande de parachèvement et de renfort pour tous les types d’angles saillants</t>
  </si>
  <si>
    <t>Versterkings- en afwerkingsband voor buitenhoeken onder willekeurige hoek</t>
  </si>
  <si>
    <t>G103060</t>
  </si>
  <si>
    <t>http://www.gyproc.be/downloadpib?PIB=G114018&amp;TYPE=IMG</t>
  </si>
  <si>
    <t>http://www.gyproc.be/downloadpib?PIB=G114018&amp;TYPE=PDFFR</t>
  </si>
  <si>
    <t>http://www.gyproc.be/downloadpib?PIB=G114018&amp;TYPE=PDFNL</t>
  </si>
  <si>
    <t xml:space="preserve">cornière métalliques pour plaques de plâtre </t>
  </si>
  <si>
    <t xml:space="preserve">metalen hoekprofiel voor gebruik met gipsplaten </t>
  </si>
  <si>
    <t>PB - AB</t>
  </si>
  <si>
    <t>Corner Bead</t>
  </si>
  <si>
    <t>Profilé de parachèvement et de renfort pour angles saillants droits (90°)</t>
  </si>
  <si>
    <t>Versterkings- en afwerkingsprofiel voor rechte buitenhoeken (90°)</t>
  </si>
  <si>
    <t>G114018</t>
  </si>
  <si>
    <t>http://www.gyproc.be/downloadpib?PIB=G122973&amp;TYPE=IMG</t>
  </si>
  <si>
    <t>http://www.gyproc.be/downloadpib?PIB=G122973&amp;TYPE=PDFFR</t>
  </si>
  <si>
    <t>http://www.gyproc.be/downloadpib?PIB=G122973&amp;TYPE=PDFNL</t>
  </si>
  <si>
    <t>Bande d'armature Fibre de verre H50</t>
  </si>
  <si>
    <t>Glasvezel Voegband H50</t>
  </si>
  <si>
    <t>Bande d’armature dans le système de Glasroc H</t>
  </si>
  <si>
    <t>Wapeningsband in het Glasroc H-systeem</t>
  </si>
  <si>
    <t>Bande d'armature H50</t>
  </si>
  <si>
    <t>Glasvezel voegband H50</t>
  </si>
  <si>
    <t>G122973</t>
  </si>
  <si>
    <t>http://www.gyproc.be/downloadpib?PIB=G124694&amp;TYPE=IMG</t>
  </si>
  <si>
    <t>http://www.gyproc.be/downloadpib?PIB=G124694&amp;TYPE=PDFFR</t>
  </si>
  <si>
    <t>http://www.gyproc.be/downloadpib?PIB=G124694&amp;TYPE=PDFNL</t>
  </si>
  <si>
    <t>Bande d'armature G50</t>
  </si>
  <si>
    <t>Zelfklevende voegband G50</t>
  </si>
  <si>
    <t>Bande d’armature autocollante dans le système de jointoiement ABA</t>
  </si>
  <si>
    <t>Zelfklevende wapeningsband in het ABA-voegsysteem</t>
  </si>
  <si>
    <t>G124694</t>
  </si>
  <si>
    <t>http://www.gyproc.be/downloadpib?PIB=G103056&amp;TYPE=IMG</t>
  </si>
  <si>
    <t>http://www.gyproc.be/downloadpib?PIB=G103056&amp;TYPE=PDFFR</t>
  </si>
  <si>
    <t>http://www.gyproc.be/downloadpib?PIB=G103056&amp;TYPE=PDFNL</t>
  </si>
  <si>
    <t>Bande d'armature P50</t>
  </si>
  <si>
    <t>Papieren voegband P50</t>
  </si>
  <si>
    <t>Bande d’armature dans le système de jointoiement ABA</t>
  </si>
  <si>
    <t>Wapeningsband in het ABA-voegsysteem</t>
  </si>
  <si>
    <t>G103056</t>
  </si>
  <si>
    <t>http://www.gyproc.be/downloadpib?PIB=G126472&amp;TYPE=PDFFR</t>
  </si>
  <si>
    <t>http://www.gyproc.be/downloadpib?PIB=G126472&amp;TYPE=PDFNL</t>
  </si>
  <si>
    <t>http://www.gyproc.be/downloaddop?DOP=Gyproc_JointFinisher_Premium_LE_0613_FR.pdf</t>
  </si>
  <si>
    <t>http://www.gyproc.be/downloaddop?DOP=Gyproc_JointFinisher_Premium_LE_0613_NL.pdf</t>
  </si>
  <si>
    <t>JointFinisher Premium</t>
  </si>
  <si>
    <t>Produit de finition pour traiter la finition des joints</t>
  </si>
  <si>
    <t>Voegproduct in poedervorm voor het afwerken van voegen</t>
  </si>
  <si>
    <t>G126472</t>
  </si>
  <si>
    <t>http://www.gyproc.be/downloadpib?PIB=G131774&amp;TYPE=IMG</t>
  </si>
  <si>
    <t>http://www.gyproc.be/downloadpib?PIB=G131774&amp;TYPE=PDFFR</t>
  </si>
  <si>
    <t>http://www.gyproc.be/downloadpib?PIB=G131774&amp;TYPE=PDFNL</t>
  </si>
  <si>
    <t>2A</t>
  </si>
  <si>
    <t>ProMix Airless S</t>
  </si>
  <si>
    <t>Enduit pour application airless</t>
  </si>
  <si>
    <t>Spuitplamuur voor airless toepassing</t>
  </si>
  <si>
    <t>G131774</t>
  </si>
  <si>
    <t>http://www.gyproc.be/downloadpib?PIB=G129715&amp;TYPE=IMG</t>
  </si>
  <si>
    <t>http://www.gyproc.be/downloadpib?PIB=G129715&amp;TYPE=PDFFR</t>
  </si>
  <si>
    <t>http://www.gyproc.be/downloadpib?PIB=G129715&amp;TYPE=PDFNL</t>
  </si>
  <si>
    <t>ProMix Airless F</t>
  </si>
  <si>
    <t>Enduit en pâte prêt à l'emploi pour l'enduisage</t>
  </si>
  <si>
    <t>Gebruiksklare fijne spuitplamuur</t>
  </si>
  <si>
    <t>G129715</t>
  </si>
  <si>
    <t>http://www.gyproc.be/downloadpib?PIB=G131562&amp;TYPE=IMG</t>
  </si>
  <si>
    <t>http://www.gyproc.be/downloadpib?PIB=G131562&amp;TYPE=PDFFR</t>
  </si>
  <si>
    <t>http://www.gyproc.be/downloadpib?PIB=G131562&amp;TYPE=PDFNL</t>
  </si>
  <si>
    <t>ProMix Hydro</t>
  </si>
  <si>
    <t>Produit prêt à l'emploi pour endroits humides</t>
  </si>
  <si>
    <t>Gebruiksklare voegspecie voor vochtige ruimtes</t>
  </si>
  <si>
    <t>G131562</t>
  </si>
  <si>
    <t>http://www.gyproc.be/downloadpib?PIB=G131646&amp;TYPE=IMG</t>
  </si>
  <si>
    <t>http://www.gyproc.be/downloadpib?PIB=G131646&amp;TYPE=PDFFR</t>
  </si>
  <si>
    <t>http://www.gyproc.be/downloadpib?PIB=G131646&amp;TYPE=PDFNL</t>
  </si>
  <si>
    <t>ProMix Light</t>
  </si>
  <si>
    <t>Enduit blanc allégé, prêt à l’emploi pour le jointoiement et la finition</t>
  </si>
  <si>
    <t>Lichtgewicht, kant-en-klare voegenvuller en finisher</t>
  </si>
  <si>
    <t>G131646</t>
  </si>
  <si>
    <t>http://www.gyproc.be/downloadpib?PIB=G131492&amp;TYPE=IMG</t>
  </si>
  <si>
    <t>http://www.gyproc.be/downloadpib?PIB=G131492&amp;TYPE=PDFFR</t>
  </si>
  <si>
    <t>http://www.gyproc.be/downloadpib?PIB=G131492&amp;TYPE=PDFNL</t>
  </si>
  <si>
    <t>Produit de jointoiement allégé - prêt à l'emploi</t>
  </si>
  <si>
    <t>Gebruiksklare universele voegspecie als eindlaag in het tweelagige ABA-voegsysteem</t>
  </si>
  <si>
    <t>G131492</t>
  </si>
  <si>
    <t>http://www.gyproc.be/downloadpib?PIB=G126550&amp;TYPE=IMG</t>
  </si>
  <si>
    <t>http://www.gyproc.be/downloadpib?PIB=G126550&amp;TYPE=PDFFR</t>
  </si>
  <si>
    <t>http://www.gyproc.be/downloadpib?PIB=G126550&amp;TYPE=PDFNL</t>
  </si>
  <si>
    <t>http://www.gyproc.be/downloaddop?DOP=Gyproc_Rifino_Premium_LE_0613_FR.pdf</t>
  </si>
  <si>
    <t>http://www.gyproc.be/downloaddop?DOP=Gyproc_Rifino_Premium_LE_0613_NL.pdf</t>
  </si>
  <si>
    <t>Rifino Premium</t>
  </si>
  <si>
    <t>Produit de jointoiement et enduit de peintre</t>
  </si>
  <si>
    <t>Universeel voegproduct en schildersplamuur op gipsbasis</t>
  </si>
  <si>
    <t>G126550</t>
  </si>
  <si>
    <t>http://www.gyproc.be/downloadpib?PIB=G132445&amp;TYPE=IMG</t>
  </si>
  <si>
    <t>http://www.gyproc.be/downloadpib?PIB=G132445&amp;TYPE=PDFFR</t>
  </si>
  <si>
    <t>http://www.gyproc.be/downloadpib?PIB=G132445&amp;TYPE=PDFNL</t>
  </si>
  <si>
    <t>4B</t>
  </si>
  <si>
    <t>JointFiller Vario H</t>
  </si>
  <si>
    <t>Produit de jointoiment à base de plâtre, pour endroits humides</t>
  </si>
  <si>
    <t>Waterwerend voegproduct op gipsbasis</t>
  </si>
  <si>
    <t>G132445</t>
  </si>
  <si>
    <t>http://www.gyproc.be/downloadpib?PIB=G124180&amp;TYPE=PDFFR</t>
  </si>
  <si>
    <t>http://www.gyproc.be/downloadpib?PIB=G124180&amp;TYPE=PDFNL</t>
  </si>
  <si>
    <t>http://www.gyproc.be/downloaddop?DOP=Gyproc_JointFiller_Vario_LE_0613_FR.pdf</t>
  </si>
  <si>
    <t>http://www.gyproc.be/downloaddop?DOP=Gyproc_JointFiller_Vario_LE_0613_NL.pdf</t>
  </si>
  <si>
    <t>JointFiller Vario</t>
  </si>
  <si>
    <t>Produit de jointoiment multi-usage à base de plâtre</t>
  </si>
  <si>
    <t>Multifunctioneel voegproduct</t>
  </si>
  <si>
    <t>G124180</t>
  </si>
  <si>
    <t>http://www.gyproc.be/downloadpib?PIB=A83220025&amp;TYPE=PDFFR</t>
  </si>
  <si>
    <t>http://www.gyproc.be/downloadpib?PIB=A83220025&amp;TYPE=PDFNL</t>
  </si>
  <si>
    <t>JointFiller 120</t>
  </si>
  <si>
    <t>Produit de jointoiement avec temps d’utilisation prolongé, pour le remplissage du joint ABA</t>
  </si>
  <si>
    <t>Universeel voegproduct op gipsbasis (met langere verwerkingstijd) voor het vullen van de ABA-voegen</t>
  </si>
  <si>
    <t>A83220025</t>
  </si>
  <si>
    <t>JointFiller 90</t>
  </si>
  <si>
    <t xml:space="preserve">Enduit de jointoiement à base d'une poudre très fine composée de plâtre et d'additifs </t>
  </si>
  <si>
    <t xml:space="preserve">Voegenvuller op basis van fijn gipspoeder en toeslagstoffen </t>
  </si>
  <si>
    <t>Produit de jointoiement universel à base de plâtre, pour le remplissage du joint ABA</t>
  </si>
  <si>
    <t>Universeel voegproduct op gipsbasis voor het vullen van de ABA-voegen</t>
  </si>
  <si>
    <t>G131874</t>
  </si>
  <si>
    <t>http://www.gyproc.be/downloadpib?PIB=G124154&amp;TYPE=PDFFR</t>
  </si>
  <si>
    <t>http://www.gyproc.be/downloadpib?PIB=G124154&amp;TYPE=PDFNL</t>
  </si>
  <si>
    <t>JointFiller 45</t>
  </si>
  <si>
    <t>G124154</t>
  </si>
  <si>
    <t>http://www.gyproc.be/downloadpib?PIB=G132297&amp;TYPE=IMG</t>
  </si>
  <si>
    <t>http://www.gyproc.be/downloadpib?PIB=G132297&amp;TYPE=PDFFR</t>
  </si>
  <si>
    <t>http://www.gyproc.be/downloadpib?PIB=G132297&amp;TYPE=PDFNL</t>
  </si>
  <si>
    <t>B</t>
  </si>
  <si>
    <t>NBN EN 14190:2014</t>
  </si>
  <si>
    <t>A2-s1, d0 (C.4)</t>
  </si>
  <si>
    <t>Gyptone INSTANT Sixto 60</t>
  </si>
  <si>
    <t>Amélioration acoustique dans des pièces existantes</t>
  </si>
  <si>
    <t>Akoestische verbetering in bestaande ruimtes</t>
  </si>
  <si>
    <t>Gyptone® Instant</t>
  </si>
  <si>
    <t>G131037</t>
  </si>
  <si>
    <t>G132297</t>
  </si>
  <si>
    <t>http://www.gyproc.be/downloadpib?PIB=G132296&amp;TYPE=IMG</t>
  </si>
  <si>
    <t>http://www.gyproc.be/downloadpib?PIB=G132296&amp;TYPE=PDFFR</t>
  </si>
  <si>
    <t>http://www.gyproc.be/downloadpib?PIB=G132296&amp;TYPE=PDFNL</t>
  </si>
  <si>
    <t>Gyptone INSTANT Quattro 20</t>
  </si>
  <si>
    <t>G131035</t>
  </si>
  <si>
    <t>G132296</t>
  </si>
  <si>
    <t>http://www.gyproc.be/downloadpib?PIB=G132295&amp;TYPE=IMG</t>
  </si>
  <si>
    <t>http://www.gyproc.be/downloadpib?PIB=G132295&amp;TYPE=PDFFR</t>
  </si>
  <si>
    <t>http://www.gyproc.be/downloadpib?PIB=G132295&amp;TYPE=PDFNL</t>
  </si>
  <si>
    <t>Gyptone INSTANT Point 11</t>
  </si>
  <si>
    <t>G131036</t>
  </si>
  <si>
    <t>G132295</t>
  </si>
  <si>
    <t>http://www.gyproc.be/downloadpib?PIB=G132294&amp;TYPE=IMG</t>
  </si>
  <si>
    <t>http://www.gyproc.be/downloadpib?PIB=G132294&amp;TYPE=PDFFR</t>
  </si>
  <si>
    <t>http://www.gyproc.be/downloadpib?PIB=G132294&amp;TYPE=PDFNL</t>
  </si>
  <si>
    <t>Gyptone INSTANT Line 4</t>
  </si>
  <si>
    <t>G131034</t>
  </si>
  <si>
    <t>G132294</t>
  </si>
  <si>
    <t>http://www.gyproc.be/downloadpib?PIB=ZIB00230&amp;TYPE=IMG</t>
  </si>
  <si>
    <t>http://www.gyproc.be/downloadpib?PIB=ZIB00230&amp;TYPE=PDFFR</t>
  </si>
  <si>
    <t>http://www.gyproc.be/downloadpib?PIB=ZIB00230&amp;TYPE=PDFNL</t>
  </si>
  <si>
    <t>M</t>
  </si>
  <si>
    <t>plaques de plâtre coupées et fraisées</t>
  </si>
  <si>
    <t>verzaagde en ingefreesde gipskartonplaat</t>
  </si>
  <si>
    <t>DFH2</t>
  </si>
  <si>
    <t>GypForm Rf</t>
  </si>
  <si>
    <t>Eléments de plaques de plâtre prêts à monter pour des formes en escalier</t>
  </si>
  <si>
    <t>Voorbereide gipskartonvormen met V-groef</t>
  </si>
  <si>
    <t>ZIB00230</t>
  </si>
  <si>
    <t>http://www.gyproc.be/downloadpib?PIB=ZIB00229&amp;TYPE=IMG</t>
  </si>
  <si>
    <t>http://www.gyproc.be/downloadpib?PIB=ZIB00229&amp;TYPE=PDFFR</t>
  </si>
  <si>
    <t>http://www.gyproc.be/downloadpib?PIB=ZIB00229&amp;TYPE=PDFNL</t>
  </si>
  <si>
    <t>ZIB00229</t>
  </si>
  <si>
    <t>http://www.gyproc.be/downloadpib?PIB=ZIB00228&amp;TYPE=IMG</t>
  </si>
  <si>
    <t>http://www.gyproc.be/downloadpib?PIB=ZIB00228&amp;TYPE=PDFFR</t>
  </si>
  <si>
    <t>http://www.gyproc.be/downloadpib?PIB=ZIB00228&amp;TYPE=PDFNL</t>
  </si>
  <si>
    <t>ZIB00228</t>
  </si>
  <si>
    <t>http://www.gyproc.be/downloadpib?PIB=ZIB00227&amp;TYPE=IMG</t>
  </si>
  <si>
    <t>http://www.gyproc.be/downloadpib?PIB=ZIB00227&amp;TYPE=PDFFR</t>
  </si>
  <si>
    <t>http://www.gyproc.be/downloadpib?PIB=ZIB00227&amp;TYPE=PDFNL</t>
  </si>
  <si>
    <t>GypForm A</t>
  </si>
  <si>
    <t>ZIB00227</t>
  </si>
  <si>
    <t>http://www.gyproc.be/downloadpib?PIB=ZIB00226&amp;TYPE=IMG</t>
  </si>
  <si>
    <t>http://www.gyproc.be/downloadpib?PIB=ZIB00226&amp;TYPE=PDFFR</t>
  </si>
  <si>
    <t>http://www.gyproc.be/downloadpib?PIB=ZIB00226&amp;TYPE=PDFNL</t>
  </si>
  <si>
    <t>ZIB00226</t>
  </si>
  <si>
    <t>http://www.gyproc.be/downloadpib?PIB=ZIB00225&amp;TYPE=IMG</t>
  </si>
  <si>
    <t>http://www.gyproc.be/downloadpib?PIB=ZIB00225&amp;TYPE=PDFFR</t>
  </si>
  <si>
    <t>http://www.gyproc.be/downloadpib?PIB=ZIB00225&amp;TYPE=PDFNL</t>
  </si>
  <si>
    <t>ZIB00225</t>
  </si>
  <si>
    <t>http://www.gyproc.be/downloadpib?PIB=ZIB00224&amp;TYPE=IMG</t>
  </si>
  <si>
    <t>http://www.gyproc.be/downloadpib?PIB=ZIB00224&amp;TYPE=PDFFR</t>
  </si>
  <si>
    <t>http://www.gyproc.be/downloadpib?PIB=ZIB00224&amp;TYPE=PDFNL</t>
  </si>
  <si>
    <t>ZIB00224</t>
  </si>
  <si>
    <t>http://www.gyproc.be/downloadpib?PIB=ZIB00223&amp;TYPE=IMG</t>
  </si>
  <si>
    <t>http://www.gyproc.be/downloadpib?PIB=ZIB00223&amp;TYPE=PDFFR</t>
  </si>
  <si>
    <t>http://www.gyproc.be/downloadpib?PIB=ZIB00223&amp;TYPE=PDFNL</t>
  </si>
  <si>
    <t>ZIB00223</t>
  </si>
  <si>
    <t>http://www.gyproc.be/downloadpib?PIB=ZIB00222&amp;TYPE=IMG</t>
  </si>
  <si>
    <t>http://www.gyproc.be/downloadpib?PIB=ZIB00222&amp;TYPE=PDFFR</t>
  </si>
  <si>
    <t>http://www.gyproc.be/downloadpib?PIB=ZIB00222&amp;TYPE=PDFNL</t>
  </si>
  <si>
    <t>ZIB00222</t>
  </si>
  <si>
    <t>http://www.gyproc.be/downloadpib?PIB=ZIB00221&amp;TYPE=IMG</t>
  </si>
  <si>
    <t>http://www.gyproc.be/downloadpib?PIB=ZIB00221&amp;TYPE=PDFFR</t>
  </si>
  <si>
    <t>http://www.gyproc.be/downloadpib?PIB=ZIB00221&amp;TYPE=PDFNL</t>
  </si>
  <si>
    <t>ZIB00221</t>
  </si>
  <si>
    <t>http://www.gyproc.be/downloadpib?PIB=ZIB00220&amp;TYPE=IMG</t>
  </si>
  <si>
    <t>http://www.gyproc.be/downloadpib?PIB=ZIB00220&amp;TYPE=PDFFR</t>
  </si>
  <si>
    <t>http://www.gyproc.be/downloadpib?PIB=ZIB00220&amp;TYPE=PDFNL</t>
  </si>
  <si>
    <t>ZIB00220</t>
  </si>
  <si>
    <t>http://www.gyproc.be/downloadpib?PIB=ZIB00219&amp;TYPE=IMG</t>
  </si>
  <si>
    <t>http://www.gyproc.be/downloadpib?PIB=ZIB00219&amp;TYPE=PDFFR</t>
  </si>
  <si>
    <t>http://www.gyproc.be/downloadpib?PIB=ZIB00219&amp;TYPE=PDFNL</t>
  </si>
  <si>
    <t>ZIB00219</t>
  </si>
  <si>
    <t>http://www.gyproc.be/downloadpib?PIB=ZIB00218&amp;TYPE=IMG</t>
  </si>
  <si>
    <t>http://www.gyproc.be/downloadpib?PIB=ZIB00218&amp;TYPE=PDFFR</t>
  </si>
  <si>
    <t>http://www.gyproc.be/downloadpib?PIB=ZIB00218&amp;TYPE=PDFNL</t>
  </si>
  <si>
    <t>ZIB00218</t>
  </si>
  <si>
    <t>http://www.gyproc.be/downloadpib?PIB=ZIB00217&amp;TYPE=IMG</t>
  </si>
  <si>
    <t>http://www.gyproc.be/downloadpib?PIB=ZIB00217&amp;TYPE=PDFFR</t>
  </si>
  <si>
    <t>http://www.gyproc.be/downloadpib?PIB=ZIB00217&amp;TYPE=PDFNL</t>
  </si>
  <si>
    <t>ZIB00217</t>
  </si>
  <si>
    <t>http://www.gyproc.be/downloadpib?PIB=ZIB00216&amp;TYPE=IMG</t>
  </si>
  <si>
    <t>http://www.gyproc.be/downloadpib?PIB=ZIB00216&amp;TYPE=PDFFR</t>
  </si>
  <si>
    <t>http://www.gyproc.be/downloadpib?PIB=ZIB00216&amp;TYPE=PDFNL</t>
  </si>
  <si>
    <t>ZIB00216</t>
  </si>
  <si>
    <t>http://www.gyproc.be/downloadpib?PIB=ZIB00215&amp;TYPE=IMG</t>
  </si>
  <si>
    <t>http://www.gyproc.be/downloadpib?PIB=ZIB00215&amp;TYPE=PDFFR</t>
  </si>
  <si>
    <t>http://www.gyproc.be/downloadpib?PIB=ZIB00215&amp;TYPE=PDFNL</t>
  </si>
  <si>
    <t>ZIB00215</t>
  </si>
  <si>
    <t>http://www.gyproc.be/downloadpib?PIB=ZIB00214&amp;TYPE=IMG</t>
  </si>
  <si>
    <t>http://www.gyproc.be/downloadpib?PIB=ZIB00214&amp;TYPE=PDFFR</t>
  </si>
  <si>
    <t>http://www.gyproc.be/downloadpib?PIB=ZIB00214&amp;TYPE=PDFNL</t>
  </si>
  <si>
    <t>ZIB00214</t>
  </si>
  <si>
    <t>http://www.gyproc.be/downloadpib?PIB=ZIB00213&amp;TYPE=IMG</t>
  </si>
  <si>
    <t>http://www.gyproc.be/downloadpib?PIB=ZIB00213&amp;TYPE=PDFFR</t>
  </si>
  <si>
    <t>http://www.gyproc.be/downloadpib?PIB=ZIB00213&amp;TYPE=PDFNL</t>
  </si>
  <si>
    <t>ZIB00213</t>
  </si>
  <si>
    <t>http://www.gyproc.be/downloadpib?PIB=ZIB00212&amp;TYPE=IMG</t>
  </si>
  <si>
    <t>http://www.gyproc.be/downloadpib?PIB=ZIB00212&amp;TYPE=PDFFR</t>
  </si>
  <si>
    <t>http://www.gyproc.be/downloadpib?PIB=ZIB00212&amp;TYPE=PDFNL</t>
  </si>
  <si>
    <t>G132161</t>
  </si>
  <si>
    <t>http://www.gyproc.be/downloadpib?PIB=ZIB00211&amp;TYPE=IMG</t>
  </si>
  <si>
    <t>http://www.gyproc.be/downloadpib?PIB=ZIB00211&amp;TYPE=PDFFR</t>
  </si>
  <si>
    <t>http://www.gyproc.be/downloadpib?PIB=ZIB00211&amp;TYPE=PDFNL</t>
  </si>
  <si>
    <t>ZIB00211</t>
  </si>
  <si>
    <t>http://www.gyproc.be/downloadpib?PIB=ZIB00210&amp;TYPE=IMG</t>
  </si>
  <si>
    <t>http://www.gyproc.be/downloadpib?PIB=ZIB00210&amp;TYPE=PDFFR</t>
  </si>
  <si>
    <t>http://www.gyproc.be/downloadpib?PIB=ZIB00210&amp;TYPE=PDFNL</t>
  </si>
  <si>
    <t>ZIB00210</t>
  </si>
  <si>
    <t>http://www.gyproc.be/downloadpib?PIB=ZIB00209&amp;TYPE=IMG</t>
  </si>
  <si>
    <t>http://www.gyproc.be/downloadpib?PIB=ZIB00209&amp;TYPE=PDFFR</t>
  </si>
  <si>
    <t>http://www.gyproc.be/downloadpib?PIB=ZIB00209&amp;TYPE=PDFNL</t>
  </si>
  <si>
    <t>ZIB00209</t>
  </si>
  <si>
    <t>http://www.gyproc.be/downloadpib?PIB=ZIB00208&amp;TYPE=IMG</t>
  </si>
  <si>
    <t>http://www.gyproc.be/downloadpib?PIB=ZIB00208&amp;TYPE=PDFFR</t>
  </si>
  <si>
    <t>http://www.gyproc.be/downloadpib?PIB=ZIB00208&amp;TYPE=PDFNL</t>
  </si>
  <si>
    <t>ZIB00208</t>
  </si>
  <si>
    <t>http://www.gyproc.be/downloadpib?PIB=ZIB00207&amp;TYPE=IMG</t>
  </si>
  <si>
    <t>http://www.gyproc.be/downloadpib?PIB=ZIB00207&amp;TYPE=PDFFR</t>
  </si>
  <si>
    <t>http://www.gyproc.be/downloadpib?PIB=ZIB00207&amp;TYPE=PDFNL</t>
  </si>
  <si>
    <t>ZIB00207</t>
  </si>
  <si>
    <t>http://www.gyproc.be/downloadpib?PIB=ZIB00206&amp;TYPE=IMG</t>
  </si>
  <si>
    <t>http://www.gyproc.be/downloadpib?PIB=ZIB00206&amp;TYPE=PDFFR</t>
  </si>
  <si>
    <t>http://www.gyproc.be/downloadpib?PIB=ZIB00206&amp;TYPE=PDFNL</t>
  </si>
  <si>
    <t>ZIB00206</t>
  </si>
  <si>
    <t>http://www.gyproc.be/downloadpib?PIB=ZIB00205&amp;TYPE=IMG</t>
  </si>
  <si>
    <t>http://www.gyproc.be/downloadpib?PIB=ZIB00205&amp;TYPE=PDFFR</t>
  </si>
  <si>
    <t>http://www.gyproc.be/downloadpib?PIB=ZIB00205&amp;TYPE=PDFNL</t>
  </si>
  <si>
    <t>ZIB00205</t>
  </si>
  <si>
    <t>http://www.gyproc.be/downloadpib?PIB=ZIB00204&amp;TYPE=IMG</t>
  </si>
  <si>
    <t>http://www.gyproc.be/downloadpib?PIB=ZIB00204&amp;TYPE=PDFFR</t>
  </si>
  <si>
    <t>http://www.gyproc.be/downloadpib?PIB=ZIB00204&amp;TYPE=PDFNL</t>
  </si>
  <si>
    <t>ZIB00204</t>
  </si>
  <si>
    <t>http://www.gyproc.be/downloadpib?PIB=ZIB00203&amp;TYPE=IMG</t>
  </si>
  <si>
    <t>http://www.gyproc.be/downloadpib?PIB=ZIB00203&amp;TYPE=PDFFR</t>
  </si>
  <si>
    <t>http://www.gyproc.be/downloadpib?PIB=ZIB00203&amp;TYPE=PDFNL</t>
  </si>
  <si>
    <t>ZIB00203</t>
  </si>
  <si>
    <t>http://www.gyproc.be/downloadpib?PIB=ZIB00202&amp;TYPE=IMG</t>
  </si>
  <si>
    <t>http://www.gyproc.be/downloadpib?PIB=ZIB00202&amp;TYPE=PDFFR</t>
  </si>
  <si>
    <t>http://www.gyproc.be/downloadpib?PIB=ZIB00202&amp;TYPE=PDFNL</t>
  </si>
  <si>
    <t>ZIB00202</t>
  </si>
  <si>
    <t>http://www.gyproc.be/downloadpib?PIB=ZIB00201&amp;TYPE=IMG</t>
  </si>
  <si>
    <t>http://www.gyproc.be/downloadpib?PIB=ZIB00201&amp;TYPE=PDFFR</t>
  </si>
  <si>
    <t>http://www.gyproc.be/downloadpib?PIB=ZIB00201&amp;TYPE=PDFNL</t>
  </si>
  <si>
    <t>ZIB00201</t>
  </si>
  <si>
    <r>
      <t>15 x 10</t>
    </r>
    <r>
      <rPr>
        <vertAlign val="superscript"/>
        <sz val="10"/>
        <rFont val="Arial"/>
        <family val="2"/>
      </rPr>
      <t>-6</t>
    </r>
  </si>
  <si>
    <t>Moulages légers renforcés par des fibres de verre, renforcés par un complexe en fibres de verre</t>
  </si>
  <si>
    <t>Lichtgewicht glasvezelversterkte gipselementen, versterkt met non-woven glasvezelmatten</t>
  </si>
  <si>
    <t>Moulages de plâtre en trois dimensions pour un design architectural exclusif</t>
  </si>
  <si>
    <t>3-dimensionele gipselementen voor exclusief architectuurdesign</t>
  </si>
  <si>
    <t>GypArt®</t>
  </si>
  <si>
    <t>GDART</t>
  </si>
  <si>
    <t>A2-s1, d0</t>
  </si>
  <si>
    <t>Cove 127</t>
  </si>
  <si>
    <t>Moulures pour une jonction cloison-plafond parfaite</t>
  </si>
  <si>
    <t>Kooflijsten in gipskarton voor een perfecte aansluiting wand-plafond</t>
  </si>
  <si>
    <t>Moulures Gyproc</t>
  </si>
  <si>
    <t>Gyproc kooflijsten</t>
  </si>
  <si>
    <t>G122181</t>
  </si>
  <si>
    <t>Cove 100</t>
  </si>
  <si>
    <t>G122183</t>
  </si>
  <si>
    <t>http://www.gyproc.be/downloadpib?PIB=G126763&amp;TYPE=PDFFR</t>
  </si>
  <si>
    <t>http://www.gyproc.be/downloadpib?PIB=G126763&amp;TYPE=PDFNL</t>
  </si>
  <si>
    <t>http://www.gyproc.be/downloaddop?DOP=SG_GY_2013_A1ABA19A007_FR.pdf</t>
  </si>
  <si>
    <t>http://www.gyproc.be/downloaddop?DOP=SG_GY_2013_A1ABA19A007_NL.pdf</t>
  </si>
  <si>
    <t>GBC</t>
  </si>
  <si>
    <t>SG_GY_2013_A1ABA19A007</t>
  </si>
  <si>
    <t>plaque de plâtre renforcée par des membranes en fibre de verre</t>
  </si>
  <si>
    <t>gipsplaat versterkt met glasvliesmat</t>
  </si>
  <si>
    <t>GM-F-H1</t>
  </si>
  <si>
    <t>NBN EN 15283-1:2009</t>
  </si>
  <si>
    <t>Glasroc F</t>
  </si>
  <si>
    <t>Pour le montage coupe feu des plafonds perforées</t>
  </si>
  <si>
    <t>Voor brandwerende opbouw van geperforeerde plafonds</t>
  </si>
  <si>
    <t>G126763</t>
  </si>
  <si>
    <t>http://www.gyproc.be/downloadpib?PIB=G128174&amp;TYPE=PDFFR</t>
  </si>
  <si>
    <t>http://www.gyproc.be/downloadpib?PIB=G128174&amp;TYPE=PDFNL</t>
  </si>
  <si>
    <t>G128174</t>
  </si>
  <si>
    <t>http://www.gyproc.be/downloadpib?PIB=G126764&amp;TYPE=PDFFR</t>
  </si>
  <si>
    <t>http://www.gyproc.be/downloadpib?PIB=G126764&amp;TYPE=PDFNL</t>
  </si>
  <si>
    <t>G126764</t>
  </si>
  <si>
    <t>http://www.gyproc.be/downloadpib?PIB=G124020&amp;TYPE=PDFFR</t>
  </si>
  <si>
    <t>http://www.gyproc.be/downloadpib?PIB=G124020&amp;TYPE=PDFNL</t>
  </si>
  <si>
    <t>http://www.gyproc.be/downloaddop?DOP=SG_GY_2013_A1ABA19A012_FR.pdf</t>
  </si>
  <si>
    <t>http://www.gyproc.be/downloaddop?DOP=SG_GY_2013_A1ABA19A012_NL.pdf</t>
  </si>
  <si>
    <t>SG_GY_2013_A1ABA19A012</t>
  </si>
  <si>
    <t>Plaques de plâtre incombustible renforcées par des membranes en fibre de verre</t>
  </si>
  <si>
    <t>Onbrandbare glasvliesversterkte gipsplaten</t>
  </si>
  <si>
    <t>G124020</t>
  </si>
  <si>
    <t>http://www.gyproc.be/downloadpib?PIB=G124019&amp;TYPE=PDFFR</t>
  </si>
  <si>
    <t>http://www.gyproc.be/downloadpib?PIB=G124019&amp;TYPE=PDFNL</t>
  </si>
  <si>
    <t>http://www.gyproc.be/downloaddop?DOP=SG_GY_2013_A1ABA19A011_FR.pdf</t>
  </si>
  <si>
    <t>http://www.gyproc.be/downloaddop?DOP=SG_GY_2013_A1ABA19A011_NL.pdf</t>
  </si>
  <si>
    <t>SG_GY_2013_A1ABA19A011</t>
  </si>
  <si>
    <t>G124019</t>
  </si>
  <si>
    <t>http://www.gyproc.be/downloadpib?PIB=G124018&amp;TYPE=PDFFR</t>
  </si>
  <si>
    <t>http://www.gyproc.be/downloadpib?PIB=G124018&amp;TYPE=PDFNL</t>
  </si>
  <si>
    <t>http://www.gyproc.be/downloaddop?DOP=SG_GY_2013_A1ABA19A009_FR.pdf</t>
  </si>
  <si>
    <t>http://www.gyproc.be/downloaddop?DOP=SG_GY_2013_A1ABA19A009_NL.pdf</t>
  </si>
  <si>
    <t>SG_GY_2013_A1ABA19A009</t>
  </si>
  <si>
    <t>G124018</t>
  </si>
  <si>
    <t>http://www.gyproc.be/downloadpib?PIB=G124017&amp;TYPE=PDFFR</t>
  </si>
  <si>
    <t>http://www.gyproc.be/downloadpib?PIB=G124017&amp;TYPE=PDFNL</t>
  </si>
  <si>
    <t>G124017</t>
  </si>
  <si>
    <t>http://www.gyproc.be/downloadpib?PIB=G124016&amp;TYPE=PDFFR</t>
  </si>
  <si>
    <t>http://www.gyproc.be/downloadpib?PIB=G124016&amp;TYPE=PDFNL</t>
  </si>
  <si>
    <t>G124016</t>
  </si>
  <si>
    <t>http://www.gyproc.be/downloadpib?PIB=G124015&amp;TYPE=PDFFR</t>
  </si>
  <si>
    <t>http://www.gyproc.be/downloadpib?PIB=G124015&amp;TYPE=PDFNL</t>
  </si>
  <si>
    <t>G124015</t>
  </si>
  <si>
    <t>http://www.gyproc.be/downloadpib?PIB=G131296&amp;TYPE=IMG</t>
  </si>
  <si>
    <t>http://www.gyproc.be/downloaddop?DOP=SG_GY_2013_A1ABA20A005_FR.pdf</t>
  </si>
  <si>
    <t>http://www.gyproc.be/downloaddop?DOP=SG_GY_2013_A1ABA20A005_NL.pdf</t>
  </si>
  <si>
    <t>Glasroc H</t>
  </si>
  <si>
    <t>Plaques de plâtre hydrofuges renforcées par des membranes en fibre de verre</t>
  </si>
  <si>
    <t>Glasvliesversterkte gipsplaten met verhoogde waterwerendheid</t>
  </si>
  <si>
    <t>G131296</t>
  </si>
  <si>
    <t>http://www.gyproc.be/downloadpib?PIB=G131295&amp;TYPE=IMG</t>
  </si>
  <si>
    <t>G131295</t>
  </si>
  <si>
    <t>http://www.gyproc.be/downloadpib?PIB=G130647&amp;TYPE=IMG</t>
  </si>
  <si>
    <t xml:space="preserve">NBN EN 13162:2013 </t>
  </si>
  <si>
    <t>Bandes latérales Rigidur</t>
  </si>
  <si>
    <t>Rigidur randisolatie stroken</t>
  </si>
  <si>
    <t>Bandes latérales Rigidur®</t>
  </si>
  <si>
    <t>Rigidur® randisolatie stroken</t>
  </si>
  <si>
    <t>G130647</t>
  </si>
  <si>
    <t>http://www.gyproc.be/downloadpib?PIB=G132541&amp;TYPE=IMG</t>
  </si>
  <si>
    <t>G132541</t>
  </si>
  <si>
    <t>http://www.gyproc.be/downloadpib?PIB=G121316&amp;TYPE=IMG</t>
  </si>
  <si>
    <t>http://www.gyproc.be/downloadpib?PIB=G121316&amp;TYPE=PDFFR</t>
  </si>
  <si>
    <t>http://www.gyproc.be/downloadpib?PIB=G121316&amp;TYPE=PDFNL</t>
  </si>
  <si>
    <t>DIN 4102-1:1998</t>
  </si>
  <si>
    <t>Granulés d'égalisation Rigidur</t>
  </si>
  <si>
    <t>Rigidur egalisatiekorrels</t>
  </si>
  <si>
    <t>Granulés d'égalisation Rigidur®</t>
  </si>
  <si>
    <t>Rigidur® egalisatiekorrels</t>
  </si>
  <si>
    <t>G121316</t>
  </si>
  <si>
    <t>http://www.gyproc.be/downloadpib?PIB=G126983&amp;TYPE=IMG</t>
  </si>
  <si>
    <t>Rigidur Nature Line Colle 310 ml</t>
  </si>
  <si>
    <t>Rigidur Nature Line voegenlijm 310 ml</t>
  </si>
  <si>
    <t>Rigidur® Nature Line Colle 310 ml</t>
  </si>
  <si>
    <t>Rigidur® Nature Line voegenlijm 310 ml</t>
  </si>
  <si>
    <t>G126983</t>
  </si>
  <si>
    <t>http://www.gyproc.be/downloadpib?PIB=G125623&amp;TYPE=IMG</t>
  </si>
  <si>
    <t>http://www.gyproc.be/downloadpib?PIB=G125623&amp;TYPE=PDFFR</t>
  </si>
  <si>
    <t>http://www.gyproc.be/downloadpib?PIB=G125623&amp;TYPE=PDFNL</t>
  </si>
  <si>
    <t>Rigidur Nature Line Colle pour chape sèche</t>
  </si>
  <si>
    <t>Rigidur Nature Line vloerlijm</t>
  </si>
  <si>
    <t>Rigidur® Nature Line Colle pour chape sèche</t>
  </si>
  <si>
    <t>Rigidur® Nature Line vloerlijm</t>
  </si>
  <si>
    <t>G125623</t>
  </si>
  <si>
    <t>http://www.gyproc.be/downloadpib?PIB=H97041000&amp;TYPE=IMG</t>
  </si>
  <si>
    <t>http://www.gyproc.be/downloadpib?PIB=H97041000&amp;TYPE=PDFFR</t>
  </si>
  <si>
    <t>http://www.gyproc.be/downloadpib?PIB=H97041000&amp;TYPE=PDFNL</t>
  </si>
  <si>
    <t>http://www.gyproc.be/downloaddop?DOP=SG_GY_2013_A1ABA35A007_FR.pdf</t>
  </si>
  <si>
    <t>http://www.gyproc.be/downloaddop?DOP=SG_GY_2013_A1ABA35A007_NL.pdf</t>
  </si>
  <si>
    <t>à H.R. de 30 % à 65 %, à 20°C</t>
  </si>
  <si>
    <t>bij R.V. 30 % en 65 %, bij 20°C</t>
  </si>
  <si>
    <t>B2</t>
  </si>
  <si>
    <t>panneau de plaques de plâtre renforcées de fibres</t>
  </si>
  <si>
    <t>paneel uit gipsvezelplaat</t>
  </si>
  <si>
    <t>GF-C1-I-W2</t>
  </si>
  <si>
    <t>Rigidur Floor E 40 PS</t>
  </si>
  <si>
    <t>Eléments de chape sèche à haute densité</t>
  </si>
  <si>
    <t>Vezelversterkte estrich-vloerelementen met verhoogde densiteit</t>
  </si>
  <si>
    <t>Rigidur® Floor E 40 PS</t>
  </si>
  <si>
    <t>H97041000</t>
  </si>
  <si>
    <t>http://www.gyproc.be/downloadpib?PIB=G121432&amp;TYPE=IMG</t>
  </si>
  <si>
    <t>http://www.gyproc.be/downloadpib?PIB=G121432&amp;TYPE=PDFFR</t>
  </si>
  <si>
    <t>http://www.gyproc.be/downloadpib?PIB=G121432&amp;TYPE=PDFNL</t>
  </si>
  <si>
    <t>http://www.gyproc.be/downloaddop?DOP=SG_GY_2013_A1ABA35A010_FR.pdf</t>
  </si>
  <si>
    <t>http://www.gyproc.be/downloaddop?DOP=SG_GY_2013_A1ABA35A010_NL.pdf</t>
  </si>
  <si>
    <t>SG_GY_2013_A1ABA35A010</t>
  </si>
  <si>
    <t>Rigidur Floor E 35 MW</t>
  </si>
  <si>
    <t>Rigidur® Floor E 35 MW</t>
  </si>
  <si>
    <t>G121432</t>
  </si>
  <si>
    <t>http://www.gyproc.be/downloadpib?PIB=G124972&amp;TYPE=IMG</t>
  </si>
  <si>
    <t>http://www.gyproc.be/downloadpib?PIB=G124972&amp;TYPE=PDFFR</t>
  </si>
  <si>
    <t>http://www.gyproc.be/downloadpib?PIB=G124972&amp;TYPE=PDFNL</t>
  </si>
  <si>
    <t>Rigidur Floor E 30 HF</t>
  </si>
  <si>
    <t>Rigidur® Floor E 30 HF</t>
  </si>
  <si>
    <t>G124972</t>
  </si>
  <si>
    <t>http://www.gyproc.be/downloadpib?PIB=H97031000&amp;TYPE=IMG</t>
  </si>
  <si>
    <t>http://www.gyproc.be/downloadpib?PIB=H97031000&amp;TYPE=PDFFR</t>
  </si>
  <si>
    <t>http://www.gyproc.be/downloadpib?PIB=H97031000&amp;TYPE=PDFNL</t>
  </si>
  <si>
    <t>Rigidur Floor E 30 MW</t>
  </si>
  <si>
    <t>Rigidur® Floor E 30 MW</t>
  </si>
  <si>
    <t>H97031000</t>
  </si>
  <si>
    <t>http://www.gyproc.be/downloadpib?PIB=G121399&amp;TYPE=IMG</t>
  </si>
  <si>
    <t>http://www.gyproc.be/downloadpib?PIB=G121399&amp;TYPE=PDFFR</t>
  </si>
  <si>
    <t>http://www.gyproc.be/downloadpib?PIB=G121399&amp;TYPE=PDFNL</t>
  </si>
  <si>
    <t>http://www.gyproc.be/downloaddop?DOP=SG_GY_2013_A1ABA35A008_FR.pdf</t>
  </si>
  <si>
    <t>http://www.gyproc.be/downloaddop?DOP=SG_GY_2013_A1ABA35A008_NL.pdf</t>
  </si>
  <si>
    <t>SG_GY_2013_A1ABA35A008</t>
  </si>
  <si>
    <t>A2-s1, d0 (C3)</t>
  </si>
  <si>
    <t>Rigidur Floor E 25</t>
  </si>
  <si>
    <t>Rigidur® Floor E 25</t>
  </si>
  <si>
    <t>G121399</t>
  </si>
  <si>
    <t>http://www.gyproc.be/downloadpib?PIB=H97021000&amp;TYPE=IMG</t>
  </si>
  <si>
    <t>http://www.gyproc.be/downloadpib?PIB=H97021000&amp;TYPE=PDFFR</t>
  </si>
  <si>
    <t>http://www.gyproc.be/downloadpib?PIB=H97021000&amp;TYPE=PDFNL</t>
  </si>
  <si>
    <t>SG_GY_2013_A1ABA35A007</t>
  </si>
  <si>
    <t>Rigidur Floor E 20</t>
  </si>
  <si>
    <t>Rigidur® Floor E 20</t>
  </si>
  <si>
    <t>H97021000</t>
  </si>
  <si>
    <t>http://www.gyproc.be/downloadpib?PIB=G130974&amp;TYPE=IMG</t>
  </si>
  <si>
    <t>http://www.gyproc.be/downloadpib?PIB=G130974&amp;TYPE=PDFFR</t>
  </si>
  <si>
    <t>http://www.gyproc.be/downloadpib?PIB=G130974&amp;TYPE=PDFNL</t>
  </si>
  <si>
    <t>http://www.gyproc.be/downloaddop?DOP=Rigidur_H_12,5_LE_0413_FR.pdf</t>
  </si>
  <si>
    <t>http://www.gyproc.be/downloaddop?DOP=Rigidur_H_12,5_LE_0413_NL.pdf</t>
  </si>
  <si>
    <t>Rigidur_H_12,5_LE_0413</t>
  </si>
  <si>
    <t>plaque de plâtre renforcée de fibres</t>
  </si>
  <si>
    <t>gipsvezelplaat</t>
  </si>
  <si>
    <t>NBN EN 15283-2:2009</t>
  </si>
  <si>
    <t>Rigidur GF-H avec Activ'Air</t>
  </si>
  <si>
    <t>Rigidur GF-H met Activ'Air</t>
  </si>
  <si>
    <t>Plaques de plâtre renforcées de fibres à densité homogène purifiant l'air</t>
  </si>
  <si>
    <t>Luchtzuiverende gipsvezelplaten met homogene densiteit</t>
  </si>
  <si>
    <t>Rigidur® GF-H avec Activ'Air</t>
  </si>
  <si>
    <t>Rigidur® GF-H met Activ'Air</t>
  </si>
  <si>
    <t>G130974</t>
  </si>
  <si>
    <t>http://www.gyproc.be/downloadpib?PIB=G131088&amp;TYPE=IMG</t>
  </si>
  <si>
    <t>http://www.gyproc.be/downloadpib?PIB=G131088&amp;TYPE=PDFFR</t>
  </si>
  <si>
    <t>http://www.gyproc.be/downloadpib?PIB=G131088&amp;TYPE=PDFNL</t>
  </si>
  <si>
    <t>G131088</t>
  </si>
  <si>
    <t>http://www.gyproc.be/downloadpib?PIB=G131087&amp;TYPE=IMG</t>
  </si>
  <si>
    <t>http://www.gyproc.be/downloadpib?PIB=G131087&amp;TYPE=PDFFR</t>
  </si>
  <si>
    <t>http://www.gyproc.be/downloadpib?PIB=G131087&amp;TYPE=PDFNL</t>
  </si>
  <si>
    <t>http://www.gyproc.be/downloaddop?DOP=Rigidur_H_10_LE_0413_FR.pdf</t>
  </si>
  <si>
    <t>http://www.gyproc.be/downloaddop?DOP=Rigidur_H_10_LE_0413_NL.pdf</t>
  </si>
  <si>
    <t>Rigidur_H_10_LE_0413</t>
  </si>
  <si>
    <t>G131087</t>
  </si>
  <si>
    <t>http://www.gyproc.be/downloadpib?PIB=G131086&amp;TYPE=IMG</t>
  </si>
  <si>
    <t>http://www.gyproc.be/downloadpib?PIB=G131086&amp;TYPE=PDFFR</t>
  </si>
  <si>
    <t>http://www.gyproc.be/downloadpib?PIB=G131086&amp;TYPE=PDFNL</t>
  </si>
  <si>
    <t>G131086</t>
  </si>
  <si>
    <t>http://www.gyproc.be/downloadpib?PIB=G129469&amp;TYPE=IMG</t>
  </si>
  <si>
    <t>http://www.gyproc.be/downloadpib?PIB=G129469&amp;TYPE=PDFFR</t>
  </si>
  <si>
    <t>http://www.gyproc.be/downloadpib?PIB=G129469&amp;TYPE=PDFNL</t>
  </si>
  <si>
    <t>http://www.gyproc.be/downloaddop?DOP=Rigidur_H_15_LE_0413_FR.pdf</t>
  </si>
  <si>
    <t>http://www.gyproc.be/downloaddop?DOP=Rigidur_H_15_LE_0413_NL.pdf</t>
  </si>
  <si>
    <t>Rigidur_H15_LE_0413</t>
  </si>
  <si>
    <t>Rigidur GF-H</t>
  </si>
  <si>
    <t>Plaques de plâtre renforcées de fibres à densité homogène</t>
  </si>
  <si>
    <t>Gipsvezelplaten met homogene densiteit</t>
  </si>
  <si>
    <t>Rigidur® GF-H</t>
  </si>
  <si>
    <t>G129469</t>
  </si>
  <si>
    <t>http://www.gyproc.be/downloadpib?PIB=G127321&amp;TYPE=IMG</t>
  </si>
  <si>
    <t>http://www.gyproc.be/downloadpib?PIB=G127321&amp;TYPE=PDFFR</t>
  </si>
  <si>
    <t>http://www.gyproc.be/downloadpib?PIB=G127321&amp;TYPE=PDFNL</t>
  </si>
  <si>
    <t>G127321</t>
  </si>
  <si>
    <t>http://www.gyproc.be/downloadpib?PIB=G126979&amp;TYPE=IMG</t>
  </si>
  <si>
    <t>http://www.gyproc.be/downloadpib?PIB=G126979&amp;TYPE=PDFFR</t>
  </si>
  <si>
    <t>http://www.gyproc.be/downloadpib?PIB=G126979&amp;TYPE=PDFNL</t>
  </si>
  <si>
    <t>G126979</t>
  </si>
  <si>
    <t>http://www.gyproc.be/downloadpib?PIB=G129225&amp;TYPE=IMG</t>
  </si>
  <si>
    <t>http://www.gyproc.be/downloadpib?PIB=G129225&amp;TYPE=PDFFR</t>
  </si>
  <si>
    <t>http://www.gyproc.be/downloadpib?PIB=G129225&amp;TYPE=PDFNL</t>
  </si>
  <si>
    <t>G129225</t>
  </si>
  <si>
    <t>http://www.gyproc.be/downloadpib?PIB=G129422&amp;TYPE=IMG</t>
  </si>
  <si>
    <t>http://www.gyproc.be/downloadpib?PIB=G129422&amp;TYPE=PDFFR</t>
  </si>
  <si>
    <t>http://www.gyproc.be/downloadpib?PIB=G129422&amp;TYPE=PDFNL</t>
  </si>
  <si>
    <t>G129422</t>
  </si>
  <si>
    <t>http://www.gyproc.be/downloadpib?PIB=H68410500&amp;TYPE=IMG</t>
  </si>
  <si>
    <t>http://www.gyproc.be/downloadpib?PIB=H68410500&amp;TYPE=PDFFR</t>
  </si>
  <si>
    <t>http://www.gyproc.be/downloadpib?PIB=H68410500&amp;TYPE=PDFNL</t>
  </si>
  <si>
    <t>Vis Aquaroc</t>
  </si>
  <si>
    <t>Aquaroc schroeven</t>
  </si>
  <si>
    <t>Pour la fixation des plaques Aquaroc</t>
  </si>
  <si>
    <t>Voor het schroeven van Aquaroc-platen</t>
  </si>
  <si>
    <t>H68410500</t>
  </si>
  <si>
    <t>http://www.gyproc.be/downloadpib?PIB=H68250500&amp;TYPE=IMG</t>
  </si>
  <si>
    <t>http://www.gyproc.be/downloadpib?PIB=H68250500&amp;TYPE=PDFFR</t>
  </si>
  <si>
    <t>http://www.gyproc.be/downloadpib?PIB=H68250500&amp;TYPE=PDFNL</t>
  </si>
  <si>
    <t>H68250500</t>
  </si>
  <si>
    <t>http://www.gyproc.be/downloadpib?PIB=P66013000&amp;TYPE=IMG</t>
  </si>
  <si>
    <t>http://www.gyproc.be/downloaddop?DOP=SG_GY_2013_A1ABA31A003_FR.pdf</t>
  </si>
  <si>
    <t>http://www.gyproc.be/downloaddop?DOP=SG_GY_2013_A1ABA31A003_NL.pdf</t>
  </si>
  <si>
    <t>NBN EN 12467:2012</t>
  </si>
  <si>
    <t>plaque fibres-ciment</t>
  </si>
  <si>
    <t>gipscementplaat</t>
  </si>
  <si>
    <t>NT</t>
  </si>
  <si>
    <t>Aquaroc</t>
  </si>
  <si>
    <t>Plaques de ciment</t>
  </si>
  <si>
    <t>Cementplaten</t>
  </si>
  <si>
    <t>P66013000</t>
  </si>
  <si>
    <t>http://www.gyproc.be/downloadpib?PIB=P66012500&amp;TYPE=IMG</t>
  </si>
  <si>
    <t>P66012500</t>
  </si>
  <si>
    <t>http://www.gyproc.be/downloadpib?PIB=D10032600&amp;TYPE=IMG</t>
  </si>
  <si>
    <t>http://www.gyproc.be/downloadpib?PIB=D10032600&amp;TYPE=PDFFR</t>
  </si>
  <si>
    <t>http://www.gyproc.be/downloadpib?PIB=D10032600&amp;TYPE=PDFNL</t>
  </si>
  <si>
    <t>http://www.gyproc.be/downloaddop?DOP=SG_GY_2013_B1BEB13B001_FR.pdf</t>
  </si>
  <si>
    <t>http://www.gyproc.be/downloaddop?DOP=SG_GY_2013_B1BEB13B001_NL.pdf</t>
  </si>
  <si>
    <t>SG_GY_2013_B1BEB13B001</t>
  </si>
  <si>
    <t>B-s1, d0</t>
  </si>
  <si>
    <t>plaque de plâtre revêtue avec PSE élastifié</t>
  </si>
  <si>
    <t>gipskartonplaat bekleed met geëlastifieerd EPS</t>
  </si>
  <si>
    <t>NBN EN 13950:2014</t>
  </si>
  <si>
    <t>Doublissimo 12,5/100</t>
  </si>
  <si>
    <t>Panneaux de revêtement pour une isolation thermique et acoustique</t>
  </si>
  <si>
    <t>Thermisch en akoestisch isolerende wandpanelen</t>
  </si>
  <si>
    <t>Doublissimo</t>
  </si>
  <si>
    <t>D10032600</t>
  </si>
  <si>
    <t>http://www.gyproc.be/downloadpib?PIB=DC3782600&amp;TYPE=IMG</t>
  </si>
  <si>
    <t>http://www.gyproc.be/downloadpib?PIB=DC3782600&amp;TYPE=PDFFR</t>
  </si>
  <si>
    <t>http://www.gyproc.be/downloadpib?PIB=DC3782600&amp;TYPE=PDFNL</t>
  </si>
  <si>
    <t>SG_GY_2013_B1BEB09B001</t>
  </si>
  <si>
    <t>Doublissimo 12,5/80</t>
  </si>
  <si>
    <t>DC3782600</t>
  </si>
  <si>
    <t>http://www.gyproc.be/downloadpib?PIB=D09632600&amp;TYPE=IMG</t>
  </si>
  <si>
    <t>http://www.gyproc.be/downloadpib?PIB=D09632600&amp;TYPE=PDFFR</t>
  </si>
  <si>
    <t>http://www.gyproc.be/downloadpib?PIB=D09632600&amp;TYPE=PDFNL</t>
  </si>
  <si>
    <t>http://www.gyproc.be/downloaddop?DOP=SG_GY_2013_B1BEB05B001_FR.pdf</t>
  </si>
  <si>
    <t>http://www.gyproc.be/downloaddop?DOP=SG_GY_2013_B1BEB05B001_NL.pdf</t>
  </si>
  <si>
    <t>SG_GY_2013_B1BEB05B001</t>
  </si>
  <si>
    <t>Doublissimo 12,5/60</t>
  </si>
  <si>
    <t>D09632600</t>
  </si>
  <si>
    <t>http://www.gyproc.be/downloadpib?PIB=DC3752600&amp;TYPE=IMG</t>
  </si>
  <si>
    <t>http://www.gyproc.be/downloadpib?PIB=DC3752600&amp;TYPE=PDFFR</t>
  </si>
  <si>
    <t>http://www.gyproc.be/downloadpib?PIB=DC3752600&amp;TYPE=PDFNL</t>
  </si>
  <si>
    <t>SG_GY_2013_B1BEB03B001</t>
  </si>
  <si>
    <t>Doublissimo 12,5/50</t>
  </si>
  <si>
    <t>DC3752600</t>
  </si>
  <si>
    <t>http://www.gyproc.be/downloadpib?PIB=D09432600&amp;TYPE=IMG</t>
  </si>
  <si>
    <t>http://www.gyproc.be/downloadpib?PIB=D09432600&amp;TYPE=PDFFR</t>
  </si>
  <si>
    <t>http://www.gyproc.be/downloadpib?PIB=D09432600&amp;TYPE=PDFNL</t>
  </si>
  <si>
    <t>http://www.gyproc.be/downloaddop?DOP=SG_GY_2013_B1BEB01B001_FR.pdf</t>
  </si>
  <si>
    <t>http://www.gyproc.be/downloaddop?DOP=SG_GY_2013_B1BEB01B001_NL.pdf</t>
  </si>
  <si>
    <t>SG_GY_2013_B1BEB01B001</t>
  </si>
  <si>
    <t>Doublissimo 12,5/40</t>
  </si>
  <si>
    <t>D09432600</t>
  </si>
  <si>
    <t>http://www.gyproc.be/downloadpib?PIB=DG31F2600&amp;TYPE=IMG</t>
  </si>
  <si>
    <t>http://www.gyproc.be/downloadpib?PIB=DG31F2600&amp;TYPE=PDFFR</t>
  </si>
  <si>
    <t>http://www.gyproc.be/downloadpib?PIB=DG31F2600&amp;TYPE=PDFNL</t>
  </si>
  <si>
    <t>plaque de plâtre revêtue avec PUR</t>
  </si>
  <si>
    <t>gipskartonplaat bekleed met PUR</t>
  </si>
  <si>
    <t>Placotherm+ 13/160</t>
  </si>
  <si>
    <t>Panneaux de revêtement pour isolation thermique élevée</t>
  </si>
  <si>
    <t>Thermisch isolerende bekledingspanelen voor hogere warmteweerstand</t>
  </si>
  <si>
    <t>Placotherm®+</t>
  </si>
  <si>
    <t>DG31F2600</t>
  </si>
  <si>
    <t>http://www.gyproc.be/downloadpib?PIB=DG31D2600&amp;TYPE=IMG</t>
  </si>
  <si>
    <t>http://www.gyproc.be/downloadpib?PIB=DG31D2600&amp;TYPE=PDFFR</t>
  </si>
  <si>
    <t>http://www.gyproc.be/downloadpib?PIB=DG31D2600&amp;TYPE=PDFNL</t>
  </si>
  <si>
    <t>Placotherm+ 13/140</t>
  </si>
  <si>
    <t>DG31D2600</t>
  </si>
  <si>
    <t>http://www.gyproc.be/downloadpib?PIB=DG32B2600&amp;TYPE=IMG</t>
  </si>
  <si>
    <t>http://www.gyproc.be/downloadpib?PIB=DG32B2600&amp;TYPE=PDFFR</t>
  </si>
  <si>
    <t>http://www.gyproc.be/downloadpib?PIB=DG32B2600&amp;TYPE=PDFNL</t>
  </si>
  <si>
    <t>Placotherm+ 13/120</t>
  </si>
  <si>
    <t>DG32B2600</t>
  </si>
  <si>
    <t>http://www.gyproc.be/downloadpib?PIB=D59102600&amp;TYPE=IMG</t>
  </si>
  <si>
    <t>http://www.gyproc.be/downloadpib?PIB=D59102600&amp;TYPE=PDFFR</t>
  </si>
  <si>
    <t>http://www.gyproc.be/downloadpib?PIB=D59102600&amp;TYPE=PDFNL</t>
  </si>
  <si>
    <t>Placotherm+ 13/100</t>
  </si>
  <si>
    <t>D55102600</t>
  </si>
  <si>
    <t>D59102600</t>
  </si>
  <si>
    <t>http://www.gyproc.be/downloadpib?PIB=D58202600&amp;TYPE=IMG</t>
  </si>
  <si>
    <t>http://www.gyproc.be/downloadpib?PIB=D58202600&amp;TYPE=PDFFR</t>
  </si>
  <si>
    <t>http://www.gyproc.be/downloadpib?PIB=D58202600&amp;TYPE=PDFNL</t>
  </si>
  <si>
    <t>Placotherm+ 13/80</t>
  </si>
  <si>
    <t>D55702600</t>
  </si>
  <si>
    <t>D58202600</t>
  </si>
  <si>
    <t>http://www.gyproc.be/downloadpib?PIB=D58102600&amp;TYPE=IMG</t>
  </si>
  <si>
    <t>http://www.gyproc.be/downloadpib?PIB=D58102600&amp;TYPE=PDFFR</t>
  </si>
  <si>
    <t>http://www.gyproc.be/downloadpib?PIB=D58102600&amp;TYPE=PDFNL</t>
  </si>
  <si>
    <t>Placotherm+ 13/60</t>
  </si>
  <si>
    <t>D55502600</t>
  </si>
  <si>
    <t>D58102600</t>
  </si>
  <si>
    <t>http://www.gyproc.be/downloadpib?PIB=D58502600&amp;TYPE=IMG</t>
  </si>
  <si>
    <t>http://www.gyproc.be/downloadpib?PIB=D58502600&amp;TYPE=PDFFR</t>
  </si>
  <si>
    <t>http://www.gyproc.be/downloadpib?PIB=D58502600&amp;TYPE=PDFNL</t>
  </si>
  <si>
    <t>Placotherm+ 13/50</t>
  </si>
  <si>
    <t>D55402600</t>
  </si>
  <si>
    <t>D58502600</t>
  </si>
  <si>
    <t>http://www.gyproc.be/downloadpib?PIB=D55332600&amp;TYPE=IMG</t>
  </si>
  <si>
    <t>http://www.gyproc.be/downloadpib?PIB=D55332600&amp;TYPE=PDFFR</t>
  </si>
  <si>
    <t>http://www.gyproc.be/downloadpib?PIB=D55332600&amp;TYPE=PDFNL</t>
  </si>
  <si>
    <t>Placotherm+ 13/40</t>
  </si>
  <si>
    <t>D55302600</t>
  </si>
  <si>
    <t>D55332600</t>
  </si>
  <si>
    <t>http://www.gyproc.be/downloadpib?PIB=D52202600&amp;TYPE=IMG</t>
  </si>
  <si>
    <t>http://www.gyproc.be/downloadpib?PIB=D52202600&amp;TYPE=PDFFR</t>
  </si>
  <si>
    <t>http://www.gyproc.be/downloadpib?PIB=D52202600&amp;TYPE=PDFNL</t>
  </si>
  <si>
    <t>Placotherm+ 13/30</t>
  </si>
  <si>
    <t>D55202600</t>
  </si>
  <si>
    <t>D52202600</t>
  </si>
  <si>
    <t>http://www.gyproc.be/downloadpib?PIB=G101090&amp;TYPE=IMG</t>
  </si>
  <si>
    <t>http://www.gyproc.be/downloadpib?PIB=G101090&amp;TYPE=PDFFR</t>
  </si>
  <si>
    <t>http://www.gyproc.be/downloadpib?PIB=G101090&amp;TYPE=PDFNL</t>
  </si>
  <si>
    <t>http://www.gyproc.be/downloaddop?DOP=SG_GY_2013_B1BHB09B001_FR.pdf</t>
  </si>
  <si>
    <t>http://www.gyproc.be/downloaddop?DOP=SG_GY_2013_B1BHB09B001_NL.pdf</t>
  </si>
  <si>
    <t>SG_GY_2013_B1BHB09B001</t>
  </si>
  <si>
    <t>plaque de plâtre revêtue avec PSX</t>
  </si>
  <si>
    <t>gipskartonplaat bekleed met XPS</t>
  </si>
  <si>
    <t>Thermogyp X 9,5/60</t>
  </si>
  <si>
    <t>Thermogyp X</t>
  </si>
  <si>
    <t>G101090</t>
  </si>
  <si>
    <t>http://www.gyproc.be/downloadpib?PIB=G101088&amp;TYPE=IMG</t>
  </si>
  <si>
    <t>http://www.gyproc.be/downloadpib?PIB=G101088&amp;TYPE=PDFFR</t>
  </si>
  <si>
    <t>http://www.gyproc.be/downloadpib?PIB=G101088&amp;TYPE=PDFNL</t>
  </si>
  <si>
    <t>http://www.gyproc.be/downloaddop?DOP=SG_GY_2013_B1BHB07B001_FR.pdf</t>
  </si>
  <si>
    <t>http://www.gyproc.be/downloaddop?DOP=SG_GY_2013_B1BHB07B001_NL.pdf</t>
  </si>
  <si>
    <t>SG_GY_2013_B1BHB07B001</t>
  </si>
  <si>
    <t>Thermogyp X 9,5/50</t>
  </si>
  <si>
    <t>G101088</t>
  </si>
  <si>
    <t>http://www.gyproc.be/downloadpib?PIB=G101086&amp;TYPE=IMG</t>
  </si>
  <si>
    <t>http://www.gyproc.be/downloadpib?PIB=G101086&amp;TYPE=PDFFR</t>
  </si>
  <si>
    <t>http://www.gyproc.be/downloadpib?PIB=G101086&amp;TYPE=PDFNL</t>
  </si>
  <si>
    <t>http://www.gyproc.be/downloaddop?DOP=SG_GY_2013_B1BHB05B001_FR.pdf</t>
  </si>
  <si>
    <t>http://www.gyproc.be/downloaddop?DOP=SG_GY_2013_B1BHB05B001_NL.pdf</t>
  </si>
  <si>
    <t>SG_GY_2013_B1BHB05B001</t>
  </si>
  <si>
    <t>Thermogyp X 9,5/40</t>
  </si>
  <si>
    <t>G101086</t>
  </si>
  <si>
    <t>http://www.gyproc.be/downloadpib?PIB=G101085&amp;TYPE=IMG</t>
  </si>
  <si>
    <t>http://www.gyproc.be/downloadpib?PIB=G101085&amp;TYPE=PDFFR</t>
  </si>
  <si>
    <t>http://www.gyproc.be/downloadpib?PIB=G101085&amp;TYPE=PDFNL</t>
  </si>
  <si>
    <t>http://www.gyproc.be/downloaddop?DOP=SG_GY_2013_B1BHB03B001_FR.pdf</t>
  </si>
  <si>
    <t>http://www.gyproc.be/downloaddop?DOP=SG_GY_2013_B1BHB03B001_NL.pdf</t>
  </si>
  <si>
    <t>SG_GY_2013_B1BHB03B001</t>
  </si>
  <si>
    <t>Thermogyp X 9,5/30</t>
  </si>
  <si>
    <t>G101085</t>
  </si>
  <si>
    <t>http://www.gyproc.be/downloadpib?PIB=G101083&amp;TYPE=IMG</t>
  </si>
  <si>
    <t>http://www.gyproc.be/downloadpib?PIB=G101083&amp;TYPE=PDFFR</t>
  </si>
  <si>
    <t>http://www.gyproc.be/downloadpib?PIB=G101083&amp;TYPE=PDFNL</t>
  </si>
  <si>
    <t>http://www.gyproc.be/downloaddop?DOP=SG_GY_2013_B1BHB02B002_FR.pdf</t>
  </si>
  <si>
    <t>http://www.gyproc.be/downloaddop?DOP=SG_GY_2013_B1BHB02B002_NL.pdf</t>
  </si>
  <si>
    <t>SG_GY_2013_B1BHB02B002</t>
  </si>
  <si>
    <t>Thermogyp X 9,5/20</t>
  </si>
  <si>
    <t>G101083</t>
  </si>
  <si>
    <t>http://www.gyproc.be/downloadpib?PIB=G132192&amp;TYPE=IMG</t>
  </si>
  <si>
    <t>http://www.gyproc.be/downloadpib?PIB=G132192&amp;TYPE=PDFFR</t>
  </si>
  <si>
    <t>http://www.gyproc.be/downloadpib?PIB=G132192&amp;TYPE=PDFNL</t>
  </si>
  <si>
    <t>Gyproc Y-Fix</t>
  </si>
  <si>
    <t>Pince de finition pour la fixation des panneaux isolants Thermogyp Comfort</t>
  </si>
  <si>
    <t>Eindklem voor het bevestigen van Thermogyp Comfort isolatiepanelen</t>
  </si>
  <si>
    <t>G132192</t>
  </si>
  <si>
    <t>http://www.gyproc.be/downloadpib?PIB=G132191&amp;TYPE=IMG</t>
  </si>
  <si>
    <t>http://www.gyproc.be/downloadpib?PIB=G132191&amp;TYPE=PDFFR</t>
  </si>
  <si>
    <t>http://www.gyproc.be/downloadpib?PIB=G132191&amp;TYPE=PDFNL</t>
  </si>
  <si>
    <t>Gyproc Z-Fix</t>
  </si>
  <si>
    <t>Pince intermédiaire pour la fixation des panneaux isolants Thermogyp Comfort</t>
  </si>
  <si>
    <t>Tussenklem voor het bevestigen van Thermogyp Comfort isolatiepanelen</t>
  </si>
  <si>
    <t>G132191</t>
  </si>
  <si>
    <t>http://www.gyproc.be/downloadpib?PIB=G132129&amp;TYPE=IMG</t>
  </si>
  <si>
    <t>http://www.gyproc.be/downloadpib?PIB=G132129&amp;TYPE=PDFFR</t>
  </si>
  <si>
    <t>http://www.gyproc.be/downloadpib?PIB=G132129&amp;TYPE=PDFNL</t>
  </si>
  <si>
    <t>G132129</t>
  </si>
  <si>
    <t>http://www.gyproc.be/downloadpib?PIB=G132190&amp;TYPE=IMG</t>
  </si>
  <si>
    <t>http://www.gyproc.be/downloadpib?PIB=G132190&amp;TYPE=PDFFR</t>
  </si>
  <si>
    <t>http://www.gyproc.be/downloadpib?PIB=G132190&amp;TYPE=PDFNL</t>
  </si>
  <si>
    <t>Gyproc U-Fix</t>
  </si>
  <si>
    <t>Pince de départ pour la fixation des panneaux isolants Thermogyp Comfort</t>
  </si>
  <si>
    <t>Startklem voor het bevestigen van Thermogyp Comfort isolatiepanelen</t>
  </si>
  <si>
    <t>G132190</t>
  </si>
  <si>
    <t>http://www.gyproc.be/downloadpib?PIB=G132128&amp;TYPE=IMG</t>
  </si>
  <si>
    <t>http://www.gyproc.be/downloadpib?PIB=G132128&amp;TYPE=PDFFR</t>
  </si>
  <si>
    <t>http://www.gyproc.be/downloadpib?PIB=G132128&amp;TYPE=PDFNL</t>
  </si>
  <si>
    <t>G132128</t>
  </si>
  <si>
    <t>http://www.gyproc.be/downloadpib?PIB=G131832&amp;TYPE=IMG</t>
  </si>
  <si>
    <t>http://www.gyproc.be/downloadpib?PIB=G131832&amp;TYPE=PDFFR</t>
  </si>
  <si>
    <t>http://www.gyproc.be/downloadpib?PIB=G131832&amp;TYPE=PDFNL</t>
  </si>
  <si>
    <t>4xABA</t>
  </si>
  <si>
    <t>Thermogyp Comfort 12,5/80</t>
  </si>
  <si>
    <t>Thermisch en akoestisch isolerende bekledingspanelen</t>
  </si>
  <si>
    <t>Thermogyp Comfort</t>
  </si>
  <si>
    <t>G131832</t>
  </si>
  <si>
    <t>plaque de plâtre perforée à bords droits</t>
  </si>
  <si>
    <t>geperforeerde gipskartonplaat met gesneden boorden</t>
  </si>
  <si>
    <t>Climafit Rigitone 15/30</t>
  </si>
  <si>
    <t>G131315</t>
  </si>
  <si>
    <t>Climafit Rigitone 12/25</t>
  </si>
  <si>
    <t>G131498</t>
  </si>
  <si>
    <t>Climafit Rigitone 8/18Q</t>
  </si>
  <si>
    <t>G130312</t>
  </si>
  <si>
    <t>Climafit Rigitone 8/18</t>
  </si>
  <si>
    <t>G130258</t>
  </si>
  <si>
    <t>Climafit Rigitone 6/18</t>
  </si>
  <si>
    <t>G130872</t>
  </si>
  <si>
    <t>http://www.gyproc.be/downloadpib?PIB=H65133500&amp;TYPE=IMG</t>
  </si>
  <si>
    <t>http://www.gyproc.be/downloadpib?PIB=H65133500&amp;TYPE=PDFFR</t>
  </si>
  <si>
    <t>http://www.gyproc.be/downloadpib?PIB=H65133500&amp;TYPE=PDFNL</t>
  </si>
  <si>
    <t>Rigitone™ Mix</t>
  </si>
  <si>
    <t>Cartouche 600 ml</t>
  </si>
  <si>
    <t>H65133500</t>
  </si>
  <si>
    <t>http://www.gyproc.be/downloadpib?PIB=G131061&amp;TYPE=IMG</t>
  </si>
  <si>
    <t>Embout Rigitone Fix</t>
  </si>
  <si>
    <t>Rigitone Fix Spuitmond</t>
  </si>
  <si>
    <t>Embout Rigitone® Fix</t>
  </si>
  <si>
    <t>Rigitone® Fix Spuitmond</t>
  </si>
  <si>
    <t>G131061</t>
  </si>
  <si>
    <t>http://www.gyproc.be/downloadpib?PIB=H65171000&amp;TYPE=IMG</t>
  </si>
  <si>
    <t>http://www.gyproc.be/downloadpib?PIB=H65171000&amp;TYPE=PDFFR</t>
  </si>
  <si>
    <t>http://www.gyproc.be/downloadpib?PIB=H65171000&amp;TYPE=PDFNL</t>
  </si>
  <si>
    <t>Kit de Jointoiement Rigitone™ Mix</t>
  </si>
  <si>
    <t>Rigitone™ Mix Voegenvulset</t>
  </si>
  <si>
    <t>Kit pour application de Rigitone Mix</t>
  </si>
  <si>
    <t>Kit voor verwerking van Rigitone Mix</t>
  </si>
  <si>
    <t>G130007</t>
  </si>
  <si>
    <t>H65171000</t>
  </si>
  <si>
    <t>http://www.gyproc.be/downloadpib?PIB=H65090000&amp;TYPE=IMG</t>
  </si>
  <si>
    <t>Ecarteur Rigitone 12-20/66</t>
  </si>
  <si>
    <t>Afstandshouder Rigitone 12-20/66</t>
  </si>
  <si>
    <t>Ecarteur Rigitone®</t>
  </si>
  <si>
    <t>Afstandshouder Rigitone®</t>
  </si>
  <si>
    <t>H65090000</t>
  </si>
  <si>
    <t>http://www.gyproc.be/downloadpib?PIB=H65100000&amp;TYPE=IMG</t>
  </si>
  <si>
    <t>Ecarteur Rigitone 8-15-20 + 8-15-20S + 12-20-35 + 8-12/50</t>
  </si>
  <si>
    <t>Afstandshouder Rigitone 8-15-20 + 8-15-20S + 12-20-35 + 8-12/50</t>
  </si>
  <si>
    <t>H65100000</t>
  </si>
  <si>
    <t>http://www.gyproc.be/downloadpib?PIB=G121680&amp;TYPE=IMG</t>
  </si>
  <si>
    <t>Ecarteur Rigitone 15/30</t>
  </si>
  <si>
    <t>Afstandshouder Rigitone 15/30</t>
  </si>
  <si>
    <t>G121680</t>
  </si>
  <si>
    <t>http://www.gyproc.be/downloadpib?PIB=G124229&amp;TYPE=IMG</t>
  </si>
  <si>
    <t>Ecarteur Rigitone 12/25 + 12/25Q</t>
  </si>
  <si>
    <t>Afstandshouder Rigitone 12/25 + 12/25Q</t>
  </si>
  <si>
    <t>G124229</t>
  </si>
  <si>
    <t>http://www.gyproc.be/downloadpib?PIB=G121682&amp;TYPE=IMG</t>
  </si>
  <si>
    <t>Ecarteur Rigitone 10/23</t>
  </si>
  <si>
    <t>Afstandshouder Rigitone 10/23</t>
  </si>
  <si>
    <t>G121682</t>
  </si>
  <si>
    <t>http://www.gyproc.be/downloadpib?PIB=H65080000&amp;TYPE=IMG</t>
  </si>
  <si>
    <t>Ecarteur Rigitone 8/18 + 8/18Q</t>
  </si>
  <si>
    <t>Afstandshouder Rigitone 8/18 + 8/18Q</t>
  </si>
  <si>
    <t>H65080000</t>
  </si>
  <si>
    <t>http://www.gyproc.be/downloadpib?PIB=G121681&amp;TYPE=IMG</t>
  </si>
  <si>
    <t>Ecarteur Rigitone 6/18</t>
  </si>
  <si>
    <t>Afstandshouder Rigitone 6/18</t>
  </si>
  <si>
    <t>G121681</t>
  </si>
  <si>
    <t>http://www.gyproc.be/downloadpib?PIB=G132293&amp;TYPE=IMG</t>
  </si>
  <si>
    <t>http://www.gyproc.be/downloadpib?PIB=G132293&amp;TYPE=PDFFR</t>
  </si>
  <si>
    <t>http://www.gyproc.be/downloadpib?PIB=G132293&amp;TYPE=PDFNL</t>
  </si>
  <si>
    <t>Rigiton_Air_LE_0613</t>
  </si>
  <si>
    <t>A2-s1, d0 (C.1)</t>
  </si>
  <si>
    <t>Rigitone 12/25 Q</t>
  </si>
  <si>
    <t>Plaques de plâtre avec perforations continues</t>
  </si>
  <si>
    <t>Geperforeerde gipsplaten voor akoestische en decoratieve plafonds met doorlopend perforatiepatroon</t>
  </si>
  <si>
    <t>Rigitone®</t>
  </si>
  <si>
    <t>G123402</t>
  </si>
  <si>
    <t>G132293</t>
  </si>
  <si>
    <t>http://www.gyproc.be/downloadpib?PIB=G132292&amp;TYPE=IMG</t>
  </si>
  <si>
    <t>http://www.gyproc.be/downloadpib?PIB=G132292&amp;TYPE=PDFFR</t>
  </si>
  <si>
    <t>http://www.gyproc.be/downloadpib?PIB=G132292&amp;TYPE=PDFNL</t>
  </si>
  <si>
    <t>H65122000</t>
  </si>
  <si>
    <t>G132292</t>
  </si>
  <si>
    <t>http://www.gyproc.be/downloadpib?PIB=G132291&amp;TYPE=IMG</t>
  </si>
  <si>
    <t>http://www.gyproc.be/downloadpib?PIB=G132291&amp;TYPE=PDFFR</t>
  </si>
  <si>
    <t>http://www.gyproc.be/downloadpib?PIB=G132291&amp;TYPE=PDFNL</t>
  </si>
  <si>
    <t>Rigitone 8/18 Q</t>
  </si>
  <si>
    <t>G124659</t>
  </si>
  <si>
    <t>G132291</t>
  </si>
  <si>
    <t>http://www.gyproc.be/downloadpib?PIB=G132290&amp;TYPE=IMG</t>
  </si>
  <si>
    <t>http://www.gyproc.be/downloadpib?PIB=G132290&amp;TYPE=PDFFR</t>
  </si>
  <si>
    <t>http://www.gyproc.be/downloadpib?PIB=G132290&amp;TYPE=PDFNL</t>
  </si>
  <si>
    <t>G121679</t>
  </si>
  <si>
    <t>G132290</t>
  </si>
  <si>
    <t>http://www.gyproc.be/downloadpib?PIB=G132289&amp;TYPE=IMG</t>
  </si>
  <si>
    <t>http://www.gyproc.be/downloadpib?PIB=G132289&amp;TYPE=PDFFR</t>
  </si>
  <si>
    <t>http://www.gyproc.be/downloadpib?PIB=G132289&amp;TYPE=PDFNL</t>
  </si>
  <si>
    <t>Rigitone 12-20-35</t>
  </si>
  <si>
    <t>G124223</t>
  </si>
  <si>
    <t>G132289</t>
  </si>
  <si>
    <t>http://www.gyproc.be/downloadpib?PIB=G132288&amp;TYPE=IMG</t>
  </si>
  <si>
    <t>http://www.gyproc.be/downloadpib?PIB=G132288&amp;TYPE=PDFFR</t>
  </si>
  <si>
    <t>http://www.gyproc.be/downloadpib?PIB=G132288&amp;TYPE=PDFNL</t>
  </si>
  <si>
    <t>G124222</t>
  </si>
  <si>
    <t>G132288</t>
  </si>
  <si>
    <t>http://www.gyproc.be/downloadpib?PIB=G132287&amp;TYPE=IMG</t>
  </si>
  <si>
    <t>http://www.gyproc.be/downloadpib?PIB=G132287&amp;TYPE=PDFFR</t>
  </si>
  <si>
    <t>http://www.gyproc.be/downloadpib?PIB=G132287&amp;TYPE=PDFNL</t>
  </si>
  <si>
    <t>Rigitone 8-15-20 Super</t>
  </si>
  <si>
    <t>G124225</t>
  </si>
  <si>
    <t>G132287</t>
  </si>
  <si>
    <t>http://www.gyproc.be/downloadpib?PIB=G132286&amp;TYPE=IMG</t>
  </si>
  <si>
    <t>http://www.gyproc.be/downloadpib?PIB=G132286&amp;TYPE=PDFFR</t>
  </si>
  <si>
    <t>http://www.gyproc.be/downloadpib?PIB=G132286&amp;TYPE=PDFNL</t>
  </si>
  <si>
    <t>G123340</t>
  </si>
  <si>
    <t>G132286</t>
  </si>
  <si>
    <t>http://www.gyproc.be/downloadpib?PIB=G132285&amp;TYPE=IMG</t>
  </si>
  <si>
    <t>http://www.gyproc.be/downloadpib?PIB=G132285&amp;TYPE=PDFFR</t>
  </si>
  <si>
    <t>http://www.gyproc.be/downloadpib?PIB=G132285&amp;TYPE=PDFNL</t>
  </si>
  <si>
    <t>Rigitone 8-15-20</t>
  </si>
  <si>
    <t>G124227</t>
  </si>
  <si>
    <t>G132285</t>
  </si>
  <si>
    <t>http://www.gyproc.be/downloadpib?PIB=G132284&amp;TYPE=IMG</t>
  </si>
  <si>
    <t>http://www.gyproc.be/downloadpib?PIB=G132284&amp;TYPE=PDFFR</t>
  </si>
  <si>
    <t>http://www.gyproc.be/downloadpib?PIB=G132284&amp;TYPE=PDFNL</t>
  </si>
  <si>
    <t>G124192</t>
  </si>
  <si>
    <t>G132284</t>
  </si>
  <si>
    <t>http://www.gyproc.be/downloadpib?PIB=G132283&amp;TYPE=IMG</t>
  </si>
  <si>
    <t>http://www.gyproc.be/downloadpib?PIB=G132283&amp;TYPE=PDFFR</t>
  </si>
  <si>
    <t>http://www.gyproc.be/downloadpib?PIB=G132283&amp;TYPE=PDFNL</t>
  </si>
  <si>
    <t>Rigitone 12-20/66</t>
  </si>
  <si>
    <t>G124226</t>
  </si>
  <si>
    <t>G132283</t>
  </si>
  <si>
    <t>http://www.gyproc.be/downloadpib?PIB=G132282&amp;TYPE=IMG</t>
  </si>
  <si>
    <t>http://www.gyproc.be/downloadpib?PIB=G132282&amp;TYPE=PDFFR</t>
  </si>
  <si>
    <t>http://www.gyproc.be/downloadpib?PIB=G132282&amp;TYPE=PDFNL</t>
  </si>
  <si>
    <t>H65051980</t>
  </si>
  <si>
    <t>G132282</t>
  </si>
  <si>
    <t>http://www.gyproc.be/downloadpib?PIB=G132281&amp;TYPE=IMG</t>
  </si>
  <si>
    <t>http://www.gyproc.be/downloadpib?PIB=G132281&amp;TYPE=PDFFR</t>
  </si>
  <si>
    <t>http://www.gyproc.be/downloadpib?PIB=G132281&amp;TYPE=PDFNL</t>
  </si>
  <si>
    <t>Rigitone 8-12/50</t>
  </si>
  <si>
    <t>G124221</t>
  </si>
  <si>
    <t>G132281</t>
  </si>
  <si>
    <t>http://www.gyproc.be/downloadpib?PIB=G132280&amp;TYPE=IMG</t>
  </si>
  <si>
    <t>http://www.gyproc.be/downloadpib?PIB=G132280&amp;TYPE=PDFFR</t>
  </si>
  <si>
    <t>http://www.gyproc.be/downloadpib?PIB=G132280&amp;TYPE=PDFNL</t>
  </si>
  <si>
    <t>G124220</t>
  </si>
  <si>
    <t>G132280</t>
  </si>
  <si>
    <t>http://www.gyproc.be/downloadpib?PIB=G132279&amp;TYPE=IMG</t>
  </si>
  <si>
    <t>http://www.gyproc.be/downloadpib?PIB=G132279&amp;TYPE=PDFFR</t>
  </si>
  <si>
    <t>http://www.gyproc.be/downloadpib?PIB=G132279&amp;TYPE=PDFNL</t>
  </si>
  <si>
    <t>Rigitone 15/30</t>
  </si>
  <si>
    <t>G124224</t>
  </si>
  <si>
    <t>G133989</t>
  </si>
  <si>
    <t>http://www.gyproc.be/downloadpib?PIB=G132278&amp;TYPE=IMG</t>
  </si>
  <si>
    <t>http://www.gyproc.be/downloadpib?PIB=G132278&amp;TYPE=PDFFR</t>
  </si>
  <si>
    <t>http://www.gyproc.be/downloadpib?PIB=G132278&amp;TYPE=PDFNL</t>
  </si>
  <si>
    <t>G122194</t>
  </si>
  <si>
    <t>G133988</t>
  </si>
  <si>
    <t>http://www.gyproc.be/downloadpib?PIB=G132277&amp;TYPE=IMG</t>
  </si>
  <si>
    <t>http://www.gyproc.be/downloadpib?PIB=G132277&amp;TYPE=PDFFR</t>
  </si>
  <si>
    <t>http://www.gyproc.be/downloadpib?PIB=G132277&amp;TYPE=PDFNL</t>
  </si>
  <si>
    <t>Rigitone 12/25</t>
  </si>
  <si>
    <t>G124219</t>
  </si>
  <si>
    <t>G132277</t>
  </si>
  <si>
    <t>http://www.gyproc.be/downloadpib?PIB=G132276&amp;TYPE=IMG</t>
  </si>
  <si>
    <t>http://www.gyproc.be/downloadpib?PIB=G132276&amp;TYPE=PDFFR</t>
  </si>
  <si>
    <t>http://www.gyproc.be/downloadpib?PIB=G132276&amp;TYPE=PDFNL</t>
  </si>
  <si>
    <t>G124218</t>
  </si>
  <si>
    <t>G132276</t>
  </si>
  <si>
    <t>http://www.gyproc.be/downloadpib?PIB=G132275&amp;TYPE=IMG</t>
  </si>
  <si>
    <t>http://www.gyproc.be/downloadpib?PIB=G132275&amp;TYPE=PDFFR</t>
  </si>
  <si>
    <t>http://www.gyproc.be/downloadpib?PIB=G132275&amp;TYPE=PDFNL</t>
  </si>
  <si>
    <t>Rigitone 10/23</t>
  </si>
  <si>
    <t>G124217</t>
  </si>
  <si>
    <t>G132275</t>
  </si>
  <si>
    <t>http://www.gyproc.be/downloadpib?PIB=G132274&amp;TYPE=IMG</t>
  </si>
  <si>
    <t>http://www.gyproc.be/downloadpib?PIB=G132274&amp;TYPE=PDFFR</t>
  </si>
  <si>
    <t>http://www.gyproc.be/downloadpib?PIB=G132274&amp;TYPE=PDFNL</t>
  </si>
  <si>
    <t>G124216</t>
  </si>
  <si>
    <t>G132274</t>
  </si>
  <si>
    <t>http://www.gyproc.be/downloadpib?PIB=G132273&amp;TYPE=IMG</t>
  </si>
  <si>
    <t>http://www.gyproc.be/downloadpib?PIB=G132273&amp;TYPE=PDFFR</t>
  </si>
  <si>
    <t>http://www.gyproc.be/downloadpib?PIB=G132273&amp;TYPE=PDFNL</t>
  </si>
  <si>
    <t>Rigitone 8/18</t>
  </si>
  <si>
    <t>G124128</t>
  </si>
  <si>
    <t>G132273</t>
  </si>
  <si>
    <t>http://www.gyproc.be/downloadpib?PIB=G132272&amp;TYPE=IMG</t>
  </si>
  <si>
    <t>http://www.gyproc.be/downloadpib?PIB=G132272&amp;TYPE=PDFFR</t>
  </si>
  <si>
    <t>http://www.gyproc.be/downloadpib?PIB=G132272&amp;TYPE=PDFNL</t>
  </si>
  <si>
    <t>H65011998</t>
  </si>
  <si>
    <t>G132272</t>
  </si>
  <si>
    <t>http://www.gyproc.be/downloadpib?PIB=G132271&amp;TYPE=IMG</t>
  </si>
  <si>
    <t>http://www.gyproc.be/downloadpib?PIB=G132271&amp;TYPE=PDFFR</t>
  </si>
  <si>
    <t>http://www.gyproc.be/downloadpib?PIB=G132271&amp;TYPE=PDFNL</t>
  </si>
  <si>
    <t>Rigitone 6/18</t>
  </si>
  <si>
    <t>G124215</t>
  </si>
  <si>
    <t>G132271</t>
  </si>
  <si>
    <t>http://www.gyproc.be/downloadpib?PIB=G132270&amp;TYPE=IMG</t>
  </si>
  <si>
    <t>http://www.gyproc.be/downloadpib?PIB=G132270&amp;TYPE=PDFFR</t>
  </si>
  <si>
    <t>http://www.gyproc.be/downloadpib?PIB=G132270&amp;TYPE=PDFNL</t>
  </si>
  <si>
    <t>G124214</t>
  </si>
  <si>
    <t>G132270</t>
  </si>
  <si>
    <t>http://www.gyproc.be/downloadpib?PIB=G132519&amp;TYPE=IMG</t>
  </si>
  <si>
    <t>http://www.gyproc.be/downloadpib?PIB=G132519&amp;TYPE=PDFFR</t>
  </si>
  <si>
    <t>http://www.gyproc.be/downloadpib?PIB=G132519&amp;TYPE=PDFNL</t>
  </si>
  <si>
    <t>DoP_GYP_14190-5-v1</t>
  </si>
  <si>
    <t>B-s1, d0 (C.4)</t>
  </si>
  <si>
    <t>plaque de plâtre perforée à 2 bords amincies</t>
  </si>
  <si>
    <t>geperforeerde gipskartonplaat met 2 afgeschuinde boorden</t>
  </si>
  <si>
    <t>Gyptone BIG Curve Sixto 63</t>
  </si>
  <si>
    <t>Plaques de plâtre perforées pour plafonds acoustiques courbés</t>
  </si>
  <si>
    <t>Geperforeerde gipsplaten voor gebogen akoestische plafonds</t>
  </si>
  <si>
    <t>Gyptone® BIG Curve</t>
  </si>
  <si>
    <t>G131027</t>
  </si>
  <si>
    <t>G132519</t>
  </si>
  <si>
    <t>http://www.gyproc.be/downloadpib?PIB=G132517&amp;TYPE=IMG</t>
  </si>
  <si>
    <t>http://www.gyproc.be/downloadpib?PIB=G132517&amp;TYPE=PDFFR</t>
  </si>
  <si>
    <t>http://www.gyproc.be/downloadpib?PIB=G132517&amp;TYPE=PDFNL</t>
  </si>
  <si>
    <t>Gyptone BIG Curve Quattro 41</t>
  </si>
  <si>
    <t>G131025</t>
  </si>
  <si>
    <t>G132517</t>
  </si>
  <si>
    <t>http://www.gyproc.be/downloadpib?PIB=G132518&amp;TYPE=IMG</t>
  </si>
  <si>
    <t>http://www.gyproc.be/downloadpib?PIB=G132518&amp;TYPE=PDFFR</t>
  </si>
  <si>
    <t>http://www.gyproc.be/downloadpib?PIB=G132518&amp;TYPE=PDFNL</t>
  </si>
  <si>
    <t>Gyptone BIG Curve Line 6</t>
  </si>
  <si>
    <t>G131026</t>
  </si>
  <si>
    <t>G132518</t>
  </si>
  <si>
    <t>http://www.gyproc.be/downloadpib?PIB=G132516&amp;TYPE=IMG</t>
  </si>
  <si>
    <t>http://www.gyproc.be/downloadpib?PIB=G132516&amp;TYPE=PDFFR</t>
  </si>
  <si>
    <t>http://www.gyproc.be/downloadpib?PIB=G132516&amp;TYPE=PDFNL</t>
  </si>
  <si>
    <t>Gyptone BIG Curve Base 31</t>
  </si>
  <si>
    <t>G131024</t>
  </si>
  <si>
    <t>G132516</t>
  </si>
  <si>
    <t>http://www.gyproc.be/downloadpib?PIB=G130454&amp;TYPE=IMG</t>
  </si>
  <si>
    <t>http://www.gyproc.be/downloaddop?DOP=DoP_Nr_GYP_14190_2_v1_FR.pdf</t>
  </si>
  <si>
    <t>http://www.gyproc.be/downloaddop?DOP=DoP_Nr_GYP_14190_2_v1_NL.pdf</t>
  </si>
  <si>
    <t>DoP_GYP_14190-2-v1</t>
  </si>
  <si>
    <t>plaque de plâtre à 4 bords amincies</t>
  </si>
  <si>
    <t>geperforeerde gipskartonplaat met 4 afgeschuinde boorden</t>
  </si>
  <si>
    <t>Gyptone BIG Sixto 63</t>
  </si>
  <si>
    <t>Plaques de plâtre perforées avec Activ'Air et dessin modulaire</t>
  </si>
  <si>
    <t>Geperforeerde gipsplaten met Activ'Air voor akoestische en decoratieve plafonds met modulair perforatiepatroon</t>
  </si>
  <si>
    <t>Gyptone® BIG</t>
  </si>
  <si>
    <t>G130454</t>
  </si>
  <si>
    <t>http://www.gyproc.be/downloadpib?PIB=H47452400&amp;TYPE=IMG</t>
  </si>
  <si>
    <t>Gyptone BIG Quattro 47</t>
  </si>
  <si>
    <t>H47452400</t>
  </si>
  <si>
    <t>http://www.gyproc.be/downloadpib?PIB=H46452400&amp;TYPE=IMG</t>
  </si>
  <si>
    <t>Gyptone BIG Quattro 46</t>
  </si>
  <si>
    <t>H46452400</t>
  </si>
  <si>
    <t>http://www.gyproc.be/downloadpib?PIB=G131077&amp;TYPE=IMG</t>
  </si>
  <si>
    <t>Gyptone BIG Quattro 44</t>
  </si>
  <si>
    <t>G131077</t>
  </si>
  <si>
    <t>http://www.gyproc.be/downloadpib?PIB=G131076&amp;TYPE=IMG</t>
  </si>
  <si>
    <t>Gyptone BIG Quattro 43</t>
  </si>
  <si>
    <t>G131076</t>
  </si>
  <si>
    <t>http://www.gyproc.be/downloadpib?PIB=H42452400&amp;TYPE=IMG</t>
  </si>
  <si>
    <t>Gyptone BIG Quattro 42</t>
  </si>
  <si>
    <t>H42452400</t>
  </si>
  <si>
    <t>http://www.gyproc.be/downloadpib?PIB=H41412400&amp;TYPE=IMG</t>
  </si>
  <si>
    <t>Gyptone BIG Quattro 41</t>
  </si>
  <si>
    <t>H41412400</t>
  </si>
  <si>
    <t>http://www.gyproc.be/downloadpib?PIB=G131075&amp;TYPE=IMG</t>
  </si>
  <si>
    <t>Gyptone BIG Quattro 40</t>
  </si>
  <si>
    <t>G131075</t>
  </si>
  <si>
    <t>http://www.gyproc.be/downloadpib?PIB=H64452400&amp;TYPE=IMG</t>
  </si>
  <si>
    <t>Gyptone BIG Line 6</t>
  </si>
  <si>
    <t>H64452400</t>
  </si>
  <si>
    <t>http://www.gyproc.be/downloadpib?PIB=G131074&amp;TYPE=IMG</t>
  </si>
  <si>
    <t>Gyptone BIG Line 5</t>
  </si>
  <si>
    <t>G131074</t>
  </si>
  <si>
    <t>http://www.gyproc.be/downloadpib?PIB=G126984&amp;TYPE=PDFFR</t>
  </si>
  <si>
    <t>http://www.gyproc.be/downloadpib?PIB=G126984&amp;TYPE=PDFNL</t>
  </si>
  <si>
    <t>http://www.gyproc.be/downloaddop?DOP=SG_GY_2013_C1CDC01C012_FR.pdf</t>
  </si>
  <si>
    <t>http://www.gyproc.be/downloaddop?DOP=SG_GY_2013_C1CDC01C012_NL.pdf</t>
  </si>
  <si>
    <t>SG_GY_2013_C1CDC01C012</t>
  </si>
  <si>
    <t>B-s2, d0</t>
  </si>
  <si>
    <t>dalle de plâtre revêtue de vinyl</t>
  </si>
  <si>
    <t>tegel uit gipskartonplaat bekleed met vinyl</t>
  </si>
  <si>
    <t>DF</t>
  </si>
  <si>
    <t>Gyprex Crystal Rf</t>
  </si>
  <si>
    <t>Dalles de plâtre revêtues de vinyl pour plafonds démontables avec haute résistance au feu</t>
  </si>
  <si>
    <t>Vinyl beklede gipstegels voor systeemplafonds met verhoogde brandwerendheid</t>
  </si>
  <si>
    <t>Gyprex® Crystal Rf</t>
  </si>
  <si>
    <t>Gyprex® Crystal Rf tegels</t>
  </si>
  <si>
    <t>G126984</t>
  </si>
  <si>
    <t>http://www.gyproc.be/downloadpib?PIB=G128105&amp;TYPE=PDFFR</t>
  </si>
  <si>
    <t>http://www.gyproc.be/downloadpib?PIB=G128105&amp;TYPE=PDFNL</t>
  </si>
  <si>
    <t>G128105</t>
  </si>
  <si>
    <t>http://www.gyproc.be/downloadpib?PIB=G122642&amp;TYPE=PDFFR</t>
  </si>
  <si>
    <t>http://www.gyproc.be/downloadpib?PIB=G122642&amp;TYPE=PDFNL</t>
  </si>
  <si>
    <t>dalle de plâtre revêtue de vinyl et d'une feuille en aluminium</t>
  </si>
  <si>
    <t>tegel uit gipskartonplaat bekleed met vinyl en alu folie</t>
  </si>
  <si>
    <t>Gyprex Atenea + alu</t>
  </si>
  <si>
    <t>Dalles de plâtre revêtues de vinyl pour plafonds démontables</t>
  </si>
  <si>
    <t>Vinyl beklede gipstegels voor systeemplafonds</t>
  </si>
  <si>
    <t>Gyprex®</t>
  </si>
  <si>
    <t>Gyprex® tegels</t>
  </si>
  <si>
    <t>G122642</t>
  </si>
  <si>
    <t>http://www.gyproc.be/downloadpib?PIB=G122641&amp;TYPE=IMG</t>
  </si>
  <si>
    <t>http://www.gyproc.be/downloadpib?PIB=G122641&amp;TYPE=PDFFR</t>
  </si>
  <si>
    <t>http://www.gyproc.be/downloadpib?PIB=G122641&amp;TYPE=PDFNL</t>
  </si>
  <si>
    <t>G122641</t>
  </si>
  <si>
    <t>http://www.gyproc.be/downloadpib?PIB=G132426&amp;TYPE=IMG</t>
  </si>
  <si>
    <t>http://www.gyproc.be/downloadpib?PIB=G132426&amp;TYPE=PDFFR</t>
  </si>
  <si>
    <t>http://www.gyproc.be/downloadpib?PIB=G132426&amp;TYPE=PDFNL</t>
  </si>
  <si>
    <t>E15/A</t>
  </si>
  <si>
    <t>DoP_GYP_14190-3-v-1</t>
  </si>
  <si>
    <t>panneau de plâtre perforé</t>
  </si>
  <si>
    <t>geperforeerd paneel uit gipskartonplaat</t>
  </si>
  <si>
    <t>Gyptone Quattro 55</t>
  </si>
  <si>
    <t>Panneaux de plâtre perforés avec Activ'Air pour plafonds acoustiques démontables et décoratifs</t>
  </si>
  <si>
    <t>Design gipspanelen met Activ'Air voor akoestische en decoratieve systeemplafonds</t>
  </si>
  <si>
    <t>Panneaux Gyptone® Activ'Air</t>
  </si>
  <si>
    <t>Gyptone® Activ'Air panelen</t>
  </si>
  <si>
    <t>H42942100</t>
  </si>
  <si>
    <t>G132426</t>
  </si>
  <si>
    <t>http://www.gyproc.be/downloadpib?PIB=G132425&amp;TYPE=IMG</t>
  </si>
  <si>
    <t>http://www.gyproc.be/downloadpib?PIB=G132425&amp;TYPE=PDFFR</t>
  </si>
  <si>
    <t>http://www.gyproc.be/downloadpib?PIB=G132425&amp;TYPE=PDFNL</t>
  </si>
  <si>
    <t>H42941800</t>
  </si>
  <si>
    <t>G132425</t>
  </si>
  <si>
    <t>http://www.gyproc.be/downloadpib?PIB=G132424&amp;TYPE=IMG</t>
  </si>
  <si>
    <t>http://www.gyproc.be/downloadpib?PIB=G132424&amp;TYPE=PDFFR</t>
  </si>
  <si>
    <t>http://www.gyproc.be/downloadpib?PIB=G132424&amp;TYPE=PDFNL</t>
  </si>
  <si>
    <t>Gyptone Point 15</t>
  </si>
  <si>
    <t>G121616</t>
  </si>
  <si>
    <t>G132424</t>
  </si>
  <si>
    <t>http://www.gyproc.be/downloadpib?PIB=G132423&amp;TYPE=IMG</t>
  </si>
  <si>
    <t>http://www.gyproc.be/downloadpib?PIB=G132423&amp;TYPE=PDFFR</t>
  </si>
  <si>
    <t>http://www.gyproc.be/downloadpib?PIB=G132423&amp;TYPE=PDFNL</t>
  </si>
  <si>
    <t>G124133</t>
  </si>
  <si>
    <t>G132423</t>
  </si>
  <si>
    <t>http://www.gyproc.be/downloadpib?PIB=G132422&amp;TYPE=IMG</t>
  </si>
  <si>
    <t>http://www.gyproc.be/downloadpib?PIB=G132422&amp;TYPE=PDFFR</t>
  </si>
  <si>
    <t>http://www.gyproc.be/downloadpib?PIB=G132422&amp;TYPE=PDFNL</t>
  </si>
  <si>
    <t>Gyptone Line 8</t>
  </si>
  <si>
    <t>H40842100</t>
  </si>
  <si>
    <t>G132422</t>
  </si>
  <si>
    <t>http://www.gyproc.be/downloadpib?PIB=G132421&amp;TYPE=IMG</t>
  </si>
  <si>
    <t>http://www.gyproc.be/downloadpib?PIB=G132421&amp;TYPE=PDFFR</t>
  </si>
  <si>
    <t>http://www.gyproc.be/downloadpib?PIB=G132421&amp;TYPE=PDFNL</t>
  </si>
  <si>
    <t>H40841800</t>
  </si>
  <si>
    <t>G132421</t>
  </si>
  <si>
    <t>http://www.gyproc.be/downloadpib?PIB=G132420&amp;TYPE=IMG</t>
  </si>
  <si>
    <t>http://www.gyproc.be/downloadpib?PIB=G132420&amp;TYPE=PDFFR</t>
  </si>
  <si>
    <t>http://www.gyproc.be/downloadpib?PIB=G132420&amp;TYPE=PDFNL</t>
  </si>
  <si>
    <t>panneau de plâtre</t>
  </si>
  <si>
    <t>paneel uit gipskartonplaat</t>
  </si>
  <si>
    <t>Gyptone Base 33</t>
  </si>
  <si>
    <t>G124132</t>
  </si>
  <si>
    <t>G132420</t>
  </si>
  <si>
    <t>http://www.gyproc.be/downloadpib?PIB=G132419&amp;TYPE=IMG</t>
  </si>
  <si>
    <t>http://www.gyproc.be/downloadpib?PIB=G132419&amp;TYPE=PDFFR</t>
  </si>
  <si>
    <t>http://www.gyproc.be/downloadpib?PIB=G132419&amp;TYPE=PDFNL</t>
  </si>
  <si>
    <t>H43341800</t>
  </si>
  <si>
    <t>G132419</t>
  </si>
  <si>
    <t>http://www.gyproc.be/downloadpib?PIB=H44680600&amp;TYPE=IMG</t>
  </si>
  <si>
    <t>http://www.gyproc.be/downloadpib?PIB=H44680600&amp;TYPE=PDFFR</t>
  </si>
  <si>
    <t>http://www.gyproc.be/downloadpib?PIB=H44680600&amp;TYPE=PDFNL</t>
  </si>
  <si>
    <t>D2</t>
  </si>
  <si>
    <t>DoP_GYP_14190-1-v-1</t>
  </si>
  <si>
    <t>dalle de plâtre perforée</t>
  </si>
  <si>
    <t>geperforeerde tegel uit gipskartonplaat</t>
  </si>
  <si>
    <t>Gyptone Sixto 60</t>
  </si>
  <si>
    <t>Dalles de plâtre perforées avec Activ'Air pour plafonds acoustiques démontables et décoratifs</t>
  </si>
  <si>
    <t>Geperforeerde gipstegels met Activ'Air voor akoestische en decoratieve systeemplafonds</t>
  </si>
  <si>
    <t>Dalles Gyptone® Activ'Air</t>
  </si>
  <si>
    <t>Gyptone® Activ'Air tegels</t>
  </si>
  <si>
    <t>G126943</t>
  </si>
  <si>
    <t>H44680600</t>
  </si>
  <si>
    <t>http://www.gyproc.be/downloadpib?PIB=H44660600&amp;TYPE=IMG</t>
  </si>
  <si>
    <t>http://www.gyproc.be/downloadpib?PIB=H44660600&amp;TYPE=PDFFR</t>
  </si>
  <si>
    <t>http://www.gyproc.be/downloadpib?PIB=H44660600&amp;TYPE=PDFNL</t>
  </si>
  <si>
    <t>http://www.gyproc.be/downloaddop?DOP=DoP_Nr_GYP_14190_1_v1_FR.pdf</t>
  </si>
  <si>
    <t>http://www.gyproc.be/downloaddop?DOP=DoP_Nr_GYP_14190_1_v1_NL.pdf</t>
  </si>
  <si>
    <t>E15</t>
  </si>
  <si>
    <t>H44660600</t>
  </si>
  <si>
    <t>http://www.gyproc.be/downloadpib?PIB=H44620600&amp;TYPE=IMG</t>
  </si>
  <si>
    <t>http://www.gyproc.be/downloadpib?PIB=H44620600&amp;TYPE=PDFFR</t>
  </si>
  <si>
    <t>http://www.gyproc.be/downloadpib?PIB=H44620600&amp;TYPE=PDFNL</t>
  </si>
  <si>
    <t>H44620600</t>
  </si>
  <si>
    <t>http://www.gyproc.be/downloadpib?PIB=H42570600&amp;TYPE=IMG</t>
  </si>
  <si>
    <t>http://www.gyproc.be/downloadpib?PIB=H42570600&amp;TYPE=PDFFR</t>
  </si>
  <si>
    <t>http://www.gyproc.be/downloadpib?PIB=H42570600&amp;TYPE=PDFNL</t>
  </si>
  <si>
    <t>Gyptone Quattro 50</t>
  </si>
  <si>
    <t>H42540600</t>
  </si>
  <si>
    <t>H42570600</t>
  </si>
  <si>
    <t>http://www.gyproc.be/downloadpib?PIB=H42560600&amp;TYPE=IMG</t>
  </si>
  <si>
    <t>http://www.gyproc.be/downloadpib?PIB=H42560600&amp;TYPE=PDFFR</t>
  </si>
  <si>
    <t>http://www.gyproc.be/downloadpib?PIB=H42560600&amp;TYPE=PDFNL</t>
  </si>
  <si>
    <t>H42560600</t>
  </si>
  <si>
    <t>http://www.gyproc.be/downloadpib?PIB=H42520600&amp;TYPE=IMG</t>
  </si>
  <si>
    <t>http://www.gyproc.be/downloadpib?PIB=H42520600&amp;TYPE=PDFFR</t>
  </si>
  <si>
    <t>http://www.gyproc.be/downloadpib?PIB=H42520600&amp;TYPE=PDFNL</t>
  </si>
  <si>
    <t>H42520600</t>
  </si>
  <si>
    <t>http://www.gyproc.be/downloadpib?PIB=H42240600&amp;TYPE=IMG</t>
  </si>
  <si>
    <t>http://www.gyproc.be/downloadpib?PIB=H42240600&amp;TYPE=PDFFR</t>
  </si>
  <si>
    <t>http://www.gyproc.be/downloadpib?PIB=H42240600&amp;TYPE=PDFNL</t>
  </si>
  <si>
    <t>Gyptone Quattro 22</t>
  </si>
  <si>
    <t>G124054</t>
  </si>
  <si>
    <t>H42240600</t>
  </si>
  <si>
    <t>http://www.gyproc.be/downloadpib?PIB=H42260600&amp;TYPE=IMG</t>
  </si>
  <si>
    <t>http://www.gyproc.be/downloadpib?PIB=H42260600&amp;TYPE=PDFFR</t>
  </si>
  <si>
    <t>http://www.gyproc.be/downloadpib?PIB=H42260600&amp;TYPE=PDFNL</t>
  </si>
  <si>
    <t>H42260600</t>
  </si>
  <si>
    <t>http://www.gyproc.be/downloadpib?PIB=H42220600&amp;TYPE=IMG</t>
  </si>
  <si>
    <t>http://www.gyproc.be/downloadpib?PIB=H42220600&amp;TYPE=PDFFR</t>
  </si>
  <si>
    <t>http://www.gyproc.be/downloadpib?PIB=H42220600&amp;TYPE=PDFNL</t>
  </si>
  <si>
    <t>H42220600</t>
  </si>
  <si>
    <t>http://www.gyproc.be/downloadpib?PIB=H42320600&amp;TYPE=IMG</t>
  </si>
  <si>
    <t>http://www.gyproc.be/downloadpib?PIB=H42320600&amp;TYPE=PDFFR</t>
  </si>
  <si>
    <t>http://www.gyproc.be/downloadpib?PIB=H42320600&amp;TYPE=PDFNL</t>
  </si>
  <si>
    <t>Gyptone Quattro 20</t>
  </si>
  <si>
    <t>H62040600</t>
  </si>
  <si>
    <t>H42320600</t>
  </si>
  <si>
    <t>http://www.gyproc.be/downloadpib?PIB=H42060600&amp;TYPE=IMG</t>
  </si>
  <si>
    <t>http://www.gyproc.be/downloadpib?PIB=H42060600&amp;TYPE=PDFFR</t>
  </si>
  <si>
    <t>http://www.gyproc.be/downloadpib?PIB=H42060600&amp;TYPE=PDFNL</t>
  </si>
  <si>
    <t>H42060600</t>
  </si>
  <si>
    <t>http://www.gyproc.be/downloadpib?PIB=H42020600&amp;TYPE=IMG</t>
  </si>
  <si>
    <t>http://www.gyproc.be/downloadpib?PIB=H42020600&amp;TYPE=PDFFR</t>
  </si>
  <si>
    <t>http://www.gyproc.be/downloadpib?PIB=H42020600&amp;TYPE=PDFNL</t>
  </si>
  <si>
    <t>H42020600</t>
  </si>
  <si>
    <t>http://www.gyproc.be/downloadpib?PIB=H41230600&amp;TYPE=IMG</t>
  </si>
  <si>
    <t>http://www.gyproc.be/downloadpib?PIB=H41230600&amp;TYPE=PDFFR</t>
  </si>
  <si>
    <t>http://www.gyproc.be/downloadpib?PIB=H41230600&amp;TYPE=PDFNL</t>
  </si>
  <si>
    <t>Gyptone Point 12</t>
  </si>
  <si>
    <t>G123589</t>
  </si>
  <si>
    <t>H41230600</t>
  </si>
  <si>
    <t>http://www.gyproc.be/downloadpib?PIB=H41260600&amp;TYPE=IMG</t>
  </si>
  <si>
    <t>http://www.gyproc.be/downloadpib?PIB=H41260600&amp;TYPE=PDFFR</t>
  </si>
  <si>
    <t>http://www.gyproc.be/downloadpib?PIB=H41260600&amp;TYPE=PDFNL</t>
  </si>
  <si>
    <t>H41260600</t>
  </si>
  <si>
    <t>http://www.gyproc.be/downloadpib?PIB=H41220600&amp;TYPE=IMG</t>
  </si>
  <si>
    <t>http://www.gyproc.be/downloadpib?PIB=H41220600&amp;TYPE=PDFFR</t>
  </si>
  <si>
    <t>http://www.gyproc.be/downloadpib?PIB=H41220600&amp;TYPE=PDFNL</t>
  </si>
  <si>
    <t>H41220600</t>
  </si>
  <si>
    <t>http://www.gyproc.be/downloadpib?PIB=H41190600&amp;TYPE=IMG</t>
  </si>
  <si>
    <t>http://www.gyproc.be/downloadpib?PIB=H41190600&amp;TYPE=PDFFR</t>
  </si>
  <si>
    <t>http://www.gyproc.be/downloadpib?PIB=H41190600&amp;TYPE=PDFNL</t>
  </si>
  <si>
    <t>Gyptone Point 11</t>
  </si>
  <si>
    <t>H41140600</t>
  </si>
  <si>
    <t>H41190600</t>
  </si>
  <si>
    <t>http://www.gyproc.be/downloadpib?PIB=H41160600&amp;TYPE=IMG</t>
  </si>
  <si>
    <t>http://www.gyproc.be/downloadpib?PIB=H41160600&amp;TYPE=PDFFR</t>
  </si>
  <si>
    <t>http://www.gyproc.be/downloadpib?PIB=H41160600&amp;TYPE=PDFNL</t>
  </si>
  <si>
    <t>H41160600</t>
  </si>
  <si>
    <t>http://www.gyproc.be/downloadpib?PIB=G132435&amp;TYPE=IMG</t>
  </si>
  <si>
    <t>http://www.gyproc.be/downloadpib?PIB=G132435&amp;TYPE=PDFFR</t>
  </si>
  <si>
    <t>http://www.gyproc.be/downloadpib?PIB=G132435&amp;TYPE=PDFNL</t>
  </si>
  <si>
    <t>G124207</t>
  </si>
  <si>
    <t>G132435</t>
  </si>
  <si>
    <t>http://www.gyproc.be/downloadpib?PIB=H41120600&amp;TYPE=IMG</t>
  </si>
  <si>
    <t>http://www.gyproc.be/downloadpib?PIB=H41120600&amp;TYPE=PDFFR</t>
  </si>
  <si>
    <t>http://www.gyproc.be/downloadpib?PIB=H41120600&amp;TYPE=PDFNL</t>
  </si>
  <si>
    <t>H41120600</t>
  </si>
  <si>
    <t>http://www.gyproc.be/downloadpib?PIB=H40470600&amp;TYPE=IMG</t>
  </si>
  <si>
    <t>http://www.gyproc.be/downloadpib?PIB=H40470600&amp;TYPE=PDFFR</t>
  </si>
  <si>
    <t>http://www.gyproc.be/downloadpib?PIB=H40470600&amp;TYPE=PDFNL</t>
  </si>
  <si>
    <t>Gyptone Line 4</t>
  </si>
  <si>
    <t>G122014</t>
  </si>
  <si>
    <t>H40470600</t>
  </si>
  <si>
    <t>http://www.gyproc.be/downloadpib?PIB=H40460600&amp;TYPE=IMG</t>
  </si>
  <si>
    <t>http://www.gyproc.be/downloadpib?PIB=H40460600&amp;TYPE=PDFFR</t>
  </si>
  <si>
    <t>http://www.gyproc.be/downloadpib?PIB=H40460600&amp;TYPE=PDFNL</t>
  </si>
  <si>
    <t>H40460600</t>
  </si>
  <si>
    <t>http://www.gyproc.be/downloadpib?PIB=G132434&amp;TYPE=IMG</t>
  </si>
  <si>
    <t>http://www.gyproc.be/downloadpib?PIB=G132434&amp;TYPE=PDFFR</t>
  </si>
  <si>
    <t>http://www.gyproc.be/downloadpib?PIB=G132434&amp;TYPE=PDFNL</t>
  </si>
  <si>
    <t>G124205</t>
  </si>
  <si>
    <t>G132434</t>
  </si>
  <si>
    <t>http://www.gyproc.be/downloadpib?PIB=H40420600&amp;TYPE=IMG</t>
  </si>
  <si>
    <t>http://www.gyproc.be/downloadpib?PIB=H40420600&amp;TYPE=PDFFR</t>
  </si>
  <si>
    <t>http://www.gyproc.be/downloadpib?PIB=H40420600&amp;TYPE=PDFNL</t>
  </si>
  <si>
    <t>H40420600</t>
  </si>
  <si>
    <t>http://www.gyproc.be/downloadpib?PIB=H43230600&amp;TYPE=IMG</t>
  </si>
  <si>
    <t>http://www.gyproc.be/downloadpib?PIB=H43230600&amp;TYPE=PDFFR</t>
  </si>
  <si>
    <t>http://www.gyproc.be/downloadpib?PIB=H43230600&amp;TYPE=PDFNL</t>
  </si>
  <si>
    <t>dalle de plâtre</t>
  </si>
  <si>
    <t>tegel uit gipskartonplaat</t>
  </si>
  <si>
    <t>Gyptone Base 31</t>
  </si>
  <si>
    <t>H6304600</t>
  </si>
  <si>
    <t>H43230600</t>
  </si>
  <si>
    <t>http://www.gyproc.be/downloadpib?PIB=H43060600&amp;TYPE=IMG</t>
  </si>
  <si>
    <t>http://www.gyproc.be/downloadpib?PIB=H43060600&amp;TYPE=PDFFR</t>
  </si>
  <si>
    <t>http://www.gyproc.be/downloadpib?PIB=H43060600&amp;TYPE=PDFNL</t>
  </si>
  <si>
    <t>H43060600</t>
  </si>
  <si>
    <t>http://www.gyproc.be/downloadpib?PIB=G132433&amp;TYPE=IMG</t>
  </si>
  <si>
    <t>http://www.gyproc.be/downloadpib?PIB=G132433&amp;TYPE=PDFFR</t>
  </si>
  <si>
    <t>http://www.gyproc.be/downloadpib?PIB=G132433&amp;TYPE=PDFNL</t>
  </si>
  <si>
    <t>G132433</t>
  </si>
  <si>
    <t>H43020600</t>
  </si>
  <si>
    <t>http://www.gyproc.be/downloadpib?PIB=G129533&amp;TYPE=PDFFR</t>
  </si>
  <si>
    <t>http://www.gyproc.be/downloadpib?PIB=G129533&amp;TYPE=PDFNL</t>
  </si>
  <si>
    <t>feuille de plomb</t>
  </si>
  <si>
    <t>loodplaat</t>
  </si>
  <si>
    <t>NBN EN 12588:2007</t>
  </si>
  <si>
    <t>Bande de plomb autocollante</t>
  </si>
  <si>
    <t>Zelfklevende Loodstrip</t>
  </si>
  <si>
    <t>Bande de plomb autocollante pour isoler les joints entre les plaques Gyproc® LP</t>
  </si>
  <si>
    <t>Zelfklevende loodstrip ter afscherming van naden tussen Gyproc® LP-platen</t>
  </si>
  <si>
    <t>Loodstrip</t>
  </si>
  <si>
    <t>G129533</t>
  </si>
  <si>
    <t>http://www.gyproc.be/downloadpib?PIB=G129532&amp;TYPE=PDFFR</t>
  </si>
  <si>
    <t>http://www.gyproc.be/downloadpib?PIB=G129532&amp;TYPE=PDFNL</t>
  </si>
  <si>
    <t>G129532</t>
  </si>
  <si>
    <t>http://www.gyproc.be/downloadpib?PIB=G130009&amp;TYPE=PDFFR</t>
  </si>
  <si>
    <t>http://www.gyproc.be/downloadpib?PIB=G130009&amp;TYPE=PDFNL</t>
  </si>
  <si>
    <t>G130009</t>
  </si>
  <si>
    <t>http://www.gyproc.be/downloadpib?PIB=G108259&amp;TYPE=IMG</t>
  </si>
  <si>
    <t>http://www.gyproc.be/downloadpib?PIB=G108259&amp;TYPE=PDFFR</t>
  </si>
  <si>
    <t>http://www.gyproc.be/downloadpib?PIB=G108259&amp;TYPE=PDFNL</t>
  </si>
  <si>
    <t>http://www.gyproc.be/downloaddop?DOP=SG_GY_2013_A1ABA30A001_FR.pdf</t>
  </si>
  <si>
    <t>http://www.gyproc.be/downloaddop?DOP=SG_GY_2013_A1ABA30A001_NL.pdf</t>
  </si>
  <si>
    <t>SG_GY_2013_A1ABA30A001</t>
  </si>
  <si>
    <t>plaque de plâtre revêtue d'une feuille en plomb</t>
  </si>
  <si>
    <t>gipskartonplaat bekleed met lood</t>
  </si>
  <si>
    <t>Gyproc LP</t>
  </si>
  <si>
    <t>Plaques Gyproc® revêtues au dos d'une feuille de plomb</t>
  </si>
  <si>
    <t>Gyproc®-platen met loodbekleding op de rugzijde</t>
  </si>
  <si>
    <t>Gyproc® LP</t>
  </si>
  <si>
    <t>G108259</t>
  </si>
  <si>
    <t>http://www.gyproc.be/downloadpib?PIB=G102424&amp;TYPE=IMG</t>
  </si>
  <si>
    <t>http://www.gyproc.be/downloadpib?PIB=G102424&amp;TYPE=PDFFR</t>
  </si>
  <si>
    <t>http://www.gyproc.be/downloadpib?PIB=G102424&amp;TYPE=PDFNL</t>
  </si>
  <si>
    <t>G102424</t>
  </si>
  <si>
    <t>http://www.gyproc.be/downloadpib?PIB=G102429&amp;TYPE=IMG</t>
  </si>
  <si>
    <t>http://www.gyproc.be/downloadpib?PIB=G102429&amp;TYPE=PDFFR</t>
  </si>
  <si>
    <t>http://www.gyproc.be/downloadpib?PIB=G102429&amp;TYPE=PDFNL</t>
  </si>
  <si>
    <t>G102429</t>
  </si>
  <si>
    <t>http://www.gyproc.be/downloadpib?PIB=G101771&amp;TYPE=IMG</t>
  </si>
  <si>
    <t>http://www.gyproc.be/downloadpib?PIB=G101771&amp;TYPE=PDFFR</t>
  </si>
  <si>
    <t>http://www.gyproc.be/downloadpib?PIB=G101771&amp;TYPE=PDFNL</t>
  </si>
  <si>
    <t>http://www.gyproc.be/downloaddop?DOP=SG_GY_2013_A1AAA07A001_FR.pdf</t>
  </si>
  <si>
    <t>http://www.gyproc.be/downloaddop?DOP=SG_GY_2013_A1AAA07A001_NL.pdf</t>
  </si>
  <si>
    <t>RBR</t>
  </si>
  <si>
    <t>SG GY 2013 A1AAA07A001</t>
  </si>
  <si>
    <t>P</t>
  </si>
  <si>
    <t>Gyplat</t>
  </si>
  <si>
    <t>Plaques de base Gyproc® pour plafonnage</t>
  </si>
  <si>
    <t>Gyproc®-basisplaten voor gipsbepleistering</t>
  </si>
  <si>
    <t>G101771</t>
  </si>
  <si>
    <t>http://www.gyproc.be/downloadpib?PIB=G100863&amp;TYPE=IMG</t>
  </si>
  <si>
    <t>http://www.gyproc.be/downloadpib?PIB=G100863&amp;TYPE=PDFFR</t>
  </si>
  <si>
    <t>http://www.gyproc.be/downloadpib?PIB=G100863&amp;TYPE=PDFNL</t>
  </si>
  <si>
    <t>G100863</t>
  </si>
  <si>
    <t>http://www.gyproc.be/downloadpib?PIB=G121638&amp;TYPE=IMG</t>
  </si>
  <si>
    <t>http://www.gyproc.be/downloadpib?PIB=G121638&amp;TYPE=PDFFR</t>
  </si>
  <si>
    <t>http://www.gyproc.be/downloadpib?PIB=G121638&amp;TYPE=PDFNL</t>
  </si>
  <si>
    <t>http://www.gyproc.be/downloaddop?DOP=SG_GY_2013_A1AAA09A001_FR.pdf</t>
  </si>
  <si>
    <t>http://www.gyproc.be/downloaddop?DOP=SG_GY_2013_A1AAA09A001_NL.pdf</t>
  </si>
  <si>
    <t>SG GY 2013 A1AAA09A001</t>
  </si>
  <si>
    <t>Gygant</t>
  </si>
  <si>
    <t>Plaques Gyproc® de grande longueur pour revêtements avec joints apparents</t>
  </si>
  <si>
    <t>Kamerbrede Gyproc®-platen voor plafondbekledingen met geaccentueerde naden</t>
  </si>
  <si>
    <t>G121638</t>
  </si>
  <si>
    <t>http://www.gyproc.be/downloadpib?PIB=G121637&amp;TYPE=IMG</t>
  </si>
  <si>
    <t>http://www.gyproc.be/downloadpib?PIB=G121637&amp;TYPE=PDFFR</t>
  </si>
  <si>
    <t>http://www.gyproc.be/downloadpib?PIB=G121637&amp;TYPE=PDFNL</t>
  </si>
  <si>
    <t>G121637</t>
  </si>
  <si>
    <t>http://www.gyproc.be/downloadpib?PIB=G121636&amp;TYPE=IMG</t>
  </si>
  <si>
    <t>http://www.gyproc.be/downloadpib?PIB=G121636&amp;TYPE=PDFFR</t>
  </si>
  <si>
    <t>http://www.gyproc.be/downloadpib?PIB=G121636&amp;TYPE=PDFNL</t>
  </si>
  <si>
    <t>G121636</t>
  </si>
  <si>
    <t>http://www.gyproc.be/downloadpib?PIB=G121635&amp;TYPE=IMG</t>
  </si>
  <si>
    <t>http://www.gyproc.be/downloadpib?PIB=G121635&amp;TYPE=PDFFR</t>
  </si>
  <si>
    <t>http://www.gyproc.be/downloadpib?PIB=G121635&amp;TYPE=PDFNL</t>
  </si>
  <si>
    <t>G121635</t>
  </si>
  <si>
    <t>http://www.gyproc.be/downloadpib?PIB=G121634&amp;TYPE=IMG</t>
  </si>
  <si>
    <t>http://www.gyproc.be/downloadpib?PIB=G121634&amp;TYPE=PDFFR</t>
  </si>
  <si>
    <t>http://www.gyproc.be/downloadpib?PIB=G121634&amp;TYPE=PDFNL</t>
  </si>
  <si>
    <t>G121634</t>
  </si>
  <si>
    <t>SG GY 2013 A1ABA11A003</t>
  </si>
  <si>
    <t>DFH2IR</t>
  </si>
  <si>
    <t>Plaques Gyproc® avec une résistance aux chocs améliorée</t>
  </si>
  <si>
    <t>Gyproc®-platen met verhoogde stootvastheid voor Offsite manufacturing</t>
  </si>
  <si>
    <t>DuraGyp OSM</t>
  </si>
  <si>
    <t>G131159</t>
  </si>
  <si>
    <t>G130904</t>
  </si>
  <si>
    <t>G130485</t>
  </si>
  <si>
    <t>G130471</t>
  </si>
  <si>
    <t>Gyproc®-platen met verhoogde stootvastheid</t>
  </si>
  <si>
    <t>DuraGyp Standaard</t>
  </si>
  <si>
    <t>G130391</t>
  </si>
  <si>
    <t>SG GY 2013 A1ABA11A001</t>
  </si>
  <si>
    <t>G130356</t>
  </si>
  <si>
    <t>G130372</t>
  </si>
  <si>
    <t>G130336</t>
  </si>
  <si>
    <t>http://www.gyproc.be/downloadpib?PIB=G130390&amp;TYPE=PDFFR</t>
  </si>
  <si>
    <t>http://www.gyproc.be/downloadpib?PIB=G130390&amp;TYPE=PDFNL</t>
  </si>
  <si>
    <t>http://www.gyproc.be/downloaddop?DOP=SG_GY_2013_A1ABA11A003_2_FR.pdf</t>
  </si>
  <si>
    <t>http://www.gyproc.be/downloaddop?DOP=SG_GY_2013_A1ABA11A003_2_NL.pdf</t>
  </si>
  <si>
    <t>DFH1IR</t>
  </si>
  <si>
    <t>DuraGyp Comfort</t>
  </si>
  <si>
    <t>Plaques Gyproc® purifiant l'air et renforcées des fibres de bois avec une résistance aux chocs améliorée</t>
  </si>
  <si>
    <t>Luchtzuiverende en houtvezelversterkte Gyproc®-platen met verhoogde stootvastheid</t>
  </si>
  <si>
    <t>G130390</t>
  </si>
  <si>
    <t>http://www.gyproc.be/downloadpib?PIB=G130337&amp;TYPE=PDFFR</t>
  </si>
  <si>
    <t>http://www.gyproc.be/downloadpib?PIB=G130337&amp;TYPE=PDFNL</t>
  </si>
  <si>
    <t>http://www.gyproc.be/downloaddop?DOP=SG_GY_2013_A1ABA11A001_2_FR.pdf</t>
  </si>
  <si>
    <t>http://www.gyproc.be/downloaddop?DOP=SG_GY_2013_A1ABA11A001_2_NL.pdf</t>
  </si>
  <si>
    <t>G130337</t>
  </si>
  <si>
    <t>http://www.gyproc.be/downloadpib?PIB=G130355&amp;TYPE=PDFFR</t>
  </si>
  <si>
    <t>http://www.gyproc.be/downloadpib?PIB=G130355&amp;TYPE=PDFNL</t>
  </si>
  <si>
    <t>G130355</t>
  </si>
  <si>
    <t>http://www.gyproc.be/downloadpib?PIB=G129585&amp;TYPE=IMG</t>
  </si>
  <si>
    <t>http://www.gyproc.be/downloadpib?PIB=G129585&amp;TYPE=PDFFR</t>
  </si>
  <si>
    <t>http://www.gyproc.be/downloadpib?PIB=G129585&amp;TYPE=PDFNL</t>
  </si>
  <si>
    <t>http://www.gyproc.be/downloaddop?DOP=SG_GY_2013_A1ABA25A003_FR.pdf</t>
  </si>
  <si>
    <t>http://www.gyproc.be/downloaddop?DOP=SG_GY_2013_A1ABA25A003_NL.pdf</t>
  </si>
  <si>
    <t>SG_GY_2013_A1ABA25A003</t>
  </si>
  <si>
    <t>D</t>
  </si>
  <si>
    <r>
      <t>Soun</t>
    </r>
    <r>
      <rPr>
        <b/>
        <sz val="10"/>
        <rFont val="Arial"/>
        <family val="2"/>
      </rPr>
      <t>dB</t>
    </r>
    <r>
      <rPr>
        <i/>
        <sz val="10"/>
        <rFont val="Arial"/>
        <family val="2"/>
      </rPr>
      <t>lock</t>
    </r>
  </si>
  <si>
    <t>Plaques Gyproc® pour un confort acoustique amélioré</t>
  </si>
  <si>
    <t>Gyproc®-platen met verhoogde geluidswerendheid</t>
  </si>
  <si>
    <t>SoundBlock</t>
  </si>
  <si>
    <t>G129585</t>
  </si>
  <si>
    <t>http://www.gyproc.be/downloadpib?PIB=P80803000&amp;TYPE=IMG</t>
  </si>
  <si>
    <t>http://www.gyproc.be/downloadpib?PIB=P80803000&amp;TYPE=PDFFR</t>
  </si>
  <si>
    <t>http://www.gyproc.be/downloadpib?PIB=P80803000&amp;TYPE=PDFNL</t>
  </si>
  <si>
    <t>P80803000</t>
  </si>
  <si>
    <t>http://www.gyproc.be/downloadpib?PIB=P80812600&amp;TYPE=IMG</t>
  </si>
  <si>
    <t>http://www.gyproc.be/downloadpib?PIB=P80812600&amp;TYPE=PDFFR</t>
  </si>
  <si>
    <t>http://www.gyproc.be/downloadpib?PIB=P80812600&amp;TYPE=PDFNL</t>
  </si>
  <si>
    <t>P80812600</t>
  </si>
  <si>
    <t>http://www.gyproc.be/downloadpib?PIB=P80802600&amp;TYPE=IMG</t>
  </si>
  <si>
    <t>http://www.gyproc.be/downloadpib?PIB=P80802600&amp;TYPE=PDFFR</t>
  </si>
  <si>
    <t>http://www.gyproc.be/downloadpib?PIB=P80802600&amp;TYPE=PDFNL</t>
  </si>
  <si>
    <t>P80802600</t>
  </si>
  <si>
    <t>http://www.gyproc.be/downloadpib?PIB=P80822600&amp;TYPE=IMG</t>
  </si>
  <si>
    <t>http://www.gyproc.be/downloadpib?PIB=P80822600&amp;TYPE=PDFFR</t>
  </si>
  <si>
    <t>http://www.gyproc.be/downloadpib?PIB=P80822600&amp;TYPE=PDFNL</t>
  </si>
  <si>
    <t>P80822600</t>
  </si>
  <si>
    <t>http://www.gyproc.be/downloadpib?PIB=G130261&amp;TYPE=IMG</t>
  </si>
  <si>
    <t>http://www.gyproc.be/downloadpib?PIB=G130261&amp;TYPE=PDFFR</t>
  </si>
  <si>
    <t>http://www.gyproc.be/downloadpib?PIB=G130261&amp;TYPE=PDFNL</t>
  </si>
  <si>
    <t>http://www.gyproc.be/downloaddop?DOP=SG_GY_2013_A1ABA07A003A020_FR.pdf</t>
  </si>
  <si>
    <t>http://www.gyproc.be/downloaddop?DOP=SG_GY_2013_A1ABA07A003A020_NL.pdf</t>
  </si>
  <si>
    <t>SG GY 2013 A1ABA07A003A020</t>
  </si>
  <si>
    <t>A2-s1, d0 (C.2)</t>
  </si>
  <si>
    <t>gipskartonplaat met 4 afgeschuinde boorden</t>
  </si>
  <si>
    <t>Gyproc WR - DFH2</t>
  </si>
  <si>
    <t>Plaques Gyproc® à plus haute résistance à l'humidité améliorée</t>
  </si>
  <si>
    <t>Gyproc®-platen met verhoogde waterwerendheid</t>
  </si>
  <si>
    <t>Gyproc® WR</t>
  </si>
  <si>
    <t>G130261</t>
  </si>
  <si>
    <t>http://www.gyproc.be/downloadpib?PIB=G130260&amp;TYPE=IMG</t>
  </si>
  <si>
    <t>http://www.gyproc.be/downloadpib?PIB=G130260&amp;TYPE=PDFFR</t>
  </si>
  <si>
    <t>http://www.gyproc.be/downloadpib?PIB=G130260&amp;TYPE=PDFNL</t>
  </si>
  <si>
    <t>http://www.gyproc.be/downloaddop?DOP=SG_GY_2013_A1ABA07A003A022_FR.pdf</t>
  </si>
  <si>
    <t>http://www.gyproc.be/downloaddop?DOP=SG_GY_2013_A1ABA07A003A022_NL.pdf</t>
  </si>
  <si>
    <t>SG GY 2013 A1ABA07A003A022</t>
  </si>
  <si>
    <t>G130260</t>
  </si>
  <si>
    <t>http://www.gyproc.be/downloadpib?PIB=G101051&amp;TYPE=IMG</t>
  </si>
  <si>
    <t>http://www.gyproc.be/downloadpib?PIB=G101051&amp;TYPE=PDFFR</t>
  </si>
  <si>
    <t>http://www.gyproc.be/downloadpib?PIB=G101051&amp;TYPE=PDFNL</t>
  </si>
  <si>
    <t>http://www.gyproc.be/downloaddop?DOP=SG_GY_2013_A1ABA07A007_FR.pdf</t>
  </si>
  <si>
    <t>http://www.gyproc.be/downloaddop?DOP=SG_GY_2013_A1ABA07A007_NL.pdf</t>
  </si>
  <si>
    <t>SG GY 2013 A1ABA07A007</t>
  </si>
  <si>
    <t>G101051</t>
  </si>
  <si>
    <t>http://www.gyproc.be/downloadpib?PIB=G100983&amp;TYPE=IMG</t>
  </si>
  <si>
    <t>http://www.gyproc.be/downloadpib?PIB=G100983&amp;TYPE=PDFFR</t>
  </si>
  <si>
    <t>http://www.gyproc.be/downloadpib?PIB=G100983&amp;TYPE=PDFNL</t>
  </si>
  <si>
    <t>http://www.gyproc.be/downloaddop?DOP=SG_GY_2013_A1ABA07A003A019_FR.pdf</t>
  </si>
  <si>
    <t>http://www.gyproc.be/downloaddop?DOP=SG_GY_2013_A1ABA07A003A019_NL.pdf</t>
  </si>
  <si>
    <t>SG GY 2013 A1ABA07A003A019</t>
  </si>
  <si>
    <t>G100983</t>
  </si>
  <si>
    <t>http://www.gyproc.be/downloadpib?PIB=G100982&amp;TYPE=IMG</t>
  </si>
  <si>
    <t>http://www.gyproc.be/downloadpib?PIB=G100982&amp;TYPE=PDFFR</t>
  </si>
  <si>
    <t>http://www.gyproc.be/downloadpib?PIB=G100982&amp;TYPE=PDFNL</t>
  </si>
  <si>
    <t>G100982</t>
  </si>
  <si>
    <t>http://www.gyproc.be/downloadpib?PIB=G102373&amp;TYPE=IMG</t>
  </si>
  <si>
    <t>http://www.gyproc.be/downloadpib?PIB=G102373&amp;TYPE=PDFFR</t>
  </si>
  <si>
    <t>http://www.gyproc.be/downloadpib?PIB=G102373&amp;TYPE=PDFNL</t>
  </si>
  <si>
    <t>G102373</t>
  </si>
  <si>
    <t>http://www.gyproc.be/downloadpib?PIB=G123739&amp;TYPE=IMG</t>
  </si>
  <si>
    <t>http://www.gyproc.be/downloadpib?PIB=G123739&amp;TYPE=PDFFR</t>
  </si>
  <si>
    <t>http://www.gyproc.be/downloadpib?PIB=G123739&amp;TYPE=PDFNL</t>
  </si>
  <si>
    <t>G123739</t>
  </si>
  <si>
    <t>http://www.gyproc.be/downloadpib?PIB=G102547&amp;TYPE=IMG</t>
  </si>
  <si>
    <t>http://www.gyproc.be/downloadpib?PIB=G102547&amp;TYPE=PDFFR</t>
  </si>
  <si>
    <t>http://www.gyproc.be/downloadpib?PIB=G102547&amp;TYPE=PDFNL</t>
  </si>
  <si>
    <t>http://www.gyproc.be/downloaddop?DOP=SG_GY_2013_A1ABA07A003A021_FR.pdf</t>
  </si>
  <si>
    <t>http://www.gyproc.be/downloaddop?DOP=SG_GY_2013_A1ABA07A003A021_NL.pdf</t>
  </si>
  <si>
    <t>SG GY 2013 A1ABA07A003A021</t>
  </si>
  <si>
    <t>G102547</t>
  </si>
  <si>
    <t>http://www.gyproc.be/downloadpib?PIB=G100676&amp;TYPE=IMG</t>
  </si>
  <si>
    <t>http://www.gyproc.be/downloadpib?PIB=G100676&amp;TYPE=PDFFR</t>
  </si>
  <si>
    <t>http://www.gyproc.be/downloadpib?PIB=G100676&amp;TYPE=PDFNL</t>
  </si>
  <si>
    <t>http://www.gyproc.be/downloaddop?DOP=SG_GY_2013_A1ABA07A001_FR.pdf</t>
  </si>
  <si>
    <t>http://www.gyproc.be/downloaddop?DOP=SG_GY_2013_A1ABA07A001_NL.pdf</t>
  </si>
  <si>
    <t>SG GY 2013 A1ABA07A001</t>
  </si>
  <si>
    <t>Gyproc WR - H2</t>
  </si>
  <si>
    <t>G100676</t>
  </si>
  <si>
    <t>http://www.gyproc.be/downloadpib?PIB=G130417&amp;TYPE=IMG</t>
  </si>
  <si>
    <t>Gyproc Handyboard</t>
  </si>
  <si>
    <t>G130417</t>
  </si>
  <si>
    <t>http://www.gyproc.be/downloadpib?PIB=G102723&amp;TYPE=IMG</t>
  </si>
  <si>
    <t>http://www.gyproc.be/downloadpib?PIB=G102723&amp;TYPE=PDFFR</t>
  </si>
  <si>
    <t>http://www.gyproc.be/downloadpib?PIB=G102723&amp;TYPE=PDFNL</t>
  </si>
  <si>
    <t>http://www.gyproc.be/downloaddop?DOP=SG_GY_2013_A1ABA15A004A002_FR.pdf</t>
  </si>
  <si>
    <t>http://www.gyproc.be/downloaddop?DOP=SG_GY_2013_A1ABA15A004A002_NL.pdf</t>
  </si>
  <si>
    <t>SG GY 2013 A1ABA15A004A002</t>
  </si>
  <si>
    <t>Gyproc Rf</t>
  </si>
  <si>
    <t>Plaques Gyproc® à plus haute résistance au feu</t>
  </si>
  <si>
    <t>Gyproc®-platen met verhoogde brandwerendheid</t>
  </si>
  <si>
    <t>Gyproc® Rf</t>
  </si>
  <si>
    <t>G102723</t>
  </si>
  <si>
    <t>http://www.gyproc.be/downloadpib?PIB=G102671&amp;TYPE=IMG</t>
  </si>
  <si>
    <t>http://www.gyproc.be/downloadpib?PIB=G102671&amp;TYPE=PDFFR</t>
  </si>
  <si>
    <t>http://www.gyproc.be/downloadpib?PIB=G102671&amp;TYPE=PDFNL</t>
  </si>
  <si>
    <t>http://www.gyproc.be/downloaddop?DOP=SG_GY_2013_A1ABA15A003A006_FR.pdf</t>
  </si>
  <si>
    <t>http://www.gyproc.be/downloaddop?DOP=SG_GY_2013_A1ABA15A003A006_NL.pdf</t>
  </si>
  <si>
    <t>SG GY 2013 A1ABA15A003A006</t>
  </si>
  <si>
    <t>G102671</t>
  </si>
  <si>
    <t>http://www.gyproc.be/downloadpib?PIB=G131437&amp;TYPE=IMG</t>
  </si>
  <si>
    <t>http://www.gyproc.be/downloadpib?PIB=G131437&amp;TYPE=PDFFR</t>
  </si>
  <si>
    <t>http://www.gyproc.be/downloadpib?PIB=G131437&amp;TYPE=PDFNL</t>
  </si>
  <si>
    <t>G131437</t>
  </si>
  <si>
    <t>http://www.gyproc.be/downloadpib?PIB=G123737&amp;TYPE=IMG</t>
  </si>
  <si>
    <t>http://www.gyproc.be/downloadpib?PIB=G123737&amp;TYPE=PDFFR</t>
  </si>
  <si>
    <t>http://www.gyproc.be/downloadpib?PIB=G123737&amp;TYPE=PDFNL</t>
  </si>
  <si>
    <t>http://www.gyproc.be/downloaddop?DOP=SG_GY_2013_A1ABA15A004A001_FR.pdf</t>
  </si>
  <si>
    <t>http://www.gyproc.be/downloaddop?DOP=SG_GY_2013_A1ABA15A004A001_NL.pdf</t>
  </si>
  <si>
    <t>SG GY 2013 A1ABA15A004A001</t>
  </si>
  <si>
    <t>G123737</t>
  </si>
  <si>
    <t>http://www.gyproc.be/downloadpib?PIB=G101049&amp;TYPE=IMG</t>
  </si>
  <si>
    <t>http://www.gyproc.be/downloadpib?PIB=G101049&amp;TYPE=PDFFR</t>
  </si>
  <si>
    <t>http://www.gyproc.be/downloadpib?PIB=G101049&amp;TYPE=PDFNL</t>
  </si>
  <si>
    <t>http://www.gyproc.be/downloaddop?DOP=SG_GY_2013_A1ABA15A003A005_FR.pdf</t>
  </si>
  <si>
    <t>http://www.gyproc.be/downloaddop?DOP=SG_GY_2013_A1ABA15A003A005_NL.pdf</t>
  </si>
  <si>
    <t>SG GY 2013 A1ABA15A003A005</t>
  </si>
  <si>
    <t>G101049</t>
  </si>
  <si>
    <t>http://www.gyproc.be/downloadpib?PIB=G123736&amp;TYPE=IMG</t>
  </si>
  <si>
    <t>http://www.gyproc.be/downloadpib?PIB=G123736&amp;TYPE=PDFFR</t>
  </si>
  <si>
    <t>http://www.gyproc.be/downloadpib?PIB=G123736&amp;TYPE=PDFNL</t>
  </si>
  <si>
    <t>G123736</t>
  </si>
  <si>
    <t>http://www.gyproc.be/downloadpib?PIB=G101046&amp;TYPE=IMG</t>
  </si>
  <si>
    <t>http://www.gyproc.be/downloadpib?PIB=G101046&amp;TYPE=PDFFR</t>
  </si>
  <si>
    <t>http://www.gyproc.be/downloadpib?PIB=G101046&amp;TYPE=PDFNL</t>
  </si>
  <si>
    <t>G101046</t>
  </si>
  <si>
    <t>http://www.gyproc.be/downloadpib?PIB=G101045&amp;TYPE=IMG</t>
  </si>
  <si>
    <t>http://www.gyproc.be/downloadpib?PIB=G101045&amp;TYPE=PDFFR</t>
  </si>
  <si>
    <t>http://www.gyproc.be/downloadpib?PIB=G101045&amp;TYPE=PDFNL</t>
  </si>
  <si>
    <t>G101045</t>
  </si>
  <si>
    <t>http://www.gyproc.be/downloadpib?PIB=G131615&amp;TYPE=IMG</t>
  </si>
  <si>
    <t>http://www.gyproc.be/downloadpib?PIB=G131615&amp;TYPE=PDFFR</t>
  </si>
  <si>
    <t>http://www.gyproc.be/downloadpib?PIB=G131615&amp;TYPE=PDFNL</t>
  </si>
  <si>
    <t>G131615</t>
  </si>
  <si>
    <t>http://www.gyproc.be/downloadpib?PIB=G101026&amp;TYPE=IMG</t>
  </si>
  <si>
    <t>http://www.gyproc.be/downloadpib?PIB=G101026&amp;TYPE=PDFFR</t>
  </si>
  <si>
    <t>http://www.gyproc.be/downloadpib?PIB=G101026&amp;TYPE=PDFNL</t>
  </si>
  <si>
    <t>http://www.gyproc.be/downloaddop?DOP=SG_GY_2013_A1ABA15A001_FR.pdf</t>
  </si>
  <si>
    <t>http://www.gyproc.be/downloaddop?DOP=SG_GY_2013_A1ABA15A001_NL.pdf</t>
  </si>
  <si>
    <t>SG GY 2013 A1ABA15A001</t>
  </si>
  <si>
    <t>G101026</t>
  </si>
  <si>
    <t>http://www.gyproc.be/downloadpib?PIB=G123735&amp;TYPE=IMG</t>
  </si>
  <si>
    <t>http://www.gyproc.be/downloadpib?PIB=G123735&amp;TYPE=PDFFR</t>
  </si>
  <si>
    <t>http://www.gyproc.be/downloadpib?PIB=G123735&amp;TYPE=PDFNL</t>
  </si>
  <si>
    <t>G123735</t>
  </si>
  <si>
    <t>http://www.gyproc.be/downloadpib?PIB=G129756&amp;TYPE=IMG</t>
  </si>
  <si>
    <t>http://www.gyproc.be/downloadpib?PIB=G129756&amp;TYPE=PDFFR</t>
  </si>
  <si>
    <t>http://www.gyproc.be/downloadpib?PIB=G129756&amp;TYPE=PDFNL</t>
  </si>
  <si>
    <t>http://www.gyproc.be/downloaddop?DOP=SG_GY_2013_A1ABA33A005A010_FR.pdf</t>
  </si>
  <si>
    <t>http://www.gyproc.be/downloaddop?DOP=SG_GY_2013_A1ABA33A005A010_NL.pdf</t>
  </si>
  <si>
    <t>SG GY 2013 A1ABA33A005A010</t>
  </si>
  <si>
    <t>Gyproc Activ'Air Premium - A</t>
  </si>
  <si>
    <t>Plaques de construction Gyproc® avec des charactéristiques de purification de l’air intérieure</t>
  </si>
  <si>
    <t>Gyproc®-bouwplaten met luchtzuiverende kwaliteiten en wit karton</t>
  </si>
  <si>
    <t>Gyproc® Activ'Air Premium - A</t>
  </si>
  <si>
    <t>G129756</t>
  </si>
  <si>
    <t>http://www.gyproc.be/downloadpib?PIB=G129755&amp;TYPE=IMG</t>
  </si>
  <si>
    <t>http://www.gyproc.be/downloadpib?PIB=G129755&amp;TYPE=PDFFR</t>
  </si>
  <si>
    <t>http://www.gyproc.be/downloadpib?PIB=G129755&amp;TYPE=PDFNL</t>
  </si>
  <si>
    <t>http://www.gyproc.be/downloaddop?DOP=SG_GY_2013_A1ABA33A005A012_FR.pdf</t>
  </si>
  <si>
    <t>http://www.gyproc.be/downloaddop?DOP=SG_GY_2013_A1ABA33A005A012_NL.pdf</t>
  </si>
  <si>
    <t>SG GY 2013 A1ABA33A005A012</t>
  </si>
  <si>
    <t>G129755</t>
  </si>
  <si>
    <t>http://www.gyproc.be/downloadpib?PIB=G129758&amp;TYPE=IMG</t>
  </si>
  <si>
    <t>http://www.gyproc.be/downloadpib?PIB=G129758&amp;TYPE=PDFFR</t>
  </si>
  <si>
    <t>http://www.gyproc.be/downloadpib?PIB=G129758&amp;TYPE=PDFNL</t>
  </si>
  <si>
    <t>http://www.gyproc.be/downloaddop?DOP=SG_GY_2013_A1ABA33A005A008_FR.pdf</t>
  </si>
  <si>
    <t>http://www.gyproc.be/downloaddop?DOP=SG_GY_2013_A1ABA33A005A008_NL.pdf</t>
  </si>
  <si>
    <t>SG GY 2013 A1ABA33A005A008</t>
  </si>
  <si>
    <t>G129758</t>
  </si>
  <si>
    <t>http://www.gyproc.be/downloadpib?PIB=G129757&amp;TYPE=IMG</t>
  </si>
  <si>
    <t>http://www.gyproc.be/downloadpib?PIB=G129757&amp;TYPE=PDFFR</t>
  </si>
  <si>
    <t>http://www.gyproc.be/downloadpib?PIB=G129757&amp;TYPE=PDFNL</t>
  </si>
  <si>
    <t>G129757</t>
  </si>
  <si>
    <t>G133938</t>
  </si>
  <si>
    <t>http://www.gyproc.be/downloadpib?PIB=G132092&amp;TYPE=IMG</t>
  </si>
  <si>
    <t>http://www.gyproc.be/downloadpib?PIB=G132092&amp;TYPE=PDFFR</t>
  </si>
  <si>
    <t>http://www.gyproc.be/downloadpib?PIB=G132092&amp;TYPE=PDFNL</t>
  </si>
  <si>
    <t>A2-s1, d0 (C1)</t>
  </si>
  <si>
    <t>Plaque de plâtre Gyproc de haute qualité adaptée au confort de vie contemporain</t>
  </si>
  <si>
    <t>Hoogwaardige Gyproc-plaat aangepast aan het hedendaagse woon-comfort</t>
  </si>
  <si>
    <t>Habito®</t>
  </si>
  <si>
    <t>G132092</t>
  </si>
  <si>
    <t>http://www.gyproc.be/downloadpib?PIB=G132114&amp;TYPE=IMG</t>
  </si>
  <si>
    <t>http://www.gyproc.be/downloadpib?PIB=G132114&amp;TYPE=PDFFR</t>
  </si>
  <si>
    <t>http://www.gyproc.be/downloadpib?PIB=G132114&amp;TYPE=PDFNL</t>
  </si>
  <si>
    <t>G132114</t>
  </si>
  <si>
    <t>http://www.gyproc.be/downloadpib?PIB=G100975&amp;TYPE=IMG</t>
  </si>
  <si>
    <t>http://www.gyproc.be/downloadpib?PIB=G100975&amp;TYPE=PDFFR</t>
  </si>
  <si>
    <t>http://www.gyproc.be/downloadpib?PIB=G100975&amp;TYPE=PDFNL</t>
  </si>
  <si>
    <t>http://www.gyproc.be/downloaddop?DOP=SG_GY_2013_A1AAA03A007_FR.pdf</t>
  </si>
  <si>
    <t>http://www.gyproc.be/downloaddop?DOP=SG_GY_2013_A1AAA03A007_NL.pdf</t>
  </si>
  <si>
    <t>RBD</t>
  </si>
  <si>
    <t>SG GY 2013 A1AAA03A007</t>
  </si>
  <si>
    <t>Gyproc A</t>
  </si>
  <si>
    <t>Plaques de construction Gyproc®</t>
  </si>
  <si>
    <t>Gyproc®-bouwplaten</t>
  </si>
  <si>
    <t>Gyproc® A</t>
  </si>
  <si>
    <t>G100975</t>
  </si>
  <si>
    <t>http://www.gyproc.be/downloadpib?PIB=G100967&amp;TYPE=IMG</t>
  </si>
  <si>
    <t>http://www.gyproc.be/downloadpib?PIB=G100967&amp;TYPE=PDFFR</t>
  </si>
  <si>
    <t>http://www.gyproc.be/downloadpib?PIB=G100967&amp;TYPE=PDFNL</t>
  </si>
  <si>
    <t>http://www.gyproc.be/downloaddop?DOP=SG_GY_2013_A1ABA03A001_FR.pdf</t>
  </si>
  <si>
    <t>http://www.gyproc.be/downloaddop?DOP=SG_GY_2013_A1ABA03A001_NL.pdf</t>
  </si>
  <si>
    <t>SG GY 2013 A1ABA03A001</t>
  </si>
  <si>
    <t>G100967</t>
  </si>
  <si>
    <t>http://www.gyproc.be/downloadpib?PIB=G100966&amp;TYPE=IMG</t>
  </si>
  <si>
    <t>http://www.gyproc.be/downloadpib?PIB=G100966&amp;TYPE=PDFFR</t>
  </si>
  <si>
    <t>http://www.gyproc.be/downloadpib?PIB=G100966&amp;TYPE=PDFNL</t>
  </si>
  <si>
    <t>G100966</t>
  </si>
  <si>
    <t>http://www.gyproc.be/downloadpib?PIB=G100965&amp;TYPE=IMG</t>
  </si>
  <si>
    <t>http://www.gyproc.be/downloadpib?PIB=G100965&amp;TYPE=PDFFR</t>
  </si>
  <si>
    <t>http://www.gyproc.be/downloadpib?PIB=G100965&amp;TYPE=PDFNL</t>
  </si>
  <si>
    <t>G100965</t>
  </si>
  <si>
    <t>http://www.gyproc.be/downloadpib?PIB=G123927&amp;TYPE=IMG</t>
  </si>
  <si>
    <t>http://www.gyproc.be/downloadpib?PIB=G123927&amp;TYPE=PDFFR</t>
  </si>
  <si>
    <t>http://www.gyproc.be/downloadpib?PIB=G123927&amp;TYPE=PDFNL</t>
  </si>
  <si>
    <t>G123927</t>
  </si>
  <si>
    <t>http://www.gyproc.be/downloadpib?PIB=G121647&amp;TYPE=IMG</t>
  </si>
  <si>
    <t>http://www.gyproc.be/downloadpib?PIB=G121647&amp;TYPE=PDFFR</t>
  </si>
  <si>
    <t>http://www.gyproc.be/downloadpib?PIB=G121647&amp;TYPE=PDFNL</t>
  </si>
  <si>
    <t>G121647</t>
  </si>
  <si>
    <t>P06482500</t>
  </si>
  <si>
    <t>http://www.gyproc.be/downloadpib?PIB=G100804&amp;TYPE=IMG</t>
  </si>
  <si>
    <t>http://www.gyproc.be/downloadpib?PIB=G100804&amp;TYPE=PDFFR</t>
  </si>
  <si>
    <t>http://www.gyproc.be/downloadpib?PIB=G100804&amp;TYPE=PDFNL</t>
  </si>
  <si>
    <t>http://www.gyproc.be/downloaddop?DOP=SG_GY_2013_A1ABA03A002_FR.pdf</t>
  </si>
  <si>
    <t>http://www.gyproc.be/downloaddop?DOP=SG_GY_2013_A1ABA03A002_NL.pdf</t>
  </si>
  <si>
    <t>SG GY 2013 A1ABA03A002</t>
  </si>
  <si>
    <t>G100804</t>
  </si>
  <si>
    <t>http://www.gyproc.be/downloadpib?PIB=G100803&amp;TYPE=IMG</t>
  </si>
  <si>
    <t>http://www.gyproc.be/downloadpib?PIB=G100803&amp;TYPE=PDFFR</t>
  </si>
  <si>
    <t>http://www.gyproc.be/downloadpib?PIB=G100803&amp;TYPE=PDFNL</t>
  </si>
  <si>
    <t>G100803</t>
  </si>
  <si>
    <t>http://www.gyproc.be/downloadpib?PIB=G121625&amp;TYPE=IMG</t>
  </si>
  <si>
    <t>http://www.gyproc.be/downloadpib?PIB=G121625&amp;TYPE=PDFFR</t>
  </si>
  <si>
    <t>http://www.gyproc.be/downloadpib?PIB=G121625&amp;TYPE=PDFNL</t>
  </si>
  <si>
    <t>http://www.gyproc.be/downloaddop?DOP=SG_GY_2013_A1AAA01A005_FR.pdf</t>
  </si>
  <si>
    <t>http://www.gyproc.be/downloaddop?DOP=SG_GY_2013_A1AAA01A005_NL.pdf</t>
  </si>
  <si>
    <t>SG GY 2013 A1AAA01A005</t>
  </si>
  <si>
    <t>G121625</t>
  </si>
  <si>
    <t>http://www.gyproc.be/downloadpib?PIB=G101037&amp;TYPE=IMG</t>
  </si>
  <si>
    <t>http://www.gyproc.be/downloadpib?PIB=G101037&amp;TYPE=PDFFR</t>
  </si>
  <si>
    <t>http://www.gyproc.be/downloadpib?PIB=G101037&amp;TYPE=PDFNL</t>
  </si>
  <si>
    <t>G101037</t>
  </si>
  <si>
    <t>http://www.gyproc.be/downloadpib?PIB=G100947&amp;TYPE=IMG</t>
  </si>
  <si>
    <t>http://www.gyproc.be/downloadpib?PIB=G100947&amp;TYPE=PDFFR</t>
  </si>
  <si>
    <t>http://www.gyproc.be/downloadpib?PIB=G100947&amp;TYPE=PDFNL</t>
  </si>
  <si>
    <t>http://www.gyproc.be/downloaddop?DOP=SG_GY_2013_A1AAA01A003_FR.pdf</t>
  </si>
  <si>
    <t>http://www.gyproc.be/downloaddop?DOP=SG_GY_2013_A1AAA01A003_NL.pdf</t>
  </si>
  <si>
    <t>SG GY 2013 A1AAA01A003</t>
  </si>
  <si>
    <t>G100947</t>
  </si>
  <si>
    <t>http://www.gyproc.be/downloadpib?PIB=G121624&amp;TYPE=IMG</t>
  </si>
  <si>
    <t>http://www.gyproc.be/downloadpib?PIB=G121624&amp;TYPE=PDFFR</t>
  </si>
  <si>
    <t>http://www.gyproc.be/downloadpib?PIB=G121624&amp;TYPE=PDFNL</t>
  </si>
  <si>
    <t>G121624</t>
  </si>
  <si>
    <t>http://www.gyproc.be/downloadpib?PIB=G100942&amp;TYPE=IMG</t>
  </si>
  <si>
    <t>http://www.gyproc.be/downloadpib?PIB=G100942&amp;TYPE=PDFFR</t>
  </si>
  <si>
    <t>http://www.gyproc.be/downloadpib?PIB=G100942&amp;TYPE=PDFNL</t>
  </si>
  <si>
    <t>G100942</t>
  </si>
  <si>
    <t>http://www.gyproc.be/downloadpib?PIB=G100941&amp;TYPE=IMG</t>
  </si>
  <si>
    <t>http://www.gyproc.be/downloadpib?PIB=G100941&amp;TYPE=PDFFR</t>
  </si>
  <si>
    <t>http://www.gyproc.be/downloadpib?PIB=G100941&amp;TYPE=PDFNL</t>
  </si>
  <si>
    <t>G100941</t>
  </si>
  <si>
    <t>http://www.gyproc.be/downloadpib?PIB=G100927&amp;TYPE=IMG</t>
  </si>
  <si>
    <t>http://www.gyproc.be/downloadpib?PIB=G100927&amp;TYPE=PDFFR</t>
  </si>
  <si>
    <t>http://www.gyproc.be/downloadpib?PIB=G100927&amp;TYPE=PDFNL</t>
  </si>
  <si>
    <t>G100927</t>
  </si>
  <si>
    <t>http://www.gyproc.be/downloadpib?PIB=G100926&amp;TYPE=IMG</t>
  </si>
  <si>
    <t>http://www.gyproc.be/downloadpib?PIB=G100926&amp;TYPE=PDFFR</t>
  </si>
  <si>
    <t>http://www.gyproc.be/downloadpib?PIB=G100926&amp;TYPE=PDFNL</t>
  </si>
  <si>
    <t>G100926</t>
  </si>
  <si>
    <t>http://www.gyproc.be/downloadpib?PIB=G100918&amp;TYPE=IMG</t>
  </si>
  <si>
    <t>http://www.gyproc.be/downloadpib?PIB=G100918&amp;TYPE=PDFFR</t>
  </si>
  <si>
    <t>http://www.gyproc.be/downloadpib?PIB=G100918&amp;TYPE=PDFNL</t>
  </si>
  <si>
    <t>G100918</t>
  </si>
  <si>
    <t>http://www.gyproc.be/downloadpib?PIB=G100921&amp;TYPE=IMG</t>
  </si>
  <si>
    <t>http://www.gyproc.be/downloadpib?PIB=G100921&amp;TYPE=PDFFR</t>
  </si>
  <si>
    <t>http://www.gyproc.be/downloadpib?PIB=G100921&amp;TYPE=PDFNL</t>
  </si>
  <si>
    <t>G100921</t>
  </si>
  <si>
    <t>http://www.gyproc.be/downloadpib?PIB=G100901&amp;TYPE=IMG</t>
  </si>
  <si>
    <t>http://www.gyproc.be/downloadpib?PIB=G100901&amp;TYPE=PDFFR</t>
  </si>
  <si>
    <t>http://www.gyproc.be/downloadpib?PIB=G100901&amp;TYPE=PDFNL</t>
  </si>
  <si>
    <t>G100901</t>
  </si>
  <si>
    <t>http://www.gyproc.be/downloadpib?PIB=G100904&amp;TYPE=IMG</t>
  </si>
  <si>
    <t>http://www.gyproc.be/downloadpib?PIB=G100904&amp;TYPE=PDFFR</t>
  </si>
  <si>
    <t>http://www.gyproc.be/downloadpib?PIB=G100904&amp;TYPE=PDFNL</t>
  </si>
  <si>
    <t>G100904</t>
  </si>
  <si>
    <t>http://www.gyproc.be/downloadpib?PIB=G100951&amp;TYPE=IMG</t>
  </si>
  <si>
    <t>http://www.gyproc.be/downloadpib?PIB=G100951&amp;TYPE=PDFFR</t>
  </si>
  <si>
    <t>http://www.gyproc.be/downloadpib?PIB=G100951&amp;TYPE=PDFNL</t>
  </si>
  <si>
    <t>G100951</t>
  </si>
  <si>
    <t>http://www.gyproc.be/downloadpib?PIB=G100959&amp;TYPE=IMG</t>
  </si>
  <si>
    <t>http://www.gyproc.be/downloadpib?PIB=G100959&amp;TYPE=PDFFR</t>
  </si>
  <si>
    <t>http://www.gyproc.be/downloadpib?PIB=G100959&amp;TYPE=PDFNL</t>
  </si>
  <si>
    <t>G100959</t>
  </si>
  <si>
    <t>http://www.gyproc.be/downloadpib?PIB=G100880&amp;TYPE=IMG</t>
  </si>
  <si>
    <t>http://www.gyproc.be/downloadpib?PIB=G100880&amp;TYPE=PDFFR</t>
  </si>
  <si>
    <t>http://www.gyproc.be/downloadpib?PIB=G100880&amp;TYPE=PDFNL</t>
  </si>
  <si>
    <t>G100880</t>
  </si>
  <si>
    <t>http://www.gyproc.be/downloadpib?PIB=G123924&amp;TYPE=IMG</t>
  </si>
  <si>
    <t>http://www.gyproc.be/downloadpib?PIB=G123924&amp;TYPE=PDFFR</t>
  </si>
  <si>
    <t>http://www.gyproc.be/downloadpib?PIB=G123924&amp;TYPE=PDFNL</t>
  </si>
  <si>
    <t>G123924</t>
  </si>
  <si>
    <t>http://www.gyproc.be/downloadpib?PIB=G101884&amp;TYPE=IMG</t>
  </si>
  <si>
    <t>http://www.gyproc.be/downloadpib?PIB=G101884&amp;TYPE=PDFFR</t>
  </si>
  <si>
    <t>http://www.gyproc.be/downloadpib?PIB=G101884&amp;TYPE=PDFNL</t>
  </si>
  <si>
    <t>G101884</t>
  </si>
  <si>
    <t>http://www.gyproc.be/downloadpib?PIB=G101885&amp;TYPE=IMG</t>
  </si>
  <si>
    <t>http://www.gyproc.be/downloadpib?PIB=G101885&amp;TYPE=PDFFR</t>
  </si>
  <si>
    <t>http://www.gyproc.be/downloadpib?PIB=G101885&amp;TYPE=PDFNL</t>
  </si>
  <si>
    <t>G101885</t>
  </si>
  <si>
    <t>http://www.gyproc.be/downloadpib?PIB=G127553&amp;TYPE=IMG</t>
  </si>
  <si>
    <t>http://www.gyproc.be/downloadpib?PIB=G127553&amp;TYPE=PDFFR</t>
  </si>
  <si>
    <t>http://www.gyproc.be/downloadpib?PIB=G127553&amp;TYPE=PDFNL</t>
  </si>
  <si>
    <t>G127553</t>
  </si>
  <si>
    <t>http://www.gyproc.be/downloadpib?PIB=G100670&amp;TYPE=IMG</t>
  </si>
  <si>
    <t>http://www.gyproc.be/downloadpib?PIB=G100670&amp;TYPE=PDFFR</t>
  </si>
  <si>
    <t>http://www.gyproc.be/downloadpib?PIB=G100670&amp;TYPE=PDFNL</t>
  </si>
  <si>
    <t>G100670</t>
  </si>
  <si>
    <t>http://www.gyproc.be/downloadpib?PIB=G100660&amp;TYPE=IMG</t>
  </si>
  <si>
    <t>http://www.gyproc.be/downloadpib?PIB=G100660&amp;TYPE=PDFFR</t>
  </si>
  <si>
    <t>http://www.gyproc.be/downloadpib?PIB=G100660&amp;TYPE=PDFNL</t>
  </si>
  <si>
    <t>G100660</t>
  </si>
  <si>
    <t>http://www.gyproc.be/downloadpib?PIB=G121621&amp;TYPE=IMG</t>
  </si>
  <si>
    <t>http://www.gyproc.be/downloadpib?PIB=G121621&amp;TYPE=PDFFR</t>
  </si>
  <si>
    <t>http://www.gyproc.be/downloadpib?PIB=G121621&amp;TYPE=PDFNL</t>
  </si>
  <si>
    <t>http://www.gyproc.be/downloaddop?DOP=SG_GY_2013_A1AAA01A001_FR.pdf</t>
  </si>
  <si>
    <t>http://www.gyproc.be/downloaddop?DOP=SG_GY_2013_A1AAA01A001_NL.pdf</t>
  </si>
  <si>
    <t>SG GY 2013 A1AAA01A001</t>
  </si>
  <si>
    <t>G121621</t>
  </si>
  <si>
    <t>http://www.gyproc.be/downloadpib?PIB=G121620&amp;TYPE=IMG</t>
  </si>
  <si>
    <t>http://www.gyproc.be/downloadpib?PIB=G121620&amp;TYPE=PDFFR</t>
  </si>
  <si>
    <t>http://www.gyproc.be/downloadpib?PIB=G121620&amp;TYPE=PDFNL</t>
  </si>
  <si>
    <t>G121620</t>
  </si>
  <si>
    <t>http://www.gyproc.be/downloadpib?PIB=G121619&amp;TYPE=IMG</t>
  </si>
  <si>
    <t>http://www.gyproc.be/downloadpib?PIB=G121619&amp;TYPE=PDFFR</t>
  </si>
  <si>
    <t>http://www.gyproc.be/downloadpib?PIB=G121619&amp;TYPE=PDFNL</t>
  </si>
  <si>
    <t>G121619</t>
  </si>
  <si>
    <t>http://www.gyproc.be/downloadpib?PIB=G100760&amp;TYPE=IMG</t>
  </si>
  <si>
    <t>http://www.gyproc.be/downloadpib?PIB=G100760&amp;TYPE=PDFFR</t>
  </si>
  <si>
    <t>http://www.gyproc.be/downloadpib?PIB=G100760&amp;TYPE=PDFNL</t>
  </si>
  <si>
    <t>G100760</t>
  </si>
  <si>
    <t>http://www.gyproc.be/downloadpib?PIB=G100628&amp;TYPE=IMG</t>
  </si>
  <si>
    <t>http://www.gyproc.be/downloadpib?PIB=G100628&amp;TYPE=PDFFR</t>
  </si>
  <si>
    <t>http://www.gyproc.be/downloadpib?PIB=G100628&amp;TYPE=PDFNL</t>
  </si>
  <si>
    <t>G100628</t>
  </si>
  <si>
    <t>http://www.gyproc.be/downloadpib?PIB=G118856&amp;TYPE=IMG</t>
  </si>
  <si>
    <t>http://www.gyproc.be/downloadpib?PIB=G118856&amp;TYPE=PDFFR</t>
  </si>
  <si>
    <t>http://www.gyproc.be/downloadpib?PIB=G118856&amp;TYPE=PDFNL</t>
  </si>
  <si>
    <t>http://www.gyproc.be/downloaddop?DOP=SG_GY_2013_A1ABA01A001_FR.pdf</t>
  </si>
  <si>
    <t>http://www.gyproc.be/downloaddop?DOP=SG_GY_2013_A1ABA01A001_NL.pdf</t>
  </si>
  <si>
    <t>SG_GY_2013_A1ABA01A001</t>
  </si>
  <si>
    <t>G118856</t>
  </si>
  <si>
    <t>http://www.gyproc.be/downloadpib?PIB=G129754&amp;TYPE=IMG</t>
  </si>
  <si>
    <t>http://www.gyproc.be/downloadpib?PIB=G129754&amp;TYPE=PDFFR</t>
  </si>
  <si>
    <t>http://www.gyproc.be/downloadpib?PIB=G129754&amp;TYPE=PDFNL</t>
  </si>
  <si>
    <r>
      <t>60 x 10</t>
    </r>
    <r>
      <rPr>
        <vertAlign val="superscript"/>
        <sz val="10"/>
        <rFont val="Arial"/>
        <family val="2"/>
      </rPr>
      <t>-6</t>
    </r>
  </si>
  <si>
    <t>F</t>
  </si>
  <si>
    <t>Plâtinum 270</t>
  </si>
  <si>
    <t>La joue de fenêtre, pour la finition au plâtre et la finition à l'aide de plaques Gyproc</t>
  </si>
  <si>
    <t>Dagkant voor aansluiting aan pleister</t>
  </si>
  <si>
    <t>G129754</t>
  </si>
  <si>
    <t>http://www.gyproc.be/downloadpib?PIB=G129753&amp;TYPE=IMG</t>
  </si>
  <si>
    <t>http://www.gyproc.be/downloadpib?PIB=G129753&amp;TYPE=PDFFR</t>
  </si>
  <si>
    <t>http://www.gyproc.be/downloadpib?PIB=G129753&amp;TYPE=PDFNL</t>
  </si>
  <si>
    <t>G129753</t>
  </si>
  <si>
    <t>http://www.gyproc.be/downloadpib?PIB=G129752&amp;TYPE=IMG</t>
  </si>
  <si>
    <t>http://www.gyproc.be/downloadpib?PIB=G129752&amp;TYPE=PDFFR</t>
  </si>
  <si>
    <t>http://www.gyproc.be/downloadpib?PIB=G129752&amp;TYPE=PDFNL</t>
  </si>
  <si>
    <t>G129752</t>
  </si>
  <si>
    <t>http://www.gyproc.be/downloadpib?PIB=G132078&amp;TYPE=IMG</t>
  </si>
  <si>
    <t>http://www.gyproc.be/downloadpib?PIB=G132078&amp;TYPE=PDFFR</t>
  </si>
  <si>
    <t>http://www.gyproc.be/downloadpib?PIB=G132078&amp;TYPE=PDFNL</t>
  </si>
  <si>
    <t>2.7 +/- 0.12</t>
  </si>
  <si>
    <t>Plâtinum PUR</t>
  </si>
  <si>
    <t>La joue de fenêtre isolée, pour la finition au plâtre et la finition à l'aide de plaques Gyproc</t>
  </si>
  <si>
    <t>Geïsoleerde dagkant voor aansluiting aan pleister en aan gipsplaten</t>
  </si>
  <si>
    <t>G132078</t>
  </si>
  <si>
    <t>http://www.gyproc.be/downloadpib?PIB=G131010&amp;TYPE=IMG</t>
  </si>
  <si>
    <t>http://www.gyproc.be/downloadpib?PIB=G131010&amp;TYPE=PDFFR</t>
  </si>
  <si>
    <t>http://www.gyproc.be/downloadpib?PIB=G131010&amp;TYPE=PDFNL</t>
  </si>
  <si>
    <t>Plâtinum 210</t>
  </si>
  <si>
    <t>Dagkant voor aansluiting aan pleister en aan gipsplaten</t>
  </si>
  <si>
    <t>G131010</t>
  </si>
  <si>
    <t>http://www.gyproc.be/downloadpib?PIB=G131009&amp;TYPE=IMG</t>
  </si>
  <si>
    <t>http://www.gyproc.be/downloadpib?PIB=G131009&amp;TYPE=PDFFR</t>
  </si>
  <si>
    <t>http://www.gyproc.be/downloadpib?PIB=G131009&amp;TYPE=PDFNL</t>
  </si>
  <si>
    <t>G131009</t>
  </si>
  <si>
    <t>http://www.gyproc.be/downloadpib?PIB=G131008&amp;TYPE=IMG</t>
  </si>
  <si>
    <t>http://www.gyproc.be/downloadpib?PIB=G131008&amp;TYPE=PDFFR</t>
  </si>
  <si>
    <t>http://www.gyproc.be/downloadpib?PIB=G131008&amp;TYPE=PDFNL</t>
  </si>
  <si>
    <t>G131008</t>
  </si>
  <si>
    <t>http://www.gyproc.be/downloadpib?PIB=G125763&amp;TYPE=IMG</t>
  </si>
  <si>
    <t>http://www.gyproc.be/downloadpib?PIB=G125763&amp;TYPE=PDFFR</t>
  </si>
  <si>
    <t>http://www.gyproc.be/downloadpib?PIB=G125763&amp;TYPE=PDFNL</t>
  </si>
  <si>
    <t>Pour une adhésion performante entre plâtre et béton</t>
  </si>
  <si>
    <t>Performante hechtbrug voor pleisterwerken op betonnen ondergronden</t>
  </si>
  <si>
    <t>G133929</t>
  </si>
  <si>
    <t>http://www.gyproc.be/downloadpib?PIB=G125762&amp;TYPE=IMG</t>
  </si>
  <si>
    <t>http://www.gyproc.be/downloadpib?PIB=G125762&amp;TYPE=PDFFR</t>
  </si>
  <si>
    <t>http://www.gyproc.be/downloadpib?PIB=G125762&amp;TYPE=PDFNL</t>
  </si>
  <si>
    <t>G133928</t>
  </si>
  <si>
    <t>http://www.gyproc.be/downloadpib?PIB=G131094&amp;TYPE=IMG</t>
  </si>
  <si>
    <t>http://www.gyproc.be/downloadpib?PIB=G131094&amp;TYPE=PDFFR</t>
  </si>
  <si>
    <t>http://www.gyproc.be/downloadpib?PIB=G131094&amp;TYPE=PDFNL</t>
  </si>
  <si>
    <t>X Prim</t>
  </si>
  <si>
    <t>Imprégnation sur base de dispersion de résine synthétique aux alcalins, dispersion de styrène-acrylate étanche</t>
  </si>
  <si>
    <t>Alkalibestendige zo goed als onverzeepbare kunstharsdispersie op waterbasis</t>
  </si>
  <si>
    <t>Produit d’imprégnation pulvérisable, améliorant l’accrochage, pour les supports d’absorption irrégulière</t>
  </si>
  <si>
    <t>Verspuitbaar hechtingsbevorderend grondeermiddel voor pleisterwerken op sterk zuigende ondergronden</t>
  </si>
  <si>
    <t>G133930</t>
  </si>
  <si>
    <t>http://www.gyproc.be/downloadpib?PIB=L10039A4120&amp;TYPE=IMG</t>
  </si>
  <si>
    <t>http://www.gyproc.be/downloaddop?DOP=PEM_702_FR.pdf</t>
  </si>
  <si>
    <t>http://www.gyproc.be/downloaddop?DOP=PEM_702_NL.pdf</t>
  </si>
  <si>
    <t>NF B 12 302:1982</t>
  </si>
  <si>
    <t>plâtre à mouler</t>
  </si>
  <si>
    <t>modelleerpleister</t>
  </si>
  <si>
    <t>Molda Dur</t>
  </si>
  <si>
    <t>Calcium sulfate hemihydrate</t>
  </si>
  <si>
    <t>Calciumsulfaathemihydraat</t>
  </si>
  <si>
    <t>Plâtre à mouler</t>
  </si>
  <si>
    <t>Modelleerpleister</t>
  </si>
  <si>
    <t>L10039A4120</t>
  </si>
  <si>
    <t>http://www.gyproc.be/downloadpib?PIB=L10038A4120&amp;TYPE=IMG</t>
  </si>
  <si>
    <t>Molda 3 Bis</t>
  </si>
  <si>
    <t>L10038A4120</t>
  </si>
  <si>
    <t>http://www.gyproc.be/downloadpib?PIB=L10033A4120&amp;TYPE=IMG</t>
  </si>
  <si>
    <t>Molda 3 Fin</t>
  </si>
  <si>
    <t>L10033A4120</t>
  </si>
  <si>
    <t>http://www.gyproc.be/downloadpib?PIB=L10035A4320&amp;TYPE=IMG</t>
  </si>
  <si>
    <t>Molda 3 Normal</t>
  </si>
  <si>
    <t>L10035A4320</t>
  </si>
  <si>
    <t>http://www.gyproc.be/downloadpib?PIB=L40541A4120&amp;TYPE=IMG</t>
  </si>
  <si>
    <t>http://www.gyproc.be/downloaddop?DOP=SG_GY_2013_E5ECE01E001_FR.pdf</t>
  </si>
  <si>
    <t>http://www.gyproc.be/downloaddop?DOP=SG_GY_2013_E5ECE01E001_NL.pdf</t>
  </si>
  <si>
    <t>enduit au plâtre allégé</t>
  </si>
  <si>
    <t>lichtgewicht gips-bouwpleister</t>
  </si>
  <si>
    <t>B4/20/2</t>
  </si>
  <si>
    <t>SURFENDUIT Finition</t>
  </si>
  <si>
    <t>Gypse calciné enrichi d'additifs</t>
  </si>
  <si>
    <t>Gecalcineerd gips aangevuld met additieven</t>
  </si>
  <si>
    <t>Dunpleister</t>
  </si>
  <si>
    <t>L40541A4120</t>
  </si>
  <si>
    <t>http://www.gyproc.be/downloadpib?PIB=L10915A4221&amp;TYPE=IMG</t>
  </si>
  <si>
    <t>http://www.gyproc.be/downloadpib?PIB=L10915A4221&amp;TYPE=PDFFR</t>
  </si>
  <si>
    <t>http://www.gyproc.be/downloadpib?PIB=L10915A4221&amp;TYPE=PDFNL</t>
  </si>
  <si>
    <t>http://www.gyproc.be/downloaddop?DOP=SG_GY_2013_E5EAE03_FR.pdf</t>
  </si>
  <si>
    <t>http://www.gyproc.be/downloaddop?DOP=SG_GY_2013_E5EAE03_NL.pdf</t>
  </si>
  <si>
    <r>
      <t xml:space="preserve">ACTIV </t>
    </r>
    <r>
      <rPr>
        <i/>
        <sz val="10"/>
        <rFont val="Arial"/>
        <family val="2"/>
      </rPr>
      <t>air</t>
    </r>
  </si>
  <si>
    <t>Gypse calciné, allégé de perlite et enrichi d'additifs</t>
  </si>
  <si>
    <t>Gecalcineerd gips, verlicht met perliet en aangevuld met additieven</t>
  </si>
  <si>
    <t>Plâtre assainissant, élimine les aldéhydes de l’air ambiant</t>
  </si>
  <si>
    <t>Luchtzuiverende pleister, elimineert aldehyde aanwezig in de lucht</t>
  </si>
  <si>
    <t>ACTIV air</t>
  </si>
  <si>
    <t>L10915A4221</t>
  </si>
  <si>
    <t>http://www.gyproc.be/downloadpib?PIB=G130071&amp;TYPE=IMG</t>
  </si>
  <si>
    <t>http://www.gyproc.be/downloadpib?PIB=G130071&amp;TYPE=PDFFR</t>
  </si>
  <si>
    <t>http://www.gyproc.be/downloadpib?PIB=G130071&amp;TYPE=PDFNL</t>
  </si>
  <si>
    <t>B4/50/2</t>
  </si>
  <si>
    <t>Unique WR</t>
  </si>
  <si>
    <t>Gypse calciné, allégé de perlite et enrichi d’additifs</t>
  </si>
  <si>
    <t>Gecalcineerde gips, verlicht met perliet en aangevuld met additieven</t>
  </si>
  <si>
    <t>Plâtre à projeter et pour application manuelle monocouche pour utilisation dans des pièces humides</t>
  </si>
  <si>
    <t>Eenlaagse spuit-en handpleister voor toepassing in natte ruimtes</t>
  </si>
  <si>
    <t>G130071</t>
  </si>
  <si>
    <t>http://www.gyproc.be/downloadpib?PIB=L10301A4121&amp;TYPE=PDFFR</t>
  </si>
  <si>
    <t>http://www.gyproc.be/downloadpib?PIB=L10301A4121&amp;TYPE=PDFNL</t>
  </si>
  <si>
    <t>Express</t>
  </si>
  <si>
    <t>Plâtre manuel à prise rapide pour petits travaux de plafonnage et réparations</t>
  </si>
  <si>
    <t>Snelhardend handgips voor kleine werken en herstellingen</t>
  </si>
  <si>
    <t>L10301A4121</t>
  </si>
  <si>
    <t>http://www.gyproc.be/downloadpib?PIB=L10019A4121&amp;TYPE=IMG</t>
  </si>
  <si>
    <t>http://www.gyproc.be/downloaddop?DOP=PEM_601_FR.pdf</t>
  </si>
  <si>
    <t>http://www.gyproc.be/downloaddop?DOP=PEM_601_NL.pdf</t>
  </si>
  <si>
    <t>Platrex</t>
  </si>
  <si>
    <t>Couche de finition pour plafonnage à double couche</t>
  </si>
  <si>
    <t>Afwerklaag voor tweelaagse bepleistering</t>
  </si>
  <si>
    <t>L10019A4121</t>
  </si>
  <si>
    <t>http://www.gyproc.be/downloadpib?PIB=G124628&amp;TYPE=IMG</t>
  </si>
  <si>
    <t>http://www.gyproc.be/downloadpib?PIB=G124628&amp;TYPE=PDFFR</t>
  </si>
  <si>
    <t>http://www.gyproc.be/downloadpib?PIB=G124628&amp;TYPE=PDFNL</t>
  </si>
  <si>
    <t>http://www.gyproc.be/downloaddop?DOP=SG_GY_2013_E5EAE01E001E034_FR.pdf</t>
  </si>
  <si>
    <t>http://www.gyproc.be/downloaddop?DOP=SG_GY_2013_E5EAE01E001E034_NL.pdf</t>
  </si>
  <si>
    <t>TO</t>
  </si>
  <si>
    <t>Sprylith</t>
  </si>
  <si>
    <t>Gypse calciné, allégé de vermiculite et enrichi d’additifs</t>
  </si>
  <si>
    <t>Gecalcineerd gips, verlicht met vermiculiet en aangevuld met additieven</t>
  </si>
  <si>
    <t>Couche de base pour plafonnage à double couche</t>
  </si>
  <si>
    <t>Grondlaag voor tweelaagse bepleistering</t>
  </si>
  <si>
    <t>G124628</t>
  </si>
  <si>
    <t>http://www.gyproc.be/downloadpib?PIB=G131328&amp;TYPE=IMG</t>
  </si>
  <si>
    <t>http://www.gyproc.be/downloadpib?PIB=G131328&amp;TYPE=PDFFR</t>
  </si>
  <si>
    <t>http://www.gyproc.be/downloadpib?PIB=G131328&amp;TYPE=PDFNL</t>
  </si>
  <si>
    <t>G124627</t>
  </si>
  <si>
    <t>G131328</t>
  </si>
  <si>
    <t>http://www.gyproc.be/downloadpib?PIB=L10275A0000&amp;TYPE=IMG</t>
  </si>
  <si>
    <t>http://www.gyproc.be/downloadpib?PIB=L10275A0000&amp;TYPE=PDFFR</t>
  </si>
  <si>
    <t>http://www.gyproc.be/downloadpib?PIB=L10275A0000&amp;TYPE=PDFNL</t>
  </si>
  <si>
    <t>X Pro</t>
  </si>
  <si>
    <t>Plâtre à projeter ou manuel - Monocouche</t>
  </si>
  <si>
    <t>Eenlaagse spuit- en handpleister voor algemene pleisterwerken</t>
  </si>
  <si>
    <t>L10275A0000</t>
  </si>
  <si>
    <t>http://www.gyproc.be/downloadpib?PIB=L10275A4121&amp;TYPE=IMG</t>
  </si>
  <si>
    <t>http://www.gyproc.be/downloadpib?PIB=L10275A4121&amp;TYPE=PDFFR</t>
  </si>
  <si>
    <t>http://www.gyproc.be/downloadpib?PIB=L10275A4121&amp;TYPE=PDFNL</t>
  </si>
  <si>
    <t>L10275A4121</t>
  </si>
  <si>
    <t>http://www.gyproc.be/downloadpib?PIB=L1030000000&amp;TYPE=IMG</t>
  </si>
  <si>
    <t>http://www.gyproc.be/downloadpib?PIB=L1030000000&amp;TYPE=PDFFR</t>
  </si>
  <si>
    <t>http://www.gyproc.be/downloadpib?PIB=L1030000000&amp;TYPE=PDFNL</t>
  </si>
  <si>
    <t>X L</t>
  </si>
  <si>
    <t>Plâtre à projeter - Monocouche</t>
  </si>
  <si>
    <t>Eenlaagse spuitpleister</t>
  </si>
  <si>
    <t>L1030000000</t>
  </si>
  <si>
    <t>http://www.gyproc.be/downloadpib?PIB=L10300A4122&amp;TYPE=IMG</t>
  </si>
  <si>
    <t>http://www.gyproc.be/downloadpib?PIB=L10300A4122&amp;TYPE=PDFFR</t>
  </si>
  <si>
    <t>http://www.gyproc.be/downloadpib?PIB=L10300A4122&amp;TYPE=PDFNL</t>
  </si>
  <si>
    <t>L10300A4122</t>
  </si>
  <si>
    <t>http://www.gyproc.be/downloadpib?PIB=L1030300000&amp;TYPE=IMG</t>
  </si>
  <si>
    <t>http://www.gyproc.be/downloadpib?PIB=L1030300000&amp;TYPE=PDFFR</t>
  </si>
  <si>
    <t>http://www.gyproc.be/downloadpib?PIB=L1030300000&amp;TYPE=PDFNL</t>
  </si>
  <si>
    <t>X Plus</t>
  </si>
  <si>
    <t>L1030300000</t>
  </si>
  <si>
    <t>http://www.gyproc.be/downloadpib?PIB=L10303A4121&amp;TYPE=IMG</t>
  </si>
  <si>
    <t>http://www.gyproc.be/downloadpib?PIB=L10303A4121&amp;TYPE=PDFFR</t>
  </si>
  <si>
    <t>http://www.gyproc.be/downloadpib?PIB=L10303A4121&amp;TYPE=PDFNL</t>
  </si>
  <si>
    <t>L10303A4121</t>
  </si>
  <si>
    <r>
      <t xml:space="preserve">Thermische geleidb. isolatie </t>
    </r>
    <r>
      <rPr>
        <b/>
        <sz val="10"/>
        <rFont val="GreekC"/>
      </rPr>
      <t>l</t>
    </r>
  </si>
  <si>
    <r>
      <t xml:space="preserve">Thermische geleidbaarheid </t>
    </r>
    <r>
      <rPr>
        <b/>
        <sz val="10"/>
        <rFont val="GreekC"/>
      </rPr>
      <t>l</t>
    </r>
  </si>
  <si>
    <t>Extreem</t>
  </si>
  <si>
    <t>Normaal</t>
  </si>
  <si>
    <t>Verhoogd</t>
  </si>
  <si>
    <t>Système de plafond démontable avec des dalles Gyptone bord D2</t>
  </si>
  <si>
    <t>Rigidur Floor droge vloersysteem</t>
  </si>
  <si>
    <t>Demonteerbaar systeemplafond met Gyprex tegels met A-kant</t>
  </si>
  <si>
    <t>Demonteerbaar systeemplafond met Gyptone panelen met kopse kant A en langskant E15</t>
  </si>
  <si>
    <t>Demonteerbaar systeemplafond met Gyptone tegels met D2 kantvorm</t>
  </si>
  <si>
    <t>Demonteerbaar systeemplafond met Gyptone tegels met E15-kant</t>
  </si>
  <si>
    <t>Demonteerbaar systeemplafond met Gyptone tegels met D1-kant</t>
  </si>
  <si>
    <t>Demonteerbaar systeemplafond met Gyptone tegels met A-kant</t>
  </si>
  <si>
    <t>Afgehangen PlaGyp D-plafond op dubbel profielenrooster met C5-M coating voor binnentoepassing</t>
  </si>
  <si>
    <t>Afgehangen PlaGyp S-plafond op enkel regelwerk met C5-M coating voor binnentoepassing</t>
  </si>
  <si>
    <t>Plafond op houten structuur voor buitentoepassing</t>
  </si>
  <si>
    <t>Afgehangen PlaGyp S-plafond op enkel regelwerk met C5-M coating voor buitentoepassing</t>
  </si>
  <si>
    <t>Plafond op houten regels</t>
  </si>
  <si>
    <t>Plafond op veerregels</t>
  </si>
  <si>
    <t>Gebogen plafond</t>
  </si>
  <si>
    <t>Afgehangen PlaGyp S-plafond op enkel regelwerk</t>
  </si>
  <si>
    <t>Geluidswerend afgehangen PlaGyp D-plafond op dubbel profielenrooster</t>
  </si>
  <si>
    <t>Afgehangen PlaGyp D-plafond op dubbel profielenrooster</t>
  </si>
  <si>
    <t>Houten vloer beschermd met PlaGyp D-plafond</t>
  </si>
  <si>
    <t>Geluidswerend afgehangen PlaGyp S-plafond op enkel regelwerk</t>
  </si>
  <si>
    <t>Geluidswerend vrijdragend Metal Stud-plafond</t>
  </si>
  <si>
    <t>Vrijdragend Metal Stud-plafond</t>
  </si>
  <si>
    <t>Demonteerbaar systeemplafond met Gyptone tegels</t>
  </si>
  <si>
    <t>Modulair geperforeerd plafond op PlaGyp D-onderstructuur</t>
  </si>
  <si>
    <t>Doorlopend geperforeerd plafond op PlaGyp D-onderstructuur</t>
  </si>
  <si>
    <t>Afgehangen PlaGyp N-plafond met kruisverbinders</t>
  </si>
  <si>
    <t>Houten dak beschermd met PlaGyp S-plafond</t>
  </si>
  <si>
    <t>Houten vloer beschermd met PlaGyp S-plafond</t>
  </si>
  <si>
    <t>Stootvaste Metal Stud-voorzetwand</t>
  </si>
  <si>
    <t>Metal Stud-voorzetwand in vochtige ruimte</t>
  </si>
  <si>
    <t>Muurbekleding op houten onderstructuur</t>
  </si>
  <si>
    <t>Droge bepleistering</t>
  </si>
  <si>
    <t>Gebogen voorzetwand</t>
  </si>
  <si>
    <t>Geluidswerende Metal Stud-voorzetwand</t>
  </si>
  <si>
    <t>Vrijstaande Metal Stud-voorzetwand</t>
  </si>
  <si>
    <t>Vrijstaande voorzetwand op houten frame</t>
  </si>
  <si>
    <t>Vrijstaande PlaGyp-voorzetwand</t>
  </si>
  <si>
    <t>Stootvaste Metal Stud-scheidingswand</t>
  </si>
  <si>
    <t>Metal Stud-scheidingswand in vochtige ruimte</t>
  </si>
  <si>
    <t>Metal Stud-scheidingswand in combinatie met Metal Stud-voorzetwand</t>
  </si>
  <si>
    <t>Metal Stud-scheidingswand voor grotere hoogte</t>
  </si>
  <si>
    <t>Metal Stud-scheidingswand met bredere profielen</t>
  </si>
  <si>
    <t>Scheidingswand op dubbel houten frame - onafhankelijk</t>
  </si>
  <si>
    <t>Scheidingswand op enkel houten frame</t>
  </si>
  <si>
    <t>Gebogen scheidingswand</t>
  </si>
  <si>
    <t>Stootvaste Metal Stud-scheidingswand met DuraGyp-platen</t>
  </si>
  <si>
    <t>Metal Stud-scheidingswand op dubbel frame - Onafhankelijk</t>
  </si>
  <si>
    <t>Geluidswerende Metal Stud-scheidingswand op dubbel frame - Gekoppeld</t>
  </si>
  <si>
    <t>Geluidswerende Metal Stud-scheidingswand op enkel frame</t>
  </si>
  <si>
    <t>Metal Stud-scheidingswand op dubbel frame - Gekoppeld met isobutyl</t>
  </si>
  <si>
    <t>Metal Stud-scheidingswand op dubbel frame - Gekoppeld</t>
  </si>
  <si>
    <t>Metal Stud-scheidingswand op enkel frame</t>
  </si>
  <si>
    <t>Dubbele scheidingswand op houten frame</t>
  </si>
  <si>
    <t>&lt;-</t>
  </si>
  <si>
    <t>(H)</t>
  </si>
  <si>
    <t>(L)</t>
  </si>
  <si>
    <t>0.80</t>
  </si>
  <si>
    <t>0.75</t>
  </si>
  <si>
    <t>0.70</t>
  </si>
  <si>
    <t>0.65</t>
  </si>
  <si>
    <t>0.50</t>
  </si>
  <si>
    <t>0.45</t>
  </si>
  <si>
    <t>0.40</t>
  </si>
  <si>
    <t>0.00</t>
  </si>
  <si>
    <t>0.15</t>
  </si>
  <si>
    <t>0.10</t>
  </si>
  <si>
    <t>LM</t>
  </si>
  <si>
    <t>0</t>
  </si>
  <si>
    <t>-8</t>
  </si>
  <si>
    <t>-7</t>
  </si>
  <si>
    <t>Absorption coefficient aw</t>
  </si>
  <si>
    <t>Coefficient d'absorption aw</t>
  </si>
  <si>
    <t>-2</t>
  </si>
  <si>
    <t>-1</t>
  </si>
  <si>
    <t>Room-to-room sound insulation Dn,c,w correction2</t>
  </si>
  <si>
    <t>Atténuation latérale Dn,c,w correction2</t>
  </si>
  <si>
    <t>39</t>
  </si>
  <si>
    <t>33</t>
  </si>
  <si>
    <t>16</t>
  </si>
  <si>
    <t>42</t>
  </si>
  <si>
    <t>23</t>
  </si>
  <si>
    <t>28</t>
  </si>
  <si>
    <t>43</t>
  </si>
  <si>
    <t>30</t>
  </si>
  <si>
    <t>47</t>
  </si>
  <si>
    <t>41</t>
  </si>
  <si>
    <t>37</t>
  </si>
  <si>
    <t>35</t>
  </si>
  <si>
    <t>32</t>
  </si>
  <si>
    <t>Room-to-room sound insulation Dn,c,w correction1</t>
  </si>
  <si>
    <t>Atténuation latérale Dn,c,w correction1</t>
  </si>
  <si>
    <t>Room-to-room sound insulation Dn,c,w</t>
  </si>
  <si>
    <t>Atténuation latérale Dn,c,w</t>
  </si>
  <si>
    <t>Contact sound insulation situ L'nT,w</t>
  </si>
  <si>
    <t>Isolation au bruit d'impact situ L'nT,w</t>
  </si>
  <si>
    <t>Airborne sound insulation site DnT,w</t>
  </si>
  <si>
    <t>Isolation au bruit aérien situ DnT,w</t>
  </si>
  <si>
    <t>Improvement DLn;w</t>
  </si>
  <si>
    <t>Amélioration DLn;w</t>
  </si>
  <si>
    <t>Contactsound Insulation - Adaptation value CL</t>
  </si>
  <si>
    <t>Isolation aux bruits de choc - Valeur d'adaptation CL</t>
  </si>
  <si>
    <t>5244</t>
  </si>
  <si>
    <t>5243</t>
  </si>
  <si>
    <t>5242</t>
  </si>
  <si>
    <t>5241</t>
  </si>
  <si>
    <t>5240</t>
  </si>
  <si>
    <t>5239</t>
  </si>
  <si>
    <t>5238</t>
  </si>
  <si>
    <t>35352 + AC 97 198</t>
  </si>
  <si>
    <t>713-960-0101 + 32715</t>
  </si>
  <si>
    <t>Contactsound Isolation Ln;w</t>
  </si>
  <si>
    <t>Isolation aux bruits de choc Ln;w</t>
  </si>
  <si>
    <t>NEN 20140-3
ISO 140-3
ISO 717</t>
  </si>
  <si>
    <t>EN ISO 11654</t>
  </si>
  <si>
    <t>EN ISO 354 EN ISO 11654</t>
  </si>
  <si>
    <t>BS EN 20140-9</t>
  </si>
  <si>
    <t>NEN 20140-3 ISO 140-3 ISO 717</t>
  </si>
  <si>
    <t>Beiblatt 1 zu DIN 4109</t>
  </si>
  <si>
    <t>NBN S 01-005 EN ISO 140-3 EN ISO 717-1</t>
  </si>
  <si>
    <t>EN ISO 140-3 EN ISO 717-1</t>
  </si>
  <si>
    <t>36 - 0.53 x R</t>
  </si>
  <si>
    <t>33 - 0.49 x R</t>
  </si>
  <si>
    <t>Improvement DRw</t>
  </si>
  <si>
    <t>Amélioration DRw</t>
  </si>
  <si>
    <t>Airborne sound insulation - Adaptation value Ctr</t>
  </si>
  <si>
    <t>Isolation acoustique aux bruits aériens - Valeur d'adaptation Ctr</t>
  </si>
  <si>
    <t>400</t>
  </si>
  <si>
    <t>200</t>
  </si>
  <si>
    <t>60</t>
  </si>
  <si>
    <t>730</t>
  </si>
  <si>
    <t>160</t>
  </si>
  <si>
    <t>300</t>
  </si>
  <si>
    <t>100</t>
  </si>
  <si>
    <t>710</t>
  </si>
  <si>
    <t>185</t>
  </si>
  <si>
    <t>Airborne sound insulation Rw</t>
  </si>
  <si>
    <t>Isolation acoustique aux bruits aériens Rw</t>
  </si>
  <si>
    <t>205 + 110</t>
  </si>
  <si>
    <t>210 + 110</t>
  </si>
  <si>
    <t>210 + 400</t>
  </si>
  <si>
    <t>210 + 140</t>
  </si>
  <si>
    <t>100 + 110</t>
  </si>
  <si>
    <t>Existing situation - Contactsound Insulation - Adaptation value CL</t>
  </si>
  <si>
    <t>Situation existante - Isolation aux bruits de choc - Valeur d'adaptation CL</t>
  </si>
  <si>
    <t>Existing situation - Contactsound Isolation Ln;w</t>
  </si>
  <si>
    <t>Situation existante - Isolation aux bruits de choc Ln;w</t>
  </si>
  <si>
    <t>Existing situation - Airborne sound insulation - Adaptation value Ctr</t>
  </si>
  <si>
    <t>Situation existante - Isolation aux bruits aériens - Valeur d'adaptation spectrale Ctr</t>
  </si>
  <si>
    <t>Existing situation - Airborne sound insulation Rw</t>
  </si>
  <si>
    <t>Situation existante - Isolation aux bruits aériens Rw</t>
  </si>
  <si>
    <t>MS 150 P/125.2 A(100)</t>
  </si>
  <si>
    <t>MS 138 P/125.1 A(100)</t>
  </si>
  <si>
    <t>RB P/12,5 A(100)</t>
  </si>
  <si>
    <t>HS P/12,5</t>
  </si>
  <si>
    <t>2 x Gyproc A 12.5 mm sur lattes en bois, dist. 400 mm</t>
  </si>
  <si>
    <t>2 x Gyproc A 12.5 mm op houten latten, h.o.h. 400 mm</t>
  </si>
  <si>
    <t>170 x 65 mm
dist. 600 mm</t>
  </si>
  <si>
    <t>175 x 75 mm
dist. 600 mm</t>
  </si>
  <si>
    <t>171 x 65 mm
dist. 600 mm</t>
  </si>
  <si>
    <t>190 x 70 mm
h.o.h. 470 mm</t>
  </si>
  <si>
    <t>175 x 75 mm
h.o.h. 600 mm</t>
  </si>
  <si>
    <t>176 x 75 mm
dist. 600 mm</t>
  </si>
  <si>
    <t>170 x 65 mm
h.o.h. 600 mm</t>
  </si>
  <si>
    <t>Plancher massif</t>
  </si>
  <si>
    <t>Plancher sur poutres en bois</t>
  </si>
  <si>
    <t>Multiplex 18 mm</t>
  </si>
  <si>
    <t>Sol en béton 140 mm</t>
  </si>
  <si>
    <t>Multiplex 18 mm +
Plancher 19 mm</t>
  </si>
  <si>
    <t>Rigidur Floor E 30 MW (+ 30 mm granules d'egalisation) sur multiplex 18 mm</t>
  </si>
  <si>
    <t>Multiplex 18 mm
Gyproc 2 x 12.5</t>
  </si>
  <si>
    <t>Massieve vloer</t>
  </si>
  <si>
    <t>Vloer op houten balken</t>
  </si>
  <si>
    <t>Betonnen vloer 140 mm</t>
  </si>
  <si>
    <t>Multiplex 18 mm +
Vloerdelen 19 mm</t>
  </si>
  <si>
    <t>Rigidur Floor E 30 MW (+ 30 mm egalisatiekorrels) op multiplex 18 mm</t>
  </si>
  <si>
    <t>Entre</t>
  </si>
  <si>
    <t>Sous</t>
  </si>
  <si>
    <t>Tussen</t>
  </si>
  <si>
    <t>Onder</t>
  </si>
  <si>
    <t>Chevrons en bois</t>
  </si>
  <si>
    <t>Houten balklaag</t>
  </si>
  <si>
    <t>Sous-toiture 3 mm</t>
  </si>
  <si>
    <t>Sous-toiture 3  mm</t>
  </si>
  <si>
    <t>Onderdak 3mm</t>
  </si>
  <si>
    <t>Onderdak 3 mm</t>
  </si>
  <si>
    <t>Ardoises fibro-ciment</t>
  </si>
  <si>
    <t>Vezel-cement leien</t>
  </si>
  <si>
    <t>lourd</t>
  </si>
  <si>
    <t>bois (interrompu)</t>
  </si>
  <si>
    <t>léger</t>
  </si>
  <si>
    <t>zware vloer</t>
  </si>
  <si>
    <t>houten vloer (onderbroken)</t>
  </si>
  <si>
    <t>lichte vloer</t>
  </si>
  <si>
    <t>carreau de plâtre 7cm</t>
  </si>
  <si>
    <t>parpaing creux 20cm</t>
  </si>
  <si>
    <t>béton 16cm</t>
  </si>
  <si>
    <t>brique creuse 7cm</t>
  </si>
  <si>
    <t>Isolation acoustique R:
30 dB &lt; R &lt; 50 dB</t>
  </si>
  <si>
    <t>1 1/2 mur pierreux avec plâtrage 280 mm</t>
  </si>
  <si>
    <t>bloc treillis avec plâtrage 160 mm</t>
  </si>
  <si>
    <t>1 1/2 mur pierreux avec plâtrage 300 mm</t>
  </si>
  <si>
    <t>silico-calcaires 200mm</t>
  </si>
  <si>
    <t>silico-calcaires 100-50-100mm</t>
  </si>
  <si>
    <t>silico-calcaires 265mm</t>
  </si>
  <si>
    <t>d'une demi-brique</t>
  </si>
  <si>
    <t>blocs de plâtre 70mm</t>
  </si>
  <si>
    <t>silico-calcaires 100mm</t>
  </si>
  <si>
    <t>Gipsblok 7cm</t>
  </si>
  <si>
    <t>Holle (beton)blok 20cm</t>
  </si>
  <si>
    <t>Beton 16cm</t>
  </si>
  <si>
    <t>Holle baksteen 7cm</t>
  </si>
  <si>
    <t>Geluidsisolatie R:
30 dB &lt; R &lt; 50 dB</t>
  </si>
  <si>
    <t>1 1/2 steense wand met pleisterwerk 280 mm</t>
  </si>
  <si>
    <t>snelbouw met pleisterwerk 160 mm</t>
  </si>
  <si>
    <t>1 1/2 steense wand met pleisterwerk 300 mm</t>
  </si>
  <si>
    <t>kalkzandsteen 200mm</t>
  </si>
  <si>
    <t>kalkzandsteen 100-50-100mm</t>
  </si>
  <si>
    <t>kalkzandsteen 265mm</t>
  </si>
  <si>
    <t>halfsteens metselwerk</t>
  </si>
  <si>
    <t>gipsblokken 70mm</t>
  </si>
  <si>
    <t>kalkzandsteen 100mm</t>
  </si>
  <si>
    <t>DIN 4102-2</t>
  </si>
  <si>
    <t>NBN 713.020</t>
  </si>
  <si>
    <t>NBN 713-020</t>
  </si>
  <si>
    <t>EN 13501-2</t>
  </si>
  <si>
    <t>NBN EN 13501-2:2016</t>
  </si>
  <si>
    <t>1/2 h</t>
  </si>
  <si>
    <t>(400)</t>
  </si>
  <si>
    <t>(300)</t>
  </si>
  <si>
    <t>Maximal axial distance main support - Parallel direction 600mm wide boards g2</t>
  </si>
  <si>
    <t>Entre-axe maximal des montants - Pose parallèle largeur des plaques 600mm g2</t>
  </si>
  <si>
    <t>500 - Gyproc Rf
400 - GypSound</t>
  </si>
  <si>
    <t>Maximal axial distance main support - Lateral direction g1</t>
  </si>
  <si>
    <t>Entre-axe maximal des montants - Pose perpendiculaire g1</t>
  </si>
  <si>
    <t>Nee</t>
  </si>
  <si>
    <t>Ja GT AA</t>
  </si>
  <si>
    <t>Ja</t>
  </si>
  <si>
    <t>Ja AA</t>
  </si>
  <si>
    <t>Ja RD AA</t>
  </si>
  <si>
    <t>Ja AA gang</t>
  </si>
  <si>
    <t>Ja AA kamer en RD AA gang</t>
  </si>
  <si>
    <t>Ja AA kamer</t>
  </si>
  <si>
    <t>9</t>
  </si>
  <si>
    <t>10</t>
  </si>
  <si>
    <t>1 x Rigidur Floor E 40 PS</t>
  </si>
  <si>
    <t>1 x Rigidur Floor E 30 HF</t>
  </si>
  <si>
    <t>1 x Rigidur Floor E 35 MW</t>
  </si>
  <si>
    <t>1 x Rigidur Floor E 30 MW</t>
  </si>
  <si>
    <t>1 x Rigidur Floor E 25</t>
  </si>
  <si>
    <t>1 x Rigidur Floor E 20</t>
  </si>
  <si>
    <t>1 x 12,5 mm Gyprex Crystal Rf</t>
  </si>
  <si>
    <t>1 x 9,5 mm Gyprex S-alu</t>
  </si>
  <si>
    <t>1 x 9,5 mm Gyprex Atenea-alu</t>
  </si>
  <si>
    <t>1 x 12,5 mm Gyptone Quattro 55</t>
  </si>
  <si>
    <t>1 x 12,5 mm Gyptone Point 15</t>
  </si>
  <si>
    <t>1 x 12,5 mm Gyptone Line 8</t>
  </si>
  <si>
    <t>1 x 12,5 mm Gyptone Base 33</t>
  </si>
  <si>
    <t>1 x 12,5 mm Gyptone Sixto 60</t>
  </si>
  <si>
    <t>1 x 12,5 mm Gyptone Quattro 50</t>
  </si>
  <si>
    <t>1 x 12,5 mm Gyptone Quattro 22</t>
  </si>
  <si>
    <t>1 x 12,5 mm Gyptone Quattro 20</t>
  </si>
  <si>
    <t>1 x 12,5 mm Gyptone Point 12</t>
  </si>
  <si>
    <t>1 x 12,5 mm Gyptone Point 11</t>
  </si>
  <si>
    <t>1 x 12,5 mm Gyptone Line 4</t>
  </si>
  <si>
    <t>1 x 12,5 mm Gyptone Base 31</t>
  </si>
  <si>
    <t>1 x 15Rf
+ 1 x GypSound 12,5 mm</t>
  </si>
  <si>
    <t>1 x 12,5 mm Rigitone 12/25 Q</t>
  </si>
  <si>
    <t>1 x 12,5 mm Rigitone 8/18 Q</t>
  </si>
  <si>
    <t>1 x 12,5 mm Rigitone 12-20-35</t>
  </si>
  <si>
    <t>1 x 12,5 mm Rigitone 8-15-20 Super</t>
  </si>
  <si>
    <t>1 x 12,5 mm Rigitone 8-15-20</t>
  </si>
  <si>
    <t>1 x 12,5 mm Rigitone 12-20/66</t>
  </si>
  <si>
    <t>1 x 12,5 mm Rigitone 8-12/50</t>
  </si>
  <si>
    <t>1 x 12,5 mm Rigitone 15/30</t>
  </si>
  <si>
    <t>1 x 12,5 mm Rigitone 12/25</t>
  </si>
  <si>
    <t>1 x 12,5 mm Rigitone 10/23</t>
  </si>
  <si>
    <t>1 x 12,5 mm Rigitone 8/18</t>
  </si>
  <si>
    <t>1 x 12,5 mm Rigitone 6/18</t>
  </si>
  <si>
    <t>1 x 12,5 mm Gyptone Sixto 63</t>
  </si>
  <si>
    <t>1 x 12,5 mm Gyptone Quattro 47</t>
  </si>
  <si>
    <t>1 x 12,5 mm Gyptone Quattro 46</t>
  </si>
  <si>
    <t>1 x 12,5 mm Gyptone Quattro 44</t>
  </si>
  <si>
    <t>1 x 12,5 mm Gyptone Quattro 43</t>
  </si>
  <si>
    <t>1 x 12,5 mm Gyptone Quattro 42</t>
  </si>
  <si>
    <t>1 x 12,5 mm Gyptone Quattro 41</t>
  </si>
  <si>
    <t>1 x 12,5 mm Gyptone Quattro 40</t>
  </si>
  <si>
    <t>1 x 6,5 mm Gyptone Line 7</t>
  </si>
  <si>
    <t>1 x 12,5 mm Gyptone Line 6</t>
  </si>
  <si>
    <t>1 x 12,5 Gyptone Line 5</t>
  </si>
  <si>
    <t>1 x 12,5 mm Glasroc H</t>
  </si>
  <si>
    <t xml:space="preserve">2 x 12,5 mm Gyproc A </t>
  </si>
  <si>
    <t xml:space="preserve">2 x 15 mm Gyproc Rf </t>
  </si>
  <si>
    <t xml:space="preserve">1 x 18 mm Gyproc Rf </t>
  </si>
  <si>
    <t xml:space="preserve">1 x 15 mm Gyproc Rf </t>
  </si>
  <si>
    <t xml:space="preserve">1 x 12,5 mm Gyproc A </t>
  </si>
  <si>
    <t>1 x 9,5 mm Gygant</t>
  </si>
  <si>
    <t>2 x 12,5 mm SoundBlock</t>
  </si>
  <si>
    <t>1 x 12,5 mm SoundBlock</t>
  </si>
  <si>
    <t>2 x 12,5 mm Gyproc Rf</t>
  </si>
  <si>
    <t>3 x 6,5 mm Gyproc A</t>
  </si>
  <si>
    <t>2 x 6,5 mm Gyproc A</t>
  </si>
  <si>
    <t>1 x 9,5 mm Gyproc A</t>
  </si>
  <si>
    <t>1 x 6,5 mm Gyproc A</t>
  </si>
  <si>
    <t>1 x 9,5 Gyplat 600 + 25 mm X Plus, X L</t>
  </si>
  <si>
    <t>1 x 9,5 Gyplat 600 + 12 mm X Plus, X L</t>
  </si>
  <si>
    <t>1 x 9,5 Gyplat + X Plus, X L, X Pro</t>
  </si>
  <si>
    <t>1 x 15 mm Gyproc Rf 
+ 1 x GypSound 12,5 mm</t>
  </si>
  <si>
    <t>1 x 12,5 mm Gyproc Rf</t>
  </si>
  <si>
    <t>1 x 12,5 GypTone of RigiTone</t>
  </si>
  <si>
    <t>1 x 12,5 Gyptone</t>
  </si>
  <si>
    <t>1 x 12,5 mm Rigitone</t>
  </si>
  <si>
    <t>1 x 12,5 mm Gyproc WR</t>
  </si>
  <si>
    <t>3 x 15 mm Glasroc F</t>
  </si>
  <si>
    <t xml:space="preserve">1 x 12,5 mm Gyproc Habito 
+ 1 x 12,5 mm Gyproc A
 </t>
  </si>
  <si>
    <t xml:space="preserve">2 x 12,5 mm Gyproc Habito </t>
  </si>
  <si>
    <t xml:space="preserve">1 x 12,5 mm Gyproc Habito </t>
  </si>
  <si>
    <t xml:space="preserve">2 x 12,5 mm Glasroc H </t>
  </si>
  <si>
    <t xml:space="preserve">1 x 12,5 mm Glasroc H </t>
  </si>
  <si>
    <t>1 x Placotherm+ 13/80</t>
  </si>
  <si>
    <t>1 x Placotherm+ 13/60</t>
  </si>
  <si>
    <t>1 x Placotherm+ 13/50</t>
  </si>
  <si>
    <t>1 x Placotherm+ 13/40</t>
  </si>
  <si>
    <t>1 x Placotherm+ 13/30</t>
  </si>
  <si>
    <t>1 x Thermogyp X 9,5/60</t>
  </si>
  <si>
    <t>1 x Thermogyp X 9,5/50</t>
  </si>
  <si>
    <t>1 x Thermogyp X 9,5/40</t>
  </si>
  <si>
    <t>1 x Thermogyp X 9,5/30</t>
  </si>
  <si>
    <t>1 x Thermogyp X 9,5/20</t>
  </si>
  <si>
    <t>1 x Thermogyp N 9,5/60</t>
  </si>
  <si>
    <t>1 x Thermogyp N 9,5/50</t>
  </si>
  <si>
    <t>1 x Thermogyp N 9,5/40</t>
  </si>
  <si>
    <t>1 x Thermogyp N 9,5/30</t>
  </si>
  <si>
    <t>1 x Thermogyp N 9,5/20</t>
  </si>
  <si>
    <t>1 x Placotherm+ 13/160</t>
  </si>
  <si>
    <t>1 x Placotherm+ 13/140</t>
  </si>
  <si>
    <t>1 x Placotherm+ 13/120</t>
  </si>
  <si>
    <t>1 x Placotherm+ 13/100</t>
  </si>
  <si>
    <t>1 x Doublissimo 12,5/100</t>
  </si>
  <si>
    <t>1 x Doublissimo 12,5/80</t>
  </si>
  <si>
    <t>1 x Doublissimo 12,5/60</t>
  </si>
  <si>
    <t>1 x Doublissimo 12,5/50</t>
  </si>
  <si>
    <t>1 x Doublissimo 12,5/40</t>
  </si>
  <si>
    <t>1 x Thermogyp G 9,5/50</t>
  </si>
  <si>
    <t>1 x Thermogyp G 9,5/40</t>
  </si>
  <si>
    <t>1 x Thermogyp G 9,5/30</t>
  </si>
  <si>
    <t>3 x 12,5 mm Gyproc A</t>
  </si>
  <si>
    <t>1 x 15 mm DuraGyp +
2 x 15 mm Gyproc Rf</t>
  </si>
  <si>
    <t>1 x 15 mm Gyproc WR +
2 x 15 mm Gyproc Rf</t>
  </si>
  <si>
    <t>1 x 12,5 mm DuraGyp +
1 x 12,5 mm Gyproc Rf</t>
  </si>
  <si>
    <t>1 x 12,5 mm Gyproc WR +
1 x 12,5 mm Gyproc Rf</t>
  </si>
  <si>
    <t>2 x 15 mm DuraGyp OSM</t>
  </si>
  <si>
    <t>1 x Thermogyp Comfort 12,5/80</t>
  </si>
  <si>
    <t>3 x 15 mm Gyproc Rf</t>
  </si>
  <si>
    <t xml:space="preserve">2 x 12,5 mm Gyproc Habito
 </t>
  </si>
  <si>
    <t xml:space="preserve">1 x 12,5 mm Gyproc Habito
 </t>
  </si>
  <si>
    <t xml:space="preserve">2 x 12,5 mm Gyproc A //
2 x 12,5 mm Glasroc H </t>
  </si>
  <si>
    <t>3 x 12,5 mm DuraGyp</t>
  </si>
  <si>
    <t>Assym. 3 x 12,5 mm DuraGyp + 2 x 12,5 mm DuraGyp</t>
  </si>
  <si>
    <t>2 x 12,5 mm DuraGyp</t>
  </si>
  <si>
    <t>1 x 12,5 mm DuraGyp</t>
  </si>
  <si>
    <t>1 x 12,5 mm DuraGyp + 2 x 12,5 mm Gyproc A</t>
  </si>
  <si>
    <t>1 x 12,5 mm DuraGyp + 1 x 12,5 mm Gyproc A</t>
  </si>
  <si>
    <t>3 x 12,5 mm SoundBlock</t>
  </si>
  <si>
    <t>Assym. 3 x 12,5 mm Gyproc A + 4 x 12,5 Gyproc A</t>
  </si>
  <si>
    <t>1 x 12,5 mm Rigidur GF-H +
1 x 12,5 mm Gyproc A</t>
  </si>
  <si>
    <t>1 x 12,5 mm Rigidur GF-H +
1 x 12,5 mm Gyproc A //
1 x 12,5 mm Gyproc A +
1 x 12,5 mm Gyproc WR</t>
  </si>
  <si>
    <t>1 x 12,5 mm DuraGyp +
1 x 12,5 mm Gyproc A //
1 x 12,5 mm Gyproc A +
1 x 12,5 mm Gyproc WR</t>
  </si>
  <si>
    <t>2 x 12,5 mm Gyproc A //
1 x 12,5 mm Gyproc A +
1 x 12,5 mm Gyproc WR</t>
  </si>
  <si>
    <t>2 x 12,5 mm Gyproc A //
1 x 12,5 mm Gyproc A +
1 x 12,5 mm Rigidur GF-H</t>
  </si>
  <si>
    <t>2 x 12,5 mm Gyproc A //
1 x 12,5 mm Gyproc A +
1 x 12,5 mm DuraGyp</t>
  </si>
  <si>
    <t>1 x 12,5 mm DuraGyp +
1 x 12,5 mm Gyproc Rf //
1 x 12,5 mm Gyproc Rf +
1 x 12,5 mm Gyproc WR</t>
  </si>
  <si>
    <t>2 x 12,5 mm Gyproc Rf //
1 x 12,5 mm Gyproc Rf +
1 x 12,5 mm Gyproc WR</t>
  </si>
  <si>
    <t xml:space="preserve">1 x 12,5 mm Rigidur GF-H +
1 x 12,5 mm Gyproc A </t>
  </si>
  <si>
    <t xml:space="preserve">1 x 12,5 mm Gyproc WR +
1 x 12,5 mm Gyproc A </t>
  </si>
  <si>
    <t>2 x 12,5 mm Gyproc A</t>
  </si>
  <si>
    <t>2 x 12,5 mm Gyproc A //
1 x 12,5 mm Gyproc A</t>
  </si>
  <si>
    <t>1 x 15 mm DuraGyp +
1 x 15 mm Multiplex</t>
  </si>
  <si>
    <t>1 x 12,5 mm Gyproc A +
1 x 12,5 mm Rigidur GF-H</t>
  </si>
  <si>
    <t xml:space="preserve">1 x 12,5 mm DuraGyp +
1 x 12,5 mm Gyproc A </t>
  </si>
  <si>
    <t>1 x 12,5 mm DuraGyp +
2 x 12,5 mm SoundBlock</t>
  </si>
  <si>
    <t>1 x 12,5 mm DuraGyp +
1 x 12,5 mm SoundBlock</t>
  </si>
  <si>
    <t xml:space="preserve">3 x 12,5 mm Gyproc A </t>
  </si>
  <si>
    <t>CD60/27 C5-M</t>
  </si>
  <si>
    <t>48 x 32</t>
  </si>
  <si>
    <t>47 x 22</t>
  </si>
  <si>
    <t>47 x 30</t>
  </si>
  <si>
    <t>MSV 125</t>
  </si>
  <si>
    <t>MSV 100</t>
  </si>
  <si>
    <t>MSV 75</t>
  </si>
  <si>
    <t>MSV 50</t>
  </si>
  <si>
    <t>CW 100 C5-M</t>
  </si>
  <si>
    <t>CW 75 C5-M</t>
  </si>
  <si>
    <t>CW 50 C5-M</t>
  </si>
  <si>
    <t>MS dB 75</t>
  </si>
  <si>
    <t>MS dB 50</t>
  </si>
  <si>
    <t>2 x (60 x 120)</t>
  </si>
  <si>
    <t>PlaGyp FX</t>
  </si>
  <si>
    <t>PlaGyp</t>
  </si>
  <si>
    <t>MSV 100*100 - 100</t>
  </si>
  <si>
    <t>MSV 100+100 + 100</t>
  </si>
  <si>
    <t>MSV 100-100 - 100</t>
  </si>
  <si>
    <t>MSV 100+100</t>
  </si>
  <si>
    <t>MSV 75+75</t>
  </si>
  <si>
    <t>MSV 50+50</t>
  </si>
  <si>
    <t>2 x (38 x 89)</t>
  </si>
  <si>
    <t>2 x (45 x 69)</t>
  </si>
  <si>
    <t>38 x 89</t>
  </si>
  <si>
    <t>45 x 69</t>
  </si>
  <si>
    <t>45 x 45</t>
  </si>
  <si>
    <t>MSV 75-75</t>
  </si>
  <si>
    <t>MS dB 50+50</t>
  </si>
  <si>
    <t>MS dB 75+75</t>
  </si>
  <si>
    <t>MS dB 75-75</t>
  </si>
  <si>
    <t>MS dB 50-50</t>
  </si>
  <si>
    <t>MSV 100-100</t>
  </si>
  <si>
    <t>MSV 100*100</t>
  </si>
  <si>
    <t>MSV 50-50</t>
  </si>
  <si>
    <t>MSV 100 - 100</t>
  </si>
  <si>
    <t>MSV 75 - 75</t>
  </si>
  <si>
    <t>2 x (45 x 120)</t>
  </si>
  <si>
    <t>2 x ((38 x 38) + (45 x 120))</t>
  </si>
  <si>
    <t>MS dB 100</t>
  </si>
  <si>
    <t>UD28 C5-M</t>
  </si>
  <si>
    <t>RB66</t>
  </si>
  <si>
    <t>MSH 125</t>
  </si>
  <si>
    <t>MSH 100</t>
  </si>
  <si>
    <t>MSH 75</t>
  </si>
  <si>
    <t>MSH 50</t>
  </si>
  <si>
    <t>UW 100 C5-M</t>
  </si>
  <si>
    <t>UW 75 C5-M</t>
  </si>
  <si>
    <t>UW 50 C5-M</t>
  </si>
  <si>
    <t>GV 75</t>
  </si>
  <si>
    <t>GV 50</t>
  </si>
  <si>
    <t>MSH 100*100 - 100</t>
  </si>
  <si>
    <t>MSH 100+100 + 100</t>
  </si>
  <si>
    <t>MSH 100-100 - 100</t>
  </si>
  <si>
    <t>MSH 100-100</t>
  </si>
  <si>
    <t>MSH 75-75</t>
  </si>
  <si>
    <t>MSH 50-50</t>
  </si>
  <si>
    <t>MSH 100*100</t>
  </si>
  <si>
    <t>MSH 100 - 100</t>
  </si>
  <si>
    <t>MSH 75 - 75</t>
  </si>
  <si>
    <t>Vloer</t>
  </si>
  <si>
    <t>Rigidur Floor E 40 PS_5</t>
  </si>
  <si>
    <t>Rigidur Floor E 40 PS_4</t>
  </si>
  <si>
    <t>Rigidur Floor E 40 PS_3</t>
  </si>
  <si>
    <t>Rigidur Floor E 40 PS_2</t>
  </si>
  <si>
    <t>Rigidur Floor E 40 PS_1</t>
  </si>
  <si>
    <t>Rigidur Floor E 30 HF_5</t>
  </si>
  <si>
    <t>Rigidur Floor E 30 HF_4</t>
  </si>
  <si>
    <t>Rigidur Floor E 30 HF_3</t>
  </si>
  <si>
    <t>Rigidur Floor E 30 HF_2</t>
  </si>
  <si>
    <t>Rigidur Floor E 30 HF_1</t>
  </si>
  <si>
    <t>Rigidur Floor E 35 MW_5</t>
  </si>
  <si>
    <t>Rigidur Floor E 35 MW_4</t>
  </si>
  <si>
    <t>Rigidur Floor E 35 MW_3</t>
  </si>
  <si>
    <t>Rigidur Floor E 35 MW_2</t>
  </si>
  <si>
    <t>Rigidur Floor E 35 MW_1</t>
  </si>
  <si>
    <t>Rigidur Floor E 30 MW_8</t>
  </si>
  <si>
    <t>Rigidur Floor E 30 MW_7</t>
  </si>
  <si>
    <t>Rigidur Floor E 30 MW_6</t>
  </si>
  <si>
    <t>Rigidur Floor E 30 MW_5</t>
  </si>
  <si>
    <t>Rigidur Floor E 30 MW_4</t>
  </si>
  <si>
    <t>Rigidur Floor E 30 MW_3</t>
  </si>
  <si>
    <t>Rigidur Floor E 30 MW_2</t>
  </si>
  <si>
    <t>Rigidur Floor E 30 MW_1</t>
  </si>
  <si>
    <t>Rigidur Floor E 25_5</t>
  </si>
  <si>
    <t>Rigidur Floor E 25_4</t>
  </si>
  <si>
    <t>Rigidur Floor E 25_3</t>
  </si>
  <si>
    <t>Rigidur Floor E 25_2</t>
  </si>
  <si>
    <t>Rigidur Floor E 25_1</t>
  </si>
  <si>
    <t>Rigidur Floor E 20_5</t>
  </si>
  <si>
    <t>Rigidur Floor E 20_4</t>
  </si>
  <si>
    <t>Rigidur Floor E 20_3</t>
  </si>
  <si>
    <t>Rigidur Floor E 20_2</t>
  </si>
  <si>
    <t>Rigidur Floor E 20_1</t>
  </si>
  <si>
    <t>Demont GR</t>
  </si>
  <si>
    <t>GR</t>
  </si>
  <si>
    <t>GR Crystal Rf</t>
  </si>
  <si>
    <t>GR A S-alu A</t>
  </si>
  <si>
    <t>GR A S-alu A_4</t>
  </si>
  <si>
    <t>GR A S-alu A_3</t>
  </si>
  <si>
    <t>GR A S-alu A_2</t>
  </si>
  <si>
    <t>GR A S-alu A_1</t>
  </si>
  <si>
    <t>GR A S-alu</t>
  </si>
  <si>
    <t>GR A S-alu_2</t>
  </si>
  <si>
    <t>GR A S-alu_1</t>
  </si>
  <si>
    <t>GR A Atenea-alu A</t>
  </si>
  <si>
    <t>GR A Atenea-alu A_4</t>
  </si>
  <si>
    <t>GR A Atenea-alu A_3</t>
  </si>
  <si>
    <t>GR A Atenea-alu A_2</t>
  </si>
  <si>
    <t>GR A Atenea-alu A_1</t>
  </si>
  <si>
    <t>GR A Atenea-alu</t>
  </si>
  <si>
    <t>GR A Atenea-alu_2</t>
  </si>
  <si>
    <t>GR A Atenea-alu_1</t>
  </si>
  <si>
    <t>Demont GT</t>
  </si>
  <si>
    <t>GT P</t>
  </si>
  <si>
    <t>GT A-E15 Quattro 55 A</t>
  </si>
  <si>
    <t>GT A-E15 Quattro 55 A_6</t>
  </si>
  <si>
    <t>GT A-E15 Quattro 55 A_5</t>
  </si>
  <si>
    <t>GT A-E15 Quattro 55 A_4</t>
  </si>
  <si>
    <t>GT A-E15 Quattro 55 A_3</t>
  </si>
  <si>
    <t>GT A-E15 Quattro 55 A_2</t>
  </si>
  <si>
    <t>GT A-E15 Quattro 55 A_1</t>
  </si>
  <si>
    <t>GT A-E15 Quattro 55</t>
  </si>
  <si>
    <t>GT A-E15 Quattro 55_3</t>
  </si>
  <si>
    <t>GT A-E15 Quattro 55_2</t>
  </si>
  <si>
    <t>GT A-E15 Quattro 55_1</t>
  </si>
  <si>
    <t>GT A-E15 Point 15 A</t>
  </si>
  <si>
    <t>GT A-E15 Point 15 A_6</t>
  </si>
  <si>
    <t>GT A-E15 Point 15 A_5</t>
  </si>
  <si>
    <t>GT A-E15 Point 15 A_4</t>
  </si>
  <si>
    <t>GT A-E15 Point 15 A_3</t>
  </si>
  <si>
    <t>GT A-E15 Point 15 A_2</t>
  </si>
  <si>
    <t>GT A-E15 Point 15 A_1</t>
  </si>
  <si>
    <t>GT A-E15 Point 15</t>
  </si>
  <si>
    <t>GT A-E15 Point 15_3</t>
  </si>
  <si>
    <t>GT A-E15 Point 15_2</t>
  </si>
  <si>
    <t>GT A-E15 Point 15_1</t>
  </si>
  <si>
    <t>GT A-E15 Line 8 A</t>
  </si>
  <si>
    <t>GT A-E15 Line 8 A_6</t>
  </si>
  <si>
    <t>GT A-E15 Line 8 A_5</t>
  </si>
  <si>
    <t>GT A-E15 Line 8 A_4</t>
  </si>
  <si>
    <t>GT A-E15 Line 8 A_3</t>
  </si>
  <si>
    <t>GT A-E15 Line 8 A_2</t>
  </si>
  <si>
    <t>GT A-E15 Line 8 A_1</t>
  </si>
  <si>
    <t>GT A-E15 Line 8</t>
  </si>
  <si>
    <t>GT A-E15 Line 8_3</t>
  </si>
  <si>
    <t>GT A-E15 Line 8_2</t>
  </si>
  <si>
    <t>GT A-E15 Line 8_1</t>
  </si>
  <si>
    <t>GT A-E15 Base 33 A</t>
  </si>
  <si>
    <t>GT A-E15 Base 33 A_4</t>
  </si>
  <si>
    <t>GT A-E15 Base 33 A_3</t>
  </si>
  <si>
    <t>GT A-E15 Base 33 A_2</t>
  </si>
  <si>
    <t>GT A-E15 Base 33 A_1</t>
  </si>
  <si>
    <t>GT A-E15 Base 33</t>
  </si>
  <si>
    <t>GT A-E15 Base 33_4</t>
  </si>
  <si>
    <t>GT A-E15 Base 33_3</t>
  </si>
  <si>
    <t>GT A-E15 Base 33_2</t>
  </si>
  <si>
    <t>GT A-E15 Base 33_1</t>
  </si>
  <si>
    <t>GT D2 Sixto 60 A</t>
  </si>
  <si>
    <t>GT D2 Sixto 60 A_6</t>
  </si>
  <si>
    <t>GT D2 Sixto 60 A_5</t>
  </si>
  <si>
    <t>GT D2 Sixto 60 A_4</t>
  </si>
  <si>
    <t>GT D2 Sixto 60 A_3</t>
  </si>
  <si>
    <t>GT D2 Sixto 60 A_2</t>
  </si>
  <si>
    <t>GT D2 Sixto 60 A_1</t>
  </si>
  <si>
    <t>GT D2 Sixto 60</t>
  </si>
  <si>
    <t>GT D2 Sixto 60_3</t>
  </si>
  <si>
    <t>GT D2 Sixto 60_2</t>
  </si>
  <si>
    <t>GT D2 Sixto 60_1</t>
  </si>
  <si>
    <t>GT D2 Quattro 50 A</t>
  </si>
  <si>
    <t>GT D2 Quattro 50 A_6</t>
  </si>
  <si>
    <t>GT D2 Quattro 50 A_5</t>
  </si>
  <si>
    <t>GT D2 Quattro 50 A_4</t>
  </si>
  <si>
    <t>GT D2 Quattro 50 A_3</t>
  </si>
  <si>
    <t>GT D2 Quattro 50 A_2</t>
  </si>
  <si>
    <t>GT D2 Quattro 50 A_1</t>
  </si>
  <si>
    <t>GT D2 Quattro 50</t>
  </si>
  <si>
    <t>GT D2 Quattro 50_3</t>
  </si>
  <si>
    <t>GT D2 Quattro 50_2</t>
  </si>
  <si>
    <t>GT D2 Quattro 50_1</t>
  </si>
  <si>
    <t>GT D2 Quattro 22 A</t>
  </si>
  <si>
    <t>GT D2 Quattro 22 A_6</t>
  </si>
  <si>
    <t>GT D2 Quattro 22 A_5</t>
  </si>
  <si>
    <t>GT D2 Quattro 22 A_4</t>
  </si>
  <si>
    <t>GT D2 Quattro 22 A_3</t>
  </si>
  <si>
    <t>GT D2 Quattro 22 A_2</t>
  </si>
  <si>
    <t>GT D2 Quattro 22 A_1</t>
  </si>
  <si>
    <t>GT D2 Quattro 22</t>
  </si>
  <si>
    <t>GT D2 Quattro 22_3</t>
  </si>
  <si>
    <t>GT D2 Quattro 22_2</t>
  </si>
  <si>
    <t>GT D2 Quattro 22_1</t>
  </si>
  <si>
    <t>GT D2 Quattro 20 A</t>
  </si>
  <si>
    <t>GT D2 Quattro 20 A_6</t>
  </si>
  <si>
    <t>GT D2 Quattro 20 A_5</t>
  </si>
  <si>
    <t>GT D2 Quattro 20 A_4</t>
  </si>
  <si>
    <t>GT D2 Quattro 20 A_3</t>
  </si>
  <si>
    <t>GT D2 Quattro 20 A_2</t>
  </si>
  <si>
    <t>GT D2 Quattro 20 A_1</t>
  </si>
  <si>
    <t>GT D2 Quattro 20</t>
  </si>
  <si>
    <t>GT D2 Quattro 20_3</t>
  </si>
  <si>
    <t>GT D2 Quattro 20_2</t>
  </si>
  <si>
    <t>GT D2 Quattro 20_1</t>
  </si>
  <si>
    <t>GT D2 Point 12 A</t>
  </si>
  <si>
    <t>GT D2 Point 12 A_6</t>
  </si>
  <si>
    <t>GT D2 Point 12 A_5</t>
  </si>
  <si>
    <t>GT D2 Point 12 A_4</t>
  </si>
  <si>
    <t>GT D2 Point 12 A_3</t>
  </si>
  <si>
    <t>GT D2 Point 12 A_2</t>
  </si>
  <si>
    <t>GT D2 Point 12 A_1</t>
  </si>
  <si>
    <t>GT D2 Point 12</t>
  </si>
  <si>
    <t>GT D2 Point 12_3</t>
  </si>
  <si>
    <t>GT D2 Point 12_2</t>
  </si>
  <si>
    <t>GT D2 Point 12_1</t>
  </si>
  <si>
    <t>GT D2 Point 11 A</t>
  </si>
  <si>
    <t>GT D2 Point 11 A_6</t>
  </si>
  <si>
    <t>GT D2 Point 11 A_5</t>
  </si>
  <si>
    <t>GT D2 Point 11 A_4</t>
  </si>
  <si>
    <t>GT D2 Point 11 A_3</t>
  </si>
  <si>
    <t>GT D2 Point 11 A_2</t>
  </si>
  <si>
    <t>GT D2 Point 11 A_1</t>
  </si>
  <si>
    <t>GT D2 Point 11</t>
  </si>
  <si>
    <t>GT D2 Point 11_3</t>
  </si>
  <si>
    <t>GT D2 Point 11_2</t>
  </si>
  <si>
    <t>GT D2 Point 11_1</t>
  </si>
  <si>
    <t>GT D2 Line 4 A</t>
  </si>
  <si>
    <t>GT D2 Line 4 A_6</t>
  </si>
  <si>
    <t>GT D2 Line 4 A_5</t>
  </si>
  <si>
    <t>GT D2 Line 4 A_4</t>
  </si>
  <si>
    <t>GT D2 Line 4 A_3</t>
  </si>
  <si>
    <t>GT D2 Line 4 A_2</t>
  </si>
  <si>
    <t>GT D2 Line 4 A_1</t>
  </si>
  <si>
    <t>GT D2 Line 4</t>
  </si>
  <si>
    <t>GT D2 Line 4_3</t>
  </si>
  <si>
    <t>GT D2 Line 4_2</t>
  </si>
  <si>
    <t>GT D2 Line 4_1</t>
  </si>
  <si>
    <t>GT D2 Base 31 A</t>
  </si>
  <si>
    <t>GT D2 Base 31 A_4</t>
  </si>
  <si>
    <t>GT D2 Base 31 A_3</t>
  </si>
  <si>
    <t>GT D2 Base 31 A_2</t>
  </si>
  <si>
    <t>GT D2 Base 31 A_1</t>
  </si>
  <si>
    <t>GT D2 Base 31</t>
  </si>
  <si>
    <t>GT D2 Base 31_4</t>
  </si>
  <si>
    <t>GT D2 Base 31_3</t>
  </si>
  <si>
    <t>GT D2 Base 31_2</t>
  </si>
  <si>
    <t>GT D2 Base 31_1</t>
  </si>
  <si>
    <t>GT E15 Sixto 60 A</t>
  </si>
  <si>
    <t>GT E15 Sixto 60 A_6</t>
  </si>
  <si>
    <t>GT E15 Sixto 60 A_5</t>
  </si>
  <si>
    <t>GT E15 Sixto 60 A_4</t>
  </si>
  <si>
    <t>GT E15 Sixto 60 A_3</t>
  </si>
  <si>
    <t>GT E15 Sixto 60 A_2</t>
  </si>
  <si>
    <t>GT E15 Sixto 60 A_1</t>
  </si>
  <si>
    <t>GT E15 Sixto 60</t>
  </si>
  <si>
    <t>GT E15 Sixto 60_3</t>
  </si>
  <si>
    <t>GT E15 Sixto 60_2</t>
  </si>
  <si>
    <t>GT E15 Sixto 60_1</t>
  </si>
  <si>
    <t>GT D1 Sixto 60 A</t>
  </si>
  <si>
    <t>GT D1 Sixto 60 A_6</t>
  </si>
  <si>
    <t>GT D1 Sixto 60 A_5</t>
  </si>
  <si>
    <t>GT D1 Sixto 60 A_4</t>
  </si>
  <si>
    <t>GT D1 Sixto 60 A_3</t>
  </si>
  <si>
    <t>GT D1 Sixto 60 A_2</t>
  </si>
  <si>
    <t>GT D1 Sixto 60 A_1</t>
  </si>
  <si>
    <t>GT D1 Sixto 60</t>
  </si>
  <si>
    <t>GT D1 Sixto 60_3</t>
  </si>
  <si>
    <t>GT D1 Sixto 60_2</t>
  </si>
  <si>
    <t>GT D1 Sixto 60_1</t>
  </si>
  <si>
    <t>GT A Sixto 60 A</t>
  </si>
  <si>
    <t>GT A Sixto 60 A_6</t>
  </si>
  <si>
    <t>GT A Sixto 60 A_5</t>
  </si>
  <si>
    <t>GT A Sixto 60 A_4</t>
  </si>
  <si>
    <t>GT A Sixto 60 A_3</t>
  </si>
  <si>
    <t>GT A Sixto 60 A_2</t>
  </si>
  <si>
    <t>GT A Sixto 60 A_1</t>
  </si>
  <si>
    <t>GT A Sixto 60</t>
  </si>
  <si>
    <t>GT A Sixto 60_3</t>
  </si>
  <si>
    <t>GT A Sixto 60_2</t>
  </si>
  <si>
    <t>GT A Sixto 60_1</t>
  </si>
  <si>
    <t>GT E15 Quattro 50 A</t>
  </si>
  <si>
    <t>GT E15 Quattro 50 A_6</t>
  </si>
  <si>
    <t>GT E15 Quattro 50 A_5</t>
  </si>
  <si>
    <t>GT E15 Quattro 50 A_4</t>
  </si>
  <si>
    <t>GT E15 Quattro 50 A_3</t>
  </si>
  <si>
    <t>GT E15 Quattro 50 A_2</t>
  </si>
  <si>
    <t>GT E15 Quattro 50 A_1</t>
  </si>
  <si>
    <t>GT E15 Quattro 50</t>
  </si>
  <si>
    <t>GT E15 Quattro 50_3</t>
  </si>
  <si>
    <t>GT E15 Quattro 50_2</t>
  </si>
  <si>
    <t>GT E15 Quattro 50_1</t>
  </si>
  <si>
    <t>GT D1 Quattro 50 A</t>
  </si>
  <si>
    <t>GT D1 Quattro 50 A_6</t>
  </si>
  <si>
    <t>GT D1 Quattro 50 A_5</t>
  </si>
  <si>
    <t>GT D1 Quattro 50 A_4</t>
  </si>
  <si>
    <t>GT D1 Quattro 50 A_3</t>
  </si>
  <si>
    <t>GT D1 Quattro 50 A_2</t>
  </si>
  <si>
    <t>GT D1 Quattro 50 A_1</t>
  </si>
  <si>
    <t>GT D1 Quattro 50</t>
  </si>
  <si>
    <t>GT D1 Quattro 50_3</t>
  </si>
  <si>
    <t>GT D1 Quattro 50_2</t>
  </si>
  <si>
    <t>GT D1 Quattro 50_1</t>
  </si>
  <si>
    <t>GT A Quattro 50 A</t>
  </si>
  <si>
    <t>GT A Quattro 50 A_6</t>
  </si>
  <si>
    <t>GT A Quattro 50 A_5</t>
  </si>
  <si>
    <t>GT A Quattro 50 A_4</t>
  </si>
  <si>
    <t>GT A Quattro 50 A_3</t>
  </si>
  <si>
    <t>GT A Quattro 50 A_2</t>
  </si>
  <si>
    <t>GT A Quattro 50 A_1</t>
  </si>
  <si>
    <t>GT A Quattro 50</t>
  </si>
  <si>
    <t>GT A Quattro 50_3</t>
  </si>
  <si>
    <t>GT A Quattro 50_2</t>
  </si>
  <si>
    <t>GT A Quattro 50_1</t>
  </si>
  <si>
    <t>GT E15 Quattro 22 A</t>
  </si>
  <si>
    <t>GT E15 Quattro 22 A_6</t>
  </si>
  <si>
    <t>GT E15 Quattro 22 A_5</t>
  </si>
  <si>
    <t>GT E15 Quattro 22 A_4</t>
  </si>
  <si>
    <t>GT E15 Quattro 22 A_3</t>
  </si>
  <si>
    <t>GT E15 Quattro 22 A_2</t>
  </si>
  <si>
    <t>GT E15 Quattro 22 A_1</t>
  </si>
  <si>
    <t>GT E15 Quattro 22</t>
  </si>
  <si>
    <t>GT E15 Quattro 22_3</t>
  </si>
  <si>
    <t>GT E15 Quattro 22_2</t>
  </si>
  <si>
    <t>GT E15 Quattro 22_1</t>
  </si>
  <si>
    <t>GT D1 Quattro 22 A</t>
  </si>
  <si>
    <t>GT D1 Quattro 22 A_6</t>
  </si>
  <si>
    <t>GT D1 Quattro 22 A_5</t>
  </si>
  <si>
    <t>GT D1 Quattro 22 A_4</t>
  </si>
  <si>
    <t>GT D1 Quattro 22 A_3</t>
  </si>
  <si>
    <t>GT D1 Quattro 22 A_2</t>
  </si>
  <si>
    <t>GT D1 Quattro 22 A_1</t>
  </si>
  <si>
    <t>GT D1 Quattro 22</t>
  </si>
  <si>
    <t>GT D1 Quattro 22_3</t>
  </si>
  <si>
    <t>GT D1 Quattro 22_2</t>
  </si>
  <si>
    <t>GT D1 Quattro 22_1</t>
  </si>
  <si>
    <t>GT A Quattro 22 A</t>
  </si>
  <si>
    <t>GT A Quattro 22 A_6</t>
  </si>
  <si>
    <t>GT A Quattro 22 A_5</t>
  </si>
  <si>
    <t>GT A Quattro 22 A_4</t>
  </si>
  <si>
    <t>GT A Quattro 22 A_3</t>
  </si>
  <si>
    <t>GT A Quattro 22 A_2</t>
  </si>
  <si>
    <t>GT A Quattro 22 A_1</t>
  </si>
  <si>
    <t>GT A Quattro 22</t>
  </si>
  <si>
    <t>GT A Quattro 22_3</t>
  </si>
  <si>
    <t>GT A Quattro 22_2</t>
  </si>
  <si>
    <t>GT A Quattro 22_1</t>
  </si>
  <si>
    <t>GT E15 Quattro 20 A</t>
  </si>
  <si>
    <t>GT E15 Quattro 20 A_6</t>
  </si>
  <si>
    <t>GT E15 Quattro 20 A_5</t>
  </si>
  <si>
    <t>GT E15 Quattro 20 A_4</t>
  </si>
  <si>
    <t>GT E15 Quattro 20 A_3</t>
  </si>
  <si>
    <t>GT E15 Quattro 20 A_2</t>
  </si>
  <si>
    <t>GT E15 Quattro 20 A_1</t>
  </si>
  <si>
    <t>GT E15 Quattro 20</t>
  </si>
  <si>
    <t>GT E15 Quattro 20_3</t>
  </si>
  <si>
    <t>GT E15 Quattro 20_2</t>
  </si>
  <si>
    <t>GT E15 Quattro 20_1</t>
  </si>
  <si>
    <t>GT D1 Quattro 20 A</t>
  </si>
  <si>
    <t>GT D1 Quattro 20 A_6</t>
  </si>
  <si>
    <t>GT D1 Quattro 20 A_5</t>
  </si>
  <si>
    <t>GT D1 Quattro 20 A_4</t>
  </si>
  <si>
    <t>GT D1 Quattro 20 A_3</t>
  </si>
  <si>
    <t>GT D1 Quattro 20 A_2</t>
  </si>
  <si>
    <t>GT D1 Quattro 20 A_1</t>
  </si>
  <si>
    <t>GT D1 Quattro 20</t>
  </si>
  <si>
    <t>GT D1 Quattro 20_3</t>
  </si>
  <si>
    <t>GT D1 Quattro 20_2</t>
  </si>
  <si>
    <t>GT D1 Quattro 20_1</t>
  </si>
  <si>
    <t>GT A Quattro 20 A</t>
  </si>
  <si>
    <t>GT A Quattro 20 A_6</t>
  </si>
  <si>
    <t>GT A Quattro 20 A_5</t>
  </si>
  <si>
    <t>GT A Quattro 20 A_4</t>
  </si>
  <si>
    <t>GT A Quattro 20 A_3</t>
  </si>
  <si>
    <t>GT A Quattro 20 A_2</t>
  </si>
  <si>
    <t>GT A Quattro 20 A_1</t>
  </si>
  <si>
    <t>GT A Quattro 20</t>
  </si>
  <si>
    <t>GT A Quattro 20_3</t>
  </si>
  <si>
    <t>GT A Quattro 20_2</t>
  </si>
  <si>
    <t>GT A Quattro 20_1</t>
  </si>
  <si>
    <t>GT E15 Point 12 A</t>
  </si>
  <si>
    <t>GT E15 Point 12 A_6</t>
  </si>
  <si>
    <t>GT E15 Point 12 A_5</t>
  </si>
  <si>
    <t>GT E15 Point 12 A_4</t>
  </si>
  <si>
    <t>GT E15 Point 12 A_3</t>
  </si>
  <si>
    <t>GT E15 Point 12 A_2</t>
  </si>
  <si>
    <t>GT E15 Point 12 A_1</t>
  </si>
  <si>
    <t>GT E15 Point 12</t>
  </si>
  <si>
    <t>GT E15 Point 12_3</t>
  </si>
  <si>
    <t>GT E15 Point 12_2</t>
  </si>
  <si>
    <t>GT E15 Point 12_1</t>
  </si>
  <si>
    <t>GT D1 Point 12 A</t>
  </si>
  <si>
    <t>GT D1 Point 12 A_6</t>
  </si>
  <si>
    <t>GT D1 Point 12 A_5</t>
  </si>
  <si>
    <t>GT D1 Point 12 A_4</t>
  </si>
  <si>
    <t>GT D1 Point 12 A_3</t>
  </si>
  <si>
    <t>GT D1 Point 12 A_2</t>
  </si>
  <si>
    <t>GT D1 Point 12 A_1</t>
  </si>
  <si>
    <t>GT D1 Point 12</t>
  </si>
  <si>
    <t>GT D1 Point 12_3</t>
  </si>
  <si>
    <t>GT D1 Point 12_2</t>
  </si>
  <si>
    <t>GT D1 Point 12_1</t>
  </si>
  <si>
    <t>GT A Point 12 A</t>
  </si>
  <si>
    <t>GT A Point 12 A_6</t>
  </si>
  <si>
    <t>GT A Point 12 A_5</t>
  </si>
  <si>
    <t>GT A Point 12 A_4</t>
  </si>
  <si>
    <t>GT A Point 12 A_3</t>
  </si>
  <si>
    <t>GT A Point 12 A_2</t>
  </si>
  <si>
    <t>GT A Point 12 A_1</t>
  </si>
  <si>
    <t>GT A Point 12</t>
  </si>
  <si>
    <t>GT A Point 12_3</t>
  </si>
  <si>
    <t>GT A Point 12_2</t>
  </si>
  <si>
    <t>GT A Point 12_1</t>
  </si>
  <si>
    <t>GT E15 Point 11 A</t>
  </si>
  <si>
    <t>GT E15 Point 11 A_6</t>
  </si>
  <si>
    <t>GT E15 Point 11 A_5</t>
  </si>
  <si>
    <t>GT E15 Point 11 A_4</t>
  </si>
  <si>
    <t>GT E15 Point 11 A_3</t>
  </si>
  <si>
    <t>GT E15 Point 11 A_2</t>
  </si>
  <si>
    <t>GT E15 Point 11 A_1</t>
  </si>
  <si>
    <t>GT E15 Point 11</t>
  </si>
  <si>
    <t>GT E15 Point 11_3</t>
  </si>
  <si>
    <t>GT E15 Point 11_2</t>
  </si>
  <si>
    <t>GT E15 Point 11_1</t>
  </si>
  <si>
    <t>GT D1 Point 11 A</t>
  </si>
  <si>
    <t>GT D1 Point 11 A_6</t>
  </si>
  <si>
    <t>GT D1 Point 11 A_5</t>
  </si>
  <si>
    <t>GT D1 Point 11 A_4</t>
  </si>
  <si>
    <t>GT D1 Point 11 A_3</t>
  </si>
  <si>
    <t>GT D1 Point 11 A_2</t>
  </si>
  <si>
    <t>GT D1 Point 11 A_1</t>
  </si>
  <si>
    <t>GT D1 Point 11</t>
  </si>
  <si>
    <t>GT D1 Point 11_3</t>
  </si>
  <si>
    <t>GT D1 Point 11_2</t>
  </si>
  <si>
    <t>GT D1 Point 11_1</t>
  </si>
  <si>
    <t>GT A Point 11 A</t>
  </si>
  <si>
    <t>GT A Point 11 A_6</t>
  </si>
  <si>
    <t>GT A Point 11 A_5</t>
  </si>
  <si>
    <t>GT A Point 11 A_4</t>
  </si>
  <si>
    <t>GT A Point 11 A_3</t>
  </si>
  <si>
    <t>GT A Point 11 A_2</t>
  </si>
  <si>
    <t>GT A Point 11 A_1</t>
  </si>
  <si>
    <t>GT A Point 11</t>
  </si>
  <si>
    <t>GT A Point 11_3</t>
  </si>
  <si>
    <t>GT A Point 11_2</t>
  </si>
  <si>
    <t>GT A Point 11_1</t>
  </si>
  <si>
    <t>GT E15 Line 4 A</t>
  </si>
  <si>
    <t>GT E15 Line 4 A_6</t>
  </si>
  <si>
    <t>GT E15 Line 4 A_5</t>
  </si>
  <si>
    <t>GT E15 Line 4 A_4</t>
  </si>
  <si>
    <t>GT E15 Line 4 A_3</t>
  </si>
  <si>
    <t>GT E15 Line 4 A_2</t>
  </si>
  <si>
    <t>GT E15 Line 4 A_1</t>
  </si>
  <si>
    <t>GT E15 Line 4</t>
  </si>
  <si>
    <t>GT E15 Line 4_3</t>
  </si>
  <si>
    <t>GT E15 Line 4_2</t>
  </si>
  <si>
    <t>GT E15 Line 4_1</t>
  </si>
  <si>
    <t>GT D1 Line 4 A</t>
  </si>
  <si>
    <t>GT D1 Line 4 A_6</t>
  </si>
  <si>
    <t>GT D1 Line 4 A_5</t>
  </si>
  <si>
    <t>GT D1 Line 4 A_4</t>
  </si>
  <si>
    <t>GT D1 Line 4 A_3</t>
  </si>
  <si>
    <t>GT D1 Line 4 A_2</t>
  </si>
  <si>
    <t>GT D1 Line 4 A_1</t>
  </si>
  <si>
    <t>GT D1 Line 4</t>
  </si>
  <si>
    <t>GT D1 Line 4_3</t>
  </si>
  <si>
    <t>GT D1 Line 4_2</t>
  </si>
  <si>
    <t>GT D1 Line 4_1</t>
  </si>
  <si>
    <t>GT A Line 4 A</t>
  </si>
  <si>
    <t>GT A Line 4 A_6</t>
  </si>
  <si>
    <t>GT A Line 4 A_5</t>
  </si>
  <si>
    <t>GT A Line 4 A_4</t>
  </si>
  <si>
    <t>GT A Line 4 A_3</t>
  </si>
  <si>
    <t>GT A Line 4 A_2</t>
  </si>
  <si>
    <t>GT A Line 4 A_1</t>
  </si>
  <si>
    <t>GT A Line 4</t>
  </si>
  <si>
    <t>GT A Line 4_3</t>
  </si>
  <si>
    <t>GT A Line 4_2</t>
  </si>
  <si>
    <t>GT A Line 4_1</t>
  </si>
  <si>
    <t>GT E15 Base 31 A</t>
  </si>
  <si>
    <t>GT E15 Base 31 A_4</t>
  </si>
  <si>
    <t>GT E15 Base 31 A_3</t>
  </si>
  <si>
    <t>GT E15 Base 31 A_2</t>
  </si>
  <si>
    <t>GT E15 Base 31 A_1</t>
  </si>
  <si>
    <t>GT E15 Base 31</t>
  </si>
  <si>
    <t>GT E15 Base 31_4</t>
  </si>
  <si>
    <t>GT E15 Base 31_3</t>
  </si>
  <si>
    <t>GT E15 Base 31_2</t>
  </si>
  <si>
    <t>GT E15 Base 31_1</t>
  </si>
  <si>
    <t>GT D1 Base 31 A</t>
  </si>
  <si>
    <t>GT D1 Base 31 A_4</t>
  </si>
  <si>
    <t>GT D1 Base 31 A_3</t>
  </si>
  <si>
    <t>GT D1 Base 31 A_2</t>
  </si>
  <si>
    <t>GT D1 Base 31 A_1</t>
  </si>
  <si>
    <t>GT D1 Base 31</t>
  </si>
  <si>
    <t>GT D1 Base 31_4</t>
  </si>
  <si>
    <t>GT D1 Base 31_3</t>
  </si>
  <si>
    <t>GT D1 Base 31_2</t>
  </si>
  <si>
    <t>GT D1 Base 31_1</t>
  </si>
  <si>
    <t>GT A Base 31 A</t>
  </si>
  <si>
    <t>GT A Base 31 A_4</t>
  </si>
  <si>
    <t>GT A Base 31 A_3</t>
  </si>
  <si>
    <t>GT A Base 31 A_2</t>
  </si>
  <si>
    <t>GT A Base 31 A_1</t>
  </si>
  <si>
    <t>GT A Base 31</t>
  </si>
  <si>
    <t>GT A Base 31_4</t>
  </si>
  <si>
    <t>GT A Base 31_3</t>
  </si>
  <si>
    <t>GT A Base 31_2</t>
  </si>
  <si>
    <t>GT A Base 31_1</t>
  </si>
  <si>
    <t>Perf RT</t>
  </si>
  <si>
    <t>PlaGyp D Rf/15+GypSound 12.5 A</t>
  </si>
  <si>
    <t>PlaGyp D/12/25 Q A</t>
  </si>
  <si>
    <t>PlaGyp D/12/25 Q A_6</t>
  </si>
  <si>
    <t>PlaGyp D/12/25 Q A_5</t>
  </si>
  <si>
    <t>PlaGyp D/12/25 Q A_4</t>
  </si>
  <si>
    <t>PlaGyp D/12/25 Q A_3</t>
  </si>
  <si>
    <t>PlaGyp D/12/25 Q A_2</t>
  </si>
  <si>
    <t>PlaGyp D/12/25 Q A_1</t>
  </si>
  <si>
    <t>PlaGyp D/12/25 Q</t>
  </si>
  <si>
    <t>PlaGyp D/12/25 Q_3</t>
  </si>
  <si>
    <t>PlaGyp D/12/25 Q_2</t>
  </si>
  <si>
    <t>PlaGyp D/12/25 Q_1</t>
  </si>
  <si>
    <t>PlaGyp D/8/18 Q A</t>
  </si>
  <si>
    <t>PlaGyp D/8/18 Q A_6</t>
  </si>
  <si>
    <t>PlaGyp D/8/18 Q A_5</t>
  </si>
  <si>
    <t>PlaGyp D/8/18 Q A_4</t>
  </si>
  <si>
    <t>PlaGyp D/8/18 Q A_3</t>
  </si>
  <si>
    <t>PlaGyp D/8/18 Q A_2</t>
  </si>
  <si>
    <t>PlaGyp D/8/18 Q A_1</t>
  </si>
  <si>
    <t>PlaGyp D/8/18 Q</t>
  </si>
  <si>
    <t>PlaGyp D/8/18 Q_3</t>
  </si>
  <si>
    <t>PlaGyp D/8/18 Q_2</t>
  </si>
  <si>
    <t>PlaGyp D/8/18 Q_1</t>
  </si>
  <si>
    <t>PlaGyp D/12-20-35 A</t>
  </si>
  <si>
    <t>PlaGyp D/12-20-35 A_6</t>
  </si>
  <si>
    <t>PlaGyp D/12-20-35 A_5</t>
  </si>
  <si>
    <t>PlaGyp D/12-20-35 A_4</t>
  </si>
  <si>
    <t>PlaGyp D/12-20-35 A_3</t>
  </si>
  <si>
    <t>PlaGyp D/12-20-35 A_2</t>
  </si>
  <si>
    <t>PlaGyp D/12-20-35 A_1</t>
  </si>
  <si>
    <t>PlaGyp D/12-20-35</t>
  </si>
  <si>
    <t>PlaGyp D/12-20-35_3</t>
  </si>
  <si>
    <t>PlaGyp D/12-20-35_2</t>
  </si>
  <si>
    <t>PlaGyp D/12-20-35_1</t>
  </si>
  <si>
    <t>PlaGyp D/8-15-20 Super A</t>
  </si>
  <si>
    <t>PlaGyp D/8-15-20 Super A_6</t>
  </si>
  <si>
    <t>PlaGyp D/8-15-20 Super A_5</t>
  </si>
  <si>
    <t>PlaGyp D/8-15-20 Super A_4</t>
  </si>
  <si>
    <t>PlaGyp D/8-15-20 Super A_3</t>
  </si>
  <si>
    <t>PlaGyp D/8-15-20 Super A_2</t>
  </si>
  <si>
    <t>PlaGyp D/8-15-20 Super A_1</t>
  </si>
  <si>
    <t>PlaGyp D/8-15-20 Super</t>
  </si>
  <si>
    <t>PlaGyp D/8-15-20 Super_3</t>
  </si>
  <si>
    <t>PlaGyp D/8-15-20 Super_2</t>
  </si>
  <si>
    <t>PlaGyp D/8-15-20 Super_1</t>
  </si>
  <si>
    <t>PlaGyp D/8-15-20 A</t>
  </si>
  <si>
    <t>PlaGyp D/8-15-20 A_6</t>
  </si>
  <si>
    <t>PlaGyp D/8-15-20 A_5</t>
  </si>
  <si>
    <t>PlaGyp D/8-15-20 A_4</t>
  </si>
  <si>
    <t>PlaGyp D/8-15-20 A_3</t>
  </si>
  <si>
    <t>PlaGyp D/8-15-20 A_2</t>
  </si>
  <si>
    <t>PlaGyp D/8-15-20 A_1</t>
  </si>
  <si>
    <t>PlaGyp D/8-15-20</t>
  </si>
  <si>
    <t>PlaGyp D/8-15-20_3</t>
  </si>
  <si>
    <t>PlaGyp D/8-15-20_2</t>
  </si>
  <si>
    <t>PlaGyp D/8-15-20_1</t>
  </si>
  <si>
    <t>PlaGyp D/12-20/66 A</t>
  </si>
  <si>
    <t>PlaGyp D/12-20/66 A_6</t>
  </si>
  <si>
    <t>PlaGyp D/12-20/66 A_5</t>
  </si>
  <si>
    <t>PlaGyp D/12-20/66 A_4</t>
  </si>
  <si>
    <t>PlaGyp D/12-20/66 A_3</t>
  </si>
  <si>
    <t>PlaGyp D/12-20/66 A_2</t>
  </si>
  <si>
    <t>PlaGyp D/12-20/66 A_1</t>
  </si>
  <si>
    <t>PlaGyp D/12-20/66</t>
  </si>
  <si>
    <t>PlaGyp D/12-20/66_3</t>
  </si>
  <si>
    <t>PlaGyp D/12-20/66_2</t>
  </si>
  <si>
    <t>PlaGyp D/12-20/66_1</t>
  </si>
  <si>
    <t>PlaGyp D/8-12/50 A</t>
  </si>
  <si>
    <t>PlaGyp D/8-12/50 A_6</t>
  </si>
  <si>
    <t>PlaGyp D/8-12/50 A_5</t>
  </si>
  <si>
    <t>PlaGyp D/8-12/50 A_4</t>
  </si>
  <si>
    <t>PlaGyp D/8-12/50 A_3</t>
  </si>
  <si>
    <t>PlaGyp D/8-12/50 A_2</t>
  </si>
  <si>
    <t>PlaGyp D/8-12/50 A_1</t>
  </si>
  <si>
    <t>PlaGyp D/8-12/50</t>
  </si>
  <si>
    <t>PlaGyp D/8-12/50_3</t>
  </si>
  <si>
    <t>PlaGyp D/8-12/50_2</t>
  </si>
  <si>
    <t>PlaGyp D/8-12/50_1</t>
  </si>
  <si>
    <t>PlaGyp D/15/30 A</t>
  </si>
  <si>
    <t>PlaGyp D/15/30 A_6</t>
  </si>
  <si>
    <t>PlaGyp D/15/30 A_5</t>
  </si>
  <si>
    <t>PlaGyp D/15/30 A_4</t>
  </si>
  <si>
    <t>PlaGyp D/15/30 A_3</t>
  </si>
  <si>
    <t>PlaGyp D/15/30 A_2</t>
  </si>
  <si>
    <t>PlaGyp D/15/30 A_1</t>
  </si>
  <si>
    <t>PlaGyp D/15/30</t>
  </si>
  <si>
    <t>PlaGyp D/15/30_3</t>
  </si>
  <si>
    <t>PlaGyp D/15/30_2</t>
  </si>
  <si>
    <t>PlaGyp D/15/30_1</t>
  </si>
  <si>
    <t>PlaGyp D/12/25 A</t>
  </si>
  <si>
    <t>PlaGyp D/12/25 A_6</t>
  </si>
  <si>
    <t>PlaGyp D/12/25 A_5</t>
  </si>
  <si>
    <t>PlaGyp D/12/25 A_4</t>
  </si>
  <si>
    <t>PlaGyp D/12/25 A_3</t>
  </si>
  <si>
    <t>PlaGyp D/12/25 A_2</t>
  </si>
  <si>
    <t>PlaGyp D/12/25 A_1</t>
  </si>
  <si>
    <t>PlaGyp D/12/25</t>
  </si>
  <si>
    <t>PlaGyp D/12/25_3</t>
  </si>
  <si>
    <t>PlaGyp D/12/25_2</t>
  </si>
  <si>
    <t>PlaGyp D/12/25_1</t>
  </si>
  <si>
    <t>PlaGyp D/10/23 A</t>
  </si>
  <si>
    <t>PlaGyp D/10/23 A_6</t>
  </si>
  <si>
    <t>PlaGyp D/10/23 A_5</t>
  </si>
  <si>
    <t>PlaGyp D/10/23 A_4</t>
  </si>
  <si>
    <t>PlaGyp D/10/23 A_3</t>
  </si>
  <si>
    <t>PlaGyp D/10/23 A_2</t>
  </si>
  <si>
    <t>PlaGyp D/10/23 A_1</t>
  </si>
  <si>
    <t>PlaGyp D/10/23</t>
  </si>
  <si>
    <t>PlaGyp D/10/23_3</t>
  </si>
  <si>
    <t>PlaGyp D/10/23_2</t>
  </si>
  <si>
    <t>PlaGyp D/10/23_1</t>
  </si>
  <si>
    <t>PlaGyp D/8/18 A</t>
  </si>
  <si>
    <t>PlaGyp D/8/18 A_6</t>
  </si>
  <si>
    <t>PlaGyp D/8/18 A_5</t>
  </si>
  <si>
    <t>PlaGyp D/8/18 A_4</t>
  </si>
  <si>
    <t>PlaGyp D/8/18 A_3</t>
  </si>
  <si>
    <t>PlaGyp D/8/18 A_2</t>
  </si>
  <si>
    <t>PlaGyp D/8/18 A_1</t>
  </si>
  <si>
    <t>PlaGyp D/8/18</t>
  </si>
  <si>
    <t>PlaGyp D/8/18_3</t>
  </si>
  <si>
    <t>PlaGyp D/8/18_2</t>
  </si>
  <si>
    <t>PlaGyp D/8/18_1</t>
  </si>
  <si>
    <t>PlaGyp D/6/18 A</t>
  </si>
  <si>
    <t>PlaGyp D/6/18 A_6</t>
  </si>
  <si>
    <t>PlaGyp D/6/18 A_5</t>
  </si>
  <si>
    <t>PlaGyp D/6/18 A_4</t>
  </si>
  <si>
    <t>PlaGyp D/6/18 A_3</t>
  </si>
  <si>
    <t>PlaGyp D/6/18 A_2</t>
  </si>
  <si>
    <t>PlaGyp D/6/18 A_1</t>
  </si>
  <si>
    <t>PlaGyp D/6/18</t>
  </si>
  <si>
    <t>PlaGyp D/6/18_3</t>
  </si>
  <si>
    <t>PlaGyp D/6/18_2</t>
  </si>
  <si>
    <t>PlaGyp D/6/18_1</t>
  </si>
  <si>
    <t>Perf GT</t>
  </si>
  <si>
    <t>PlaGyp D/Sixto 63 A</t>
  </si>
  <si>
    <t>PlaGyp D/Sixto 63 A_6</t>
  </si>
  <si>
    <t>PlaGyp D/Sixto 63 A_5</t>
  </si>
  <si>
    <t>PlaGyp D/Sixto 63 A_4</t>
  </si>
  <si>
    <t>PlaGyp D/Sixto 63 A_3</t>
  </si>
  <si>
    <t>PlaGyp D/Sixto 63 A_2</t>
  </si>
  <si>
    <t>PlaGyp D/Sixto 63 A_1</t>
  </si>
  <si>
    <t>PlaGyp D/Sixto 63</t>
  </si>
  <si>
    <t>PlaGyp D/Sixto 63_3</t>
  </si>
  <si>
    <t>PlaGyp D/Sixto 63_2</t>
  </si>
  <si>
    <t>PlaGyp D/Sixto 63_1</t>
  </si>
  <si>
    <t>PlaGyp D/Quattro 47 A</t>
  </si>
  <si>
    <t>PlaGyp D/Quattro 47 A_6</t>
  </si>
  <si>
    <t>PlaGyp D/Quattro 47 A_5</t>
  </si>
  <si>
    <t>PlaGyp D/Quattro 47 A_4</t>
  </si>
  <si>
    <t>PlaGyp D/Quattro 47 A_3</t>
  </si>
  <si>
    <t>PlaGyp D/Quattro 47 A_2</t>
  </si>
  <si>
    <t>PlaGyp D/Quattro 47 A_1</t>
  </si>
  <si>
    <t>PlaGyp D/Quattro 47</t>
  </si>
  <si>
    <t>PlaGyp D/Quattro 47_3</t>
  </si>
  <si>
    <t>PlaGyp D/Quattro 47_2</t>
  </si>
  <si>
    <t>PlaGyp D/Quattro 47_1</t>
  </si>
  <si>
    <t>PlaGyp D/Quattro 46 A</t>
  </si>
  <si>
    <t>PlaGyp D/Quattro 46 A_6</t>
  </si>
  <si>
    <t>PlaGyp D/Quattro 46 A_5</t>
  </si>
  <si>
    <t>PlaGyp D/Quattro 46 A_4</t>
  </si>
  <si>
    <t>PlaGyp D/Quattro 46 A_3</t>
  </si>
  <si>
    <t>PlaGyp D/Quattro 46 A_2</t>
  </si>
  <si>
    <t>PlaGyp D/Quattro 46 A_1</t>
  </si>
  <si>
    <t>PlaGyp D/Quattro 46</t>
  </si>
  <si>
    <t>PlaGyp D/Quattro 46_3</t>
  </si>
  <si>
    <t>PlaGyp D/Quattro 46_2</t>
  </si>
  <si>
    <t>PlaGyp D/Quattro 46_1</t>
  </si>
  <si>
    <t>PlaGyp D/Quattro 44 A</t>
  </si>
  <si>
    <t>PlaGyp D/Quattro 44 A_6</t>
  </si>
  <si>
    <t>PlaGyp D/Quattro 44 A_5</t>
  </si>
  <si>
    <t>PlaGyp D/Quattro 44 A_4</t>
  </si>
  <si>
    <t>PlaGyp D/Quattro 44 A_3</t>
  </si>
  <si>
    <t>PlaGyp D/Quattro 44 A_2</t>
  </si>
  <si>
    <t>PlaGyp D/Quattro 44 A_1</t>
  </si>
  <si>
    <t>PlaGyp D/Quattro 44</t>
  </si>
  <si>
    <t>PlaGyp D/Quattro 44_3</t>
  </si>
  <si>
    <t>PlaGyp D/Quattro 44_2</t>
  </si>
  <si>
    <t>PlaGyp D/Quattro 44_1</t>
  </si>
  <si>
    <t>PlaGyp D/Quattro 43 A</t>
  </si>
  <si>
    <t>PlaGyp D/Quattro 43 A_6</t>
  </si>
  <si>
    <t>PlaGyp D/Quattro 43 A_5</t>
  </si>
  <si>
    <t>PlaGyp D/Quattro 43 A_4</t>
  </si>
  <si>
    <t>PlaGyp D/Quattro 43 A_3</t>
  </si>
  <si>
    <t>PlaGyp D/Quattro 43 A_2</t>
  </si>
  <si>
    <t>PlaGyp D/Quattro 43 A_1</t>
  </si>
  <si>
    <t>PlaGyp D/Quattro 43</t>
  </si>
  <si>
    <t>PlaGyp D/Quattro 43_3</t>
  </si>
  <si>
    <t>PlaGyp D/Quattro 43_2</t>
  </si>
  <si>
    <t>PlaGyp D/Quattro 43_1</t>
  </si>
  <si>
    <t>PlaGyp D/Quattro 42 A</t>
  </si>
  <si>
    <t>PlaGyp D/Quattro 42 A_6</t>
  </si>
  <si>
    <t>PlaGyp D/Quattro 42 A_5</t>
  </si>
  <si>
    <t>PlaGyp D/Quattro 42 A_4</t>
  </si>
  <si>
    <t>PlaGyp D/Quattro 42 A_3</t>
  </si>
  <si>
    <t>PlaGyp D/Quattro 42 A_2</t>
  </si>
  <si>
    <t>PlaGyp D/Quattro 42 A_1</t>
  </si>
  <si>
    <t>PlaGyp D/Quattro 42</t>
  </si>
  <si>
    <t>PlaGyp D/Quattro 42_3</t>
  </si>
  <si>
    <t>PlaGyp D/Quattro 42_2</t>
  </si>
  <si>
    <t>PlaGyp D/Quattro 42_1</t>
  </si>
  <si>
    <t>PlaGyp D/Quattro 41 A</t>
  </si>
  <si>
    <t>PlaGyp D/Quattro 41 A_6</t>
  </si>
  <si>
    <t>PlaGyp D/Quattro 41 A_5</t>
  </si>
  <si>
    <t>PlaGyp D/Quattro 41 A_4</t>
  </si>
  <si>
    <t>PlaGyp D/Quattro 41 A_3</t>
  </si>
  <si>
    <t>PlaGyp D/Quattro 41 A_2</t>
  </si>
  <si>
    <t>PlaGyp D/Quattro 41 A_1</t>
  </si>
  <si>
    <t>PlaGyp D/Quattro 41</t>
  </si>
  <si>
    <t>PlaGyp D/Quattro 41_3</t>
  </si>
  <si>
    <t>PlaGyp D/Quattro 41_2</t>
  </si>
  <si>
    <t>PlaGyp D/Quattro 41_1</t>
  </si>
  <si>
    <t>PlaGyp D/Quattro 40 A</t>
  </si>
  <si>
    <t>PlaGyp D/Quattro 40 A_6</t>
  </si>
  <si>
    <t>PlaGyp D/Quattro 40 A_5</t>
  </si>
  <si>
    <t>PlaGyp D/Quattro 40 A_4</t>
  </si>
  <si>
    <t>PlaGyp D/Quattro 40 A_3</t>
  </si>
  <si>
    <t>PlaGyp D/Quattro 40 A_2</t>
  </si>
  <si>
    <t>PlaGyp D/Quattro 40 A_1</t>
  </si>
  <si>
    <t>PlaGyp D/Quattro 40</t>
  </si>
  <si>
    <t>PlaGyp D/Quattro 40_3</t>
  </si>
  <si>
    <t>PlaGyp D/Quattro 40_2</t>
  </si>
  <si>
    <t>PlaGyp D/Quattro 40_1</t>
  </si>
  <si>
    <t>PlaGyp D/Line 7 A</t>
  </si>
  <si>
    <t>PlaGyp D/Line 7 A_6</t>
  </si>
  <si>
    <t>PlaGyp D/Line 7 A_5</t>
  </si>
  <si>
    <t>PlaGyp D/Line 7 A_4</t>
  </si>
  <si>
    <t>PlaGyp D/Line 7 A_3</t>
  </si>
  <si>
    <t>PlaGyp D/Line 7 A_2</t>
  </si>
  <si>
    <t>PlaGyp D/Line 7 A_1</t>
  </si>
  <si>
    <t>PlaGyp D/Line 7</t>
  </si>
  <si>
    <t>PlaGyp D/Line 7_3</t>
  </si>
  <si>
    <t>PlaGyp D/Line 7_2</t>
  </si>
  <si>
    <t>PlaGyp D/Line 7_1</t>
  </si>
  <si>
    <t>PlaGyp D/Line 6 A</t>
  </si>
  <si>
    <t>PlaGyp D/Line 6 A_6</t>
  </si>
  <si>
    <t>PlaGyp D/Line 6 A_5</t>
  </si>
  <si>
    <t>PlaGyp D/Line 6 A_4</t>
  </si>
  <si>
    <t>PlaGyp D/Line 6 A_3</t>
  </si>
  <si>
    <t>PlaGyp D/Line 6 A_2</t>
  </si>
  <si>
    <t>PlaGyp D/Line 6 A_1</t>
  </si>
  <si>
    <t>PlaGyp D/Line 6</t>
  </si>
  <si>
    <t>PlaGyp D/Line 6_3</t>
  </si>
  <si>
    <t>PlaGyp D/Line 6_2</t>
  </si>
  <si>
    <t>PlaGyp D/Line 6_1</t>
  </si>
  <si>
    <t>PlaGyp D/Line 5 A</t>
  </si>
  <si>
    <t>PlaGyp D/Line 5 A_6</t>
  </si>
  <si>
    <t>PlaGyp D/Line 5 A_5</t>
  </si>
  <si>
    <t>PlaGyp D/Line 5 A_4</t>
  </si>
  <si>
    <t>PlaGyp D/Line 5 A_3</t>
  </si>
  <si>
    <t>PlaGyp D/Line 5 A_2</t>
  </si>
  <si>
    <t>PlaGyp D/Line 5 A_1</t>
  </si>
  <si>
    <t>PlaGyp D/Line 5</t>
  </si>
  <si>
    <t>PlaGyp D/Line 5_3</t>
  </si>
  <si>
    <t>PlaGyp D/Line 5_2</t>
  </si>
  <si>
    <t>PlaGyp D/Line 5_1</t>
  </si>
  <si>
    <t>Plaf</t>
  </si>
  <si>
    <t>GH</t>
  </si>
  <si>
    <t>PlaGyp D C5-M GH/12,5</t>
  </si>
  <si>
    <t>PlaGyp S C5-M GH/12,5</t>
  </si>
  <si>
    <t>HS E GH P/12,5</t>
  </si>
  <si>
    <t>PlaGyp S C5-M E GH/12,5</t>
  </si>
  <si>
    <t>HS</t>
  </si>
  <si>
    <t>HS P/2x12,5</t>
  </si>
  <si>
    <t>HS Rf P/2x15</t>
  </si>
  <si>
    <t>HS Rf P/18</t>
  </si>
  <si>
    <t>HS Rf P/15</t>
  </si>
  <si>
    <t>HS P/12,5 A</t>
  </si>
  <si>
    <t>HS P/Gygant A</t>
  </si>
  <si>
    <t>HS P/Gygant</t>
  </si>
  <si>
    <t>RB</t>
  </si>
  <si>
    <t>RB dB P/2x12,5 A</t>
  </si>
  <si>
    <t>RB dB P/2x12,5</t>
  </si>
  <si>
    <t>RB dB P/12,5 A</t>
  </si>
  <si>
    <t>RB dB P/12,5</t>
  </si>
  <si>
    <t>RB P/2x12,5 A</t>
  </si>
  <si>
    <t>RB P/2x12,5 A_2</t>
  </si>
  <si>
    <t>RB P/2x12,5 A_1</t>
  </si>
  <si>
    <t>RB P/2x12,5</t>
  </si>
  <si>
    <t>RB P/12,5 A</t>
  </si>
  <si>
    <t>RB P/12,5 A_3</t>
  </si>
  <si>
    <t>RB P/12,5 A_2</t>
  </si>
  <si>
    <t>RB P/12,5 A_1</t>
  </si>
  <si>
    <t>RB P/12,5</t>
  </si>
  <si>
    <t>RB P/Gygant A</t>
  </si>
  <si>
    <t>RB P/Gygant</t>
  </si>
  <si>
    <t>Vert</t>
  </si>
  <si>
    <t>Vertebra Rf P/2x12,5</t>
  </si>
  <si>
    <t>Vertebra P/3x6,5</t>
  </si>
  <si>
    <t>Vertebra P/2x6,5 A</t>
  </si>
  <si>
    <t>Vertebra P/2x6,5</t>
  </si>
  <si>
    <t>Vertebra P/12,5 A</t>
  </si>
  <si>
    <t>Vertebra P/12,5</t>
  </si>
  <si>
    <t>Vertebra P/9,5 A</t>
  </si>
  <si>
    <t>Vertebra P/9,5</t>
  </si>
  <si>
    <t>Vertebra P/6,5 A</t>
  </si>
  <si>
    <t>Vertebra P/6,5</t>
  </si>
  <si>
    <t>Pla D</t>
  </si>
  <si>
    <t>PlaGyp D/Gyplat+25</t>
  </si>
  <si>
    <t>PlaGyp D/Gyplat+12</t>
  </si>
  <si>
    <t>PlaGyp D/Gyplat</t>
  </si>
  <si>
    <t>PlaGyp dB D dB/2x12,5 A</t>
  </si>
  <si>
    <t>PlaGyp dB D dB/2x12,5 A_2</t>
  </si>
  <si>
    <t>PlaGyp dB D dB/2x12,5 A_1</t>
  </si>
  <si>
    <t>PlaGyp dB D dB/12,5 A</t>
  </si>
  <si>
    <t>PlaGyp D dB/2x12,5</t>
  </si>
  <si>
    <t>PlaGyp D dB/12,5</t>
  </si>
  <si>
    <t>PlaGyp D Rf/15+GypSound 12,5 A</t>
  </si>
  <si>
    <t>PlaGyp D Rf/2x12,5</t>
  </si>
  <si>
    <t>PlaGyp D Rf/12,5 A</t>
  </si>
  <si>
    <t>PlaGyp D Rf/2x15</t>
  </si>
  <si>
    <t>PlaGyp D/2x12,5</t>
  </si>
  <si>
    <t>PlaGyp D/Gygant A</t>
  </si>
  <si>
    <t>PlaGyp D/Gygant</t>
  </si>
  <si>
    <t>Pla S</t>
  </si>
  <si>
    <t>PlaGyp S dB/2x12,5</t>
  </si>
  <si>
    <t>PlaGyp S dB/12,5</t>
  </si>
  <si>
    <t>PlaGyp S/Sf A</t>
  </si>
  <si>
    <t>PlaGyp S/Gyplat+25</t>
  </si>
  <si>
    <t>PlaGyp S/Gyplat+12</t>
  </si>
  <si>
    <t>PlaGyp S/Gyplat</t>
  </si>
  <si>
    <t>PlaGyp S Rf/2x15</t>
  </si>
  <si>
    <t>PlaGyp S Rf/18</t>
  </si>
  <si>
    <t>PlaGyp S/2x12,5</t>
  </si>
  <si>
    <t>PlaGyp S/12,5</t>
  </si>
  <si>
    <t>PlaGyp S/Gygant A</t>
  </si>
  <si>
    <t>PlaGyp S/Gygant</t>
  </si>
  <si>
    <t>MS 150 dB P/125.2</t>
  </si>
  <si>
    <t>MS 125 dB P/100.2</t>
  </si>
  <si>
    <t>MS 100 dB P/75.2</t>
  </si>
  <si>
    <t>MS 75 dB P/50.2</t>
  </si>
  <si>
    <t>MS 138 dB P/125.1</t>
  </si>
  <si>
    <t>MS 113 dB P/100.1</t>
  </si>
  <si>
    <t>MS 88 dB P/75.1</t>
  </si>
  <si>
    <t>MS 63 dB P/50.1</t>
  </si>
  <si>
    <t>MS</t>
  </si>
  <si>
    <t>MS 143 Rf P/125.1 A</t>
  </si>
  <si>
    <t>MS 143 Rf P/125.1</t>
  </si>
  <si>
    <t>MS 118 Rf P/100.1 A</t>
  </si>
  <si>
    <t>MS 118 Rf P/100.1</t>
  </si>
  <si>
    <t>MS 93 Rf P/75.1 A</t>
  </si>
  <si>
    <t>MS 93 Rf P/75.1</t>
  </si>
  <si>
    <t>MS 68 Rf P/50.1 A</t>
  </si>
  <si>
    <t>MS 68 Rf P/50.1</t>
  </si>
  <si>
    <t>MS 140 Rf P/125.1 A</t>
  </si>
  <si>
    <t>MS 140 Rf P/125.1</t>
  </si>
  <si>
    <t>MS 115 Rf P/100.1 A</t>
  </si>
  <si>
    <t>MS 90 Rf P/75.1 A</t>
  </si>
  <si>
    <t>MS 65 Rf P/50.1 A</t>
  </si>
  <si>
    <t>MS 150 P/125.2</t>
  </si>
  <si>
    <t>MS 125 P/100.2</t>
  </si>
  <si>
    <t>MS 100 P/75.2</t>
  </si>
  <si>
    <t>MS 75 P/50.2</t>
  </si>
  <si>
    <t>MS 138 P/125.1</t>
  </si>
  <si>
    <t>SS</t>
  </si>
  <si>
    <t>Fictive Gyptone panelen</t>
  </si>
  <si>
    <t>Fictive Gyptone tegels</t>
  </si>
  <si>
    <t>Fictive Gyptone</t>
  </si>
  <si>
    <t>Fictive Rigitone</t>
  </si>
  <si>
    <t>MS 113 WR P/100.1</t>
  </si>
  <si>
    <t>MS 88 WR P/75.1</t>
  </si>
  <si>
    <t>MS 63 WR P/50.1</t>
  </si>
  <si>
    <t>PlaGyp D WR/12,5</t>
  </si>
  <si>
    <t>PlaGyp D dB/2x12,5 A</t>
  </si>
  <si>
    <t>PlaGyp D dB/12,5 A</t>
  </si>
  <si>
    <t>PlaGyp N GF/3x15</t>
  </si>
  <si>
    <t>PlaGyp D Rf/2x12,5 A</t>
  </si>
  <si>
    <t>PlaGyp D Rf/18</t>
  </si>
  <si>
    <t>PlaGyp D Rf/15</t>
  </si>
  <si>
    <t>PlaGyp D/2x12,5 A</t>
  </si>
  <si>
    <t>PlaGyp D/12,5 A</t>
  </si>
  <si>
    <t>PlaGyp D/12,5</t>
  </si>
  <si>
    <t>PlaGyp S dB/2x12,5 A</t>
  </si>
  <si>
    <t>PlaGyp S dB/12,5 A</t>
  </si>
  <si>
    <t>PlaGyp S Rf/15</t>
  </si>
  <si>
    <t>PlaGyp S Rf/2x12,5 A</t>
  </si>
  <si>
    <t>PlaGyp S Rf/12,5 A</t>
  </si>
  <si>
    <t>PlaGyp S Rf/12,5 A_2</t>
  </si>
  <si>
    <t>PlaGyp S Rf/12,5 A_1</t>
  </si>
  <si>
    <t>PlaGyp S/2x12,5 A</t>
  </si>
  <si>
    <t>PlaGyp S/2x12,5 A_3</t>
  </si>
  <si>
    <t>PlaGyp S/2x12,5 A_2</t>
  </si>
  <si>
    <t>PlaGyp S/2x12,5 A_1</t>
  </si>
  <si>
    <t>PlaGyp S/12,5 A</t>
  </si>
  <si>
    <t>PlaGyp S/12,5 A_4</t>
  </si>
  <si>
    <t>PlaGyp S/12,5 A_3</t>
  </si>
  <si>
    <t>PlaGyp S/12,5 A_2</t>
  </si>
  <si>
    <t>PlaGyp S/12,5 A_1</t>
  </si>
  <si>
    <t>MS 150 dB P/125.2 A</t>
  </si>
  <si>
    <t>MS 125 dB P/100.2 A</t>
  </si>
  <si>
    <t>MS 100 dB P/75.2 A</t>
  </si>
  <si>
    <t>MS 100 dB P/75.2 A_2</t>
  </si>
  <si>
    <t>MS 100 dB P/75.2 A_1</t>
  </si>
  <si>
    <t>MS 75 dB P/50.2 A</t>
  </si>
  <si>
    <t>MS 138 dB P/125.1 A</t>
  </si>
  <si>
    <t>MS 113 dB P/100.1 A</t>
  </si>
  <si>
    <t>MS 88 dB P/75.1 A</t>
  </si>
  <si>
    <t>MS 63 dB P/50.1 A</t>
  </si>
  <si>
    <t>MS 155 Rf P/125.2 A</t>
  </si>
  <si>
    <t>MS 155 Rf P/125.2</t>
  </si>
  <si>
    <t>MS 130 Rf P/100.2 A</t>
  </si>
  <si>
    <t>MS 130 Rf P/100.2</t>
  </si>
  <si>
    <t>MS 105 Rf P/75.2 A</t>
  </si>
  <si>
    <t>MS 105 Rf P/75.2</t>
  </si>
  <si>
    <t>MS 80 Rf P/50.2 A</t>
  </si>
  <si>
    <t>MS 80 Rf P/50.2</t>
  </si>
  <si>
    <t>MS 115 Rf P/100.1</t>
  </si>
  <si>
    <t>MS 90 Rf P/75.1</t>
  </si>
  <si>
    <t>MS 65 Rf P/50.1</t>
  </si>
  <si>
    <t>MS 150 Rf P/125.2 A</t>
  </si>
  <si>
    <t>MS 150 P/125.2 A</t>
  </si>
  <si>
    <t>MS 150 P/125.2 A_3</t>
  </si>
  <si>
    <t>MS 150 P/125.2 A_2</t>
  </si>
  <si>
    <t>MS 150 P/125.2 A_1</t>
  </si>
  <si>
    <t>MS 125 P/100.2 A</t>
  </si>
  <si>
    <t>MS 100 P/75.2 A</t>
  </si>
  <si>
    <t>MS 100 P/75.2 A_2</t>
  </si>
  <si>
    <t>MS 100 P/75.2 A_1</t>
  </si>
  <si>
    <t>MS 75 P/50.2 A</t>
  </si>
  <si>
    <t>MS 75 P/50.2 A_2</t>
  </si>
  <si>
    <t>MS 75 P/50.2 A_1</t>
  </si>
  <si>
    <t>MS 138 P/125.1 A</t>
  </si>
  <si>
    <t>MS 138 P/125.1 A_3</t>
  </si>
  <si>
    <t>MS 138 P/125.1 A_2</t>
  </si>
  <si>
    <t>MS 138 P/125.1 A_1</t>
  </si>
  <si>
    <t>MS 113 P/100.1 A</t>
  </si>
  <si>
    <t>MS 113 P/100.1 A_2</t>
  </si>
  <si>
    <t>MS 113 P/100.1 A_1</t>
  </si>
  <si>
    <t>MS 113 P/100.1</t>
  </si>
  <si>
    <t>MS 88 P/75.1 A</t>
  </si>
  <si>
    <t>MS 88 P/75.1 A_2</t>
  </si>
  <si>
    <t>MS 88 P/75.1 A_1</t>
  </si>
  <si>
    <t>MS 88 P/75.1</t>
  </si>
  <si>
    <t>MS 63 P/50.1 A</t>
  </si>
  <si>
    <t>MS 63 P/50.1 A_2</t>
  </si>
  <si>
    <t>MS 63 P/50.1 A_1</t>
  </si>
  <si>
    <t>MS 63 P/50.1</t>
  </si>
  <si>
    <t>HT</t>
  </si>
  <si>
    <t>MS 125 HT+A V/100.2 A</t>
  </si>
  <si>
    <t>MS 100 HT+A V/75.2 A</t>
  </si>
  <si>
    <t>MS 75 HT+A V/50.2 A</t>
  </si>
  <si>
    <t>MS 125 HT V/100.2 A</t>
  </si>
  <si>
    <t>MS 100 HT V/75.2 A</t>
  </si>
  <si>
    <t>MS 75 HT V/50.2 A</t>
  </si>
  <si>
    <t>MS 113 HT V/100.1 A</t>
  </si>
  <si>
    <t>MS 88 HT V/75.1 A</t>
  </si>
  <si>
    <t>MS 63 HT V/50.1 A</t>
  </si>
  <si>
    <t>MS C5-M 125 GH V/100.2 A</t>
  </si>
  <si>
    <t>MS C5-M 100 GH V/75.2 A</t>
  </si>
  <si>
    <t>MS C5-M 75 GH V/50.2 A</t>
  </si>
  <si>
    <t>MS C5-M 113 GH V/100.1 A</t>
  </si>
  <si>
    <t>MS C5-M 88 GH V/75.1 A</t>
  </si>
  <si>
    <t>MS C5-M 63 GH V/50.1 A</t>
  </si>
  <si>
    <t>MS 125 GH V/100.2 A</t>
  </si>
  <si>
    <t>MS 100 GH V/75.2 A</t>
  </si>
  <si>
    <t>MS 75 GH V/50.2 A</t>
  </si>
  <si>
    <t>MS 113 GH V/100.1 A</t>
  </si>
  <si>
    <t>MS 88 GH V/75.1 A</t>
  </si>
  <si>
    <t>MS 63 GH V/50.1 A</t>
  </si>
  <si>
    <t>HS/Gygant</t>
  </si>
  <si>
    <t>HS/Therm+ 80</t>
  </si>
  <si>
    <t>HS/Therm+ 60</t>
  </si>
  <si>
    <t>HS/Therm+ 50</t>
  </si>
  <si>
    <t>HS/Therm+ 40</t>
  </si>
  <si>
    <t>HS/Therm+ 30</t>
  </si>
  <si>
    <t>HS/ThermX 60</t>
  </si>
  <si>
    <t>HS/ThermX 50</t>
  </si>
  <si>
    <t>HS/ThermX 40</t>
  </si>
  <si>
    <t>HS/ThermX 30</t>
  </si>
  <si>
    <t>HS/ThermX 20</t>
  </si>
  <si>
    <t>HS/ThermN 60</t>
  </si>
  <si>
    <t>HS/ThermN 50</t>
  </si>
  <si>
    <t>HS/ThermN 40</t>
  </si>
  <si>
    <t>HS/ThermN 30</t>
  </si>
  <si>
    <t>HS/ThermN 20</t>
  </si>
  <si>
    <t>HS/12,5</t>
  </si>
  <si>
    <t>L/Therm+ 160</t>
  </si>
  <si>
    <t>L/Therm+ 140</t>
  </si>
  <si>
    <t>L/Therm+ 120</t>
  </si>
  <si>
    <t>L/Therm+ 100</t>
  </si>
  <si>
    <t>L/Therm+ 80</t>
  </si>
  <si>
    <t>L/Therm+ 60</t>
  </si>
  <si>
    <t>L/Therm+ 50</t>
  </si>
  <si>
    <t>L/Therm+ 40</t>
  </si>
  <si>
    <t>L/Therm+ 30</t>
  </si>
  <si>
    <t>L/Gygant</t>
  </si>
  <si>
    <t>L/Doublis 100</t>
  </si>
  <si>
    <t>L/Doublis 80</t>
  </si>
  <si>
    <t>L/Doublis 80_3</t>
  </si>
  <si>
    <t>L/Doublis 80_2</t>
  </si>
  <si>
    <t>L/Doublis 80_1</t>
  </si>
  <si>
    <t>L/Doublis 60</t>
  </si>
  <si>
    <t>L/Doublis 50</t>
  </si>
  <si>
    <t>L/Doublis 40</t>
  </si>
  <si>
    <t>L/ThermG 50</t>
  </si>
  <si>
    <t>L/ThermG 40</t>
  </si>
  <si>
    <t>L/ThermG 40_10</t>
  </si>
  <si>
    <t>L/ThermG 40_9</t>
  </si>
  <si>
    <t>L/ThermG 40_8</t>
  </si>
  <si>
    <t>L/ThermG 40_7</t>
  </si>
  <si>
    <t>L/ThermG 40_6</t>
  </si>
  <si>
    <t>L/ThermG 40_5</t>
  </si>
  <si>
    <t>L/ThermG 40_4</t>
  </si>
  <si>
    <t>L/ThermG 40_3</t>
  </si>
  <si>
    <t>L/ThermG 40_2</t>
  </si>
  <si>
    <t>L/ThermG 40_1</t>
  </si>
  <si>
    <t>L/ThermG 30</t>
  </si>
  <si>
    <t>L/ThermX 60</t>
  </si>
  <si>
    <t>L/ThermX 50</t>
  </si>
  <si>
    <t>L/ThermX 40</t>
  </si>
  <si>
    <t>L/ThermX 30</t>
  </si>
  <si>
    <t>L/ThermX 20</t>
  </si>
  <si>
    <t>L/ThermN 60</t>
  </si>
  <si>
    <t>L/ThermN 50</t>
  </si>
  <si>
    <t>L/ThermN 40</t>
  </si>
  <si>
    <t>L/ThermN 30</t>
  </si>
  <si>
    <t>L/ThermN 20</t>
  </si>
  <si>
    <t>L/12,5</t>
  </si>
  <si>
    <t>L/9,5</t>
  </si>
  <si>
    <t>Vertebra 88 V/75.2 A</t>
  </si>
  <si>
    <t>Vertebra 88 V/75.2</t>
  </si>
  <si>
    <t>Vertebra 63 V/50.2 A</t>
  </si>
  <si>
    <t>Vertebra 63 V/50.2</t>
  </si>
  <si>
    <t>Vertebra 88 V/75.1 A</t>
  </si>
  <si>
    <t>Vertebra 88 V/75.1</t>
  </si>
  <si>
    <t>Vertebra 63 V/50.1 A</t>
  </si>
  <si>
    <t>Vertebra 63 V/50.1</t>
  </si>
  <si>
    <t>Vertebra 85 V/75.1 A</t>
  </si>
  <si>
    <t>Vertebra 85 V/75.1</t>
  </si>
  <si>
    <t>Vertebra 60 V/50.1 A</t>
  </si>
  <si>
    <t>Vertebra 60 V/50.1</t>
  </si>
  <si>
    <t>Vertebra 82 V/75.1 A</t>
  </si>
  <si>
    <t>Vertebra 82 V/75.1</t>
  </si>
  <si>
    <t>Vertebra 57 V/50.1 A</t>
  </si>
  <si>
    <t>Vertebra 57 V/50.1</t>
  </si>
  <si>
    <t>MS dB 100 dB V/75.2 A</t>
  </si>
  <si>
    <t>MS dB 100 dB V/75.2 A_2</t>
  </si>
  <si>
    <t>MS dB 100 dB V/75.2 A_1</t>
  </si>
  <si>
    <t>MS dB 100 dB V/75.2</t>
  </si>
  <si>
    <t>MS dB 75 dB V/50.2 A</t>
  </si>
  <si>
    <t>MS dB 75 dB V/50.2</t>
  </si>
  <si>
    <t>MS dB 88 dB V/75.1 A</t>
  </si>
  <si>
    <t>MS dB 88 dB V/75.1 A_2</t>
  </si>
  <si>
    <t>MS dB 88 dB V/75.1 A_1</t>
  </si>
  <si>
    <t>MS dB 88 dB V/75.1</t>
  </si>
  <si>
    <t>MS dB 63 dB V/50.1 A</t>
  </si>
  <si>
    <t>MS dB 63 dB V/50.1</t>
  </si>
  <si>
    <t>MS 138 V/100.3 A</t>
  </si>
  <si>
    <t>MS 105 Rf V/75.2 A</t>
  </si>
  <si>
    <t>MS 105 Rf V/75.2</t>
  </si>
  <si>
    <t>MS 90 Rf V/75.1 A</t>
  </si>
  <si>
    <t>MS 93 Rf V/75.1 A</t>
  </si>
  <si>
    <t>MS 93 Rf V/75.1</t>
  </si>
  <si>
    <t>MS 150 V/125.2 A</t>
  </si>
  <si>
    <t>MS 150 V/125.2</t>
  </si>
  <si>
    <t>MS 125 V/100.2 A</t>
  </si>
  <si>
    <t>MS 125 V/100.2 A_2</t>
  </si>
  <si>
    <t>MS 125 V/100.2 A_1</t>
  </si>
  <si>
    <t>MS 125 V/100.2</t>
  </si>
  <si>
    <t>MS 100 V/75.2</t>
  </si>
  <si>
    <t>MS 75 V/50.2</t>
  </si>
  <si>
    <t>MS 138 V/125.1 A</t>
  </si>
  <si>
    <t>MS 138 V/125.1</t>
  </si>
  <si>
    <t>MS 113 V/100.1 A</t>
  </si>
  <si>
    <t>MS 113 V/100.1 A_4</t>
  </si>
  <si>
    <t>MS 113 V/100.1 A_3</t>
  </si>
  <si>
    <t>MS 113 V/100.1 A_2</t>
  </si>
  <si>
    <t>MS 113 V/100.1 A_1</t>
  </si>
  <si>
    <t>MS 113 V/100.1</t>
  </si>
  <si>
    <t>MS 88 V/75.1</t>
  </si>
  <si>
    <t>MS 63 V/50.1 A</t>
  </si>
  <si>
    <t>MS 63 V/50.1 A_10</t>
  </si>
  <si>
    <t>MS 63 V/50.1 A_9</t>
  </si>
  <si>
    <t>MS 63 V/50.1 A_8</t>
  </si>
  <si>
    <t>MS 63 V/50.1 A_7</t>
  </si>
  <si>
    <t>MS 63 V/50.1 A_6</t>
  </si>
  <si>
    <t>MS 63 V/50.1 A_5</t>
  </si>
  <si>
    <t>MS 63 V/50.1 A_4</t>
  </si>
  <si>
    <t>MS 63 V/50.1 A_3</t>
  </si>
  <si>
    <t>MS 63 V/50.1 A_2</t>
  </si>
  <si>
    <t>MS 63 V/50.1 A_1</t>
  </si>
  <si>
    <t>MS 63 V/50.1</t>
  </si>
  <si>
    <t>MS 95 DG+2xRf V/50.3 A</t>
  </si>
  <si>
    <t>MS 95 WR+2xRf V/50.3 A</t>
  </si>
  <si>
    <t>MS 100 DG+Rf V/75.2 A</t>
  </si>
  <si>
    <t>MS 100 WR+Rf V/75.2 A</t>
  </si>
  <si>
    <t>HS 150 DG OSM V/120.2 A</t>
  </si>
  <si>
    <t>MS 88 dB V/75.1 A</t>
  </si>
  <si>
    <t>MS 63 dB V/50.1 A</t>
  </si>
  <si>
    <t>PlaGyp FX 120 ThermC V/27.1</t>
  </si>
  <si>
    <t>PlaGyp 52 V/27.2 A</t>
  </si>
  <si>
    <t>PlaGyp 40 V/27.1 A</t>
  </si>
  <si>
    <t>MS 95 Rf V/50.3 A</t>
  </si>
  <si>
    <t>MS 100 Rf V/75.2 A</t>
  </si>
  <si>
    <t>MS 100 SW/2.50.2 A</t>
  </si>
  <si>
    <t>MS 100 V/75.2 A</t>
  </si>
  <si>
    <t>MS 75 V/50.2 A</t>
  </si>
  <si>
    <t>MS 75 V/50.2 A_11</t>
  </si>
  <si>
    <t>MS 75 V/50.2 A_10</t>
  </si>
  <si>
    <t>MS 75 V/50.2 A_9</t>
  </si>
  <si>
    <t>MS 75 V/50.2 A_8</t>
  </si>
  <si>
    <t>MS 75 V/50.2 A_7</t>
  </si>
  <si>
    <t>MS 75 V/50.2 A_6</t>
  </si>
  <si>
    <t>MS 75 V/50.2 A_5</t>
  </si>
  <si>
    <t>MS 75 V/50.2 A_4</t>
  </si>
  <si>
    <t>MS 75 V/50.2 A_3</t>
  </si>
  <si>
    <t>MS 75 V/50.2 A_2</t>
  </si>
  <si>
    <t>MS 75 V/50.2 A_1</t>
  </si>
  <si>
    <t>MS 88 V/75.1 A</t>
  </si>
  <si>
    <t>MS 150 HT+A/2.100.2 A</t>
  </si>
  <si>
    <t>MS 125 HT+A/2.75.2 A</t>
  </si>
  <si>
    <t>MS 100 HT+A/2.50.2 A</t>
  </si>
  <si>
    <t>MS 150 HT/2.100.2 A</t>
  </si>
  <si>
    <t>MS 125 HT/2.75.2 A</t>
  </si>
  <si>
    <t>MS 100 HT/2.50.2 A</t>
  </si>
  <si>
    <t>MS 125 HT/1.100.1 A</t>
  </si>
  <si>
    <t>MS 100 HT/1.75.1 A</t>
  </si>
  <si>
    <t>MS 75 HT/1.50.1 A</t>
  </si>
  <si>
    <t>MS C5-M 150 2xA.2xGH/2.100.2 A</t>
  </si>
  <si>
    <t>MS C5-M 125 2xA.2xGH/2.75.2 A</t>
  </si>
  <si>
    <t>MS C5-M 100 2xA.2xGH/2.50.2 A</t>
  </si>
  <si>
    <t>MS C5-M 150 GH/2.100.2 A</t>
  </si>
  <si>
    <t>MS C5-M 125 GH/2.75.2 A</t>
  </si>
  <si>
    <t>MS C5-M 100 GH/2.50.2 A</t>
  </si>
  <si>
    <t>MS C5-M 125 GH/1.100.1 A</t>
  </si>
  <si>
    <t>MS C5-M 100 GH/1.75.1 A</t>
  </si>
  <si>
    <t>MS C5-M 75 GH/1.50.1 A</t>
  </si>
  <si>
    <t>MS 150 GH/2.100.2 A</t>
  </si>
  <si>
    <t>MS 125 GH/2.75.2 A</t>
  </si>
  <si>
    <t>MS 100 GH/2.50.2 A</t>
  </si>
  <si>
    <t>MS 125 GH/1.100.1 A</t>
  </si>
  <si>
    <t>MS 100 GH/1.75.1 A</t>
  </si>
  <si>
    <t>MS 75 GH/1.50.1 A</t>
  </si>
  <si>
    <t>S+V</t>
  </si>
  <si>
    <t>MS 395/2.100*100.2 A-100.2 A</t>
  </si>
  <si>
    <t>MS 395/2.100+100.2 A+100.2A</t>
  </si>
  <si>
    <t>MS 685/2.100-100.2 A-100.2A</t>
  </si>
  <si>
    <t>MS 425/2.100-100.2 A-100.2A</t>
  </si>
  <si>
    <t>MS 395/2.100-100.2 A-100.2A</t>
  </si>
  <si>
    <t>dubb h</t>
  </si>
  <si>
    <t>MS 350/2.100+100.2 AA</t>
  </si>
  <si>
    <t>MS 350/2.100+100.2 A</t>
  </si>
  <si>
    <t>MS 325/2.100+100.2 AA</t>
  </si>
  <si>
    <t>MS 325/2.100+100.2 A</t>
  </si>
  <si>
    <t>MS 300/2.100+100.2 AA</t>
  </si>
  <si>
    <t>MS 300/2.100+100.2 A</t>
  </si>
  <si>
    <t>MS 275/2.75+75.2 AA</t>
  </si>
  <si>
    <t>MS 275/2.75+75.2 A</t>
  </si>
  <si>
    <t>MS 250/2.75+75.2 AA</t>
  </si>
  <si>
    <t>MS 250/2.75+75.2 A</t>
  </si>
  <si>
    <t>MS 225/2.50+50.2 AA</t>
  </si>
  <si>
    <t>MS 225/2.50+50.2 A</t>
  </si>
  <si>
    <t>MS 200/2.50+50.2 AA</t>
  </si>
  <si>
    <t>MS 200/2.50+50.2 A</t>
  </si>
  <si>
    <t>MS 200/3.125.3 A</t>
  </si>
  <si>
    <t>MS 200/3.125.3</t>
  </si>
  <si>
    <t>MS 175/2.125.2 A</t>
  </si>
  <si>
    <t>MS 175/2.125.2</t>
  </si>
  <si>
    <t>HS 310 DG OSM/2.120-120.2 AA</t>
  </si>
  <si>
    <t>HS 240/2.90-90.2 A</t>
  </si>
  <si>
    <t>HS 240/2.90-90.2</t>
  </si>
  <si>
    <t>HS 200/2.70-70.2 A</t>
  </si>
  <si>
    <t>HS 200/2.70-70.2</t>
  </si>
  <si>
    <t>HS 140/2.90.2 A</t>
  </si>
  <si>
    <t>HS 140/2.90.2</t>
  </si>
  <si>
    <t>HS 120/2.70.2 A</t>
  </si>
  <si>
    <t>HS 120/2.70.2</t>
  </si>
  <si>
    <t>HS 95/2.45.2 A</t>
  </si>
  <si>
    <t>HS 95/2.45.2</t>
  </si>
  <si>
    <t>HS 115/1.90.1 A</t>
  </si>
  <si>
    <t>HS 115/1.90.1</t>
  </si>
  <si>
    <t>HS 95/1.70.1 A</t>
  </si>
  <si>
    <t>HS 95/1.70.1</t>
  </si>
  <si>
    <t>HS 70/1.45.1 A</t>
  </si>
  <si>
    <t>HS 70/1.45.1</t>
  </si>
  <si>
    <t>Vertebra 100/2.75.2 A</t>
  </si>
  <si>
    <t>Vertebra 100/2.75.2</t>
  </si>
  <si>
    <t>Vertebra 75/2.50.2 A</t>
  </si>
  <si>
    <t>Vertebra 75/2.50.2</t>
  </si>
  <si>
    <t>Vertebra 100/1.75.1 A</t>
  </si>
  <si>
    <t>Vertebra 100/1.75.1</t>
  </si>
  <si>
    <t>Vertebra 75/1.50.1 A</t>
  </si>
  <si>
    <t>Vertebra 75/1.50.1</t>
  </si>
  <si>
    <t>Vertebra 95/1.75.1 A</t>
  </si>
  <si>
    <t>Vertebra 95/1.75.1</t>
  </si>
  <si>
    <t>Vertebra 70/1.50.1 A</t>
  </si>
  <si>
    <t>Vertebra 70/1.50.1</t>
  </si>
  <si>
    <t>Vertebra 88/1.75.1 A</t>
  </si>
  <si>
    <t>Vertebra 88/1.75.1</t>
  </si>
  <si>
    <t>Vertebra 63/1.50.1 A</t>
  </si>
  <si>
    <t>Vertebra 63/1.50.1</t>
  </si>
  <si>
    <t>DG</t>
  </si>
  <si>
    <t>MS 175 DG/3.100.3 A</t>
  </si>
  <si>
    <t>MS 138 DG/3.75.2 A</t>
  </si>
  <si>
    <t>MS 150 DG/2.100.2 A</t>
  </si>
  <si>
    <t>MS 125 DG/1.100.1 A</t>
  </si>
  <si>
    <t>MS 210 DG/2.75-75.2 A</t>
  </si>
  <si>
    <t>MS 150 DG+A/3.75.3 A</t>
  </si>
  <si>
    <t>MS 150 DG/3.75.3 A</t>
  </si>
  <si>
    <t>MS 150 DG/3.75.3</t>
  </si>
  <si>
    <t>MS 125 DG+A/2.75.2</t>
  </si>
  <si>
    <t>MS 125 DG/2.75.2 A</t>
  </si>
  <si>
    <t>MS 125 DG/2.75.2</t>
  </si>
  <si>
    <t>MS 100 DG/1.75.1 A</t>
  </si>
  <si>
    <t>MS 100 DG/1.75.1</t>
  </si>
  <si>
    <t>MS dB 185 dB/3.50+50.3 AA</t>
  </si>
  <si>
    <t>MS dB 185 dB/3.50+50.3</t>
  </si>
  <si>
    <t>MS dB 210 dB/2.75+75.2 AA</t>
  </si>
  <si>
    <t>MS dB 210 dB/2.75+75.2</t>
  </si>
  <si>
    <t>MS dB 160 dB/2.50+50.2 AA</t>
  </si>
  <si>
    <t>MS dB 160 dB/2.50+50.2</t>
  </si>
  <si>
    <t>MS dB 235 dB/3.75-75.3 AA</t>
  </si>
  <si>
    <t>MS dB 235 dB/3.75-75.3</t>
  </si>
  <si>
    <t>MS dB 185 dB/3.50-50.3 AA</t>
  </si>
  <si>
    <t>MS dB 185 dB/3.50-50.3</t>
  </si>
  <si>
    <t>MS dB 210 dB/2.75-75.2</t>
  </si>
  <si>
    <t>MS dB 160 dB/2.50-50.2 AA</t>
  </si>
  <si>
    <t>MS dB 160 dB/2.50-50.2</t>
  </si>
  <si>
    <t>MS dB 235 dB/3.75+75.3 AA</t>
  </si>
  <si>
    <t>MS dB 235 dB/3.75+75.3</t>
  </si>
  <si>
    <t>MS dB 150 dB/3.75.3</t>
  </si>
  <si>
    <t>MS dB 125 dB/3.50.3 A</t>
  </si>
  <si>
    <t>MS dB 125 dB/3.50.3</t>
  </si>
  <si>
    <t>MS dB 125 dB/2.75.2</t>
  </si>
  <si>
    <t>MS dB 100 dB/2.50.2</t>
  </si>
  <si>
    <t>MS dB 100 dB/1.75.1</t>
  </si>
  <si>
    <t>MS dB 75 dB/1.50.1 A</t>
  </si>
  <si>
    <t>MS dB 75 dB/1.50.1</t>
  </si>
  <si>
    <t>dubb</t>
  </si>
  <si>
    <t>MS 685/3.100-100.4 AA</t>
  </si>
  <si>
    <t>MS 255/2.100*100.2 AA</t>
  </si>
  <si>
    <t>MS 280/3.100*100.3 AA</t>
  </si>
  <si>
    <t>MS 388/3.100-100.4 AA</t>
  </si>
  <si>
    <t>MS 280/3.100+100.3 AA</t>
  </si>
  <si>
    <t>MS 280/3.100+100.3 A</t>
  </si>
  <si>
    <t>MS 280/3.100+100.3</t>
  </si>
  <si>
    <t>MS 255/2.100+100.2 AA</t>
  </si>
  <si>
    <t>MS 255/2.100+100.2 A</t>
  </si>
  <si>
    <t>MS 255/2.100+100.2</t>
  </si>
  <si>
    <t>MS 205/2.75+75.2 AA</t>
  </si>
  <si>
    <t>MS 205/2.75+75.2 A</t>
  </si>
  <si>
    <t>MS 155/2.50+50.2 AA</t>
  </si>
  <si>
    <t>MS 155/2.50+50.2 A</t>
  </si>
  <si>
    <t>MS 285/3.100-100.3 AA</t>
  </si>
  <si>
    <t>MS 285/3.100-100.3 A</t>
  </si>
  <si>
    <t>MS 285/3.100-100.3</t>
  </si>
  <si>
    <t>MS 260/2.100-100.2 AA</t>
  </si>
  <si>
    <t>MS 260/2.100-100.2 A</t>
  </si>
  <si>
    <t>MS 260/2.100-100.2</t>
  </si>
  <si>
    <t>MS 210/2.75-75.2 A</t>
  </si>
  <si>
    <t>MS 160/2.50-50.2 AA</t>
  </si>
  <si>
    <t>MS 160/2.50-50.2 A</t>
  </si>
  <si>
    <t>enk</t>
  </si>
  <si>
    <t>MS 120 Rf/2.50.2 A</t>
  </si>
  <si>
    <t>MS 120 Rf/2.50.2</t>
  </si>
  <si>
    <t>MS 160 Rf/2.100.2 A</t>
  </si>
  <si>
    <t>MS 160 Rf/2.100.2</t>
  </si>
  <si>
    <t>MS 110 Rf/2.50.2 A</t>
  </si>
  <si>
    <t>MS 110 Rf/2.50.2</t>
  </si>
  <si>
    <t>MS 175/3.100.3 A</t>
  </si>
  <si>
    <t>MS 175/3.100.3</t>
  </si>
  <si>
    <t>MS 150/3.75.3 A</t>
  </si>
  <si>
    <t>MS 150/3.75.3</t>
  </si>
  <si>
    <t>MS 125/3.50.3 A</t>
  </si>
  <si>
    <t>MS 125/3.50.3</t>
  </si>
  <si>
    <t>MS 150 Rf/2.100.2</t>
  </si>
  <si>
    <t>MS 125 Rf/2.75.2 A</t>
  </si>
  <si>
    <t>MS 125 Rf/2.75.2</t>
  </si>
  <si>
    <t>MS 100 Rf/2.50.2 A</t>
  </si>
  <si>
    <t>MS 100 Rf/2.50.2</t>
  </si>
  <si>
    <t>MS 150/2.100.2</t>
  </si>
  <si>
    <t>MS 125/2.75.2</t>
  </si>
  <si>
    <t>MS 100/2.50.2</t>
  </si>
  <si>
    <t>MS 125/1.100.1 A</t>
  </si>
  <si>
    <t>MS 125/1.100.1</t>
  </si>
  <si>
    <t>MS 100/1.75.1</t>
  </si>
  <si>
    <t>MS 75/1.50.1 A</t>
  </si>
  <si>
    <t>MS 75/1.50.1</t>
  </si>
  <si>
    <t>MS 125 RD+A/2.75.2 A</t>
  </si>
  <si>
    <t>MS 125 RD+A.A+WR/2.75.2 A</t>
  </si>
  <si>
    <t>MS 125 DG+A.A+WR/2.75.2 A</t>
  </si>
  <si>
    <t>MS 125 2xA.A+WR/2.75.2 A</t>
  </si>
  <si>
    <t>MS 125 2xA.A+RD/2.75.2 A</t>
  </si>
  <si>
    <t>MS 125 2xA.A+DG/2.75.2 A</t>
  </si>
  <si>
    <t>MS 150 DG+Rf.Rf+WR/2.100.2 A</t>
  </si>
  <si>
    <t>MS 150 2xRf.Rf+WR/2.100.2 A</t>
  </si>
  <si>
    <t>MS 150 RD+A/2.100.2 A</t>
  </si>
  <si>
    <t>MS 150 WR+A/2.100.2 A</t>
  </si>
  <si>
    <t>MS 285/2.100.2 A-100.2 A</t>
  </si>
  <si>
    <t>MS 235/2.75.2 A-75.2 A</t>
  </si>
  <si>
    <t>MS 225/2.75.1 A-75.2 A</t>
  </si>
  <si>
    <t>HS 310 DG.Multiplex/1.120.1 A-1.120.1 A</t>
  </si>
  <si>
    <t>HS 375 A.RD/1.38+1.120 A-120.1 A+38.1</t>
  </si>
  <si>
    <t>HSB 140/2.90.2</t>
  </si>
  <si>
    <t>MS 150 DG+A/2.100.2 A</t>
  </si>
  <si>
    <t>MS 125 DG+A/2.75.2 A</t>
  </si>
  <si>
    <t>MS dB 210 dB/2.75-75.2 AA</t>
  </si>
  <si>
    <t>MS dB 150 DG+2xdB/3.75.3 A</t>
  </si>
  <si>
    <t>MS dB 150 dB/3.75.3 A</t>
  </si>
  <si>
    <t>MS dB 150 DG+dB/2.100.2 A</t>
  </si>
  <si>
    <t>MS dB 125 DG+dB/2.75.2 A</t>
  </si>
  <si>
    <t>MS dB 150 dB/2.100.2 A</t>
  </si>
  <si>
    <t>MS dB 125 dB/2.75.2 A</t>
  </si>
  <si>
    <t>MS dB 100 dB/2.50.2 A</t>
  </si>
  <si>
    <t>MS dB 100 dB/1.75.1 A</t>
  </si>
  <si>
    <t>MS 235/3.75-75.3 AA</t>
  </si>
  <si>
    <t>MS 210/2.75-75.2 AA</t>
  </si>
  <si>
    <t>MS 150 Rf/2.100.2 A</t>
  </si>
  <si>
    <t>MS 150/2.100.2 A</t>
  </si>
  <si>
    <t>MS 125/2.75.2 A</t>
  </si>
  <si>
    <t>MS 100/2.50.2 A</t>
  </si>
  <si>
    <t>MS 100/1.75.1 A</t>
  </si>
  <si>
    <t>Opbouw</t>
  </si>
  <si>
    <t>Demont</t>
  </si>
  <si>
    <t>Geperf</t>
  </si>
  <si>
    <t>Systeem Informatie URL NL</t>
  </si>
  <si>
    <t>Systeem Informatie URL FR</t>
  </si>
  <si>
    <t>Weerstand tegen brand</t>
  </si>
  <si>
    <t>Résistance au feu</t>
  </si>
  <si>
    <t>Resistance to fire</t>
  </si>
  <si>
    <t>Rf 1/2 h</t>
  </si>
  <si>
    <t>Rf 1 h</t>
  </si>
  <si>
    <t>Rf 2 h</t>
  </si>
  <si>
    <t>Rf 1 1/2 h</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</si>
</sst>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00"/>
    <numFmt numFmtId="166" formatCode="0.0"/>
  </numFmts>
  <fonts count="18">
    <font>
      <sz val="10"/>
      <name val="Arial"/>
    </font>
    <font>
      <sz val="11"/>
      <color theme="1"/>
      <name val="Calibri"/>
      <family val="2"/>
      <scheme val="minor"/>
    </font>
    <font>
      <sz val="10"/>
      <name val="Arial"/>
      <family val="2"/>
    </font>
    <font>
      <sz val="10"/>
      <name val="Symbol"/>
      <family val="1"/>
      <charset val="2"/>
    </font>
    <font>
      <vertAlign val="subscript"/>
      <sz val="10"/>
      <name val="Arial"/>
      <family val="2"/>
    </font>
    <font>
      <b/>
      <u/>
      <sz val="10"/>
      <name val="Arial"/>
      <family val="2"/>
    </font>
    <font>
      <vertAlign val="subscript"/>
      <sz val="10"/>
      <color indexed="8"/>
      <name val="Arial"/>
      <family val="2"/>
    </font>
    <font>
      <vertAlign val="superscript"/>
      <sz val="10"/>
      <name val="Arial"/>
      <family val="2"/>
    </font>
    <font>
      <sz val="11"/>
      <name val="Calibri"/>
      <family val="2"/>
    </font>
    <font>
      <i/>
      <sz val="10"/>
      <name val="Arial"/>
      <family val="2"/>
    </font>
    <font>
      <b/>
      <sz val="10"/>
      <name val="Arial"/>
      <family val="2"/>
    </font>
    <font>
      <b/>
      <sz val="10"/>
      <name val="GreekC"/>
    </font>
    <font>
      <sz val="10"/>
      <name val="Frutiger 55 Roman"/>
      <family val="2"/>
    </font>
    <font>
      <sz val="10"/>
      <color indexed="17"/>
      <name val="Frutiger 55 Roman"/>
      <family val="2"/>
    </font>
    <font>
      <sz val="11"/>
      <color indexed="8"/>
      <name val="Calibri"/>
      <family val="2"/>
    </font>
    <font>
      <sz val="10"/>
      <color indexed="8"/>
      <name val="Arial"/>
      <family val="2"/>
    </font>
    <font>
      <sz val="10"/>
      <name val="Frutiger 55 Roman"/>
    </font>
    <font>
      <i/>
      <sz val="10"/>
      <name val="Frutiger 55 Roman"/>
      <family val="2"/>
    </font>
  </fonts>
  <fills count="12">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FFFF99"/>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7" tint="0.39997558519241921"/>
        <bgColor indexed="64"/>
      </patternFill>
    </fill>
  </fills>
  <borders count="6">
    <border>
      <left/>
      <right/>
      <top/>
      <bottom/>
      <diagonal/>
    </border>
    <border>
      <left/>
      <right style="thin">
        <color indexed="64"/>
      </right>
      <top/>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s>
  <cellStyleXfs count="4">
    <xf numFmtId="0" fontId="0" fillId="0" borderId="0"/>
    <xf numFmtId="0" fontId="2" fillId="0" borderId="0"/>
    <xf numFmtId="0" fontId="1" fillId="0" borderId="0"/>
    <xf numFmtId="0" fontId="14" fillId="0" borderId="0" applyFill="0" applyProtection="0"/>
  </cellStyleXfs>
  <cellXfs count="223">
    <xf numFmtId="0" fontId="0" fillId="0" borderId="0" xfId="0"/>
    <xf numFmtId="0" fontId="2" fillId="0" borderId="0" xfId="0" applyFont="1" applyFill="1" applyAlignment="1">
      <alignment horizontal="left"/>
    </xf>
    <xf numFmtId="0" fontId="2" fillId="0" borderId="0" xfId="0" applyFont="1" applyFill="1" applyAlignment="1">
      <alignment horizontal="right"/>
    </xf>
    <xf numFmtId="0" fontId="0" fillId="0" borderId="0" xfId="0" applyFill="1" applyAlignment="1">
      <alignment horizontal="left"/>
    </xf>
    <xf numFmtId="0" fontId="0" fillId="0" borderId="0" xfId="0" applyFill="1"/>
    <xf numFmtId="0" fontId="0" fillId="0" borderId="0" xfId="0" applyFill="1" applyAlignment="1"/>
    <xf numFmtId="0" fontId="2" fillId="0" borderId="0" xfId="0" applyFont="1" applyFill="1" applyAlignment="1"/>
    <xf numFmtId="0" fontId="0" fillId="0" borderId="0" xfId="0" applyFont="1" applyFill="1" applyAlignment="1"/>
    <xf numFmtId="0" fontId="2" fillId="0" borderId="0" xfId="0" applyFont="1" applyFill="1"/>
    <xf numFmtId="0" fontId="0" fillId="0" borderId="0" xfId="0" quotePrefix="1" applyFill="1" applyAlignment="1"/>
    <xf numFmtId="0" fontId="0" fillId="0" borderId="0" xfId="0" applyAlignment="1"/>
    <xf numFmtId="0" fontId="0" fillId="2" borderId="0" xfId="0" applyFill="1" applyAlignment="1">
      <alignment horizontal="right"/>
    </xf>
    <xf numFmtId="0" fontId="0" fillId="0" borderId="0" xfId="0" applyAlignment="1">
      <alignment horizontal="right"/>
    </xf>
    <xf numFmtId="2" fontId="0" fillId="0" borderId="0" xfId="0" applyNumberFormat="1" applyAlignment="1"/>
    <xf numFmtId="0" fontId="0" fillId="0" borderId="0" xfId="0" applyNumberFormat="1" applyAlignment="1"/>
    <xf numFmtId="1" fontId="0" fillId="2" borderId="0" xfId="0" applyNumberFormat="1" applyFill="1" applyAlignment="1">
      <alignment horizontal="right"/>
    </xf>
    <xf numFmtId="0" fontId="0" fillId="2" borderId="0" xfId="0" applyFill="1" applyAlignment="1"/>
    <xf numFmtId="1" fontId="0" fillId="0" borderId="0" xfId="0" applyNumberFormat="1" applyFill="1" applyAlignment="1">
      <alignment horizontal="right"/>
    </xf>
    <xf numFmtId="0" fontId="2" fillId="2" borderId="0" xfId="0" applyFont="1" applyFill="1" applyAlignment="1"/>
    <xf numFmtId="0" fontId="2" fillId="2" borderId="0" xfId="0" quotePrefix="1" applyFont="1" applyFill="1" applyAlignment="1"/>
    <xf numFmtId="4" fontId="0" fillId="2" borderId="0" xfId="0" quotePrefix="1" applyNumberFormat="1" applyFill="1" applyAlignment="1"/>
    <xf numFmtId="2" fontId="2" fillId="2" borderId="0" xfId="0" quotePrefix="1" applyNumberFormat="1" applyFont="1" applyFill="1" applyAlignment="1"/>
    <xf numFmtId="0" fontId="0" fillId="2" borderId="0" xfId="0" applyNumberFormat="1" applyFill="1" applyAlignment="1"/>
    <xf numFmtId="0" fontId="2" fillId="2" borderId="0" xfId="0" quotePrefix="1" applyNumberFormat="1" applyFont="1" applyFill="1" applyAlignment="1"/>
    <xf numFmtId="0" fontId="0" fillId="2" borderId="0" xfId="0" quotePrefix="1" applyFont="1" applyFill="1" applyAlignment="1"/>
    <xf numFmtId="0" fontId="2" fillId="2" borderId="0" xfId="1" applyFill="1" applyAlignment="1">
      <alignment horizontal="left"/>
    </xf>
    <xf numFmtId="0" fontId="0" fillId="3" borderId="0" xfId="0" applyFill="1" applyProtection="1">
      <protection locked="0"/>
    </xf>
    <xf numFmtId="0" fontId="2" fillId="0" borderId="0" xfId="0" quotePrefix="1" applyFont="1" applyFill="1" applyAlignment="1"/>
    <xf numFmtId="4" fontId="2" fillId="0" borderId="0" xfId="0" quotePrefix="1" applyNumberFormat="1" applyFont="1" applyFill="1" applyAlignment="1"/>
    <xf numFmtId="3" fontId="2" fillId="0" borderId="0" xfId="0" quotePrefix="1" applyNumberFormat="1" applyFont="1" applyFill="1" applyAlignment="1"/>
    <xf numFmtId="2" fontId="2" fillId="0" borderId="0" xfId="0" quotePrefix="1" applyNumberFormat="1" applyFont="1" applyFill="1" applyAlignment="1"/>
    <xf numFmtId="0" fontId="2" fillId="0" borderId="0" xfId="0" applyFont="1" applyAlignment="1"/>
    <xf numFmtId="0" fontId="0" fillId="0" borderId="0" xfId="0" applyFill="1" applyProtection="1">
      <protection locked="0"/>
    </xf>
    <xf numFmtId="0" fontId="2" fillId="0" borderId="0" xfId="0" applyFont="1" applyFill="1" applyProtection="1">
      <protection locked="0"/>
    </xf>
    <xf numFmtId="4" fontId="2" fillId="4" borderId="0" xfId="0" applyNumberFormat="1" applyFont="1" applyFill="1" applyAlignment="1"/>
    <xf numFmtId="1" fontId="2" fillId="0" borderId="0" xfId="0" applyNumberFormat="1" applyFont="1" applyFill="1" applyAlignment="1"/>
    <xf numFmtId="0" fontId="2" fillId="4" borderId="0" xfId="0" applyFont="1" applyFill="1" applyAlignment="1"/>
    <xf numFmtId="2" fontId="2" fillId="4" borderId="0" xfId="0" applyNumberFormat="1" applyFont="1" applyFill="1" applyAlignment="1"/>
    <xf numFmtId="0" fontId="2" fillId="4" borderId="0" xfId="0" quotePrefix="1" applyFont="1" applyFill="1" applyAlignment="1"/>
    <xf numFmtId="4" fontId="2" fillId="0" borderId="0" xfId="0" applyNumberFormat="1" applyFont="1" applyFill="1" applyAlignment="1"/>
    <xf numFmtId="4" fontId="2" fillId="4" borderId="0" xfId="0" applyNumberFormat="1" applyFont="1" applyFill="1" applyAlignment="1">
      <alignment horizontal="right"/>
    </xf>
    <xf numFmtId="4" fontId="0" fillId="2" borderId="0" xfId="0" applyNumberFormat="1" applyFill="1" applyAlignment="1"/>
    <xf numFmtId="2" fontId="0" fillId="2" borderId="0" xfId="0" applyNumberFormat="1" applyFill="1" applyAlignment="1"/>
    <xf numFmtId="0" fontId="0" fillId="2" borderId="0" xfId="0" quotePrefix="1" applyFill="1" applyAlignment="1"/>
    <xf numFmtId="164" fontId="0" fillId="2" borderId="0" xfId="0" applyNumberFormat="1" applyFill="1" applyAlignment="1"/>
    <xf numFmtId="0" fontId="0" fillId="2" borderId="0" xfId="0" applyNumberFormat="1" applyFill="1" applyAlignment="1" applyProtection="1">
      <protection locked="0"/>
    </xf>
    <xf numFmtId="0" fontId="2" fillId="3" borderId="0" xfId="0" applyFont="1" applyFill="1" applyProtection="1">
      <protection locked="0"/>
    </xf>
    <xf numFmtId="4" fontId="2" fillId="2" borderId="0" xfId="0" quotePrefix="1" applyNumberFormat="1" applyFont="1" applyFill="1" applyAlignment="1"/>
    <xf numFmtId="3" fontId="2" fillId="2" borderId="0" xfId="0" quotePrefix="1" applyNumberFormat="1" applyFont="1" applyFill="1" applyAlignment="1"/>
    <xf numFmtId="4" fontId="2" fillId="2" borderId="0" xfId="0" applyNumberFormat="1" applyFont="1" applyFill="1" applyAlignment="1"/>
    <xf numFmtId="0" fontId="0" fillId="3" borderId="0" xfId="0" applyFont="1" applyFill="1" applyAlignment="1"/>
    <xf numFmtId="0" fontId="2" fillId="3" borderId="0" xfId="0" applyFont="1" applyFill="1" applyAlignment="1"/>
    <xf numFmtId="4" fontId="0" fillId="0" borderId="0" xfId="0" applyNumberFormat="1" applyFont="1" applyFill="1" applyAlignment="1"/>
    <xf numFmtId="2" fontId="0" fillId="0" borderId="0" xfId="0" applyNumberFormat="1" applyFill="1" applyAlignment="1"/>
    <xf numFmtId="2" fontId="0" fillId="4" borderId="0" xfId="0" applyNumberFormat="1" applyFill="1" applyAlignment="1"/>
    <xf numFmtId="4" fontId="0" fillId="0" borderId="0" xfId="0" applyNumberFormat="1" applyFill="1" applyAlignment="1"/>
    <xf numFmtId="0" fontId="0" fillId="4" borderId="0" xfId="0" applyFill="1" applyAlignment="1"/>
    <xf numFmtId="0" fontId="2" fillId="2" borderId="0" xfId="0" applyFont="1" applyFill="1" applyProtection="1">
      <protection locked="0"/>
    </xf>
    <xf numFmtId="0" fontId="8" fillId="3" borderId="0" xfId="0" applyFont="1" applyFill="1"/>
    <xf numFmtId="2" fontId="2" fillId="0" borderId="0" xfId="0" applyNumberFormat="1" applyFont="1" applyFill="1" applyAlignment="1"/>
    <xf numFmtId="1" fontId="2" fillId="2" borderId="0" xfId="0" applyNumberFormat="1" applyFont="1" applyFill="1" applyAlignment="1"/>
    <xf numFmtId="2" fontId="2" fillId="2" borderId="0" xfId="0" applyNumberFormat="1" applyFont="1" applyFill="1" applyAlignment="1"/>
    <xf numFmtId="4" fontId="2" fillId="4" borderId="0" xfId="0" quotePrefix="1" applyNumberFormat="1" applyFont="1" applyFill="1" applyAlignment="1"/>
    <xf numFmtId="0" fontId="2" fillId="3" borderId="0" xfId="0" applyFont="1" applyFill="1" applyAlignment="1">
      <alignment horizontal="left"/>
    </xf>
    <xf numFmtId="1" fontId="0" fillId="2" borderId="0" xfId="0" quotePrefix="1" applyNumberFormat="1" applyFill="1" applyAlignment="1">
      <alignment horizontal="right"/>
    </xf>
    <xf numFmtId="1" fontId="0" fillId="0" borderId="0" xfId="0" quotePrefix="1" applyNumberFormat="1" applyFill="1" applyAlignment="1">
      <alignment horizontal="right"/>
    </xf>
    <xf numFmtId="0" fontId="0" fillId="4" borderId="0" xfId="0" quotePrefix="1" applyFill="1" applyAlignment="1"/>
    <xf numFmtId="0" fontId="2" fillId="0" borderId="0" xfId="0" quotePrefix="1" applyFont="1" applyAlignment="1"/>
    <xf numFmtId="4" fontId="0" fillId="0" borderId="0" xfId="0" quotePrefix="1" applyNumberFormat="1" applyAlignment="1"/>
    <xf numFmtId="0" fontId="2" fillId="0" borderId="0" xfId="0" quotePrefix="1" applyNumberFormat="1" applyFont="1" applyAlignment="1"/>
    <xf numFmtId="4" fontId="0" fillId="0" borderId="0" xfId="0" quotePrefix="1" applyNumberFormat="1" applyFill="1" applyAlignment="1"/>
    <xf numFmtId="0" fontId="2" fillId="0" borderId="0" xfId="0" applyFont="1"/>
    <xf numFmtId="0" fontId="0" fillId="0" borderId="0" xfId="0" quotePrefix="1" applyFont="1" applyAlignment="1"/>
    <xf numFmtId="0" fontId="2" fillId="0" borderId="0" xfId="1" applyFill="1" applyAlignment="1">
      <alignment horizontal="left"/>
    </xf>
    <xf numFmtId="164" fontId="0" fillId="0" borderId="0" xfId="0" applyNumberFormat="1" applyAlignment="1"/>
    <xf numFmtId="4" fontId="0" fillId="0" borderId="0" xfId="0" applyNumberFormat="1" applyAlignment="1"/>
    <xf numFmtId="0" fontId="0" fillId="0" borderId="0" xfId="0" applyNumberFormat="1" applyFill="1" applyAlignment="1" applyProtection="1">
      <protection locked="0"/>
    </xf>
    <xf numFmtId="0" fontId="0" fillId="0" borderId="0" xfId="0" applyFill="1" applyAlignment="1" applyProtection="1">
      <protection locked="0"/>
    </xf>
    <xf numFmtId="0" fontId="2" fillId="0" borderId="0" xfId="0" applyFont="1" applyFill="1" applyAlignment="1" applyProtection="1">
      <protection locked="0"/>
    </xf>
    <xf numFmtId="164" fontId="0" fillId="0" borderId="0" xfId="0" applyNumberFormat="1" applyFill="1" applyAlignment="1"/>
    <xf numFmtId="0" fontId="0" fillId="0" borderId="0" xfId="0" applyNumberFormat="1" applyFill="1" applyAlignment="1"/>
    <xf numFmtId="165" fontId="2" fillId="2" borderId="0" xfId="0" applyNumberFormat="1" applyFont="1" applyFill="1" applyAlignment="1"/>
    <xf numFmtId="1" fontId="2" fillId="2" borderId="0" xfId="0" quotePrefix="1" applyNumberFormat="1" applyFont="1" applyFill="1" applyAlignment="1"/>
    <xf numFmtId="0" fontId="2" fillId="2" borderId="0" xfId="0" applyFont="1" applyFill="1" applyAlignment="1" applyProtection="1">
      <protection locked="0"/>
    </xf>
    <xf numFmtId="164" fontId="2" fillId="0" borderId="0" xfId="0" quotePrefix="1" applyNumberFormat="1" applyFont="1" applyFill="1" applyAlignment="1"/>
    <xf numFmtId="0" fontId="2" fillId="4" borderId="0" xfId="0" quotePrefix="1" applyFont="1" applyFill="1" applyAlignment="1" applyProtection="1">
      <protection locked="0"/>
    </xf>
    <xf numFmtId="0" fontId="0" fillId="4" borderId="0" xfId="0" applyFill="1" applyAlignment="1" applyProtection="1">
      <protection locked="0"/>
    </xf>
    <xf numFmtId="4" fontId="0" fillId="4" borderId="0" xfId="0" applyNumberFormat="1" applyFill="1" applyAlignment="1"/>
    <xf numFmtId="0" fontId="2" fillId="2" borderId="0" xfId="0" applyNumberFormat="1" applyFont="1" applyFill="1" applyAlignment="1"/>
    <xf numFmtId="0" fontId="2" fillId="3" borderId="0" xfId="0" applyFont="1" applyFill="1" applyAlignment="1" applyProtection="1">
      <protection locked="0"/>
    </xf>
    <xf numFmtId="164" fontId="2" fillId="2" borderId="0" xfId="0" quotePrefix="1" applyNumberFormat="1" applyFont="1" applyFill="1" applyAlignment="1"/>
    <xf numFmtId="0" fontId="0" fillId="2" borderId="0" xfId="0" applyFill="1" applyAlignment="1" applyProtection="1">
      <protection locked="0"/>
    </xf>
    <xf numFmtId="0" fontId="0" fillId="5" borderId="0" xfId="0" applyFill="1" applyAlignment="1"/>
    <xf numFmtId="0" fontId="2" fillId="5" borderId="0" xfId="0" applyFont="1" applyFill="1" applyAlignment="1"/>
    <xf numFmtId="1" fontId="0" fillId="5" borderId="0" xfId="0" applyNumberFormat="1" applyFill="1" applyAlignment="1">
      <alignment horizontal="right"/>
    </xf>
    <xf numFmtId="0" fontId="2" fillId="5" borderId="0" xfId="0" quotePrefix="1" applyFont="1" applyFill="1" applyAlignment="1"/>
    <xf numFmtId="4" fontId="0" fillId="5" borderId="0" xfId="0" applyNumberFormat="1" applyFill="1" applyAlignment="1"/>
    <xf numFmtId="2" fontId="0" fillId="5" borderId="0" xfId="0" applyNumberFormat="1" applyFill="1" applyAlignment="1"/>
    <xf numFmtId="0" fontId="0" fillId="5" borderId="0" xfId="0" applyNumberFormat="1" applyFill="1" applyAlignment="1" applyProtection="1">
      <protection locked="0"/>
    </xf>
    <xf numFmtId="0" fontId="0" fillId="5" borderId="0" xfId="0" applyFill="1" applyAlignment="1" applyProtection="1">
      <protection locked="0"/>
    </xf>
    <xf numFmtId="0" fontId="2" fillId="5" borderId="0" xfId="0" applyFont="1" applyFill="1" applyAlignment="1" applyProtection="1">
      <protection locked="0"/>
    </xf>
    <xf numFmtId="0" fontId="2" fillId="2" borderId="0" xfId="0" applyFont="1" applyFill="1" applyAlignment="1">
      <alignment horizontal="left"/>
    </xf>
    <xf numFmtId="166" fontId="0" fillId="0" borderId="0" xfId="0" applyNumberFormat="1" applyFill="1" applyAlignment="1" applyProtection="1">
      <protection locked="0"/>
    </xf>
    <xf numFmtId="0" fontId="0" fillId="0" borderId="0" xfId="0" quotePrefix="1" applyAlignment="1"/>
    <xf numFmtId="0" fontId="0" fillId="6" borderId="0" xfId="0" applyFill="1" applyAlignment="1"/>
    <xf numFmtId="1" fontId="2" fillId="2" borderId="0" xfId="0" applyNumberFormat="1" applyFont="1" applyFill="1" applyAlignment="1">
      <alignment horizontal="right"/>
    </xf>
    <xf numFmtId="0" fontId="2" fillId="6" borderId="0" xfId="0" quotePrefix="1" applyFont="1" applyFill="1" applyAlignment="1"/>
    <xf numFmtId="0" fontId="2" fillId="6" borderId="0" xfId="0" applyFont="1" applyFill="1" applyAlignment="1"/>
    <xf numFmtId="4" fontId="0" fillId="6" borderId="0" xfId="0" applyNumberFormat="1" applyFill="1" applyAlignment="1"/>
    <xf numFmtId="2" fontId="0" fillId="6" borderId="0" xfId="0" applyNumberFormat="1" applyFill="1" applyAlignment="1"/>
    <xf numFmtId="0" fontId="0" fillId="6" borderId="0" xfId="0" applyNumberFormat="1" applyFill="1" applyAlignment="1" applyProtection="1">
      <protection locked="0"/>
    </xf>
    <xf numFmtId="0" fontId="0" fillId="6" borderId="0" xfId="0" quotePrefix="1" applyFill="1" applyAlignment="1" applyProtection="1">
      <protection locked="0"/>
    </xf>
    <xf numFmtId="0" fontId="2" fillId="6" borderId="0" xfId="0" quotePrefix="1" applyFont="1" applyFill="1" applyAlignment="1" applyProtection="1">
      <protection locked="0"/>
    </xf>
    <xf numFmtId="0" fontId="0" fillId="6" borderId="0" xfId="0" applyFill="1" applyAlignment="1" applyProtection="1">
      <protection locked="0"/>
    </xf>
    <xf numFmtId="0" fontId="9" fillId="0" borderId="0" xfId="0" applyFont="1" applyFill="1" applyAlignment="1" applyProtection="1">
      <protection locked="0"/>
    </xf>
    <xf numFmtId="0" fontId="2" fillId="0" borderId="0" xfId="0" applyFont="1" applyAlignment="1">
      <alignment horizontal="left"/>
    </xf>
    <xf numFmtId="165" fontId="2" fillId="0" borderId="0" xfId="0" applyNumberFormat="1" applyFont="1" applyFill="1" applyAlignment="1"/>
    <xf numFmtId="0" fontId="0" fillId="2" borderId="0" xfId="0" applyFont="1" applyFill="1" applyAlignment="1"/>
    <xf numFmtId="0" fontId="0" fillId="4" borderId="0" xfId="0" applyFill="1" applyBorder="1"/>
    <xf numFmtId="0" fontId="0" fillId="4" borderId="0" xfId="0" applyFill="1"/>
    <xf numFmtId="0" fontId="0" fillId="2" borderId="0" xfId="0" applyFill="1"/>
    <xf numFmtId="0" fontId="10" fillId="0" borderId="0" xfId="0" applyFont="1" applyAlignment="1"/>
    <xf numFmtId="0" fontId="10" fillId="2" borderId="0" xfId="0" applyFont="1" applyFill="1" applyAlignment="1">
      <alignment horizontal="left"/>
    </xf>
    <xf numFmtId="0" fontId="10" fillId="0" borderId="0" xfId="0" applyFont="1" applyAlignment="1">
      <alignment horizontal="left"/>
    </xf>
    <xf numFmtId="2" fontId="10" fillId="0" borderId="0" xfId="0" applyNumberFormat="1" applyFont="1" applyAlignment="1"/>
    <xf numFmtId="0" fontId="10" fillId="0" borderId="0" xfId="0" applyNumberFormat="1" applyFont="1" applyAlignment="1"/>
    <xf numFmtId="0" fontId="10" fillId="0" borderId="0" xfId="0" applyFont="1" applyFill="1" applyAlignment="1"/>
    <xf numFmtId="0" fontId="10" fillId="0" borderId="0" xfId="0" applyFont="1" applyFill="1" applyAlignment="1">
      <alignment horizontal="left"/>
    </xf>
    <xf numFmtId="0" fontId="12" fillId="0" borderId="0" xfId="1" applyFont="1" applyFill="1" applyAlignment="1">
      <alignment horizontal="center" vertical="top" wrapText="1"/>
    </xf>
    <xf numFmtId="0" fontId="12" fillId="0" borderId="0" xfId="1" applyFont="1" applyFill="1" applyAlignment="1">
      <alignment horizontal="center" vertical="top"/>
    </xf>
    <xf numFmtId="0" fontId="2" fillId="0" borderId="0" xfId="1" applyFill="1" applyAlignment="1">
      <alignment horizontal="center" vertical="top"/>
    </xf>
    <xf numFmtId="0" fontId="12" fillId="0" borderId="0" xfId="1" applyFont="1" applyFill="1" applyBorder="1" applyAlignment="1">
      <alignment horizontal="center" vertical="top"/>
    </xf>
    <xf numFmtId="0" fontId="12" fillId="7" borderId="0" xfId="1" applyFont="1" applyFill="1" applyAlignment="1">
      <alignment horizontal="center" vertical="top"/>
    </xf>
    <xf numFmtId="0" fontId="12" fillId="2" borderId="0" xfId="1" applyFont="1" applyFill="1" applyAlignment="1">
      <alignment horizontal="center" vertical="top"/>
    </xf>
    <xf numFmtId="0" fontId="12" fillId="0" borderId="0" xfId="1" applyNumberFormat="1" applyFont="1" applyFill="1" applyBorder="1" applyAlignment="1">
      <alignment horizontal="center" vertical="top" wrapText="1"/>
    </xf>
    <xf numFmtId="0" fontId="12" fillId="8" borderId="0" xfId="1" applyFont="1" applyFill="1" applyAlignment="1">
      <alignment horizontal="center" vertical="top"/>
    </xf>
    <xf numFmtId="0" fontId="12" fillId="0" borderId="0" xfId="1" applyFont="1" applyFill="1" applyAlignment="1">
      <alignment horizontal="left" vertical="top" wrapText="1"/>
    </xf>
    <xf numFmtId="0" fontId="2" fillId="0" borderId="0" xfId="1" applyFont="1" applyFill="1" applyAlignment="1">
      <alignment horizontal="left" vertical="top"/>
    </xf>
    <xf numFmtId="0" fontId="12" fillId="0" borderId="0" xfId="1" applyFont="1" applyFill="1" applyAlignment="1">
      <alignment horizontal="left" vertical="top"/>
    </xf>
    <xf numFmtId="0" fontId="2" fillId="0" borderId="0" xfId="1" applyFont="1" applyFill="1" applyAlignment="1">
      <alignment horizontal="left" vertical="top" wrapText="1"/>
    </xf>
    <xf numFmtId="0" fontId="2" fillId="0" borderId="0" xfId="1" applyFont="1" applyFill="1" applyAlignment="1">
      <alignment vertical="top"/>
    </xf>
    <xf numFmtId="0" fontId="12" fillId="7" borderId="0" xfId="1" applyFont="1" applyFill="1" applyAlignment="1">
      <alignment horizontal="center" vertical="top" wrapText="1"/>
    </xf>
    <xf numFmtId="0" fontId="12" fillId="2" borderId="0" xfId="1" applyFont="1" applyFill="1" applyAlignment="1">
      <alignment horizontal="center" vertical="top" wrapText="1"/>
    </xf>
    <xf numFmtId="0" fontId="12" fillId="8" borderId="0" xfId="1" applyFont="1" applyFill="1" applyAlignment="1">
      <alignment horizontal="center" vertical="top" wrapText="1"/>
    </xf>
    <xf numFmtId="0" fontId="12" fillId="2" borderId="0" xfId="1" applyFont="1" applyFill="1" applyAlignment="1">
      <alignment horizontal="left" vertical="top" wrapText="1"/>
    </xf>
    <xf numFmtId="0" fontId="2" fillId="0" borderId="0" xfId="1" applyFill="1" applyAlignment="1">
      <alignment vertical="top" wrapText="1"/>
    </xf>
    <xf numFmtId="0" fontId="2" fillId="0" borderId="0" xfId="1" applyFont="1" applyFill="1" applyAlignment="1">
      <alignment vertical="top" wrapText="1"/>
    </xf>
    <xf numFmtId="0" fontId="2" fillId="0" borderId="0" xfId="1" applyFill="1" applyAlignment="1">
      <alignment horizontal="center" vertical="top" wrapText="1"/>
    </xf>
    <xf numFmtId="2" fontId="12" fillId="9" borderId="0" xfId="1" applyNumberFormat="1" applyFont="1" applyFill="1" applyAlignment="1">
      <alignment horizontal="center" vertical="top"/>
    </xf>
    <xf numFmtId="2" fontId="12" fillId="0" borderId="0" xfId="1" applyNumberFormat="1" applyFont="1" applyFill="1" applyAlignment="1">
      <alignment horizontal="center" vertical="top"/>
    </xf>
    <xf numFmtId="2" fontId="12" fillId="7" borderId="0" xfId="1" applyNumberFormat="1" applyFont="1" applyFill="1" applyAlignment="1">
      <alignment horizontal="center" vertical="top"/>
    </xf>
    <xf numFmtId="2" fontId="12" fillId="8" borderId="0" xfId="1" applyNumberFormat="1" applyFont="1" applyFill="1" applyAlignment="1">
      <alignment horizontal="center" vertical="top"/>
    </xf>
    <xf numFmtId="2" fontId="12" fillId="5" borderId="0" xfId="1" applyNumberFormat="1" applyFont="1" applyFill="1" applyAlignment="1">
      <alignment horizontal="center" vertical="top"/>
    </xf>
    <xf numFmtId="2" fontId="2" fillId="0" borderId="0" xfId="1" applyNumberFormat="1" applyFont="1" applyFill="1" applyBorder="1" applyAlignment="1">
      <alignment horizontal="center"/>
    </xf>
    <xf numFmtId="2" fontId="2" fillId="9" borderId="0" xfId="1" applyNumberFormat="1" applyFont="1" applyFill="1" applyBorder="1" applyAlignment="1">
      <alignment horizontal="center"/>
    </xf>
    <xf numFmtId="0" fontId="12" fillId="9" borderId="0" xfId="1" applyFont="1" applyFill="1" applyAlignment="1">
      <alignment horizontal="center" vertical="top"/>
    </xf>
    <xf numFmtId="0" fontId="12" fillId="0" borderId="0" xfId="1" quotePrefix="1" applyFont="1" applyFill="1" applyAlignment="1">
      <alignment horizontal="center" vertical="top"/>
    </xf>
    <xf numFmtId="2" fontId="12" fillId="10" borderId="0" xfId="1" applyNumberFormat="1" applyFont="1" applyFill="1" applyAlignment="1">
      <alignment horizontal="center" vertical="top"/>
    </xf>
    <xf numFmtId="0" fontId="2" fillId="7" borderId="0" xfId="1" applyFont="1" applyFill="1" applyAlignment="1">
      <alignment horizontal="left" vertical="top"/>
    </xf>
    <xf numFmtId="0" fontId="2" fillId="7" borderId="0" xfId="1" applyFont="1" applyFill="1" applyAlignment="1">
      <alignment horizontal="left" vertical="top" wrapText="1"/>
    </xf>
    <xf numFmtId="2" fontId="12" fillId="0" borderId="0" xfId="1" applyNumberFormat="1" applyFont="1" applyFill="1" applyBorder="1" applyAlignment="1">
      <alignment horizontal="center" vertical="top"/>
    </xf>
    <xf numFmtId="0" fontId="2" fillId="7" borderId="0" xfId="1" applyFont="1" applyFill="1" applyAlignment="1">
      <alignment vertical="top"/>
    </xf>
    <xf numFmtId="0" fontId="12" fillId="0" borderId="0" xfId="1" applyFont="1" applyFill="1" applyBorder="1" applyAlignment="1">
      <alignment horizontal="center" vertical="top" wrapText="1"/>
    </xf>
    <xf numFmtId="0" fontId="13" fillId="0" borderId="0" xfId="1" applyFont="1" applyFill="1" applyAlignment="1">
      <alignment horizontal="center" vertical="top" wrapText="1"/>
    </xf>
    <xf numFmtId="0" fontId="12" fillId="9" borderId="0" xfId="1" applyFont="1" applyFill="1" applyAlignment="1">
      <alignment horizontal="center" vertical="top" wrapText="1"/>
    </xf>
    <xf numFmtId="0" fontId="12" fillId="0" borderId="0" xfId="1" quotePrefix="1" applyFont="1" applyFill="1" applyAlignment="1">
      <alignment horizontal="center" vertical="top" wrapText="1"/>
    </xf>
    <xf numFmtId="0" fontId="2" fillId="0" borderId="0" xfId="1" applyFill="1"/>
    <xf numFmtId="0" fontId="12" fillId="7" borderId="0" xfId="1" quotePrefix="1" applyFont="1" applyFill="1" applyAlignment="1">
      <alignment horizontal="center" vertical="top"/>
    </xf>
    <xf numFmtId="0" fontId="12" fillId="2" borderId="0" xfId="1" quotePrefix="1" applyFont="1" applyFill="1" applyAlignment="1">
      <alignment horizontal="center" vertical="top"/>
    </xf>
    <xf numFmtId="0" fontId="12" fillId="11" borderId="0" xfId="1" applyFont="1" applyFill="1" applyAlignment="1">
      <alignment horizontal="center" vertical="top"/>
    </xf>
    <xf numFmtId="0" fontId="2" fillId="11" borderId="0" xfId="1" applyFill="1" applyAlignment="1">
      <alignment horizontal="center" vertical="top"/>
    </xf>
    <xf numFmtId="0" fontId="12" fillId="11" borderId="0" xfId="1" applyFont="1" applyFill="1" applyBorder="1" applyAlignment="1">
      <alignment horizontal="center" vertical="top"/>
    </xf>
    <xf numFmtId="3" fontId="12" fillId="0" borderId="0" xfId="1" applyNumberFormat="1" applyFont="1" applyFill="1" applyAlignment="1">
      <alignment horizontal="center" vertical="top"/>
    </xf>
    <xf numFmtId="3" fontId="2" fillId="0" borderId="0" xfId="1" applyNumberFormat="1" applyFont="1" applyFill="1" applyAlignment="1">
      <alignment horizontal="left" vertical="top" wrapText="1"/>
    </xf>
    <xf numFmtId="3" fontId="12" fillId="0" borderId="0" xfId="1" applyNumberFormat="1" applyFont="1" applyFill="1" applyAlignment="1">
      <alignment horizontal="center" vertical="top" wrapText="1"/>
    </xf>
    <xf numFmtId="3" fontId="12" fillId="0" borderId="0" xfId="1" quotePrefix="1" applyNumberFormat="1" applyFont="1" applyFill="1" applyAlignment="1">
      <alignment horizontal="center" vertical="top"/>
    </xf>
    <xf numFmtId="3" fontId="12" fillId="7" borderId="0" xfId="1" applyNumberFormat="1" applyFont="1" applyFill="1" applyAlignment="1">
      <alignment horizontal="center" vertical="top"/>
    </xf>
    <xf numFmtId="3" fontId="12" fillId="8" borderId="0" xfId="1" applyNumberFormat="1" applyFont="1" applyFill="1" applyAlignment="1">
      <alignment horizontal="center" vertical="top"/>
    </xf>
    <xf numFmtId="3" fontId="12" fillId="0" borderId="0" xfId="1" quotePrefix="1" applyNumberFormat="1" applyFont="1" applyFill="1" applyAlignment="1">
      <alignment horizontal="center" vertical="top" wrapText="1"/>
    </xf>
    <xf numFmtId="3" fontId="12" fillId="2" borderId="0" xfId="1" applyNumberFormat="1" applyFont="1" applyFill="1" applyAlignment="1">
      <alignment horizontal="center" vertical="top" wrapText="1"/>
    </xf>
    <xf numFmtId="0" fontId="15" fillId="0" borderId="0" xfId="3" applyFont="1" applyFill="1" applyBorder="1" applyProtection="1"/>
    <xf numFmtId="0" fontId="15" fillId="0" borderId="0" xfId="3" applyFont="1" applyFill="1" applyBorder="1" applyAlignment="1" applyProtection="1">
      <alignment horizontal="center" vertical="top"/>
    </xf>
    <xf numFmtId="0" fontId="15" fillId="0" borderId="0" xfId="1" applyFont="1" applyFill="1" applyAlignment="1">
      <alignment horizontal="center" vertical="top" wrapText="1"/>
    </xf>
    <xf numFmtId="0" fontId="15" fillId="0" borderId="0" xfId="3" applyFont="1" applyFill="1" applyBorder="1" applyAlignment="1" applyProtection="1">
      <alignment horizontal="center" vertical="top" wrapText="1"/>
    </xf>
    <xf numFmtId="0" fontId="15" fillId="0" borderId="0" xfId="1" applyFont="1" applyFill="1" applyAlignment="1">
      <alignment horizontal="center" vertical="top"/>
    </xf>
    <xf numFmtId="0" fontId="15" fillId="0" borderId="0" xfId="3" applyFont="1" applyFill="1" applyBorder="1" applyAlignment="1" applyProtection="1">
      <alignment horizontal="center"/>
    </xf>
    <xf numFmtId="0" fontId="15" fillId="0" borderId="0" xfId="3" applyFont="1" applyFill="1" applyBorder="1" applyAlignment="1" applyProtection="1">
      <alignment vertical="top" wrapText="1"/>
    </xf>
    <xf numFmtId="0" fontId="12" fillId="0" borderId="0" xfId="3" applyFont="1" applyFill="1" applyBorder="1" applyAlignment="1" applyProtection="1">
      <alignment horizontal="center" vertical="top" wrapText="1"/>
    </xf>
    <xf numFmtId="0" fontId="16" fillId="0" borderId="0" xfId="1" applyFont="1" applyFill="1" applyAlignment="1">
      <alignment horizontal="center" vertical="top"/>
    </xf>
    <xf numFmtId="0" fontId="12" fillId="0" borderId="1" xfId="1" applyFont="1" applyFill="1" applyBorder="1" applyAlignment="1">
      <alignment horizontal="center" vertical="top" wrapText="1"/>
    </xf>
    <xf numFmtId="0" fontId="2" fillId="0" borderId="0" xfId="1" applyFill="1" applyAlignment="1">
      <alignment horizontal="center"/>
    </xf>
    <xf numFmtId="0" fontId="2" fillId="0" borderId="0" xfId="1" applyFill="1" applyAlignment="1" applyProtection="1">
      <alignment horizontal="center"/>
    </xf>
    <xf numFmtId="0" fontId="12" fillId="0" borderId="2" xfId="1" applyFont="1" applyFill="1" applyBorder="1" applyAlignment="1">
      <alignment horizontal="center"/>
    </xf>
    <xf numFmtId="0" fontId="12" fillId="0" borderId="3" xfId="1" applyFont="1" applyFill="1" applyBorder="1" applyAlignment="1">
      <alignment horizontal="center" vertical="top"/>
    </xf>
    <xf numFmtId="0" fontId="12" fillId="0" borderId="2" xfId="1" applyFont="1" applyFill="1" applyBorder="1" applyAlignment="1">
      <alignment horizontal="center" vertical="top"/>
    </xf>
    <xf numFmtId="49" fontId="12" fillId="0" borderId="3" xfId="1" applyNumberFormat="1" applyFont="1" applyFill="1" applyBorder="1" applyAlignment="1">
      <alignment horizontal="center" vertical="top" wrapText="1"/>
    </xf>
    <xf numFmtId="0" fontId="12" fillId="0" borderId="0" xfId="1" applyNumberFormat="1" applyFont="1" applyFill="1" applyBorder="1" applyAlignment="1">
      <alignment horizontal="center" vertical="top"/>
    </xf>
    <xf numFmtId="0" fontId="12" fillId="7" borderId="3" xfId="1" applyNumberFormat="1" applyFont="1" applyFill="1" applyBorder="1" applyAlignment="1">
      <alignment horizontal="center" vertical="top" wrapText="1"/>
    </xf>
    <xf numFmtId="0" fontId="12" fillId="0" borderId="3" xfId="1" applyNumberFormat="1" applyFont="1" applyFill="1" applyBorder="1" applyAlignment="1">
      <alignment horizontal="center" vertical="top" wrapText="1"/>
    </xf>
    <xf numFmtId="49" fontId="12" fillId="7" borderId="3" xfId="1" applyNumberFormat="1" applyFont="1" applyFill="1" applyBorder="1" applyAlignment="1">
      <alignment horizontal="center" vertical="top" wrapText="1"/>
    </xf>
    <xf numFmtId="49" fontId="12" fillId="2" borderId="3" xfId="1" applyNumberFormat="1" applyFont="1" applyFill="1" applyBorder="1" applyAlignment="1">
      <alignment horizontal="center" vertical="top" wrapText="1"/>
    </xf>
    <xf numFmtId="0" fontId="12" fillId="0" borderId="4" xfId="1" applyNumberFormat="1" applyFont="1" applyFill="1" applyBorder="1" applyAlignment="1">
      <alignment horizontal="center" vertical="top" wrapText="1"/>
    </xf>
    <xf numFmtId="49" fontId="12" fillId="0" borderId="0" xfId="1" applyNumberFormat="1" applyFont="1" applyFill="1" applyBorder="1" applyAlignment="1">
      <alignment horizontal="center" vertical="top" wrapText="1"/>
    </xf>
    <xf numFmtId="0" fontId="12" fillId="0" borderId="5" xfId="1" applyNumberFormat="1" applyFont="1" applyFill="1" applyBorder="1" applyAlignment="1">
      <alignment horizontal="center" vertical="top" wrapText="1"/>
    </xf>
    <xf numFmtId="0" fontId="12" fillId="0" borderId="3" xfId="1" applyFont="1" applyFill="1" applyBorder="1" applyAlignment="1">
      <alignment horizontal="center" vertical="top" wrapText="1"/>
    </xf>
    <xf numFmtId="0" fontId="12" fillId="7" borderId="3" xfId="1" applyFont="1" applyFill="1" applyBorder="1" applyAlignment="1">
      <alignment horizontal="center" vertical="top" wrapText="1"/>
    </xf>
    <xf numFmtId="0" fontId="12" fillId="8" borderId="3" xfId="1" applyFont="1" applyFill="1" applyBorder="1" applyAlignment="1">
      <alignment horizontal="center" vertical="top" wrapText="1"/>
    </xf>
    <xf numFmtId="0" fontId="17" fillId="0" borderId="3" xfId="1" applyFont="1" applyFill="1" applyBorder="1" applyAlignment="1">
      <alignment horizontal="center" vertical="top" wrapText="1"/>
    </xf>
    <xf numFmtId="0" fontId="2" fillId="0" borderId="0" xfId="1" applyFont="1" applyFill="1" applyBorder="1"/>
    <xf numFmtId="0" fontId="12" fillId="9" borderId="0" xfId="1" applyFont="1" applyFill="1" applyBorder="1" applyAlignment="1">
      <alignment horizontal="center" vertical="top"/>
    </xf>
    <xf numFmtId="0" fontId="16" fillId="0" borderId="0" xfId="1" applyFont="1" applyFill="1" applyBorder="1" applyAlignment="1">
      <alignment horizontal="center" vertical="top"/>
    </xf>
    <xf numFmtId="0" fontId="2" fillId="0" borderId="0" xfId="1" applyFont="1" applyFill="1" applyBorder="1" applyAlignment="1">
      <alignment vertical="top"/>
    </xf>
    <xf numFmtId="0" fontId="5" fillId="0" borderId="0" xfId="1" applyFont="1" applyFill="1" applyAlignment="1">
      <alignment horizontal="center" vertical="top"/>
    </xf>
    <xf numFmtId="0" fontId="12" fillId="0" borderId="0" xfId="1" applyFont="1" applyFill="1" applyBorder="1" applyAlignment="1">
      <alignment horizontal="left" vertical="top"/>
    </xf>
    <xf numFmtId="0" fontId="2" fillId="0" borderId="0" xfId="0" applyFont="1" applyFill="1" applyAlignment="1">
      <alignment horizontal="left" vertical="top"/>
    </xf>
    <xf numFmtId="0" fontId="2" fillId="0" borderId="0" xfId="0" applyFont="1" applyFill="1" applyAlignment="1">
      <alignment horizontal="left" vertical="top" wrapText="1"/>
    </xf>
    <xf numFmtId="0" fontId="12" fillId="0" borderId="0" xfId="0" applyFont="1" applyFill="1" applyAlignment="1">
      <alignment horizontal="center" vertical="top"/>
    </xf>
    <xf numFmtId="0" fontId="12" fillId="0" borderId="0" xfId="0" applyFont="1" applyFill="1" applyAlignment="1">
      <alignment horizontal="center" vertical="top" wrapText="1"/>
    </xf>
    <xf numFmtId="0" fontId="12" fillId="8" borderId="0" xfId="0" applyFont="1" applyFill="1" applyAlignment="1">
      <alignment horizontal="center" vertical="top"/>
    </xf>
    <xf numFmtId="0" fontId="12" fillId="7" borderId="0" xfId="0" applyFont="1" applyFill="1" applyAlignment="1">
      <alignment horizontal="center" vertical="top"/>
    </xf>
    <xf numFmtId="0" fontId="12" fillId="0" borderId="0" xfId="0" applyNumberFormat="1" applyFont="1" applyFill="1" applyBorder="1" applyAlignment="1">
      <alignment horizontal="center" vertical="top" wrapText="1"/>
    </xf>
    <xf numFmtId="0" fontId="12" fillId="2" borderId="0" xfId="0" quotePrefix="1" applyFont="1" applyFill="1" applyAlignment="1">
      <alignment horizontal="center" vertical="top"/>
    </xf>
    <xf numFmtId="0" fontId="12" fillId="7" borderId="0" xfId="0" quotePrefix="1" applyFont="1" applyFill="1" applyAlignment="1">
      <alignment horizontal="center" vertical="top"/>
    </xf>
  </cellXfs>
  <cellStyles count="4">
    <cellStyle name="Normal" xfId="0" builtinId="0"/>
    <cellStyle name="Normal 2" xfId="1"/>
    <cellStyle name="Normal 3" xfId="2"/>
    <cellStyle name="Normal_DROPDOWN_SYS_Composition frame - Post_2" xfId="3"/>
  </cellStyles>
  <dxfs count="3">
    <dxf>
      <fill>
        <patternFill>
          <bgColor indexed="13"/>
        </patternFill>
      </fill>
    </dxf>
    <dxf>
      <fill>
        <patternFill>
          <bgColor indexed="13"/>
        </patternFill>
      </fill>
    </dxf>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microsoft.com/office/2006/relationships/vbaProject" Target="vbaProject.bin"/><Relationship Id="rId5" Type="http://schemas.openxmlformats.org/officeDocument/2006/relationships/externalLink" Target="externalLinks/externalLink2.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9798348\AppData\Local\Microsoft\Windows\Temporary%20Internet%20Files\Content.Outlook\O09TXZJY\MC-P\SAP\Gyproc_2016_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E9798348\AppData\Local\Microsoft\Windows\Temporary%20Internet%20Files\Content.Outlook\O09TXZJY\MC-S\MC-S%202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C-S/MC-S%20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yproc_2016_12"/>
    </sheetNames>
    <sheetDataSet>
      <sheetData sheetId="0">
        <row r="1">
          <cell r="A1" t="str">
            <v>Artikelnummer</v>
          </cell>
          <cell r="B1" t="str">
            <v>Oud artikelnummer</v>
          </cell>
          <cell r="C1" t="str">
            <v>Hiërarchie Level 5 code</v>
          </cell>
          <cell r="D1" t="str">
            <v>Hiërarchie Level 5 omschrijving</v>
          </cell>
          <cell r="E1" t="str">
            <v>Hiërarchie Level 2 code</v>
          </cell>
          <cell r="F1" t="str">
            <v>Hiërarchie Level 2 omschrijving</v>
          </cell>
          <cell r="G1" t="str">
            <v>Prijsartikel</v>
          </cell>
          <cell r="H1" t="str">
            <v>Status</v>
          </cell>
          <cell r="I1" t="str">
            <v>Datum laatste wijziging Status</v>
          </cell>
          <cell r="J1" t="str">
            <v>In Prijslijst</v>
          </cell>
          <cell r="K1" t="str">
            <v>Op website</v>
          </cell>
          <cell r="L1" t="str">
            <v>Merk</v>
          </cell>
          <cell r="M1" t="str">
            <v>Marktnaam</v>
          </cell>
          <cell r="N1" t="str">
            <v>Benaming SAP NL</v>
          </cell>
          <cell r="O1" t="str">
            <v>Benaming SAP FR</v>
          </cell>
          <cell r="P1" t="str">
            <v>Kleur voorzijde NL</v>
          </cell>
          <cell r="Q1" t="str">
            <v>Kleur voorzijde FR</v>
          </cell>
          <cell r="R1" t="str">
            <v>Kleur rugzijde NL</v>
          </cell>
          <cell r="S1" t="str">
            <v>Kleur rugzijde FR</v>
          </cell>
          <cell r="T1" t="str">
            <v>Productnorm</v>
          </cell>
          <cell r="U1" t="str">
            <v>Type kort</v>
          </cell>
          <cell r="V1" t="str">
            <v>Type voor Etiket</v>
          </cell>
          <cell r="W1" t="str">
            <v>Type lang NL</v>
          </cell>
          <cell r="X1" t="str">
            <v>Type lang FR</v>
          </cell>
          <cell r="Y1" t="str">
            <v>EN Toepassing NL</v>
          </cell>
          <cell r="Z1" t="str">
            <v>EN Toepassing FR</v>
          </cell>
          <cell r="AA1" t="str">
            <v>Reactie bij brand</v>
          </cell>
          <cell r="AB1" t="str">
            <v>DOP Nummer</v>
          </cell>
          <cell r="AC1" t="str">
            <v>Kantvorm</v>
          </cell>
          <cell r="AD1" t="str">
            <v>Stapeling</v>
          </cell>
          <cell r="AE1" t="str">
            <v>Dikte</v>
          </cell>
          <cell r="AF1" t="str">
            <v>Breedte</v>
          </cell>
          <cell r="AG1" t="str">
            <v>Lengte</v>
          </cell>
          <cell r="AH1" t="str">
            <v>Tol. Dikte</v>
          </cell>
          <cell r="AI1" t="str">
            <v>Tol. Breedte</v>
          </cell>
          <cell r="AJ1" t="str">
            <v>Tol. Lengte</v>
          </cell>
          <cell r="AK1" t="str">
            <v>Bedrukking</v>
          </cell>
          <cell r="AL1" t="str">
            <v>Densiteit NL</v>
          </cell>
          <cell r="AM1" t="str">
            <v>DensiteitFR</v>
          </cell>
          <cell r="AN1" t="str">
            <v>Densiteit eenheid</v>
          </cell>
          <cell r="AO1" t="str">
            <v>Oppervlaktegewicht</v>
          </cell>
          <cell r="AP1" t="str">
            <v>Thermische geleidbaarheid l</v>
          </cell>
          <cell r="AQ1" t="str">
            <v>Warmteweerstand R</v>
          </cell>
          <cell r="AR1" t="str">
            <v>Netto gewicht basishoeveelheid</v>
          </cell>
          <cell r="AS1" t="str">
            <v>Bruto gewicht basishoeveelheid</v>
          </cell>
          <cell r="AT1" t="str">
            <v>Inhoud</v>
          </cell>
          <cell r="AU1" t="str">
            <v>Inhoud Eenheid</v>
          </cell>
          <cell r="AV1" t="str">
            <v>Type pal NL</v>
          </cell>
          <cell r="AW1" t="str">
            <v>Type pal FR</v>
          </cell>
          <cell r="AX1" t="str">
            <v>Brutoprijs huidig</v>
          </cell>
          <cell r="AY1" t="str">
            <v>Datum Brutoprijs huidig</v>
          </cell>
          <cell r="AZ1" t="str">
            <v>Brutoprijs toekomstig</v>
          </cell>
          <cell r="BA1" t="str">
            <v>Datum Brutoprijs toekomstig</v>
          </cell>
          <cell r="BB1" t="str">
            <v>Facturatie-eenheid eenheid NL</v>
          </cell>
          <cell r="BC1" t="str">
            <v>Facturatie-eenheid eenheid FR</v>
          </cell>
          <cell r="BD1" t="str">
            <v>Levertermijn</v>
          </cell>
          <cell r="BE1" t="str">
            <v>EAN basishoeveelheidseenheid</v>
          </cell>
        </row>
        <row r="2">
          <cell r="A2" t="str">
            <v>A83220025</v>
          </cell>
          <cell r="C2" t="str">
            <v>D5DAD01D007D003</v>
          </cell>
          <cell r="D2" t="str">
            <v>Jointfiller 120 KG</v>
          </cell>
          <cell r="E2" t="str">
            <v>D5DA</v>
          </cell>
          <cell r="F2" t="str">
            <v>Voegproducten KG</v>
          </cell>
          <cell r="G2" t="str">
            <v>A83220025</v>
          </cell>
          <cell r="H2" t="str">
            <v>bestaand</v>
          </cell>
          <cell r="I2" t="str">
            <v>01.01.2013</v>
          </cell>
          <cell r="J2" t="str">
            <v>Yes</v>
          </cell>
          <cell r="K2" t="str">
            <v>Professional</v>
          </cell>
          <cell r="L2" t="str">
            <v>Gyproc</v>
          </cell>
          <cell r="M2" t="str">
            <v>JOINTFILLER 120</v>
          </cell>
          <cell r="N2" t="str">
            <v>JOINTFILLER 120 25 KG WP/60 B25</v>
          </cell>
          <cell r="O2" t="str">
            <v>JointFiller 120 25kg 60s</v>
          </cell>
          <cell r="P2" t="str">
            <v>(blanco)</v>
          </cell>
          <cell r="Q2" t="str">
            <v>(blanco)</v>
          </cell>
          <cell r="R2" t="str">
            <v>(blanco)</v>
          </cell>
          <cell r="S2" t="str">
            <v>(blanco)</v>
          </cell>
          <cell r="T2" t="str">
            <v>NBN EN 13963:2014</v>
          </cell>
          <cell r="U2" t="str">
            <v>3B</v>
          </cell>
          <cell r="V2" t="str">
            <v>--</v>
          </cell>
          <cell r="AA2" t="str">
            <v>A1</v>
          </cell>
          <cell r="AC2" t="str">
            <v>(blanco)</v>
          </cell>
          <cell r="AD2" t="str">
            <v>(blanco)</v>
          </cell>
          <cell r="AH2" t="str">
            <v>(blanco)</v>
          </cell>
          <cell r="AI2" t="str">
            <v>(blanco)</v>
          </cell>
          <cell r="AJ2" t="str">
            <v>(blanco)</v>
          </cell>
          <cell r="AP2">
            <v>0.25</v>
          </cell>
          <cell r="AR2">
            <v>25</v>
          </cell>
          <cell r="AS2">
            <v>25.632999999999999</v>
          </cell>
          <cell r="AT2">
            <v>23.1</v>
          </cell>
          <cell r="AU2" t="str">
            <v>CD3</v>
          </cell>
          <cell r="AV2" t="str">
            <v>WP : Wegwerppallet</v>
          </cell>
          <cell r="AW2">
            <v>7</v>
          </cell>
          <cell r="AX2">
            <v>0.95</v>
          </cell>
          <cell r="AY2" t="str">
            <v>01.02.2015</v>
          </cell>
          <cell r="AZ2">
            <v>0</v>
          </cell>
          <cell r="BA2" t="str">
            <v>00.00.0000</v>
          </cell>
          <cell r="BB2" t="str">
            <v>KG</v>
          </cell>
          <cell r="BC2" t="str">
            <v>KG</v>
          </cell>
          <cell r="BD2" t="str">
            <v>S</v>
          </cell>
          <cell r="BE2">
            <v>8711149900664</v>
          </cell>
        </row>
        <row r="3">
          <cell r="A3" t="str">
            <v>A83630088</v>
          </cell>
          <cell r="C3" t="str">
            <v>D5DAD01D005D005</v>
          </cell>
          <cell r="D3" t="str">
            <v>DIY - ProMix Premium KG</v>
          </cell>
          <cell r="E3" t="str">
            <v>D5DA</v>
          </cell>
          <cell r="F3" t="str">
            <v>Voegproducten KG</v>
          </cell>
          <cell r="G3" t="str">
            <v>A83630088</v>
          </cell>
          <cell r="H3" t="str">
            <v>bestaand</v>
          </cell>
          <cell r="I3" t="str">
            <v>01.01.2013</v>
          </cell>
          <cell r="J3" t="str">
            <v>Yes</v>
          </cell>
          <cell r="K3" t="str">
            <v>Doe-Het-Zelver</v>
          </cell>
          <cell r="L3" t="str">
            <v>Gyproc</v>
          </cell>
          <cell r="M3" t="str">
            <v>PROMIX PREMIUM</v>
          </cell>
          <cell r="N3" t="str">
            <v>DIY - GYPROC PROMIX PREMIUM 3.5kg EP/140</v>
          </cell>
          <cell r="O3" t="str">
            <v>DIY - GYPROC PROMIX PREMIUM 3.5kg EP/140</v>
          </cell>
          <cell r="P3" t="str">
            <v>(blanco)</v>
          </cell>
          <cell r="Q3" t="str">
            <v>(blanco)</v>
          </cell>
          <cell r="R3" t="str">
            <v>(blanco)</v>
          </cell>
          <cell r="S3" t="str">
            <v>(blanco)</v>
          </cell>
          <cell r="T3" t="str">
            <v>NBN EN 13963:2014</v>
          </cell>
          <cell r="U3" t="str">
            <v>3A</v>
          </cell>
          <cell r="V3" t="str">
            <v>--</v>
          </cell>
          <cell r="AA3" t="str">
            <v>A1</v>
          </cell>
          <cell r="AC3" t="str">
            <v>(blanco)</v>
          </cell>
          <cell r="AD3" t="str">
            <v>(blanco)</v>
          </cell>
          <cell r="AH3" t="str">
            <v>(blanco)</v>
          </cell>
          <cell r="AI3" t="str">
            <v>(blanco)</v>
          </cell>
          <cell r="AJ3" t="str">
            <v>(blanco)</v>
          </cell>
          <cell r="AL3" t="str">
            <v>(blanco)</v>
          </cell>
          <cell r="AM3" t="str">
            <v>(blanco)</v>
          </cell>
          <cell r="AN3" t="str">
            <v>(blanco)</v>
          </cell>
          <cell r="AP3">
            <v>0.25</v>
          </cell>
          <cell r="AR3">
            <v>3.9289999999999998</v>
          </cell>
          <cell r="AS3">
            <v>3.9289999999999998</v>
          </cell>
          <cell r="AT3">
            <v>8.7040000000000006</v>
          </cell>
          <cell r="AU3" t="str">
            <v>CD3</v>
          </cell>
          <cell r="AX3">
            <v>9.3699999999999992</v>
          </cell>
          <cell r="AY3" t="str">
            <v>01.02.2015</v>
          </cell>
          <cell r="AZ3">
            <v>0</v>
          </cell>
          <cell r="BA3" t="str">
            <v>00.00.0000</v>
          </cell>
          <cell r="BB3" t="str">
            <v>ST</v>
          </cell>
          <cell r="BC3" t="str">
            <v>******</v>
          </cell>
          <cell r="BD3" t="str">
            <v>S</v>
          </cell>
          <cell r="BE3">
            <v>3496250209190</v>
          </cell>
        </row>
        <row r="4">
          <cell r="A4" t="str">
            <v>D09432600</v>
          </cell>
          <cell r="B4" t="str">
            <v>DOUBLI4026</v>
          </cell>
          <cell r="C4" t="str">
            <v>B1BEB01B001B001</v>
          </cell>
          <cell r="D4" t="str">
            <v>Doublissimo® 32 13+40 M2</v>
          </cell>
          <cell r="E4" t="str">
            <v>B1BE</v>
          </cell>
          <cell r="F4" t="str">
            <v>Doublage Issimo 32 M2</v>
          </cell>
          <cell r="G4" t="str">
            <v>D09432600</v>
          </cell>
          <cell r="H4" t="str">
            <v>bestaand</v>
          </cell>
          <cell r="I4" t="str">
            <v>01.01.2013</v>
          </cell>
          <cell r="J4" t="str">
            <v>Yes</v>
          </cell>
          <cell r="K4" t="str">
            <v>Professional</v>
          </cell>
          <cell r="L4" t="str">
            <v>DOUBLISSIMO</v>
          </cell>
          <cell r="M4" t="str">
            <v>DOUBLISSIMO 12,5/40</v>
          </cell>
          <cell r="N4" t="str">
            <v>DOUBLISSIMO 13/40 2600 X 1200 WP/22</v>
          </cell>
          <cell r="O4" t="str">
            <v>Doublissimo®E 1.30 13+40 260</v>
          </cell>
          <cell r="P4" t="str">
            <v>blauw</v>
          </cell>
          <cell r="Q4" t="str">
            <v>bleu</v>
          </cell>
          <cell r="R4" t="str">
            <v>grijs EPS</v>
          </cell>
          <cell r="S4" t="str">
            <v>EPS gris</v>
          </cell>
          <cell r="T4" t="str">
            <v>NBN EN 13950:2014</v>
          </cell>
          <cell r="U4" t="str">
            <v>A</v>
          </cell>
          <cell r="V4" t="str">
            <v>Doublis</v>
          </cell>
          <cell r="W4" t="str">
            <v>gipskartonplaat bekleed met geëlastifieerd EPS</v>
          </cell>
          <cell r="Y4" t="str">
            <v>thermisch en akoestisch isolerend bekledingspaneel</v>
          </cell>
          <cell r="AB4" t="str">
            <v>SG_GY_2013_B1BEB01B001</v>
          </cell>
          <cell r="AC4" t="str">
            <v>ABA</v>
          </cell>
          <cell r="AE4">
            <v>13</v>
          </cell>
          <cell r="AH4" t="str">
            <v>+/-0.5</v>
          </cell>
          <cell r="AI4">
            <v>0</v>
          </cell>
          <cell r="AJ4">
            <v>0</v>
          </cell>
          <cell r="AL4" t="str">
            <v>Geen eisen gesteld</v>
          </cell>
          <cell r="AM4" t="str">
            <v>Pas de exigences</v>
          </cell>
          <cell r="AN4" t="str">
            <v>kg/m³</v>
          </cell>
          <cell r="AP4">
            <v>32</v>
          </cell>
          <cell r="AQ4">
            <v>1.3</v>
          </cell>
          <cell r="AR4">
            <v>31.45</v>
          </cell>
          <cell r="AS4">
            <v>34.244</v>
          </cell>
          <cell r="AT4">
            <v>165.36</v>
          </cell>
          <cell r="AU4" t="str">
            <v>CD3</v>
          </cell>
          <cell r="AV4" t="str">
            <v>WP : Wegwerppallet</v>
          </cell>
          <cell r="AW4">
            <v>7</v>
          </cell>
          <cell r="AX4">
            <v>15.61</v>
          </cell>
          <cell r="AY4" t="str">
            <v>01.02.2015</v>
          </cell>
          <cell r="AZ4">
            <v>0</v>
          </cell>
          <cell r="BA4" t="str">
            <v>00.00.0000</v>
          </cell>
          <cell r="BB4" t="str">
            <v>M2</v>
          </cell>
          <cell r="BC4" t="str">
            <v>M2</v>
          </cell>
          <cell r="BD4" t="str">
            <v>S</v>
          </cell>
          <cell r="BE4">
            <v>3496250055162</v>
          </cell>
        </row>
        <row r="5">
          <cell r="A5" t="str">
            <v>D09632600</v>
          </cell>
          <cell r="B5" t="str">
            <v>DOUBLI6026</v>
          </cell>
          <cell r="C5" t="str">
            <v>B1BEB05B001B001</v>
          </cell>
          <cell r="D5" t="str">
            <v>Doublissimo® 32 13+60 M2</v>
          </cell>
          <cell r="E5" t="str">
            <v>B1BE</v>
          </cell>
          <cell r="F5" t="str">
            <v>Doublage Issimo 32 M2</v>
          </cell>
          <cell r="G5" t="str">
            <v>D09632600</v>
          </cell>
          <cell r="H5" t="str">
            <v>bestaand</v>
          </cell>
          <cell r="I5" t="str">
            <v>01.01.2013</v>
          </cell>
          <cell r="J5" t="str">
            <v>Yes</v>
          </cell>
          <cell r="K5" t="str">
            <v>Professional</v>
          </cell>
          <cell r="L5" t="str">
            <v>DOUBLISSIMO</v>
          </cell>
          <cell r="M5" t="str">
            <v>DOUBLISSIMO 12,5/60</v>
          </cell>
          <cell r="N5" t="str">
            <v>DOUBLISSIMO 13/60 2600 X 1200 WP/16</v>
          </cell>
          <cell r="O5" t="str">
            <v>Doublissimo®E 1.90 13+60 260</v>
          </cell>
          <cell r="P5" t="str">
            <v>blauw</v>
          </cell>
          <cell r="Q5" t="str">
            <v>bleu</v>
          </cell>
          <cell r="R5" t="str">
            <v>grijs EPS</v>
          </cell>
          <cell r="S5" t="str">
            <v>EPS gris</v>
          </cell>
          <cell r="T5" t="str">
            <v>NBN EN 13950:2014</v>
          </cell>
          <cell r="U5" t="str">
            <v>A</v>
          </cell>
          <cell r="V5" t="str">
            <v>Doublis</v>
          </cell>
          <cell r="W5" t="str">
            <v>gipskartonplaat bekleed met geëlastifieerd EPS</v>
          </cell>
          <cell r="Y5" t="str">
            <v>thermisch en akoestisch isolerend bekledingspaneel</v>
          </cell>
          <cell r="AB5" t="str">
            <v>SG_GY_2013_B1BEB05B001</v>
          </cell>
          <cell r="AC5" t="str">
            <v>ABA</v>
          </cell>
          <cell r="AE5">
            <v>13</v>
          </cell>
          <cell r="AH5" t="str">
            <v>+/-0.5</v>
          </cell>
          <cell r="AI5">
            <v>0</v>
          </cell>
          <cell r="AJ5">
            <v>0</v>
          </cell>
          <cell r="AL5" t="str">
            <v>Geen eisen gesteld</v>
          </cell>
          <cell r="AM5" t="str">
            <v>Pas de exigences</v>
          </cell>
          <cell r="AN5" t="str">
            <v>kg/m³</v>
          </cell>
          <cell r="AP5">
            <v>32</v>
          </cell>
          <cell r="AQ5">
            <v>1.9</v>
          </cell>
          <cell r="AR5">
            <v>32.353999999999999</v>
          </cell>
          <cell r="AS5">
            <v>36.197000000000003</v>
          </cell>
          <cell r="AT5">
            <v>227.76</v>
          </cell>
          <cell r="AU5" t="str">
            <v>CD3</v>
          </cell>
          <cell r="AV5" t="str">
            <v>WP : Wegwerppallet</v>
          </cell>
          <cell r="AW5">
            <v>7</v>
          </cell>
          <cell r="AX5">
            <v>20.05</v>
          </cell>
          <cell r="AY5" t="str">
            <v>01.02.2015</v>
          </cell>
          <cell r="AZ5">
            <v>0</v>
          </cell>
          <cell r="BA5" t="str">
            <v>00.00.0000</v>
          </cell>
          <cell r="BB5" t="str">
            <v>M2</v>
          </cell>
          <cell r="BC5" t="str">
            <v>M2</v>
          </cell>
          <cell r="BD5">
            <v>2</v>
          </cell>
          <cell r="BE5">
            <v>3496250055643</v>
          </cell>
        </row>
        <row r="6">
          <cell r="A6" t="str">
            <v>D09832600</v>
          </cell>
          <cell r="B6" t="str">
            <v>DOUBLI8026</v>
          </cell>
          <cell r="C6" t="str">
            <v>B1BEB09B001B001</v>
          </cell>
          <cell r="D6" t="str">
            <v>Doublissimo® 32 13+80 M2</v>
          </cell>
          <cell r="E6" t="str">
            <v>B1BE</v>
          </cell>
          <cell r="F6" t="str">
            <v>Doublage Issimo 32 M2</v>
          </cell>
          <cell r="G6" t="str">
            <v>D09832600</v>
          </cell>
          <cell r="H6" t="str">
            <v>bestaand</v>
          </cell>
          <cell r="I6" t="str">
            <v>01.01.2013</v>
          </cell>
          <cell r="J6" t="str">
            <v>Yes</v>
          </cell>
          <cell r="K6" t="str">
            <v>Professional</v>
          </cell>
          <cell r="L6" t="str">
            <v>DOUBLISSIMO</v>
          </cell>
          <cell r="M6" t="str">
            <v>DOUBLISSIMO 12,5/80</v>
          </cell>
          <cell r="N6" t="str">
            <v>DOUBLISSIMO 13/80 2600 X 1200 WP/12</v>
          </cell>
          <cell r="O6" t="str">
            <v>Doublissimo®P 2.55 13+80 260 ***</v>
          </cell>
          <cell r="P6" t="str">
            <v>blauw</v>
          </cell>
          <cell r="Q6" t="str">
            <v>bleu</v>
          </cell>
          <cell r="R6" t="str">
            <v>grijs EPS</v>
          </cell>
          <cell r="S6" t="str">
            <v>EPS gris</v>
          </cell>
          <cell r="T6" t="str">
            <v>NBN EN 13950:2014</v>
          </cell>
          <cell r="U6" t="str">
            <v>A</v>
          </cell>
          <cell r="V6" t="str">
            <v>Doublis</v>
          </cell>
          <cell r="W6" t="str">
            <v>gipskartonplaat bekleed met geëlastifieerd EPS</v>
          </cell>
          <cell r="Y6" t="str">
            <v>thermisch en akoestisch isolerend bekledingspaneel</v>
          </cell>
          <cell r="AB6" t="str">
            <v>SG_GY_2013_B1BEB09B001</v>
          </cell>
          <cell r="AC6" t="str">
            <v>ABA</v>
          </cell>
          <cell r="AE6">
            <v>13</v>
          </cell>
          <cell r="AH6" t="str">
            <v>+/-0.5</v>
          </cell>
          <cell r="AI6">
            <v>0</v>
          </cell>
          <cell r="AJ6">
            <v>0</v>
          </cell>
          <cell r="AL6" t="str">
            <v>Geen eisen gesteld</v>
          </cell>
          <cell r="AM6" t="str">
            <v>Pas de exigences</v>
          </cell>
          <cell r="AN6" t="str">
            <v>kg/m³</v>
          </cell>
          <cell r="AP6">
            <v>32</v>
          </cell>
          <cell r="AQ6">
            <v>2.5499999999999998</v>
          </cell>
          <cell r="AR6">
            <v>33.259</v>
          </cell>
          <cell r="AS6">
            <v>38.383000000000003</v>
          </cell>
          <cell r="AT6">
            <v>309.66000000000003</v>
          </cell>
          <cell r="AU6" t="str">
            <v>CD3</v>
          </cell>
          <cell r="AV6" t="str">
            <v>WP : Wegwerppallet</v>
          </cell>
          <cell r="AW6">
            <v>7</v>
          </cell>
          <cell r="AX6">
            <v>24.78</v>
          </cell>
          <cell r="AY6" t="str">
            <v>01.02.2015</v>
          </cell>
          <cell r="AZ6">
            <v>0</v>
          </cell>
          <cell r="BA6" t="str">
            <v>00.00.0000</v>
          </cell>
          <cell r="BB6" t="str">
            <v>M2</v>
          </cell>
          <cell r="BC6" t="str">
            <v>M2</v>
          </cell>
          <cell r="BD6">
            <v>2</v>
          </cell>
          <cell r="BE6">
            <v>3496250054745</v>
          </cell>
        </row>
        <row r="7">
          <cell r="A7" t="str">
            <v>D10032600</v>
          </cell>
          <cell r="B7" t="str">
            <v>DOUBLI10026</v>
          </cell>
          <cell r="C7" t="str">
            <v>B1BEB13B001B001</v>
          </cell>
          <cell r="D7" t="str">
            <v>Doublissimo® 32 13+100 M2</v>
          </cell>
          <cell r="E7" t="str">
            <v>B1BE</v>
          </cell>
          <cell r="F7" t="str">
            <v>Doublage Issimo 32 M2</v>
          </cell>
          <cell r="G7" t="str">
            <v>D10032600</v>
          </cell>
          <cell r="H7" t="str">
            <v>bestaand</v>
          </cell>
          <cell r="I7" t="str">
            <v>01.01.2013</v>
          </cell>
          <cell r="J7" t="str">
            <v>Yes</v>
          </cell>
          <cell r="K7" t="str">
            <v>Professional</v>
          </cell>
          <cell r="L7" t="str">
            <v>DOUBLISSIMO</v>
          </cell>
          <cell r="M7" t="str">
            <v>DOUBLISSIMO 12,5/100</v>
          </cell>
          <cell r="N7" t="str">
            <v>DOUBLISSIMO 13/100 2600 X 1200 WP/10</v>
          </cell>
          <cell r="O7" t="str">
            <v>Doublissimo®P 3.15 13+100 260</v>
          </cell>
          <cell r="P7" t="str">
            <v>blauw</v>
          </cell>
          <cell r="Q7" t="str">
            <v>bleu</v>
          </cell>
          <cell r="R7" t="str">
            <v>grijs EPS</v>
          </cell>
          <cell r="S7" t="str">
            <v>EPS gris</v>
          </cell>
          <cell r="T7" t="str">
            <v>NBN EN 13950:2014</v>
          </cell>
          <cell r="U7" t="str">
            <v>A</v>
          </cell>
          <cell r="V7" t="str">
            <v>Doublis</v>
          </cell>
          <cell r="W7" t="str">
            <v>gipskartonplaat bekleed met geëlastifieerd EPS</v>
          </cell>
          <cell r="Y7" t="str">
            <v>thermisch en akoestisch isolerend bekledingspaneel</v>
          </cell>
          <cell r="AB7" t="str">
            <v>SG_GY_2013_B1BEB13B001</v>
          </cell>
          <cell r="AC7" t="str">
            <v>ABA</v>
          </cell>
          <cell r="AE7">
            <v>13</v>
          </cell>
          <cell r="AH7" t="str">
            <v>+/-0.5</v>
          </cell>
          <cell r="AI7">
            <v>0</v>
          </cell>
          <cell r="AJ7">
            <v>0</v>
          </cell>
          <cell r="AL7" t="str">
            <v>Geen eisen gesteld</v>
          </cell>
          <cell r="AM7" t="str">
            <v>Pas de exigences</v>
          </cell>
          <cell r="AN7" t="str">
            <v>kg/m³</v>
          </cell>
          <cell r="AP7">
            <v>32</v>
          </cell>
          <cell r="AQ7">
            <v>3.15</v>
          </cell>
          <cell r="AR7">
            <v>34.164000000000001</v>
          </cell>
          <cell r="AS7">
            <v>40.311999999999998</v>
          </cell>
          <cell r="AT7">
            <v>352.56</v>
          </cell>
          <cell r="AU7" t="str">
            <v>CD3</v>
          </cell>
          <cell r="AV7" t="str">
            <v>WP : Wegwerppallet</v>
          </cell>
          <cell r="AW7">
            <v>7</v>
          </cell>
          <cell r="AX7">
            <v>29.59</v>
          </cell>
          <cell r="AY7" t="str">
            <v>01.02.2015</v>
          </cell>
          <cell r="AZ7">
            <v>0</v>
          </cell>
          <cell r="BA7" t="str">
            <v>00.00.0000</v>
          </cell>
          <cell r="BB7" t="str">
            <v>M2</v>
          </cell>
          <cell r="BC7" t="str">
            <v>M2</v>
          </cell>
          <cell r="BD7">
            <v>2</v>
          </cell>
          <cell r="BE7">
            <v>3496250054974</v>
          </cell>
        </row>
        <row r="8">
          <cell r="A8" t="str">
            <v>D55102600</v>
          </cell>
          <cell r="B8" t="str">
            <v>PTH10026</v>
          </cell>
          <cell r="C8" t="str">
            <v>B1BJB11B003B001</v>
          </cell>
          <cell r="D8" t="str">
            <v>Placotherm®+ 10+100 M2</v>
          </cell>
          <cell r="E8" t="str">
            <v>B1BJ</v>
          </cell>
          <cell r="F8" t="str">
            <v>Doublage PUR M2</v>
          </cell>
          <cell r="G8" t="str">
            <v>D55102600</v>
          </cell>
          <cell r="H8" t="str">
            <v>bestaand</v>
          </cell>
          <cell r="I8" t="str">
            <v>01.01.2013</v>
          </cell>
          <cell r="J8" t="str">
            <v>Yes</v>
          </cell>
          <cell r="K8" t="str">
            <v>Professional</v>
          </cell>
          <cell r="L8" t="str">
            <v>PLACOTHERM</v>
          </cell>
          <cell r="M8" t="str">
            <v>PLACOTHERM+ 10/100</v>
          </cell>
          <cell r="N8" t="str">
            <v>PTH 10+100 2600x1200 CA/11</v>
          </cell>
          <cell r="O8" t="str">
            <v>Placotherm®+ 4.40 10+100 260</v>
          </cell>
          <cell r="P8" t="str">
            <v>ivoor</v>
          </cell>
          <cell r="Q8" t="str">
            <v>ivoire</v>
          </cell>
          <cell r="R8" t="str">
            <v>geel PUR</v>
          </cell>
          <cell r="S8" t="str">
            <v>PUR jaune</v>
          </cell>
          <cell r="T8" t="str">
            <v>NBN EN 13950:2014</v>
          </cell>
          <cell r="U8" t="str">
            <v>A</v>
          </cell>
          <cell r="V8" t="str">
            <v>Therm+</v>
          </cell>
          <cell r="W8" t="str">
            <v>gipskartonplaat bekleed met PUR</v>
          </cell>
          <cell r="Y8" t="str">
            <v>thermisch isolerend bekledingspaneel</v>
          </cell>
          <cell r="AB8" t="str">
            <v>SG_GY_2013_B1BJB11B003</v>
          </cell>
          <cell r="AC8" t="str">
            <v>ABA</v>
          </cell>
          <cell r="AE8">
            <v>10</v>
          </cell>
          <cell r="AH8" t="str">
            <v>+/-0.5</v>
          </cell>
          <cell r="AI8">
            <v>0</v>
          </cell>
          <cell r="AJ8">
            <v>0</v>
          </cell>
          <cell r="AL8" t="str">
            <v>Geen eisen gesteld</v>
          </cell>
          <cell r="AM8" t="str">
            <v>Pas de exigences</v>
          </cell>
          <cell r="AN8" t="str">
            <v>kg/m³</v>
          </cell>
          <cell r="AP8">
            <v>23</v>
          </cell>
          <cell r="AQ8">
            <v>4.4000000000000004</v>
          </cell>
          <cell r="AR8">
            <v>35.256</v>
          </cell>
          <cell r="AS8">
            <v>37.527000000000001</v>
          </cell>
          <cell r="AT8">
            <v>343.2</v>
          </cell>
          <cell r="AU8" t="str">
            <v>CD3</v>
          </cell>
          <cell r="AX8">
            <v>46.62</v>
          </cell>
          <cell r="AY8" t="str">
            <v>01.02.2015</v>
          </cell>
          <cell r="AZ8">
            <v>0</v>
          </cell>
          <cell r="BA8" t="str">
            <v>00.00.0000</v>
          </cell>
          <cell r="BB8" t="str">
            <v>M2</v>
          </cell>
          <cell r="BC8" t="str">
            <v>M2</v>
          </cell>
          <cell r="BD8">
            <v>2</v>
          </cell>
          <cell r="BE8">
            <v>3496250151277</v>
          </cell>
        </row>
        <row r="9">
          <cell r="A9" t="str">
            <v>D55202600</v>
          </cell>
          <cell r="B9" t="str">
            <v>PTH3026</v>
          </cell>
          <cell r="C9" t="str">
            <v>B1BJB01B001B001</v>
          </cell>
          <cell r="D9" t="str">
            <v>Placotherm®+ 10+30 M2</v>
          </cell>
          <cell r="E9" t="str">
            <v>B1BJ</v>
          </cell>
          <cell r="F9" t="str">
            <v>Doublage PUR M2</v>
          </cell>
          <cell r="G9" t="str">
            <v>D55202600</v>
          </cell>
          <cell r="H9" t="str">
            <v>bestaand</v>
          </cell>
          <cell r="I9" t="str">
            <v>01.01.2013</v>
          </cell>
          <cell r="J9" t="str">
            <v>Yes</v>
          </cell>
          <cell r="K9" t="str">
            <v>Professional</v>
          </cell>
          <cell r="L9" t="str">
            <v>PLACOTHERM</v>
          </cell>
          <cell r="M9" t="str">
            <v>PLACOTHERM+ 10/30</v>
          </cell>
          <cell r="N9" t="str">
            <v>PTH 10+30 2600 X 1200 CA/30</v>
          </cell>
          <cell r="O9" t="str">
            <v>Placotherm®+ 1.35 10+30 260</v>
          </cell>
          <cell r="P9" t="str">
            <v>ivoor</v>
          </cell>
          <cell r="Q9" t="str">
            <v>ivoire</v>
          </cell>
          <cell r="R9" t="str">
            <v>geel PUR</v>
          </cell>
          <cell r="S9" t="str">
            <v>PUR jaune</v>
          </cell>
          <cell r="T9" t="str">
            <v>NBN EN 13950:2014</v>
          </cell>
          <cell r="U9" t="str">
            <v>A</v>
          </cell>
          <cell r="V9" t="str">
            <v>Therm+</v>
          </cell>
          <cell r="W9" t="str">
            <v>gipskartonplaat bekleed met PUR</v>
          </cell>
          <cell r="Y9" t="str">
            <v>thermisch isolerend bekledingspaneel</v>
          </cell>
          <cell r="AB9" t="str">
            <v>SG_GY_2013_B1BJB01B001</v>
          </cell>
          <cell r="AC9" t="str">
            <v>ABA</v>
          </cell>
          <cell r="AE9">
            <v>10</v>
          </cell>
          <cell r="AH9" t="str">
            <v>+/-0.5</v>
          </cell>
          <cell r="AI9">
            <v>0</v>
          </cell>
          <cell r="AJ9">
            <v>0</v>
          </cell>
          <cell r="AL9" t="str">
            <v>Geen eisen gesteld</v>
          </cell>
          <cell r="AM9" t="str">
            <v>Pas de exigences</v>
          </cell>
          <cell r="AN9" t="str">
            <v>kg/m³</v>
          </cell>
          <cell r="AP9">
            <v>23</v>
          </cell>
          <cell r="AQ9">
            <v>1.35</v>
          </cell>
          <cell r="AR9">
            <v>26.52</v>
          </cell>
          <cell r="AS9">
            <v>27.353000000000002</v>
          </cell>
          <cell r="AT9">
            <v>124.8</v>
          </cell>
          <cell r="AU9" t="str">
            <v>CD3</v>
          </cell>
          <cell r="AX9">
            <v>22.85</v>
          </cell>
          <cell r="AY9" t="str">
            <v>01.02.2015</v>
          </cell>
          <cell r="AZ9">
            <v>0</v>
          </cell>
          <cell r="BA9" t="str">
            <v>00.00.0000</v>
          </cell>
          <cell r="BB9" t="str">
            <v>M2</v>
          </cell>
          <cell r="BC9" t="str">
            <v>M2</v>
          </cell>
          <cell r="BD9">
            <v>2</v>
          </cell>
          <cell r="BE9">
            <v>3496250065574</v>
          </cell>
        </row>
        <row r="10">
          <cell r="A10" t="str">
            <v>D55302600</v>
          </cell>
          <cell r="B10" t="str">
            <v>PTH4026</v>
          </cell>
          <cell r="C10" t="str">
            <v>B1BJB03B001B001</v>
          </cell>
          <cell r="D10" t="str">
            <v>Placotherm®+ 10+40 M2</v>
          </cell>
          <cell r="E10" t="str">
            <v>B1BJ</v>
          </cell>
          <cell r="F10" t="str">
            <v>Doublage PUR M2</v>
          </cell>
          <cell r="G10" t="str">
            <v>D55302600</v>
          </cell>
          <cell r="H10" t="str">
            <v>bestaand</v>
          </cell>
          <cell r="I10" t="str">
            <v>01.01.2013</v>
          </cell>
          <cell r="J10" t="str">
            <v>Yes</v>
          </cell>
          <cell r="K10" t="str">
            <v>Professional</v>
          </cell>
          <cell r="L10" t="str">
            <v>PLACOTHERM</v>
          </cell>
          <cell r="M10" t="str">
            <v>PLACOTHERM+ 10/40</v>
          </cell>
          <cell r="N10" t="str">
            <v>PTH 10+40 2600 X 1200 CA/24</v>
          </cell>
          <cell r="O10" t="str">
            <v>Placotherm®+ 1.75 10+40 260</v>
          </cell>
          <cell r="P10" t="str">
            <v>ivoor</v>
          </cell>
          <cell r="Q10" t="str">
            <v>ivoire</v>
          </cell>
          <cell r="R10" t="str">
            <v>geel PUR</v>
          </cell>
          <cell r="S10" t="str">
            <v>PUR jaune</v>
          </cell>
          <cell r="T10" t="str">
            <v>NBN EN 13950:2014</v>
          </cell>
          <cell r="U10" t="str">
            <v>A</v>
          </cell>
          <cell r="V10" t="str">
            <v>Therm+</v>
          </cell>
          <cell r="W10" t="str">
            <v>gipskartonplaat bekleed met PUR</v>
          </cell>
          <cell r="Y10" t="str">
            <v>thermisch isolerend bekledingspaneel</v>
          </cell>
          <cell r="AB10" t="str">
            <v>SG_GY_2013_B1BJB03B001</v>
          </cell>
          <cell r="AC10" t="str">
            <v>ABA</v>
          </cell>
          <cell r="AE10">
            <v>10</v>
          </cell>
          <cell r="AH10" t="str">
            <v>+/-0.5</v>
          </cell>
          <cell r="AI10">
            <v>0</v>
          </cell>
          <cell r="AJ10">
            <v>0</v>
          </cell>
          <cell r="AL10" t="str">
            <v>Geen eisen gesteld</v>
          </cell>
          <cell r="AM10" t="str">
            <v>Pas de exigences</v>
          </cell>
          <cell r="AN10" t="str">
            <v>kg/m³</v>
          </cell>
          <cell r="AP10">
            <v>23</v>
          </cell>
          <cell r="AQ10">
            <v>1.75</v>
          </cell>
          <cell r="AR10">
            <v>27.768000000000001</v>
          </cell>
          <cell r="AS10">
            <v>28.809000000000001</v>
          </cell>
          <cell r="AT10">
            <v>156</v>
          </cell>
          <cell r="AU10" t="str">
            <v>CD3</v>
          </cell>
          <cell r="AX10">
            <v>27.07</v>
          </cell>
          <cell r="AY10" t="str">
            <v>01.02.2015</v>
          </cell>
          <cell r="AZ10">
            <v>0</v>
          </cell>
          <cell r="BA10" t="str">
            <v>00.00.0000</v>
          </cell>
          <cell r="BB10" t="str">
            <v>M2</v>
          </cell>
          <cell r="BC10" t="str">
            <v>M2</v>
          </cell>
          <cell r="BD10" t="str">
            <v>S</v>
          </cell>
          <cell r="BE10">
            <v>3496250065611</v>
          </cell>
        </row>
        <row r="11">
          <cell r="A11" t="str">
            <v>D55402600</v>
          </cell>
          <cell r="B11" t="str">
            <v>PTH5026</v>
          </cell>
          <cell r="C11" t="str">
            <v>B1BJB05B001B001</v>
          </cell>
          <cell r="D11" t="str">
            <v>Placotherm®+ 10+50 M2</v>
          </cell>
          <cell r="E11" t="str">
            <v>B1BJ</v>
          </cell>
          <cell r="F11" t="str">
            <v>Doublage PUR M2</v>
          </cell>
          <cell r="G11" t="str">
            <v>D55402600</v>
          </cell>
          <cell r="H11" t="str">
            <v>bestaand</v>
          </cell>
          <cell r="I11" t="str">
            <v>01.01.2013</v>
          </cell>
          <cell r="J11" t="str">
            <v>Yes</v>
          </cell>
          <cell r="K11" t="str">
            <v>Professional</v>
          </cell>
          <cell r="L11" t="str">
            <v>PLACOTHERM</v>
          </cell>
          <cell r="M11" t="str">
            <v>PLACOTHERM+ 10/50</v>
          </cell>
          <cell r="N11" t="str">
            <v>PTH 10+50 2600 X 1200 CA/20</v>
          </cell>
          <cell r="O11" t="str">
            <v>Placotherm®+ 2.30 10+50 260</v>
          </cell>
          <cell r="P11" t="str">
            <v>ivoor</v>
          </cell>
          <cell r="Q11" t="str">
            <v>ivoire</v>
          </cell>
          <cell r="R11" t="str">
            <v>geel PUR</v>
          </cell>
          <cell r="S11" t="str">
            <v>PUR jaune</v>
          </cell>
          <cell r="T11" t="str">
            <v>NBN EN 13950:2014</v>
          </cell>
          <cell r="U11" t="str">
            <v>A</v>
          </cell>
          <cell r="V11" t="str">
            <v>Therm+</v>
          </cell>
          <cell r="W11" t="str">
            <v>gipskartonplaat bekleed met PUR</v>
          </cell>
          <cell r="Y11" t="str">
            <v>thermisch isolerend bekledingspaneel</v>
          </cell>
          <cell r="AB11" t="str">
            <v>SG_GY_2013_B1BJB05B001</v>
          </cell>
          <cell r="AC11" t="str">
            <v>ABA</v>
          </cell>
          <cell r="AE11">
            <v>10</v>
          </cell>
          <cell r="AH11" t="str">
            <v>+/-0.5</v>
          </cell>
          <cell r="AI11">
            <v>0</v>
          </cell>
          <cell r="AJ11">
            <v>0</v>
          </cell>
          <cell r="AL11" t="str">
            <v>Geen eisen gesteld</v>
          </cell>
          <cell r="AM11" t="str">
            <v>Pas de exigences</v>
          </cell>
          <cell r="AN11" t="str">
            <v>kg/m³</v>
          </cell>
          <cell r="AP11">
            <v>23</v>
          </cell>
          <cell r="AQ11">
            <v>2.2999999999999998</v>
          </cell>
          <cell r="AR11">
            <v>29.015999999999998</v>
          </cell>
          <cell r="AS11">
            <v>30.265000000000001</v>
          </cell>
          <cell r="AT11">
            <v>187.2</v>
          </cell>
          <cell r="AU11" t="str">
            <v>CD3</v>
          </cell>
          <cell r="AX11">
            <v>31.17</v>
          </cell>
          <cell r="AY11" t="str">
            <v>01.02.2015</v>
          </cell>
          <cell r="AZ11">
            <v>0</v>
          </cell>
          <cell r="BA11" t="str">
            <v>00.00.0000</v>
          </cell>
          <cell r="BB11" t="str">
            <v>M2</v>
          </cell>
          <cell r="BC11" t="str">
            <v>M2</v>
          </cell>
          <cell r="BD11" t="str">
            <v>S</v>
          </cell>
          <cell r="BE11">
            <v>3496250065659</v>
          </cell>
        </row>
        <row r="12">
          <cell r="A12" t="str">
            <v>D55502600</v>
          </cell>
          <cell r="B12" t="str">
            <v>PTH6026</v>
          </cell>
          <cell r="C12" t="str">
            <v>B1BJB07B001B001</v>
          </cell>
          <cell r="D12" t="str">
            <v>Placotherm®+ 10+60 M2</v>
          </cell>
          <cell r="E12" t="str">
            <v>B1BJ</v>
          </cell>
          <cell r="F12" t="str">
            <v>Doublage PUR M2</v>
          </cell>
          <cell r="G12" t="str">
            <v>D55502600</v>
          </cell>
          <cell r="H12" t="str">
            <v>bestaand</v>
          </cell>
          <cell r="I12" t="str">
            <v>01.01.2013</v>
          </cell>
          <cell r="J12" t="str">
            <v>Yes</v>
          </cell>
          <cell r="K12" t="str">
            <v>Professional</v>
          </cell>
          <cell r="L12" t="str">
            <v>PLACOTHERM</v>
          </cell>
          <cell r="M12" t="str">
            <v>PLACOTHERM+ 10/60</v>
          </cell>
          <cell r="N12" t="str">
            <v>PTH 10+60 2600 X 1200 CA/17</v>
          </cell>
          <cell r="O12" t="str">
            <v>Placotherm®+ 2.80 10+60 260</v>
          </cell>
          <cell r="P12" t="str">
            <v>ivoor</v>
          </cell>
          <cell r="Q12" t="str">
            <v>ivoire</v>
          </cell>
          <cell r="R12" t="str">
            <v>geel PUR</v>
          </cell>
          <cell r="S12" t="str">
            <v>PUR jaune</v>
          </cell>
          <cell r="T12" t="str">
            <v>NBN EN 13950:2014</v>
          </cell>
          <cell r="U12" t="str">
            <v>A</v>
          </cell>
          <cell r="V12" t="str">
            <v>Therm+</v>
          </cell>
          <cell r="W12" t="str">
            <v>gipskartonplaat bekleed met PUR</v>
          </cell>
          <cell r="Y12" t="str">
            <v>thermisch isolerend bekledingspaneel</v>
          </cell>
          <cell r="AB12" t="str">
            <v>SG_GY_2013_B1BJB07B001</v>
          </cell>
          <cell r="AC12" t="str">
            <v>ABA</v>
          </cell>
          <cell r="AE12">
            <v>10</v>
          </cell>
          <cell r="AH12" t="str">
            <v>+/-0.5</v>
          </cell>
          <cell r="AI12">
            <v>0</v>
          </cell>
          <cell r="AJ12">
            <v>0</v>
          </cell>
          <cell r="AL12" t="str">
            <v>Geen eisen gesteld</v>
          </cell>
          <cell r="AM12" t="str">
            <v>Pas de exigences</v>
          </cell>
          <cell r="AN12" t="str">
            <v>kg/m³</v>
          </cell>
          <cell r="AP12">
            <v>23</v>
          </cell>
          <cell r="AQ12">
            <v>2.8</v>
          </cell>
          <cell r="AR12">
            <v>30.263999999999999</v>
          </cell>
          <cell r="AS12">
            <v>31.733000000000001</v>
          </cell>
          <cell r="AT12">
            <v>218.4</v>
          </cell>
          <cell r="AU12" t="str">
            <v>CD3</v>
          </cell>
          <cell r="AX12">
            <v>34.54</v>
          </cell>
          <cell r="AY12" t="str">
            <v>01.02.2015</v>
          </cell>
          <cell r="AZ12">
            <v>0</v>
          </cell>
          <cell r="BA12" t="str">
            <v>00.00.0000</v>
          </cell>
          <cell r="BB12" t="str">
            <v>M2</v>
          </cell>
          <cell r="BC12" t="str">
            <v>M2</v>
          </cell>
          <cell r="BD12">
            <v>2</v>
          </cell>
          <cell r="BE12">
            <v>3496250065680</v>
          </cell>
        </row>
        <row r="13">
          <cell r="A13" t="str">
            <v>D55702600</v>
          </cell>
          <cell r="B13" t="str">
            <v>PTH8026</v>
          </cell>
          <cell r="C13" t="str">
            <v>B1BJB09B001B001</v>
          </cell>
          <cell r="D13" t="str">
            <v>Placotherm®+ 10+80 M2</v>
          </cell>
          <cell r="E13" t="str">
            <v>B1BJ</v>
          </cell>
          <cell r="F13" t="str">
            <v>Doublage PUR M2</v>
          </cell>
          <cell r="G13" t="str">
            <v>D55702600</v>
          </cell>
          <cell r="H13" t="str">
            <v>bestaand</v>
          </cell>
          <cell r="I13" t="str">
            <v>01.01.2013</v>
          </cell>
          <cell r="J13" t="str">
            <v>Yes</v>
          </cell>
          <cell r="K13" t="str">
            <v>Professional</v>
          </cell>
          <cell r="L13" t="str">
            <v>PLACOTHERM</v>
          </cell>
          <cell r="M13" t="str">
            <v>PLACOTHERM+ 10/80</v>
          </cell>
          <cell r="N13" t="str">
            <v>PTH 10+80 2600 X 1200 CA/13</v>
          </cell>
          <cell r="O13" t="str">
            <v>Placotherm®+ 3.50 10+80 260</v>
          </cell>
          <cell r="P13" t="str">
            <v>ivoor</v>
          </cell>
          <cell r="Q13" t="str">
            <v>ivoire</v>
          </cell>
          <cell r="R13" t="str">
            <v>geel PUR</v>
          </cell>
          <cell r="S13" t="str">
            <v>PUR jaune</v>
          </cell>
          <cell r="T13" t="str">
            <v>NBN EN 13950:2014</v>
          </cell>
          <cell r="U13" t="str">
            <v>A</v>
          </cell>
          <cell r="V13" t="str">
            <v>Therm+</v>
          </cell>
          <cell r="W13" t="str">
            <v>gipskartonplaat bekleed met PUR</v>
          </cell>
          <cell r="Y13" t="str">
            <v>thermisch isolerend bekledingspaneel</v>
          </cell>
          <cell r="AB13" t="str">
            <v>SG_GY_2013_B1BJB09B001</v>
          </cell>
          <cell r="AC13" t="str">
            <v>ABA</v>
          </cell>
          <cell r="AE13">
            <v>10</v>
          </cell>
          <cell r="AH13" t="str">
            <v>+/-0.5</v>
          </cell>
          <cell r="AI13">
            <v>0</v>
          </cell>
          <cell r="AJ13">
            <v>0</v>
          </cell>
          <cell r="AL13" t="str">
            <v>Geen eisen gesteld</v>
          </cell>
          <cell r="AM13" t="str">
            <v>Pas de exigences</v>
          </cell>
          <cell r="AN13" t="str">
            <v>kg/m³</v>
          </cell>
          <cell r="AP13">
            <v>23</v>
          </cell>
          <cell r="AQ13">
            <v>3.5</v>
          </cell>
          <cell r="AR13">
            <v>32.76</v>
          </cell>
          <cell r="AS13">
            <v>34.680999999999997</v>
          </cell>
          <cell r="AT13">
            <v>280.8</v>
          </cell>
          <cell r="AU13" t="str">
            <v>CD3</v>
          </cell>
          <cell r="AX13">
            <v>41.39</v>
          </cell>
          <cell r="AY13" t="str">
            <v>01.02.2015</v>
          </cell>
          <cell r="AZ13">
            <v>0</v>
          </cell>
          <cell r="BA13" t="str">
            <v>00.00.0000</v>
          </cell>
          <cell r="BB13" t="str">
            <v>M2</v>
          </cell>
          <cell r="BC13" t="str">
            <v>M2</v>
          </cell>
          <cell r="BD13">
            <v>2</v>
          </cell>
          <cell r="BE13">
            <v>3496250065734</v>
          </cell>
        </row>
        <row r="14">
          <cell r="A14" t="str">
            <v>DC3752600</v>
          </cell>
          <cell r="C14" t="str">
            <v>B1BEB03B001B001</v>
          </cell>
          <cell r="D14" t="str">
            <v>Doublissimo® 32 13+50 M2</v>
          </cell>
          <cell r="E14" t="str">
            <v>B1BE</v>
          </cell>
          <cell r="F14" t="str">
            <v>Doublage Issimo 32 M2</v>
          </cell>
          <cell r="G14" t="str">
            <v>DC3752600</v>
          </cell>
          <cell r="H14" t="str">
            <v>bestaand</v>
          </cell>
          <cell r="I14" t="str">
            <v>01.01.2013</v>
          </cell>
          <cell r="J14" t="str">
            <v>Yes</v>
          </cell>
          <cell r="K14" t="str">
            <v>Professional</v>
          </cell>
          <cell r="L14" t="str">
            <v>DOUBLISSIMO</v>
          </cell>
          <cell r="M14" t="str">
            <v>DOUBLISSIMO 12,5/50</v>
          </cell>
          <cell r="N14" t="str">
            <v>DOUBLISSIMO 13/50 2600 X 1200 WP/19</v>
          </cell>
          <cell r="O14" t="str">
            <v>Doublissimo®E 1.60 13+50 260 P19</v>
          </cell>
          <cell r="P14" t="str">
            <v>blauw</v>
          </cell>
          <cell r="Q14" t="str">
            <v>bleu</v>
          </cell>
          <cell r="R14" t="str">
            <v>grijs EPS</v>
          </cell>
          <cell r="S14" t="str">
            <v>EPS gris</v>
          </cell>
          <cell r="T14" t="str">
            <v>NBN EN 13950:2014</v>
          </cell>
          <cell r="U14" t="str">
            <v>A</v>
          </cell>
          <cell r="V14" t="str">
            <v>Doublis</v>
          </cell>
          <cell r="Y14" t="str">
            <v>thermisch en akoestisch isolerend bekledingspaneel</v>
          </cell>
          <cell r="AB14" t="str">
            <v>SG_GY_2013_B1BEB03B001</v>
          </cell>
          <cell r="AC14" t="str">
            <v>ABA</v>
          </cell>
          <cell r="AE14">
            <v>13</v>
          </cell>
          <cell r="AH14" t="str">
            <v>+/-0.5</v>
          </cell>
          <cell r="AI14">
            <v>0</v>
          </cell>
          <cell r="AJ14">
            <v>0</v>
          </cell>
          <cell r="AL14" t="str">
            <v>Geen eisen gesteld</v>
          </cell>
          <cell r="AM14" t="str">
            <v>Pas de exigences</v>
          </cell>
          <cell r="AN14" t="str">
            <v>kg/m³</v>
          </cell>
          <cell r="AP14">
            <v>32</v>
          </cell>
          <cell r="AQ14">
            <v>1.6</v>
          </cell>
          <cell r="AR14">
            <v>31.902000000000001</v>
          </cell>
          <cell r="AS14">
            <v>35.137999999999998</v>
          </cell>
          <cell r="AT14">
            <v>196.56</v>
          </cell>
          <cell r="AU14" t="str">
            <v>CD3</v>
          </cell>
          <cell r="AV14" t="str">
            <v>WP : Wegwerppallet</v>
          </cell>
          <cell r="AW14">
            <v>7</v>
          </cell>
          <cell r="AX14">
            <v>17.93</v>
          </cell>
          <cell r="AY14" t="str">
            <v>01.02.2015</v>
          </cell>
          <cell r="AZ14">
            <v>0</v>
          </cell>
          <cell r="BA14" t="str">
            <v>00.00.0000</v>
          </cell>
          <cell r="BB14" t="str">
            <v>M2</v>
          </cell>
          <cell r="BC14" t="str">
            <v>M2</v>
          </cell>
          <cell r="BD14" t="str">
            <v>S</v>
          </cell>
          <cell r="BE14">
            <v>3496250055766</v>
          </cell>
        </row>
        <row r="15">
          <cell r="A15" t="str">
            <v>G100628</v>
          </cell>
          <cell r="B15" t="str">
            <v>G100628</v>
          </cell>
          <cell r="C15" t="str">
            <v>A1AAA01A001A011</v>
          </cell>
          <cell r="D15" t="str">
            <v>Gyproc® A BA 10 60 M2</v>
          </cell>
          <cell r="E15" t="str">
            <v>A1AA</v>
          </cell>
          <cell r="F15" t="str">
            <v>Platen Standaard M2</v>
          </cell>
          <cell r="G15" t="str">
            <v>ZIB00002</v>
          </cell>
          <cell r="H15" t="str">
            <v>bestaand</v>
          </cell>
          <cell r="I15" t="str">
            <v>01.01.2013</v>
          </cell>
          <cell r="J15" t="str">
            <v>Yes</v>
          </cell>
          <cell r="K15" t="str">
            <v>Prof + DIY</v>
          </cell>
          <cell r="L15" t="str">
            <v>Gyproc</v>
          </cell>
          <cell r="M15" t="str">
            <v>Gyproc A</v>
          </cell>
          <cell r="N15" t="str">
            <v>GY ABA A 9.5 X 2600 X 600 DP/100 ZOZ</v>
          </cell>
          <cell r="O15" t="str">
            <v>GY ABA A 9.5 X 2600 X 600 DP/100 ZOZ</v>
          </cell>
          <cell r="P15" t="str">
            <v>ivoor</v>
          </cell>
          <cell r="Q15" t="str">
            <v>ivoire</v>
          </cell>
          <cell r="R15" t="str">
            <v>grijs</v>
          </cell>
          <cell r="S15" t="str">
            <v>gris</v>
          </cell>
          <cell r="T15" t="str">
            <v>NBN EN 520:2009</v>
          </cell>
          <cell r="U15" t="str">
            <v>A</v>
          </cell>
          <cell r="V15" t="str">
            <v>A</v>
          </cell>
          <cell r="Y15" t="str">
            <v>gipsplaat voor droge binnenafbouw</v>
          </cell>
          <cell r="AA15" t="str">
            <v>A2-s1, d0 (B)</v>
          </cell>
          <cell r="AB15" t="str">
            <v>SG GY 2013 A1AAA01A001</v>
          </cell>
          <cell r="AC15" t="str">
            <v>ABA</v>
          </cell>
          <cell r="AD15" t="str">
            <v>ZOZ: zichtzijde op zichtzijde</v>
          </cell>
          <cell r="AE15">
            <v>9.5</v>
          </cell>
          <cell r="AH15" t="str">
            <v>+/-0.5</v>
          </cell>
          <cell r="AI15">
            <v>0</v>
          </cell>
          <cell r="AJ15">
            <v>0</v>
          </cell>
          <cell r="AK15">
            <v>1220</v>
          </cell>
          <cell r="AL15" t="str">
            <v>Geen eisen gesteld</v>
          </cell>
          <cell r="AM15" t="str">
            <v>Pas de exigences</v>
          </cell>
          <cell r="AN15" t="str">
            <v>kg/m³</v>
          </cell>
          <cell r="AP15">
            <v>0.25</v>
          </cell>
          <cell r="AQ15">
            <v>0.04</v>
          </cell>
          <cell r="AR15">
            <v>11.076000000000001</v>
          </cell>
          <cell r="AS15">
            <v>11.407999999999999</v>
          </cell>
          <cell r="AT15">
            <v>20.28</v>
          </cell>
          <cell r="AU15" t="str">
            <v>CD3</v>
          </cell>
          <cell r="AV15" t="str">
            <v>DP : Duitse Pallet</v>
          </cell>
          <cell r="AW15">
            <v>3</v>
          </cell>
          <cell r="AX15">
            <v>4.09</v>
          </cell>
          <cell r="AY15" t="str">
            <v>01.02.2015</v>
          </cell>
          <cell r="AZ15">
            <v>0</v>
          </cell>
          <cell r="BA15" t="str">
            <v>00.00.0000</v>
          </cell>
          <cell r="BB15" t="str">
            <v>M2</v>
          </cell>
          <cell r="BC15" t="str">
            <v>M2</v>
          </cell>
          <cell r="BD15" t="str">
            <v>S</v>
          </cell>
          <cell r="BE15">
            <v>5413218400008</v>
          </cell>
        </row>
        <row r="16">
          <cell r="A16" t="str">
            <v>G100660</v>
          </cell>
          <cell r="B16" t="str">
            <v>G100660</v>
          </cell>
          <cell r="C16" t="str">
            <v>A1AAA01A003A016</v>
          </cell>
          <cell r="D16" t="str">
            <v>Gyproc® A BA 13 60 M2</v>
          </cell>
          <cell r="E16" t="str">
            <v>A1AA</v>
          </cell>
          <cell r="F16" t="str">
            <v>Platen Standaard M2</v>
          </cell>
          <cell r="G16" t="str">
            <v>ZIB00032</v>
          </cell>
          <cell r="H16" t="str">
            <v>bestaand</v>
          </cell>
          <cell r="I16" t="str">
            <v>01.01.2013</v>
          </cell>
          <cell r="J16" t="str">
            <v>Yes</v>
          </cell>
          <cell r="K16" t="str">
            <v>Prof + DIY</v>
          </cell>
          <cell r="L16" t="str">
            <v>Gyproc</v>
          </cell>
          <cell r="M16" t="str">
            <v>Gyproc A</v>
          </cell>
          <cell r="N16" t="str">
            <v>GY ABA A 12.5 X 2600 X 600 DP/80 ZOZ</v>
          </cell>
          <cell r="O16" t="str">
            <v>GY ABA A 12.5 X 2600 X 600 DP/80 ZOZ</v>
          </cell>
          <cell r="P16" t="str">
            <v>ivoor</v>
          </cell>
          <cell r="Q16" t="str">
            <v>ivoire</v>
          </cell>
          <cell r="R16" t="str">
            <v>grijs</v>
          </cell>
          <cell r="S16" t="str">
            <v>gris</v>
          </cell>
          <cell r="T16" t="str">
            <v>NBN EN 520:2009</v>
          </cell>
          <cell r="U16" t="str">
            <v>A</v>
          </cell>
          <cell r="V16" t="str">
            <v>A</v>
          </cell>
          <cell r="Y16" t="str">
            <v>gipsplaat voor droge binnenafbouw</v>
          </cell>
          <cell r="AA16" t="str">
            <v>A2-s1, d0 (B)</v>
          </cell>
          <cell r="AB16" t="str">
            <v>SG GY 2013 A1AAA01A003</v>
          </cell>
          <cell r="AC16" t="str">
            <v>ABA</v>
          </cell>
          <cell r="AD16" t="str">
            <v>ZOZ: zichtzijde op zichtzijde</v>
          </cell>
          <cell r="AE16">
            <v>12.5</v>
          </cell>
          <cell r="AH16" t="str">
            <v>+/-0.5</v>
          </cell>
          <cell r="AI16">
            <v>0</v>
          </cell>
          <cell r="AJ16">
            <v>0</v>
          </cell>
          <cell r="AK16">
            <v>1221</v>
          </cell>
          <cell r="AL16" t="str">
            <v>Geen eisen gesteld</v>
          </cell>
          <cell r="AM16" t="str">
            <v>Pas de exigences</v>
          </cell>
          <cell r="AN16" t="str">
            <v>kg/m³</v>
          </cell>
          <cell r="AP16">
            <v>0.25</v>
          </cell>
          <cell r="AQ16">
            <v>0.05</v>
          </cell>
          <cell r="AR16">
            <v>14.18</v>
          </cell>
          <cell r="AS16">
            <v>14.227</v>
          </cell>
          <cell r="AT16">
            <v>24.18</v>
          </cell>
          <cell r="AU16" t="str">
            <v>CD3</v>
          </cell>
          <cell r="AV16" t="str">
            <v>DP : Duitse Pallet</v>
          </cell>
          <cell r="AW16">
            <v>3</v>
          </cell>
          <cell r="AX16">
            <v>4.25</v>
          </cell>
          <cell r="AY16" t="str">
            <v>01.02.2015</v>
          </cell>
          <cell r="AZ16">
            <v>0</v>
          </cell>
          <cell r="BA16" t="str">
            <v>00.00.0000</v>
          </cell>
          <cell r="BB16" t="str">
            <v>M2</v>
          </cell>
          <cell r="BC16" t="str">
            <v>M2</v>
          </cell>
          <cell r="BD16" t="str">
            <v>S</v>
          </cell>
          <cell r="BE16">
            <v>4002806015185</v>
          </cell>
        </row>
        <row r="17">
          <cell r="A17" t="str">
            <v>G100670</v>
          </cell>
          <cell r="B17" t="str">
            <v>G100670</v>
          </cell>
          <cell r="C17" t="str">
            <v>A1AAA01A003A016</v>
          </cell>
          <cell r="D17" t="str">
            <v>Gyproc® A BA 13 60 M2</v>
          </cell>
          <cell r="E17" t="str">
            <v>A1AA</v>
          </cell>
          <cell r="F17" t="str">
            <v>Platen Standaard M2</v>
          </cell>
          <cell r="G17" t="str">
            <v>ZIB00032</v>
          </cell>
          <cell r="H17" t="str">
            <v>bestaand</v>
          </cell>
          <cell r="I17" t="str">
            <v>01.01.2013</v>
          </cell>
          <cell r="J17" t="str">
            <v>Yes</v>
          </cell>
          <cell r="K17" t="str">
            <v>Prof + DIY</v>
          </cell>
          <cell r="L17" t="str">
            <v>Gyproc</v>
          </cell>
          <cell r="M17" t="str">
            <v>Gyproc A</v>
          </cell>
          <cell r="N17" t="str">
            <v>GY ABA A 12.5 X 3000 X 600 DP/80 ZOZ</v>
          </cell>
          <cell r="O17" t="str">
            <v>GY ABA A 12.5 X 3000 X 600 DP/80 ZOZ</v>
          </cell>
          <cell r="P17" t="str">
            <v>ivoor</v>
          </cell>
          <cell r="Q17" t="str">
            <v>ivoire</v>
          </cell>
          <cell r="R17" t="str">
            <v>grijs</v>
          </cell>
          <cell r="S17" t="str">
            <v>gris</v>
          </cell>
          <cell r="T17" t="str">
            <v>NBN EN 520:2009</v>
          </cell>
          <cell r="U17" t="str">
            <v>A</v>
          </cell>
          <cell r="V17" t="str">
            <v>A</v>
          </cell>
          <cell r="Y17" t="str">
            <v>gipsplaat voor droge binnenafbouw</v>
          </cell>
          <cell r="AA17" t="str">
            <v>A2-s1, d0 (B)</v>
          </cell>
          <cell r="AB17" t="str">
            <v>SG GY 2013 A1AAA01A003</v>
          </cell>
          <cell r="AC17" t="str">
            <v>ABA</v>
          </cell>
          <cell r="AD17" t="str">
            <v>ZOZ: zichtzijde op zichtzijde</v>
          </cell>
          <cell r="AE17">
            <v>12.5</v>
          </cell>
          <cell r="AH17" t="str">
            <v>+/-0.5</v>
          </cell>
          <cell r="AI17">
            <v>0</v>
          </cell>
          <cell r="AJ17">
            <v>0</v>
          </cell>
          <cell r="AK17">
            <v>1221</v>
          </cell>
          <cell r="AL17" t="str">
            <v>Geen eisen gesteld</v>
          </cell>
          <cell r="AM17" t="str">
            <v>Pas de exigences</v>
          </cell>
          <cell r="AN17" t="str">
            <v>kg/m³</v>
          </cell>
          <cell r="AP17">
            <v>0.25</v>
          </cell>
          <cell r="AQ17">
            <v>0.05</v>
          </cell>
          <cell r="AR17">
            <v>16.38</v>
          </cell>
          <cell r="AS17">
            <v>16.870999999999999</v>
          </cell>
          <cell r="AT17">
            <v>17.899999999999999</v>
          </cell>
          <cell r="AU17" t="str">
            <v>CD3</v>
          </cell>
          <cell r="AV17" t="str">
            <v>DP : Duitse Pallet</v>
          </cell>
          <cell r="AW17">
            <v>3</v>
          </cell>
          <cell r="AX17">
            <v>4.25</v>
          </cell>
          <cell r="AY17" t="str">
            <v>01.02.2015</v>
          </cell>
          <cell r="AZ17">
            <v>0</v>
          </cell>
          <cell r="BA17" t="str">
            <v>00.00.0000</v>
          </cell>
          <cell r="BB17" t="str">
            <v>M2</v>
          </cell>
          <cell r="BC17" t="str">
            <v>M2</v>
          </cell>
          <cell r="BD17" t="str">
            <v>S</v>
          </cell>
          <cell r="BE17">
            <v>8711149901371</v>
          </cell>
        </row>
        <row r="18">
          <cell r="A18" t="str">
            <v>G100676</v>
          </cell>
          <cell r="B18" t="str">
            <v>G100676</v>
          </cell>
          <cell r="C18" t="str">
            <v>A1ABA07A001A006</v>
          </cell>
          <cell r="D18" t="str">
            <v>Gyproc® WR ABA 10 M2</v>
          </cell>
          <cell r="E18" t="str">
            <v>A1AB</v>
          </cell>
          <cell r="F18" t="str">
            <v>Technische platen M2</v>
          </cell>
          <cell r="G18" t="str">
            <v>ZIB00018</v>
          </cell>
          <cell r="H18" t="str">
            <v>bestaand</v>
          </cell>
          <cell r="I18" t="str">
            <v>01.01.2013</v>
          </cell>
          <cell r="J18" t="str">
            <v>Yes</v>
          </cell>
          <cell r="K18" t="str">
            <v>Prof + DIY</v>
          </cell>
          <cell r="L18" t="str">
            <v>Gyproc</v>
          </cell>
          <cell r="M18" t="str">
            <v>Gyproc WR</v>
          </cell>
          <cell r="N18" t="str">
            <v>GY ABA WR 9.5 X 2600 X 600 DP/52 ZOZ</v>
          </cell>
          <cell r="O18" t="str">
            <v>GY ABA WR 9.5 X 2600 X 600 DP/52 ZOZ</v>
          </cell>
          <cell r="P18" t="str">
            <v>groen</v>
          </cell>
          <cell r="Q18" t="str">
            <v>vert</v>
          </cell>
          <cell r="R18" t="str">
            <v>grijs</v>
          </cell>
          <cell r="S18" t="str">
            <v>gris</v>
          </cell>
          <cell r="T18" t="str">
            <v>NBN EN 520:2009</v>
          </cell>
          <cell r="U18" t="str">
            <v>H2</v>
          </cell>
          <cell r="V18" t="str">
            <v>WR</v>
          </cell>
          <cell r="Y18" t="str">
            <v>gipsplaat voor droge binnenafbouw</v>
          </cell>
          <cell r="AA18" t="str">
            <v>A2-s1, d0 (B)</v>
          </cell>
          <cell r="AB18" t="str">
            <v>SG GY 2013 A1ABA07A001</v>
          </cell>
          <cell r="AC18" t="str">
            <v>ABA</v>
          </cell>
          <cell r="AD18" t="str">
            <v>ZOZ: zichtzijde op zichtzijde</v>
          </cell>
          <cell r="AE18">
            <v>9.5</v>
          </cell>
          <cell r="AH18" t="str">
            <v>+/-0.5</v>
          </cell>
          <cell r="AI18">
            <v>0</v>
          </cell>
          <cell r="AJ18">
            <v>0</v>
          </cell>
          <cell r="AK18">
            <v>1154</v>
          </cell>
          <cell r="AL18" t="str">
            <v>Geen eisen gesteld</v>
          </cell>
          <cell r="AM18" t="str">
            <v>Pas de exigences</v>
          </cell>
          <cell r="AN18" t="str">
            <v>kg/m³</v>
          </cell>
          <cell r="AP18">
            <v>0.25</v>
          </cell>
          <cell r="AQ18">
            <v>0.04</v>
          </cell>
          <cell r="AR18">
            <v>13.26</v>
          </cell>
          <cell r="AS18">
            <v>13.923</v>
          </cell>
          <cell r="AT18">
            <v>15.6</v>
          </cell>
          <cell r="AU18" t="str">
            <v>CD3</v>
          </cell>
          <cell r="AV18" t="str">
            <v>DP : Duitse Pallet</v>
          </cell>
          <cell r="AW18">
            <v>3</v>
          </cell>
          <cell r="AX18">
            <v>6.85</v>
          </cell>
          <cell r="AY18" t="str">
            <v>01.02.2015</v>
          </cell>
          <cell r="AZ18">
            <v>0</v>
          </cell>
          <cell r="BA18" t="str">
            <v>00.00.0000</v>
          </cell>
          <cell r="BB18" t="str">
            <v>M2</v>
          </cell>
          <cell r="BC18" t="str">
            <v>M2</v>
          </cell>
          <cell r="BD18" t="str">
            <v>S</v>
          </cell>
          <cell r="BE18">
            <v>5413218400169</v>
          </cell>
        </row>
        <row r="19">
          <cell r="A19" t="str">
            <v>G100755</v>
          </cell>
          <cell r="B19" t="str">
            <v>G100755</v>
          </cell>
          <cell r="C19" t="str">
            <v>A1AAA01A001A010</v>
          </cell>
          <cell r="D19" t="str">
            <v>Gyproc® A BA 10 120 M2</v>
          </cell>
          <cell r="E19" t="str">
            <v>A1AA</v>
          </cell>
          <cell r="F19" t="str">
            <v>Platen Standaard M2</v>
          </cell>
          <cell r="G19" t="str">
            <v>ZIB00003</v>
          </cell>
          <cell r="H19" t="str">
            <v>bestaand</v>
          </cell>
          <cell r="I19" t="str">
            <v>01.01.2013</v>
          </cell>
          <cell r="J19" t="str">
            <v>Yes</v>
          </cell>
          <cell r="K19" t="str">
            <v>Professional</v>
          </cell>
          <cell r="L19" t="str">
            <v>Gyproc</v>
          </cell>
          <cell r="M19" t="str">
            <v>Gyproc A</v>
          </cell>
          <cell r="N19" t="str">
            <v>GY ABA A 9.5 X 2000 X 1200 DP/66 ZOZ</v>
          </cell>
          <cell r="O19" t="str">
            <v>GY ABA A 9.5 X 2000 X 1200 DP/66 ZOZ</v>
          </cell>
          <cell r="P19" t="str">
            <v>ivoor</v>
          </cell>
          <cell r="Q19" t="str">
            <v>ivoire</v>
          </cell>
          <cell r="R19" t="str">
            <v>grijs</v>
          </cell>
          <cell r="S19" t="str">
            <v>gris</v>
          </cell>
          <cell r="T19" t="str">
            <v>NBN EN 520:2009</v>
          </cell>
          <cell r="U19" t="str">
            <v>A</v>
          </cell>
          <cell r="V19" t="str">
            <v>A</v>
          </cell>
          <cell r="Y19" t="str">
            <v>gipsplaat voor droge binnenafbouw</v>
          </cell>
          <cell r="AA19" t="str">
            <v>A2-s1, d0 (B)</v>
          </cell>
          <cell r="AB19" t="str">
            <v>SG GY 2013 A1AAA01A001</v>
          </cell>
          <cell r="AC19" t="str">
            <v>ABA</v>
          </cell>
          <cell r="AD19" t="str">
            <v>ZOZ: zichtzijde op zichtzijde</v>
          </cell>
          <cell r="AE19">
            <v>9.5</v>
          </cell>
          <cell r="AH19" t="str">
            <v>+/-0.5</v>
          </cell>
          <cell r="AI19">
            <v>0</v>
          </cell>
          <cell r="AJ19">
            <v>0</v>
          </cell>
          <cell r="AK19">
            <v>1222</v>
          </cell>
          <cell r="AL19" t="str">
            <v>Geen eisen gesteld</v>
          </cell>
          <cell r="AM19" t="str">
            <v>Pas de exigences</v>
          </cell>
          <cell r="AN19" t="str">
            <v>kg/m³</v>
          </cell>
          <cell r="AP19">
            <v>0.25</v>
          </cell>
          <cell r="AQ19">
            <v>0.04</v>
          </cell>
          <cell r="AR19">
            <v>17.04</v>
          </cell>
          <cell r="AS19">
            <v>17.550999999999998</v>
          </cell>
          <cell r="AT19">
            <v>24</v>
          </cell>
          <cell r="AU19" t="str">
            <v>CD3</v>
          </cell>
          <cell r="AV19" t="str">
            <v>DP : Duitse Pallet</v>
          </cell>
          <cell r="AW19">
            <v>3</v>
          </cell>
          <cell r="AX19">
            <v>4.09</v>
          </cell>
          <cell r="AY19" t="str">
            <v>01.02.2015</v>
          </cell>
          <cell r="AZ19">
            <v>0</v>
          </cell>
          <cell r="BA19" t="str">
            <v>00.00.0000</v>
          </cell>
          <cell r="BB19" t="str">
            <v>M2</v>
          </cell>
          <cell r="BC19" t="str">
            <v>M2</v>
          </cell>
          <cell r="BD19" t="str">
            <v>S</v>
          </cell>
          <cell r="BE19">
            <v>5413218001823</v>
          </cell>
        </row>
        <row r="20">
          <cell r="A20" t="str">
            <v>G100760</v>
          </cell>
          <cell r="B20" t="str">
            <v>G100760</v>
          </cell>
          <cell r="C20" t="str">
            <v>A1AAA01A001A010</v>
          </cell>
          <cell r="D20" t="str">
            <v>Gyproc® A BA 10 120 M2</v>
          </cell>
          <cell r="E20" t="str">
            <v>A1AA</v>
          </cell>
          <cell r="F20" t="str">
            <v>Platen Standaard M2</v>
          </cell>
          <cell r="G20" t="str">
            <v>ZIB00003</v>
          </cell>
          <cell r="H20" t="str">
            <v>bestaand</v>
          </cell>
          <cell r="I20" t="str">
            <v>01.01.2013</v>
          </cell>
          <cell r="J20" t="str">
            <v>Yes</v>
          </cell>
          <cell r="K20" t="str">
            <v>Professional</v>
          </cell>
          <cell r="L20" t="str">
            <v>Gyproc</v>
          </cell>
          <cell r="M20" t="str">
            <v>Gyproc A</v>
          </cell>
          <cell r="N20" t="str">
            <v>GY ABA A 9.5 X 2400 X 1200 DP/66 ZOZ</v>
          </cell>
          <cell r="O20" t="str">
            <v>GY ABA A 9.5 X 2400 X 1200 DP/66 ZOZ</v>
          </cell>
          <cell r="P20" t="str">
            <v>ivoor</v>
          </cell>
          <cell r="Q20" t="str">
            <v>ivoire</v>
          </cell>
          <cell r="R20" t="str">
            <v>grijs</v>
          </cell>
          <cell r="S20" t="str">
            <v>gris</v>
          </cell>
          <cell r="T20" t="str">
            <v>NBN EN 520:2009</v>
          </cell>
          <cell r="U20" t="str">
            <v>A</v>
          </cell>
          <cell r="V20" t="str">
            <v>A</v>
          </cell>
          <cell r="Y20" t="str">
            <v>gipsplaat voor droge binnenafbouw</v>
          </cell>
          <cell r="AA20" t="str">
            <v>A2-s1, d0 (B)</v>
          </cell>
          <cell r="AB20" t="str">
            <v>SG GY 2013 A1AAA01A001</v>
          </cell>
          <cell r="AC20" t="str">
            <v>ABA</v>
          </cell>
          <cell r="AD20" t="str">
            <v>ZOZ: zichtzijde op zichtzijde</v>
          </cell>
          <cell r="AE20">
            <v>9.5</v>
          </cell>
          <cell r="AH20" t="str">
            <v>+/-0.5</v>
          </cell>
          <cell r="AI20">
            <v>0</v>
          </cell>
          <cell r="AJ20">
            <v>0</v>
          </cell>
          <cell r="AK20">
            <v>1222</v>
          </cell>
          <cell r="AL20" t="str">
            <v>Geen eisen gesteld</v>
          </cell>
          <cell r="AM20" t="str">
            <v>Pas de exigences</v>
          </cell>
          <cell r="AN20" t="str">
            <v>kg/m³</v>
          </cell>
          <cell r="AP20">
            <v>0.25</v>
          </cell>
          <cell r="AQ20">
            <v>0.04</v>
          </cell>
          <cell r="AR20">
            <v>20.448</v>
          </cell>
          <cell r="AS20">
            <v>21.061</v>
          </cell>
          <cell r="AT20">
            <v>28.8</v>
          </cell>
          <cell r="AU20" t="str">
            <v>CD3</v>
          </cell>
          <cell r="AV20" t="str">
            <v>DP : Duitse Pallet</v>
          </cell>
          <cell r="AW20">
            <v>3</v>
          </cell>
          <cell r="AX20">
            <v>4.09</v>
          </cell>
          <cell r="AY20" t="str">
            <v>01.02.2015</v>
          </cell>
          <cell r="AZ20">
            <v>0</v>
          </cell>
          <cell r="BA20" t="str">
            <v>00.00.0000</v>
          </cell>
          <cell r="BB20" t="str">
            <v>M2</v>
          </cell>
          <cell r="BC20" t="str">
            <v>M2</v>
          </cell>
          <cell r="BD20" t="str">
            <v>S</v>
          </cell>
          <cell r="BE20">
            <v>5413218001830</v>
          </cell>
        </row>
        <row r="21">
          <cell r="A21" t="str">
            <v>G100803</v>
          </cell>
          <cell r="B21" t="str">
            <v>G100803</v>
          </cell>
          <cell r="C21" t="str">
            <v>A1ABA03A002A001</v>
          </cell>
          <cell r="D21" t="str">
            <v>Gyproc® 4xABA 10 / 1200 M2</v>
          </cell>
          <cell r="E21" t="str">
            <v>A1AB</v>
          </cell>
          <cell r="F21" t="str">
            <v>Technische platen M2</v>
          </cell>
          <cell r="G21" t="str">
            <v>ZIB00007</v>
          </cell>
          <cell r="H21" t="str">
            <v>bestaand</v>
          </cell>
          <cell r="I21" t="str">
            <v>01.01.2013</v>
          </cell>
          <cell r="J21" t="str">
            <v>Yes</v>
          </cell>
          <cell r="K21" t="str">
            <v>Professional</v>
          </cell>
          <cell r="L21" t="str">
            <v>Gyproc</v>
          </cell>
          <cell r="M21" t="str">
            <v>Gyproc A</v>
          </cell>
          <cell r="N21" t="str">
            <v>GY 4XABA A 9.5 X 2600 X 1200 DP/66 ZZB</v>
          </cell>
          <cell r="O21" t="str">
            <v>GY 4XABA A 9.5 X 2600 X 1200 DP/66 ZZB</v>
          </cell>
          <cell r="P21" t="str">
            <v>ivoor</v>
          </cell>
          <cell r="Q21" t="str">
            <v>ivoire</v>
          </cell>
          <cell r="R21" t="str">
            <v>grijs</v>
          </cell>
          <cell r="S21" t="str">
            <v>gris</v>
          </cell>
          <cell r="T21" t="str">
            <v>NBN EN 14190:2014</v>
          </cell>
          <cell r="U21" t="str">
            <v>A</v>
          </cell>
          <cell r="V21" t="str">
            <v>A</v>
          </cell>
          <cell r="W21" t="str">
            <v>gipskartonplaat met 4 afgeschuinde boorden</v>
          </cell>
          <cell r="Y21" t="str">
            <v>gipsplaat voor droge binnenafbouw</v>
          </cell>
          <cell r="AA21" t="str">
            <v>A2-s1, d0 (C.2)</v>
          </cell>
          <cell r="AB21" t="str">
            <v>SG GY 2013 A1ABA03A002</v>
          </cell>
          <cell r="AC21" t="str">
            <v>4xABA</v>
          </cell>
          <cell r="AD21" t="str">
            <v>ZZB: zichtzijde boven</v>
          </cell>
          <cell r="AE21">
            <v>9.5</v>
          </cell>
          <cell r="AH21" t="str">
            <v>+/-0.5</v>
          </cell>
          <cell r="AI21">
            <v>0</v>
          </cell>
          <cell r="AJ21">
            <v>0</v>
          </cell>
          <cell r="AL21" t="str">
            <v>Geen eisen gesteld</v>
          </cell>
          <cell r="AM21" t="str">
            <v>Pas de exigences</v>
          </cell>
          <cell r="AN21" t="str">
            <v>kg/m³</v>
          </cell>
          <cell r="AP21">
            <v>0.25</v>
          </cell>
          <cell r="AQ21">
            <v>0.04</v>
          </cell>
          <cell r="AR21">
            <v>22.15</v>
          </cell>
          <cell r="AS21">
            <v>23.257999999999999</v>
          </cell>
          <cell r="AT21">
            <v>31.2</v>
          </cell>
          <cell r="AU21" t="str">
            <v>CD3</v>
          </cell>
          <cell r="AV21" t="str">
            <v>DP : Duitse Pallet</v>
          </cell>
          <cell r="AW21">
            <v>3</v>
          </cell>
          <cell r="AX21">
            <v>5.3</v>
          </cell>
          <cell r="AY21" t="str">
            <v>01.02.2015</v>
          </cell>
          <cell r="AZ21">
            <v>0</v>
          </cell>
          <cell r="BA21" t="str">
            <v>00.00.0000</v>
          </cell>
          <cell r="BB21" t="str">
            <v>M2</v>
          </cell>
          <cell r="BC21" t="str">
            <v>M2</v>
          </cell>
          <cell r="BD21" t="str">
            <v>S</v>
          </cell>
          <cell r="BE21">
            <v>5413218000499</v>
          </cell>
        </row>
        <row r="22">
          <cell r="A22" t="str">
            <v>G100804</v>
          </cell>
          <cell r="B22" t="str">
            <v>G100804</v>
          </cell>
          <cell r="C22" t="str">
            <v>A1ABA03A002A001</v>
          </cell>
          <cell r="D22" t="str">
            <v>Gyproc® 4xABA 10 / 1200 M2</v>
          </cell>
          <cell r="E22" t="str">
            <v>A1AB</v>
          </cell>
          <cell r="F22" t="str">
            <v>Technische platen M2</v>
          </cell>
          <cell r="G22" t="str">
            <v>ZIB00007</v>
          </cell>
          <cell r="H22" t="str">
            <v>bestaand</v>
          </cell>
          <cell r="I22" t="str">
            <v>01.01.2013</v>
          </cell>
          <cell r="J22" t="str">
            <v>Yes</v>
          </cell>
          <cell r="K22" t="str">
            <v>Professional</v>
          </cell>
          <cell r="L22" t="str">
            <v>Gyproc</v>
          </cell>
          <cell r="M22" t="str">
            <v>Gyproc A</v>
          </cell>
          <cell r="N22" t="str">
            <v>GY 4XABA A 9.5 X 2600 X 1200 DP/20 ZZB</v>
          </cell>
          <cell r="O22" t="str">
            <v>GY 4XABA A 9.5 X 2600 X 1200 DP/20 ZZB</v>
          </cell>
          <cell r="P22" t="str">
            <v>ivoor</v>
          </cell>
          <cell r="Q22" t="str">
            <v>ivoire</v>
          </cell>
          <cell r="R22" t="str">
            <v>grijs</v>
          </cell>
          <cell r="S22" t="str">
            <v>gris</v>
          </cell>
          <cell r="T22" t="str">
            <v>NBN EN 14190:2014</v>
          </cell>
          <cell r="U22" t="str">
            <v>A</v>
          </cell>
          <cell r="V22" t="str">
            <v>A</v>
          </cell>
          <cell r="W22" t="str">
            <v>gipskartonplaat met 4 afgeschuinde boorden</v>
          </cell>
          <cell r="Y22" t="str">
            <v>gipsplaat voor droge binnenafbouw</v>
          </cell>
          <cell r="AA22" t="str">
            <v>A2-s1, d0 (C.2)</v>
          </cell>
          <cell r="AB22" t="str">
            <v>SG GY 2013 A1ABA03A002</v>
          </cell>
          <cell r="AC22" t="str">
            <v>4xABA</v>
          </cell>
          <cell r="AD22" t="str">
            <v>ZZB: zichtzijde boven</v>
          </cell>
          <cell r="AE22">
            <v>9.5</v>
          </cell>
          <cell r="AH22" t="str">
            <v>+/-0.5</v>
          </cell>
          <cell r="AI22">
            <v>0</v>
          </cell>
          <cell r="AJ22">
            <v>0</v>
          </cell>
          <cell r="AL22" t="str">
            <v>Geen eisen gesteld</v>
          </cell>
          <cell r="AM22" t="str">
            <v>Pas de exigences</v>
          </cell>
          <cell r="AN22" t="str">
            <v>kg/m³</v>
          </cell>
          <cell r="AP22">
            <v>0.25</v>
          </cell>
          <cell r="AQ22">
            <v>0.04</v>
          </cell>
          <cell r="AR22">
            <v>22.15</v>
          </cell>
          <cell r="AS22">
            <v>23.257999999999999</v>
          </cell>
          <cell r="AT22">
            <v>31.2</v>
          </cell>
          <cell r="AU22" t="str">
            <v>CD3</v>
          </cell>
          <cell r="AV22" t="str">
            <v>DP : Duitse Pallet</v>
          </cell>
          <cell r="AW22">
            <v>3</v>
          </cell>
          <cell r="AX22">
            <v>5.3</v>
          </cell>
          <cell r="AY22" t="str">
            <v>01.02.2015</v>
          </cell>
          <cell r="AZ22">
            <v>0</v>
          </cell>
          <cell r="BA22" t="str">
            <v>00.00.0000</v>
          </cell>
          <cell r="BB22" t="str">
            <v>M2</v>
          </cell>
          <cell r="BC22" t="str">
            <v>M2</v>
          </cell>
          <cell r="BD22">
            <v>1</v>
          </cell>
          <cell r="BE22">
            <v>5413218000499</v>
          </cell>
        </row>
        <row r="23">
          <cell r="A23" t="str">
            <v>G100806</v>
          </cell>
          <cell r="B23" t="str">
            <v>G100806</v>
          </cell>
          <cell r="C23" t="str">
            <v>A1ABA03A002A001</v>
          </cell>
          <cell r="D23" t="str">
            <v>Gyproc® 4xABA 10 / 1200 M2</v>
          </cell>
          <cell r="E23" t="str">
            <v>A1AB</v>
          </cell>
          <cell r="F23" t="str">
            <v>Technische platen M2</v>
          </cell>
          <cell r="G23" t="str">
            <v>ZIB00007</v>
          </cell>
          <cell r="H23" t="str">
            <v>bestaand</v>
          </cell>
          <cell r="I23" t="str">
            <v>01.01.2013</v>
          </cell>
          <cell r="J23" t="str">
            <v>Yes</v>
          </cell>
          <cell r="K23" t="str">
            <v>Professional</v>
          </cell>
          <cell r="L23" t="str">
            <v>Gyproc</v>
          </cell>
          <cell r="M23" t="str">
            <v>Gyproc A</v>
          </cell>
          <cell r="N23" t="str">
            <v>GY 4XABA A 9.5 X 3000 X 1200 DP/48 ZZB</v>
          </cell>
          <cell r="O23" t="str">
            <v>GY 4XABA A 9.5 X 3000 X 1200 DP/48 ZZB</v>
          </cell>
          <cell r="P23" t="str">
            <v>ivoor</v>
          </cell>
          <cell r="Q23" t="str">
            <v>ivoire</v>
          </cell>
          <cell r="R23" t="str">
            <v>grijs</v>
          </cell>
          <cell r="S23" t="str">
            <v>gris</v>
          </cell>
          <cell r="T23" t="str">
            <v>NBN EN 14190:2014</v>
          </cell>
          <cell r="U23" t="str">
            <v>A</v>
          </cell>
          <cell r="V23" t="str">
            <v>A</v>
          </cell>
          <cell r="W23" t="str">
            <v>gipskartonplaat met 4 afgeschuinde boorden</v>
          </cell>
          <cell r="Y23" t="str">
            <v>gipsplaat voor droge binnenafbouw</v>
          </cell>
          <cell r="AA23" t="str">
            <v>A2-s1, d0 (C.2)</v>
          </cell>
          <cell r="AB23" t="str">
            <v>SG GY 2013 A1ABA03A002</v>
          </cell>
          <cell r="AC23" t="str">
            <v>4xABA</v>
          </cell>
          <cell r="AD23" t="str">
            <v>ZZB: zichtzijde boven</v>
          </cell>
          <cell r="AE23">
            <v>9.5</v>
          </cell>
          <cell r="AH23" t="str">
            <v>+/-0.5</v>
          </cell>
          <cell r="AI23">
            <v>0</v>
          </cell>
          <cell r="AJ23">
            <v>0</v>
          </cell>
          <cell r="AL23" t="str">
            <v>Geen eisen gesteld</v>
          </cell>
          <cell r="AM23" t="str">
            <v>Pas de exigences</v>
          </cell>
          <cell r="AN23" t="str">
            <v>kg/m³</v>
          </cell>
          <cell r="AP23">
            <v>0.25</v>
          </cell>
          <cell r="AQ23">
            <v>0.04</v>
          </cell>
          <cell r="AR23">
            <v>25.56</v>
          </cell>
          <cell r="AS23">
            <v>26.838000000000001</v>
          </cell>
          <cell r="AT23">
            <v>36</v>
          </cell>
          <cell r="AU23" t="str">
            <v>CD3</v>
          </cell>
          <cell r="AV23" t="str">
            <v>DP : Duitse Pallet</v>
          </cell>
          <cell r="AW23">
            <v>3</v>
          </cell>
          <cell r="AX23">
            <v>5.3</v>
          </cell>
          <cell r="AY23" t="str">
            <v>01.02.2015</v>
          </cell>
          <cell r="AZ23">
            <v>0</v>
          </cell>
          <cell r="BA23" t="str">
            <v>00.00.0000</v>
          </cell>
          <cell r="BB23" t="str">
            <v>M2</v>
          </cell>
          <cell r="BC23" t="str">
            <v>M2</v>
          </cell>
          <cell r="BD23">
            <v>2</v>
          </cell>
          <cell r="BE23">
            <v>5413218000505</v>
          </cell>
        </row>
        <row r="24">
          <cell r="A24" t="str">
            <v>G100863</v>
          </cell>
          <cell r="B24" t="str">
            <v>G100863</v>
          </cell>
          <cell r="C24" t="str">
            <v>A1AAA07A001A016</v>
          </cell>
          <cell r="D24" t="str">
            <v>Gyplat 400 M2</v>
          </cell>
          <cell r="E24" t="str">
            <v>A1AA</v>
          </cell>
          <cell r="F24" t="str">
            <v>Platen Standaard M2</v>
          </cell>
          <cell r="G24" t="str">
            <v>ZIB00025</v>
          </cell>
          <cell r="H24" t="str">
            <v>bestaand</v>
          </cell>
          <cell r="I24" t="str">
            <v>01.01.2013</v>
          </cell>
          <cell r="J24" t="str">
            <v>Yes</v>
          </cell>
          <cell r="K24" t="str">
            <v>Professional</v>
          </cell>
          <cell r="L24" t="str">
            <v>Gyproc</v>
          </cell>
          <cell r="M24" t="str">
            <v>Gyplat</v>
          </cell>
          <cell r="N24" t="str">
            <v>GYPLAT RBR 9.5 X 2000 X 400 DP/270</v>
          </cell>
          <cell r="O24" t="str">
            <v>GYPLAT RBR 9.5 X 2000 X 400 DP/270</v>
          </cell>
          <cell r="P24" t="str">
            <v>grijs</v>
          </cell>
          <cell r="Q24" t="str">
            <v>gris</v>
          </cell>
          <cell r="R24" t="str">
            <v>grijs</v>
          </cell>
          <cell r="S24" t="str">
            <v>gris</v>
          </cell>
          <cell r="T24" t="str">
            <v>NBN EN 520:2009</v>
          </cell>
          <cell r="U24" t="str">
            <v>P</v>
          </cell>
          <cell r="V24" t="str">
            <v>P</v>
          </cell>
          <cell r="Y24" t="str">
            <v>gipsplaat voor droge binnenafbouw</v>
          </cell>
          <cell r="AA24" t="str">
            <v>A2-s1, d0 (B)</v>
          </cell>
          <cell r="AB24" t="str">
            <v>SG GY 2013 A1AAA07A001</v>
          </cell>
          <cell r="AC24" t="str">
            <v>RBR</v>
          </cell>
          <cell r="AD24" t="str">
            <v>ZOZ: zichtzijde op zichtzijde</v>
          </cell>
          <cell r="AE24">
            <v>9.5</v>
          </cell>
          <cell r="AH24" t="str">
            <v>+/-0.6</v>
          </cell>
          <cell r="AI24">
            <v>0</v>
          </cell>
          <cell r="AJ24">
            <v>0</v>
          </cell>
          <cell r="AL24" t="str">
            <v>Geen eisen gesteld</v>
          </cell>
          <cell r="AM24" t="str">
            <v>Pas de exigences</v>
          </cell>
          <cell r="AN24" t="str">
            <v>kg/m³</v>
          </cell>
          <cell r="AP24">
            <v>0.25</v>
          </cell>
          <cell r="AQ24">
            <v>0.04</v>
          </cell>
          <cell r="AR24">
            <v>5.68</v>
          </cell>
          <cell r="AS24">
            <v>5.85</v>
          </cell>
          <cell r="AT24">
            <v>8</v>
          </cell>
          <cell r="AU24" t="str">
            <v>CD3</v>
          </cell>
          <cell r="AV24" t="str">
            <v>DP : Duitse Pallet</v>
          </cell>
          <cell r="AW24">
            <v>3</v>
          </cell>
          <cell r="AX24">
            <v>4.3</v>
          </cell>
          <cell r="AY24" t="str">
            <v>01.02.2015</v>
          </cell>
          <cell r="AZ24">
            <v>0</v>
          </cell>
          <cell r="BA24" t="str">
            <v>00.00.0000</v>
          </cell>
          <cell r="BB24" t="str">
            <v>M2</v>
          </cell>
          <cell r="BC24" t="str">
            <v>M2</v>
          </cell>
          <cell r="BD24" t="str">
            <v>S</v>
          </cell>
          <cell r="BE24">
            <v>4002806121633</v>
          </cell>
        </row>
        <row r="25">
          <cell r="A25" t="str">
            <v>G100880</v>
          </cell>
          <cell r="B25" t="str">
            <v>G100880</v>
          </cell>
          <cell r="C25" t="str">
            <v>A1AAA01A003A014</v>
          </cell>
          <cell r="D25" t="str">
            <v>Gyproc® A BA 13 120 M2</v>
          </cell>
          <cell r="E25" t="str">
            <v>A1AA</v>
          </cell>
          <cell r="F25" t="str">
            <v>Platen Standaard M2</v>
          </cell>
          <cell r="G25" t="str">
            <v>ZIB00031</v>
          </cell>
          <cell r="H25" t="str">
            <v>bestaand</v>
          </cell>
          <cell r="I25" t="str">
            <v>01.01.2013</v>
          </cell>
          <cell r="J25" t="str">
            <v>Yes</v>
          </cell>
          <cell r="K25" t="str">
            <v>Professional</v>
          </cell>
          <cell r="L25" t="str">
            <v>Gyproc</v>
          </cell>
          <cell r="M25" t="str">
            <v>Gyproc A</v>
          </cell>
          <cell r="N25" t="str">
            <v>GY ABA A 12.5 X 2400 X 1200 DP/20 ZOZ</v>
          </cell>
          <cell r="O25" t="str">
            <v>GY ABA A 12.5 X 2400 X 1200 DP/20 ZOZ</v>
          </cell>
          <cell r="P25" t="str">
            <v>ivoor</v>
          </cell>
          <cell r="Q25" t="str">
            <v>ivoire</v>
          </cell>
          <cell r="R25" t="str">
            <v>grijs</v>
          </cell>
          <cell r="S25" t="str">
            <v>gris</v>
          </cell>
          <cell r="T25" t="str">
            <v>NBN EN 520:2009</v>
          </cell>
          <cell r="U25" t="str">
            <v>A</v>
          </cell>
          <cell r="V25" t="str">
            <v>A</v>
          </cell>
          <cell r="Y25" t="str">
            <v>gipsplaat voor droge binnenafbouw</v>
          </cell>
          <cell r="AA25" t="str">
            <v>A2-s1, d0 (B)</v>
          </cell>
          <cell r="AB25" t="str">
            <v>SG GY 2013 A1AAA01A003</v>
          </cell>
          <cell r="AC25" t="str">
            <v>ABA</v>
          </cell>
          <cell r="AD25" t="str">
            <v>ZOZ: zichtzijde op zichtzijde</v>
          </cell>
          <cell r="AE25">
            <v>12.5</v>
          </cell>
          <cell r="AH25" t="str">
            <v>+/-0.5</v>
          </cell>
          <cell r="AI25">
            <v>0</v>
          </cell>
          <cell r="AJ25">
            <v>0</v>
          </cell>
          <cell r="AK25">
            <v>1223</v>
          </cell>
          <cell r="AL25" t="str">
            <v>Geen eisen gesteld</v>
          </cell>
          <cell r="AM25" t="str">
            <v>Pas de exigences</v>
          </cell>
          <cell r="AN25" t="str">
            <v>kg/m³</v>
          </cell>
          <cell r="AP25">
            <v>0.25</v>
          </cell>
          <cell r="AQ25">
            <v>0.05</v>
          </cell>
          <cell r="AR25">
            <v>26.207999999999998</v>
          </cell>
          <cell r="AS25">
            <v>26.994</v>
          </cell>
          <cell r="AT25">
            <v>37.44</v>
          </cell>
          <cell r="AU25" t="str">
            <v>CD3</v>
          </cell>
          <cell r="AV25" t="str">
            <v>DP : Duitse Pallet</v>
          </cell>
          <cell r="AW25">
            <v>3</v>
          </cell>
          <cell r="AX25">
            <v>4.25</v>
          </cell>
          <cell r="AY25" t="str">
            <v>01.02.2015</v>
          </cell>
          <cell r="AZ25">
            <v>0</v>
          </cell>
          <cell r="BA25" t="str">
            <v>00.00.0000</v>
          </cell>
          <cell r="BB25" t="str">
            <v>M2</v>
          </cell>
          <cell r="BC25" t="str">
            <v>M2</v>
          </cell>
          <cell r="BD25" t="str">
            <v>S</v>
          </cell>
          <cell r="BE25">
            <v>5413218000147</v>
          </cell>
        </row>
        <row r="26">
          <cell r="A26" t="str">
            <v>G100901</v>
          </cell>
          <cell r="B26" t="str">
            <v>G100901</v>
          </cell>
          <cell r="C26" t="str">
            <v>A1AAA01A003A014</v>
          </cell>
          <cell r="D26" t="str">
            <v>Gyproc® A BA 13 120 M2</v>
          </cell>
          <cell r="E26" t="str">
            <v>A1AA</v>
          </cell>
          <cell r="F26" t="str">
            <v>Platen Standaard M2</v>
          </cell>
          <cell r="G26" t="str">
            <v>ZIB00031</v>
          </cell>
          <cell r="H26" t="str">
            <v>bestaand</v>
          </cell>
          <cell r="I26" t="str">
            <v>01.01.2013</v>
          </cell>
          <cell r="J26" t="str">
            <v>Yes</v>
          </cell>
          <cell r="K26" t="str">
            <v>Professional</v>
          </cell>
          <cell r="L26" t="str">
            <v>Gyproc</v>
          </cell>
          <cell r="M26" t="str">
            <v>Gyproc A</v>
          </cell>
          <cell r="N26" t="str">
            <v>GY ABA A 12.5 X 2600 X 1200 DP/20 ZOZ</v>
          </cell>
          <cell r="O26" t="str">
            <v>GY ABA A 12.5 X 2600 X 1200 DP/20 ZOZ</v>
          </cell>
          <cell r="P26" t="str">
            <v>ivoor</v>
          </cell>
          <cell r="Q26" t="str">
            <v>ivoire</v>
          </cell>
          <cell r="R26" t="str">
            <v>grijs</v>
          </cell>
          <cell r="S26" t="str">
            <v>gris</v>
          </cell>
          <cell r="T26" t="str">
            <v>NBN EN 520:2009</v>
          </cell>
          <cell r="U26" t="str">
            <v>A</v>
          </cell>
          <cell r="V26" t="str">
            <v>A</v>
          </cell>
          <cell r="Y26" t="str">
            <v>gipsplaat voor droge binnenafbouw</v>
          </cell>
          <cell r="AA26" t="str">
            <v>A2-s1, d0 (B)</v>
          </cell>
          <cell r="AB26" t="str">
            <v>SG GY 2013 A1AAA01A003</v>
          </cell>
          <cell r="AC26" t="str">
            <v>ABA</v>
          </cell>
          <cell r="AD26" t="str">
            <v>ZOZ: zichtzijde op zichtzijde</v>
          </cell>
          <cell r="AE26">
            <v>12.5</v>
          </cell>
          <cell r="AH26" t="str">
            <v>+/-0.5</v>
          </cell>
          <cell r="AI26">
            <v>0</v>
          </cell>
          <cell r="AJ26">
            <v>0</v>
          </cell>
          <cell r="AK26">
            <v>1223</v>
          </cell>
          <cell r="AL26" t="str">
            <v>Geen eisen gesteld</v>
          </cell>
          <cell r="AM26" t="str">
            <v>Pas de exigences</v>
          </cell>
          <cell r="AN26" t="str">
            <v>kg/m³</v>
          </cell>
          <cell r="AP26">
            <v>0.25</v>
          </cell>
          <cell r="AQ26">
            <v>0.05</v>
          </cell>
          <cell r="AR26">
            <v>28.391999999999999</v>
          </cell>
          <cell r="AS26">
            <v>29.244</v>
          </cell>
          <cell r="AT26">
            <v>40.56</v>
          </cell>
          <cell r="AU26" t="str">
            <v>CD3</v>
          </cell>
          <cell r="AV26" t="str">
            <v>DP : Duitse Pallet</v>
          </cell>
          <cell r="AW26">
            <v>3</v>
          </cell>
          <cell r="AX26">
            <v>4.25</v>
          </cell>
          <cell r="AY26" t="str">
            <v>01.02.2015</v>
          </cell>
          <cell r="AZ26">
            <v>0</v>
          </cell>
          <cell r="BA26" t="str">
            <v>00.00.0000</v>
          </cell>
          <cell r="BB26" t="str">
            <v>M2</v>
          </cell>
          <cell r="BC26" t="str">
            <v>M2</v>
          </cell>
          <cell r="BD26" t="str">
            <v>S</v>
          </cell>
          <cell r="BE26">
            <v>5413218000161</v>
          </cell>
        </row>
        <row r="27">
          <cell r="A27" t="str">
            <v>G100904</v>
          </cell>
          <cell r="B27" t="str">
            <v>G100904</v>
          </cell>
          <cell r="C27" t="str">
            <v>A1AAA01A003A014</v>
          </cell>
          <cell r="D27" t="str">
            <v>Gyproc® A BA 13 120 M2</v>
          </cell>
          <cell r="E27" t="str">
            <v>A1AA</v>
          </cell>
          <cell r="F27" t="str">
            <v>Platen Standaard M2</v>
          </cell>
          <cell r="G27" t="str">
            <v>ZIB00031</v>
          </cell>
          <cell r="H27" t="str">
            <v>bestaand</v>
          </cell>
          <cell r="I27" t="str">
            <v>01.01.2013</v>
          </cell>
          <cell r="J27" t="str">
            <v>Yes</v>
          </cell>
          <cell r="K27" t="str">
            <v>Professional</v>
          </cell>
          <cell r="L27" t="str">
            <v>Gyproc</v>
          </cell>
          <cell r="M27" t="str">
            <v>Gyproc A</v>
          </cell>
          <cell r="N27" t="str">
            <v>GY ABA A 12.5 X 2600 X 1200 DP/50 ZOZ</v>
          </cell>
          <cell r="O27" t="str">
            <v>GY ABA A 12.5 X 2600 X 1200 DP/50 ZOZ</v>
          </cell>
          <cell r="P27" t="str">
            <v>ivoor</v>
          </cell>
          <cell r="Q27" t="str">
            <v>ivoire</v>
          </cell>
          <cell r="R27" t="str">
            <v>grijs</v>
          </cell>
          <cell r="S27" t="str">
            <v>gris</v>
          </cell>
          <cell r="T27" t="str">
            <v>NBN EN 520:2009</v>
          </cell>
          <cell r="U27" t="str">
            <v>A</v>
          </cell>
          <cell r="V27" t="str">
            <v>A</v>
          </cell>
          <cell r="Y27" t="str">
            <v>gipsplaat voor droge binnenafbouw</v>
          </cell>
          <cell r="AA27" t="str">
            <v>A2-s1, d0 (B)</v>
          </cell>
          <cell r="AB27" t="str">
            <v>SG GY 2013 A1AAA01A003</v>
          </cell>
          <cell r="AC27" t="str">
            <v>ABA</v>
          </cell>
          <cell r="AD27" t="str">
            <v>ZOZ: zichtzijde op zichtzijde</v>
          </cell>
          <cell r="AE27">
            <v>12.5</v>
          </cell>
          <cell r="AH27" t="str">
            <v>+/-0.5</v>
          </cell>
          <cell r="AI27">
            <v>0</v>
          </cell>
          <cell r="AJ27">
            <v>0</v>
          </cell>
          <cell r="AK27">
            <v>1223</v>
          </cell>
          <cell r="AL27" t="str">
            <v>Geen eisen gesteld</v>
          </cell>
          <cell r="AM27" t="str">
            <v>Pas de exigences</v>
          </cell>
          <cell r="AN27" t="str">
            <v>kg/m³</v>
          </cell>
          <cell r="AP27">
            <v>0.25</v>
          </cell>
          <cell r="AQ27">
            <v>0.05</v>
          </cell>
          <cell r="AR27">
            <v>28.391999999999999</v>
          </cell>
          <cell r="AS27">
            <v>29</v>
          </cell>
          <cell r="AT27">
            <v>40.56</v>
          </cell>
          <cell r="AU27" t="str">
            <v>CD3</v>
          </cell>
          <cell r="AV27" t="str">
            <v>DP : Duitse Pallet</v>
          </cell>
          <cell r="AW27">
            <v>3</v>
          </cell>
          <cell r="AX27">
            <v>4.25</v>
          </cell>
          <cell r="AY27" t="str">
            <v>01.02.2015</v>
          </cell>
          <cell r="AZ27">
            <v>0</v>
          </cell>
          <cell r="BA27" t="str">
            <v>00.00.0000</v>
          </cell>
          <cell r="BB27" t="str">
            <v>M2</v>
          </cell>
          <cell r="BC27" t="str">
            <v>M2</v>
          </cell>
          <cell r="BD27" t="str">
            <v>S</v>
          </cell>
          <cell r="BE27">
            <v>5413218000161</v>
          </cell>
        </row>
        <row r="28">
          <cell r="A28" t="str">
            <v>G100918</v>
          </cell>
          <cell r="B28" t="str">
            <v>G100918</v>
          </cell>
          <cell r="C28" t="str">
            <v>A1AAA01A003A014</v>
          </cell>
          <cell r="D28" t="str">
            <v>Gyproc® A BA 13 120 M2</v>
          </cell>
          <cell r="E28" t="str">
            <v>A1AA</v>
          </cell>
          <cell r="F28" t="str">
            <v>Platen Standaard M2</v>
          </cell>
          <cell r="G28" t="str">
            <v>ZIB00031</v>
          </cell>
          <cell r="H28" t="str">
            <v>bestaand</v>
          </cell>
          <cell r="I28" t="str">
            <v>01.01.2013</v>
          </cell>
          <cell r="J28" t="str">
            <v>Yes</v>
          </cell>
          <cell r="K28" t="str">
            <v>Professional</v>
          </cell>
          <cell r="L28" t="str">
            <v>Gyproc</v>
          </cell>
          <cell r="M28" t="str">
            <v>Gyproc A</v>
          </cell>
          <cell r="N28" t="str">
            <v>GY ABA A 12.5 X 2800 X 1200 DP/20 ZOZ</v>
          </cell>
          <cell r="O28" t="str">
            <v>GY ABA A 12.5 X 2800 X 1200 DP/20 ZOZ</v>
          </cell>
          <cell r="P28" t="str">
            <v>ivoor</v>
          </cell>
          <cell r="Q28" t="str">
            <v>ivoire</v>
          </cell>
          <cell r="R28" t="str">
            <v>grijs</v>
          </cell>
          <cell r="S28" t="str">
            <v>gris</v>
          </cell>
          <cell r="T28" t="str">
            <v>NBN EN 520:2009</v>
          </cell>
          <cell r="U28" t="str">
            <v>A</v>
          </cell>
          <cell r="V28" t="str">
            <v>A</v>
          </cell>
          <cell r="Y28" t="str">
            <v>gipsplaat voor droge binnenafbouw</v>
          </cell>
          <cell r="AA28" t="str">
            <v>A2-s1, d0 (B)</v>
          </cell>
          <cell r="AB28" t="str">
            <v>SG GY 2013 A1AAA01A003</v>
          </cell>
          <cell r="AC28" t="str">
            <v>ABA</v>
          </cell>
          <cell r="AD28" t="str">
            <v>ZOZ: zichtzijde op zichtzijde</v>
          </cell>
          <cell r="AE28">
            <v>12.5</v>
          </cell>
          <cell r="AH28" t="str">
            <v>+/-0.5</v>
          </cell>
          <cell r="AI28">
            <v>0</v>
          </cell>
          <cell r="AJ28">
            <v>0</v>
          </cell>
          <cell r="AK28">
            <v>1223</v>
          </cell>
          <cell r="AL28" t="str">
            <v>Geen eisen gesteld</v>
          </cell>
          <cell r="AM28" t="str">
            <v>Pas de exigences</v>
          </cell>
          <cell r="AN28" t="str">
            <v>kg/m³</v>
          </cell>
          <cell r="AP28">
            <v>0.25</v>
          </cell>
          <cell r="AQ28">
            <v>0.05</v>
          </cell>
          <cell r="AR28">
            <v>30.576000000000001</v>
          </cell>
          <cell r="AS28">
            <v>31.492999999999999</v>
          </cell>
          <cell r="AT28">
            <v>43.68</v>
          </cell>
          <cell r="AU28" t="str">
            <v>CD3</v>
          </cell>
          <cell r="AV28" t="str">
            <v>DP : Duitse Pallet</v>
          </cell>
          <cell r="AW28">
            <v>3</v>
          </cell>
          <cell r="AX28">
            <v>4.25</v>
          </cell>
          <cell r="AY28" t="str">
            <v>01.02.2015</v>
          </cell>
          <cell r="AZ28">
            <v>0</v>
          </cell>
          <cell r="BA28" t="str">
            <v>00.00.0000</v>
          </cell>
          <cell r="BB28" t="str">
            <v>M2</v>
          </cell>
          <cell r="BC28" t="str">
            <v>M2</v>
          </cell>
          <cell r="BD28" t="str">
            <v>S</v>
          </cell>
          <cell r="BE28">
            <v>5413218000178</v>
          </cell>
        </row>
        <row r="29">
          <cell r="A29" t="str">
            <v>G100921</v>
          </cell>
          <cell r="B29" t="str">
            <v>G100921</v>
          </cell>
          <cell r="C29" t="str">
            <v>A1AAA01A003A014</v>
          </cell>
          <cell r="D29" t="str">
            <v>Gyproc® A BA 13 120 M2</v>
          </cell>
          <cell r="E29" t="str">
            <v>A1AA</v>
          </cell>
          <cell r="F29" t="str">
            <v>Platen Standaard M2</v>
          </cell>
          <cell r="G29" t="str">
            <v>ZIB00031</v>
          </cell>
          <cell r="H29" t="str">
            <v>bestaand</v>
          </cell>
          <cell r="I29" t="str">
            <v>01.01.2013</v>
          </cell>
          <cell r="J29" t="str">
            <v>Yes</v>
          </cell>
          <cell r="K29" t="str">
            <v>Professional</v>
          </cell>
          <cell r="L29" t="str">
            <v>Gyproc</v>
          </cell>
          <cell r="M29" t="str">
            <v>Gyproc A</v>
          </cell>
          <cell r="N29" t="str">
            <v>GY ABA A 12.5 X 2800 X 1200 DP/50 ZOZ</v>
          </cell>
          <cell r="O29" t="str">
            <v>GY ABA A 12.5 X 2800 X 1200 DP/50 ZOZ</v>
          </cell>
          <cell r="P29" t="str">
            <v>ivoor</v>
          </cell>
          <cell r="Q29" t="str">
            <v>ivoire</v>
          </cell>
          <cell r="R29" t="str">
            <v>grijs</v>
          </cell>
          <cell r="S29" t="str">
            <v>gris</v>
          </cell>
          <cell r="T29" t="str">
            <v>NBN EN 520:2009</v>
          </cell>
          <cell r="U29" t="str">
            <v>A</v>
          </cell>
          <cell r="V29" t="str">
            <v>A</v>
          </cell>
          <cell r="Y29" t="str">
            <v>gipsplaat voor droge binnenafbouw</v>
          </cell>
          <cell r="AA29" t="str">
            <v>A2-s1, d0 (B)</v>
          </cell>
          <cell r="AB29" t="str">
            <v>SG GY 2013 A1AAA01A003</v>
          </cell>
          <cell r="AC29" t="str">
            <v>ABA</v>
          </cell>
          <cell r="AD29" t="str">
            <v>ZOZ: zichtzijde op zichtzijde</v>
          </cell>
          <cell r="AE29">
            <v>12.5</v>
          </cell>
          <cell r="AH29" t="str">
            <v>+/-0.5</v>
          </cell>
          <cell r="AI29">
            <v>0</v>
          </cell>
          <cell r="AJ29">
            <v>0</v>
          </cell>
          <cell r="AK29">
            <v>1223</v>
          </cell>
          <cell r="AL29" t="str">
            <v>Geen eisen gesteld</v>
          </cell>
          <cell r="AM29" t="str">
            <v>Pas de exigences</v>
          </cell>
          <cell r="AN29" t="str">
            <v>kg/m³</v>
          </cell>
          <cell r="AP29">
            <v>0.25</v>
          </cell>
          <cell r="AQ29">
            <v>0.05</v>
          </cell>
          <cell r="AR29">
            <v>30.576000000000001</v>
          </cell>
          <cell r="AS29">
            <v>31.492999999999999</v>
          </cell>
          <cell r="AT29">
            <v>43.68</v>
          </cell>
          <cell r="AU29" t="str">
            <v>CD3</v>
          </cell>
          <cell r="AV29" t="str">
            <v>DP : Duitse Pallet</v>
          </cell>
          <cell r="AW29">
            <v>3</v>
          </cell>
          <cell r="AX29">
            <v>4.25</v>
          </cell>
          <cell r="AY29" t="str">
            <v>01.02.2015</v>
          </cell>
          <cell r="AZ29">
            <v>0</v>
          </cell>
          <cell r="BA29" t="str">
            <v>00.00.0000</v>
          </cell>
          <cell r="BB29" t="str">
            <v>M2</v>
          </cell>
          <cell r="BC29" t="str">
            <v>M2</v>
          </cell>
          <cell r="BD29" t="str">
            <v>S</v>
          </cell>
          <cell r="BE29">
            <v>5413218000178</v>
          </cell>
        </row>
        <row r="30">
          <cell r="A30" t="str">
            <v>G100926</v>
          </cell>
          <cell r="B30" t="str">
            <v>G100926</v>
          </cell>
          <cell r="C30" t="str">
            <v>A1AAA01A003A014</v>
          </cell>
          <cell r="D30" t="str">
            <v>Gyproc® A BA 13 120 M2</v>
          </cell>
          <cell r="E30" t="str">
            <v>A1AA</v>
          </cell>
          <cell r="F30" t="str">
            <v>Platen Standaard M2</v>
          </cell>
          <cell r="G30" t="str">
            <v>ZIB00031</v>
          </cell>
          <cell r="H30" t="str">
            <v>bestaand</v>
          </cell>
          <cell r="I30" t="str">
            <v>01.01.2013</v>
          </cell>
          <cell r="J30" t="str">
            <v>Yes</v>
          </cell>
          <cell r="K30" t="str">
            <v>Professional</v>
          </cell>
          <cell r="L30" t="str">
            <v>Gyproc</v>
          </cell>
          <cell r="M30" t="str">
            <v>Gyproc A</v>
          </cell>
          <cell r="N30" t="str">
            <v>GY ABA A 12.5 X 3000 X 1200 DP/40 ZOZ</v>
          </cell>
          <cell r="O30" t="str">
            <v>GY ABA A 12.5 X 3000 X 1200 DP/40 ZOZ</v>
          </cell>
          <cell r="P30" t="str">
            <v>ivoor</v>
          </cell>
          <cell r="Q30" t="str">
            <v>ivoire</v>
          </cell>
          <cell r="R30" t="str">
            <v>grijs</v>
          </cell>
          <cell r="S30" t="str">
            <v>gris</v>
          </cell>
          <cell r="T30" t="str">
            <v>NBN EN 520:2009</v>
          </cell>
          <cell r="U30" t="str">
            <v>A</v>
          </cell>
          <cell r="V30" t="str">
            <v>A</v>
          </cell>
          <cell r="Y30" t="str">
            <v>gipsplaat voor droge binnenafbouw</v>
          </cell>
          <cell r="AA30" t="str">
            <v>A2-s1, d0 (B)</v>
          </cell>
          <cell r="AB30" t="str">
            <v>SG GY 2013 A1AAA01A003</v>
          </cell>
          <cell r="AC30" t="str">
            <v>ABA</v>
          </cell>
          <cell r="AD30" t="str">
            <v>ZOZ: zichtzijde op zichtzijde</v>
          </cell>
          <cell r="AE30">
            <v>12.5</v>
          </cell>
          <cell r="AH30" t="str">
            <v>+/-0.5</v>
          </cell>
          <cell r="AI30">
            <v>0</v>
          </cell>
          <cell r="AJ30">
            <v>0</v>
          </cell>
          <cell r="AK30">
            <v>1223</v>
          </cell>
          <cell r="AL30" t="str">
            <v>Geen eisen gesteld</v>
          </cell>
          <cell r="AM30" t="str">
            <v>Pas de exigences</v>
          </cell>
          <cell r="AN30" t="str">
            <v>kg/m³</v>
          </cell>
          <cell r="AP30">
            <v>0.25</v>
          </cell>
          <cell r="AQ30">
            <v>0.05</v>
          </cell>
          <cell r="AR30">
            <v>32.76</v>
          </cell>
          <cell r="AS30">
            <v>33.743000000000002</v>
          </cell>
          <cell r="AT30">
            <v>55.8</v>
          </cell>
          <cell r="AU30" t="str">
            <v>CD3</v>
          </cell>
          <cell r="AV30" t="str">
            <v>DP : Duitse Pallet</v>
          </cell>
          <cell r="AW30">
            <v>3</v>
          </cell>
          <cell r="AX30">
            <v>4.25</v>
          </cell>
          <cell r="AY30" t="str">
            <v>01.02.2015</v>
          </cell>
          <cell r="AZ30">
            <v>0</v>
          </cell>
          <cell r="BA30" t="str">
            <v>00.00.0000</v>
          </cell>
          <cell r="BB30" t="str">
            <v>M2</v>
          </cell>
          <cell r="BC30" t="str">
            <v>M2</v>
          </cell>
          <cell r="BD30" t="str">
            <v>S</v>
          </cell>
          <cell r="BE30">
            <v>5413218000185</v>
          </cell>
        </row>
        <row r="31">
          <cell r="A31" t="str">
            <v>G100927</v>
          </cell>
          <cell r="B31" t="str">
            <v>G100927</v>
          </cell>
          <cell r="C31" t="str">
            <v>A1AAA01A003A014</v>
          </cell>
          <cell r="D31" t="str">
            <v>Gyproc® A BA 13 120 M2</v>
          </cell>
          <cell r="E31" t="str">
            <v>A1AA</v>
          </cell>
          <cell r="F31" t="str">
            <v>Platen Standaard M2</v>
          </cell>
          <cell r="G31" t="str">
            <v>ZIB00031</v>
          </cell>
          <cell r="H31" t="str">
            <v>bestaand</v>
          </cell>
          <cell r="I31" t="str">
            <v>01.01.2013</v>
          </cell>
          <cell r="J31" t="str">
            <v>Yes</v>
          </cell>
          <cell r="K31" t="str">
            <v>Professional</v>
          </cell>
          <cell r="L31" t="str">
            <v>Gyproc</v>
          </cell>
          <cell r="M31" t="str">
            <v>Gyproc A</v>
          </cell>
          <cell r="N31" t="str">
            <v>GY ABA A 12.5 X 3000 X 1200 DP/20 ZOZ</v>
          </cell>
          <cell r="O31" t="str">
            <v>GY ABA A 12.5 X 3000 X 1200 DP/20 ZOZ</v>
          </cell>
          <cell r="P31" t="str">
            <v>ivoor</v>
          </cell>
          <cell r="Q31" t="str">
            <v>ivoire</v>
          </cell>
          <cell r="R31" t="str">
            <v>grijs</v>
          </cell>
          <cell r="S31" t="str">
            <v>gris</v>
          </cell>
          <cell r="T31" t="str">
            <v>NBN EN 520:2009</v>
          </cell>
          <cell r="U31" t="str">
            <v>A</v>
          </cell>
          <cell r="V31" t="str">
            <v>A</v>
          </cell>
          <cell r="Y31" t="str">
            <v>gipsplaat voor droge binnenafbouw</v>
          </cell>
          <cell r="AA31" t="str">
            <v>A2-s1, d0 (B)</v>
          </cell>
          <cell r="AB31" t="str">
            <v>SG GY 2013 A1AAA01A003</v>
          </cell>
          <cell r="AC31" t="str">
            <v>ABA</v>
          </cell>
          <cell r="AD31" t="str">
            <v>ZOZ: zichtzijde op zichtzijde</v>
          </cell>
          <cell r="AE31">
            <v>12.5</v>
          </cell>
          <cell r="AH31" t="str">
            <v>+/-0.5</v>
          </cell>
          <cell r="AI31">
            <v>0</v>
          </cell>
          <cell r="AJ31">
            <v>0</v>
          </cell>
          <cell r="AK31">
            <v>1223</v>
          </cell>
          <cell r="AL31" t="str">
            <v>Geen eisen gesteld</v>
          </cell>
          <cell r="AM31" t="str">
            <v>Pas de exigences</v>
          </cell>
          <cell r="AN31" t="str">
            <v>kg/m³</v>
          </cell>
          <cell r="AP31">
            <v>0.25</v>
          </cell>
          <cell r="AQ31">
            <v>0.05</v>
          </cell>
          <cell r="AR31">
            <v>32.76</v>
          </cell>
          <cell r="AS31">
            <v>33.743000000000002</v>
          </cell>
          <cell r="AT31">
            <v>46.8</v>
          </cell>
          <cell r="AU31" t="str">
            <v>CD3</v>
          </cell>
          <cell r="AV31" t="str">
            <v>DP : Duitse Pallet</v>
          </cell>
          <cell r="AW31">
            <v>3</v>
          </cell>
          <cell r="AX31">
            <v>4.25</v>
          </cell>
          <cell r="AY31" t="str">
            <v>01.02.2015</v>
          </cell>
          <cell r="AZ31">
            <v>0</v>
          </cell>
          <cell r="BA31" t="str">
            <v>00.00.0000</v>
          </cell>
          <cell r="BB31" t="str">
            <v>M2</v>
          </cell>
          <cell r="BC31" t="str">
            <v>M2</v>
          </cell>
          <cell r="BD31" t="str">
            <v>S</v>
          </cell>
          <cell r="BE31">
            <v>5413218000185</v>
          </cell>
        </row>
        <row r="32">
          <cell r="A32" t="str">
            <v>G100941</v>
          </cell>
          <cell r="B32" t="str">
            <v>G100941</v>
          </cell>
          <cell r="C32" t="str">
            <v>A1AAA01A003A014</v>
          </cell>
          <cell r="D32" t="str">
            <v>Gyproc® A BA 13 120 M2</v>
          </cell>
          <cell r="E32" t="str">
            <v>A1AA</v>
          </cell>
          <cell r="F32" t="str">
            <v>Platen Standaard M2</v>
          </cell>
          <cell r="G32" t="str">
            <v>ZIB00031</v>
          </cell>
          <cell r="H32" t="str">
            <v>bestaand</v>
          </cell>
          <cell r="I32" t="str">
            <v>01.01.2013</v>
          </cell>
          <cell r="J32" t="str">
            <v>Yes</v>
          </cell>
          <cell r="K32" t="str">
            <v>Professional</v>
          </cell>
          <cell r="L32" t="str">
            <v>Gyproc</v>
          </cell>
          <cell r="M32" t="str">
            <v>Gyproc A</v>
          </cell>
          <cell r="N32" t="str">
            <v>GY ABA A 12.5 X 3200 X 1200 DP/40 ZOZ</v>
          </cell>
          <cell r="O32" t="str">
            <v>GY ABA A 12.5 X 3200 X 1200 DP/40 ZOZ</v>
          </cell>
          <cell r="P32" t="str">
            <v>ivoor</v>
          </cell>
          <cell r="Q32" t="str">
            <v>ivoire</v>
          </cell>
          <cell r="R32" t="str">
            <v>grijs</v>
          </cell>
          <cell r="S32" t="str">
            <v>gris</v>
          </cell>
          <cell r="T32" t="str">
            <v>NBN EN 520:2009</v>
          </cell>
          <cell r="U32" t="str">
            <v>A</v>
          </cell>
          <cell r="V32" t="str">
            <v>A</v>
          </cell>
          <cell r="Y32" t="str">
            <v>gipsplaat voor droge binnenafbouw</v>
          </cell>
          <cell r="AA32" t="str">
            <v>A2-s1, d0 (B)</v>
          </cell>
          <cell r="AB32" t="str">
            <v>SG GY 2013 A1AAA01A003</v>
          </cell>
          <cell r="AC32" t="str">
            <v>ABA</v>
          </cell>
          <cell r="AD32" t="str">
            <v>ZOZ: zichtzijde op zichtzijde</v>
          </cell>
          <cell r="AE32">
            <v>12.5</v>
          </cell>
          <cell r="AH32" t="str">
            <v>+/-0.5</v>
          </cell>
          <cell r="AI32">
            <v>0</v>
          </cell>
          <cell r="AJ32">
            <v>0</v>
          </cell>
          <cell r="AK32">
            <v>1223</v>
          </cell>
          <cell r="AL32" t="str">
            <v>Geen eisen gesteld</v>
          </cell>
          <cell r="AM32" t="str">
            <v>Pas de exigences</v>
          </cell>
          <cell r="AN32" t="str">
            <v>kg/m³</v>
          </cell>
          <cell r="AP32">
            <v>0.25</v>
          </cell>
          <cell r="AQ32">
            <v>0.05</v>
          </cell>
          <cell r="AR32">
            <v>34.944000000000003</v>
          </cell>
          <cell r="AS32">
            <v>35.444000000000003</v>
          </cell>
          <cell r="AT32">
            <v>49.92</v>
          </cell>
          <cell r="AU32" t="str">
            <v>CD3</v>
          </cell>
          <cell r="AV32" t="str">
            <v>DP : Duitse Pallet</v>
          </cell>
          <cell r="AW32">
            <v>3</v>
          </cell>
          <cell r="AX32">
            <v>4.25</v>
          </cell>
          <cell r="AY32" t="str">
            <v>01.02.2015</v>
          </cell>
          <cell r="AZ32">
            <v>0</v>
          </cell>
          <cell r="BA32" t="str">
            <v>00.00.0000</v>
          </cell>
          <cell r="BB32" t="str">
            <v>M2</v>
          </cell>
          <cell r="BC32" t="str">
            <v>M2</v>
          </cell>
          <cell r="BD32" t="str">
            <v>S</v>
          </cell>
          <cell r="BE32">
            <v>5413218000192</v>
          </cell>
        </row>
        <row r="33">
          <cell r="A33" t="str">
            <v>G100942</v>
          </cell>
          <cell r="B33" t="str">
            <v>G100942</v>
          </cell>
          <cell r="C33" t="str">
            <v>A1AAA01A003A014</v>
          </cell>
          <cell r="D33" t="str">
            <v>Gyproc® A BA 13 120 M2</v>
          </cell>
          <cell r="E33" t="str">
            <v>A1AA</v>
          </cell>
          <cell r="F33" t="str">
            <v>Platen Standaard M2</v>
          </cell>
          <cell r="G33" t="str">
            <v>ZIB00031</v>
          </cell>
          <cell r="H33" t="str">
            <v>bestaand</v>
          </cell>
          <cell r="I33" t="str">
            <v>01.01.2013</v>
          </cell>
          <cell r="J33" t="str">
            <v>Yes</v>
          </cell>
          <cell r="K33" t="str">
            <v>Professional</v>
          </cell>
          <cell r="L33" t="str">
            <v>Gyproc</v>
          </cell>
          <cell r="M33" t="str">
            <v>Gyproc A</v>
          </cell>
          <cell r="N33" t="str">
            <v>GY ABA A 12.5 X 3200 X 1200 DP/16 ZOZ</v>
          </cell>
          <cell r="O33" t="str">
            <v>GY ABA A 12.5 X 3200 X 1200 DP/16 ZOZ</v>
          </cell>
          <cell r="P33" t="str">
            <v>ivoor</v>
          </cell>
          <cell r="Q33" t="str">
            <v>ivoire</v>
          </cell>
          <cell r="R33" t="str">
            <v>grijs</v>
          </cell>
          <cell r="S33" t="str">
            <v>gris</v>
          </cell>
          <cell r="T33" t="str">
            <v>NBN EN 520:2009</v>
          </cell>
          <cell r="U33" t="str">
            <v>A</v>
          </cell>
          <cell r="V33" t="str">
            <v>A</v>
          </cell>
          <cell r="Y33" t="str">
            <v>gipsplaat voor droge binnenafbouw</v>
          </cell>
          <cell r="AA33" t="str">
            <v>A2-s1, d0 (B)</v>
          </cell>
          <cell r="AB33" t="str">
            <v>SG GY 2013 A1AAA01A003</v>
          </cell>
          <cell r="AC33" t="str">
            <v>ABA</v>
          </cell>
          <cell r="AD33" t="str">
            <v>ZOZ: zichtzijde op zichtzijde</v>
          </cell>
          <cell r="AE33">
            <v>12.5</v>
          </cell>
          <cell r="AH33" t="str">
            <v>+/-0.5</v>
          </cell>
          <cell r="AI33">
            <v>0</v>
          </cell>
          <cell r="AJ33">
            <v>0</v>
          </cell>
          <cell r="AK33">
            <v>1223</v>
          </cell>
          <cell r="AL33" t="str">
            <v>Geen eisen gesteld</v>
          </cell>
          <cell r="AM33" t="str">
            <v>Pas de exigences</v>
          </cell>
          <cell r="AN33" t="str">
            <v>kg/m³</v>
          </cell>
          <cell r="AP33">
            <v>0.25</v>
          </cell>
          <cell r="AQ33">
            <v>0.05</v>
          </cell>
          <cell r="AR33">
            <v>34.944000000000003</v>
          </cell>
          <cell r="AS33">
            <v>35.991999999999997</v>
          </cell>
          <cell r="AT33">
            <v>49.92</v>
          </cell>
          <cell r="AU33" t="str">
            <v>CD3</v>
          </cell>
          <cell r="AV33" t="str">
            <v>DP : Duitse Pallet</v>
          </cell>
          <cell r="AW33">
            <v>3</v>
          </cell>
          <cell r="AX33">
            <v>4.25</v>
          </cell>
          <cell r="AY33" t="str">
            <v>01.02.2015</v>
          </cell>
          <cell r="AZ33">
            <v>0</v>
          </cell>
          <cell r="BA33" t="str">
            <v>00.00.0000</v>
          </cell>
          <cell r="BB33" t="str">
            <v>M2</v>
          </cell>
          <cell r="BC33" t="str">
            <v>M2</v>
          </cell>
          <cell r="BD33" t="str">
            <v>S</v>
          </cell>
          <cell r="BE33">
            <v>5413218000192</v>
          </cell>
        </row>
        <row r="34">
          <cell r="A34" t="str">
            <v>G100947</v>
          </cell>
          <cell r="B34" t="str">
            <v>G100947</v>
          </cell>
          <cell r="C34" t="str">
            <v>A1AAA01A003A014</v>
          </cell>
          <cell r="D34" t="str">
            <v>Gyproc® A BA 13 120 M2</v>
          </cell>
          <cell r="E34" t="str">
            <v>A1AA</v>
          </cell>
          <cell r="F34" t="str">
            <v>Platen Standaard M2</v>
          </cell>
          <cell r="G34" t="str">
            <v>ZIB00031</v>
          </cell>
          <cell r="H34" t="str">
            <v>bestaand</v>
          </cell>
          <cell r="I34" t="str">
            <v>01.01.2013</v>
          </cell>
          <cell r="J34" t="str">
            <v>Yes</v>
          </cell>
          <cell r="K34" t="str">
            <v>Professional</v>
          </cell>
          <cell r="L34" t="str">
            <v>Gyproc</v>
          </cell>
          <cell r="M34" t="str">
            <v>Gyproc A</v>
          </cell>
          <cell r="N34" t="str">
            <v>GY ABA A 12.5 X 3600 X 1200 DP/16 ZOZ</v>
          </cell>
          <cell r="O34" t="str">
            <v>GY ABA A 12.5 X 3600 X 1200 DP/16 ZOZ</v>
          </cell>
          <cell r="P34" t="str">
            <v>ivoor</v>
          </cell>
          <cell r="Q34" t="str">
            <v>ivoire</v>
          </cell>
          <cell r="R34" t="str">
            <v>grijs</v>
          </cell>
          <cell r="S34" t="str">
            <v>gris</v>
          </cell>
          <cell r="T34" t="str">
            <v>NBN EN 520:2009</v>
          </cell>
          <cell r="U34" t="str">
            <v>A</v>
          </cell>
          <cell r="V34" t="str">
            <v>A</v>
          </cell>
          <cell r="Y34" t="str">
            <v>gipsplaat voor droge binnenafbouw</v>
          </cell>
          <cell r="AA34" t="str">
            <v>A2-s1, d0 (B)</v>
          </cell>
          <cell r="AB34" t="str">
            <v>SG GY 2013 A1AAA01A003</v>
          </cell>
          <cell r="AC34" t="str">
            <v>ABA</v>
          </cell>
          <cell r="AD34" t="str">
            <v>ZOZ: zichtzijde op zichtzijde</v>
          </cell>
          <cell r="AE34">
            <v>12.5</v>
          </cell>
          <cell r="AH34" t="str">
            <v>+/-0.5</v>
          </cell>
          <cell r="AI34">
            <v>0</v>
          </cell>
          <cell r="AJ34">
            <v>0</v>
          </cell>
          <cell r="AK34">
            <v>1223</v>
          </cell>
          <cell r="AL34" t="str">
            <v>Geen eisen gesteld</v>
          </cell>
          <cell r="AM34" t="str">
            <v>Pas de exigences</v>
          </cell>
          <cell r="AN34" t="str">
            <v>kg/m³</v>
          </cell>
          <cell r="AP34">
            <v>0.25</v>
          </cell>
          <cell r="AQ34">
            <v>0.05</v>
          </cell>
          <cell r="AR34">
            <v>39.311999999999998</v>
          </cell>
          <cell r="AS34">
            <v>40.491</v>
          </cell>
          <cell r="AT34">
            <v>56.16</v>
          </cell>
          <cell r="AU34" t="str">
            <v>CD3</v>
          </cell>
          <cell r="AV34" t="str">
            <v>DP : Duitse Pallet</v>
          </cell>
          <cell r="AW34">
            <v>3</v>
          </cell>
          <cell r="AX34">
            <v>4.25</v>
          </cell>
          <cell r="AY34" t="str">
            <v>01.02.2015</v>
          </cell>
          <cell r="AZ34">
            <v>0</v>
          </cell>
          <cell r="BA34" t="str">
            <v>00.00.0000</v>
          </cell>
          <cell r="BB34" t="str">
            <v>M2</v>
          </cell>
          <cell r="BC34" t="str">
            <v>M2</v>
          </cell>
          <cell r="BD34" t="str">
            <v>S</v>
          </cell>
          <cell r="BE34">
            <v>0</v>
          </cell>
        </row>
        <row r="35">
          <cell r="A35" t="str">
            <v>G100951</v>
          </cell>
          <cell r="B35" t="str">
            <v>G100951</v>
          </cell>
          <cell r="C35" t="str">
            <v>A1AAA01A003A014</v>
          </cell>
          <cell r="D35" t="str">
            <v>Gyproc® A BA 13 120 M2</v>
          </cell>
          <cell r="E35" t="str">
            <v>A1AA</v>
          </cell>
          <cell r="F35" t="str">
            <v>Platen Standaard M2</v>
          </cell>
          <cell r="G35" t="str">
            <v>ZIB00031</v>
          </cell>
          <cell r="H35" t="str">
            <v>bestaand</v>
          </cell>
          <cell r="I35" t="str">
            <v>01.01.2013</v>
          </cell>
          <cell r="J35" t="str">
            <v>Yes</v>
          </cell>
          <cell r="K35" t="str">
            <v>Professional</v>
          </cell>
          <cell r="L35" t="str">
            <v>Gyproc</v>
          </cell>
          <cell r="M35" t="str">
            <v>Gyproc A</v>
          </cell>
          <cell r="N35" t="str">
            <v>GY ABA A 12.5 X 2500 X 1200 DP/20 ZOZ</v>
          </cell>
          <cell r="O35" t="str">
            <v>GY ABA A 12.5 X 2500 X 1200 DP/20 ZOZ</v>
          </cell>
          <cell r="P35" t="str">
            <v>ivoor</v>
          </cell>
          <cell r="Q35" t="str">
            <v>ivoire</v>
          </cell>
          <cell r="R35" t="str">
            <v>grijs</v>
          </cell>
          <cell r="S35" t="str">
            <v>gris</v>
          </cell>
          <cell r="T35" t="str">
            <v>NBN EN 520:2009</v>
          </cell>
          <cell r="U35" t="str">
            <v>A</v>
          </cell>
          <cell r="V35" t="str">
            <v>A</v>
          </cell>
          <cell r="Y35" t="str">
            <v>gipsplaat voor droge binnenafbouw</v>
          </cell>
          <cell r="AA35" t="str">
            <v>A2-s1, d0 (B)</v>
          </cell>
          <cell r="AB35" t="str">
            <v>SG GY 2013 A1AAA01A003</v>
          </cell>
          <cell r="AC35" t="str">
            <v>ABA</v>
          </cell>
          <cell r="AD35" t="str">
            <v>ZOZ: zichtzijde op zichtzijde</v>
          </cell>
          <cell r="AE35">
            <v>12.5</v>
          </cell>
          <cell r="AH35" t="str">
            <v>+/-0.5</v>
          </cell>
          <cell r="AI35">
            <v>0</v>
          </cell>
          <cell r="AJ35">
            <v>0</v>
          </cell>
          <cell r="AK35">
            <v>1223</v>
          </cell>
          <cell r="AL35" t="str">
            <v>Geen eisen gesteld</v>
          </cell>
          <cell r="AM35" t="str">
            <v>Pas de exigences</v>
          </cell>
          <cell r="AN35" t="str">
            <v>kg/m³</v>
          </cell>
          <cell r="AP35">
            <v>0.25</v>
          </cell>
          <cell r="AQ35">
            <v>0.05</v>
          </cell>
          <cell r="AR35">
            <v>27.3</v>
          </cell>
          <cell r="AS35">
            <v>28.119</v>
          </cell>
          <cell r="AT35">
            <v>39</v>
          </cell>
          <cell r="AU35" t="str">
            <v>CD3</v>
          </cell>
          <cell r="AV35" t="str">
            <v>DP : Duitse Pallet</v>
          </cell>
          <cell r="AW35">
            <v>3</v>
          </cell>
          <cell r="AX35">
            <v>4.25</v>
          </cell>
          <cell r="AY35" t="str">
            <v>01.02.2015</v>
          </cell>
          <cell r="AZ35">
            <v>0</v>
          </cell>
          <cell r="BA35" t="str">
            <v>00.00.0000</v>
          </cell>
          <cell r="BB35" t="str">
            <v>M2</v>
          </cell>
          <cell r="BC35" t="str">
            <v>M2</v>
          </cell>
          <cell r="BD35" t="str">
            <v>S</v>
          </cell>
          <cell r="BE35">
            <v>5413218000154</v>
          </cell>
        </row>
        <row r="36">
          <cell r="A36" t="str">
            <v>G100959</v>
          </cell>
          <cell r="B36" t="str">
            <v>G100959</v>
          </cell>
          <cell r="C36" t="str">
            <v>A1AAA01A003A014</v>
          </cell>
          <cell r="D36" t="str">
            <v>Gyproc® A BA 13 120 M2</v>
          </cell>
          <cell r="E36" t="str">
            <v>A1AA</v>
          </cell>
          <cell r="F36" t="str">
            <v>Platen Standaard M2</v>
          </cell>
          <cell r="G36" t="str">
            <v>ZIB00031</v>
          </cell>
          <cell r="H36" t="str">
            <v>bestaand</v>
          </cell>
          <cell r="I36" t="str">
            <v>01.01.2013</v>
          </cell>
          <cell r="J36" t="str">
            <v>Yes</v>
          </cell>
          <cell r="K36" t="str">
            <v>Professional</v>
          </cell>
          <cell r="L36" t="str">
            <v>Gyproc</v>
          </cell>
          <cell r="M36" t="str">
            <v>Gyproc A</v>
          </cell>
          <cell r="N36" t="str">
            <v>GY ABA A 12.5 X 2500 X 1200 DP/50 ZOZ</v>
          </cell>
          <cell r="O36" t="str">
            <v>GY ABA A 12.5 X 2500 X 1200 DP/50 ZOZ</v>
          </cell>
          <cell r="P36" t="str">
            <v>ivoor</v>
          </cell>
          <cell r="Q36" t="str">
            <v>ivoire</v>
          </cell>
          <cell r="R36" t="str">
            <v>grijs</v>
          </cell>
          <cell r="S36" t="str">
            <v>gris</v>
          </cell>
          <cell r="T36" t="str">
            <v>NBN EN 520:2009</v>
          </cell>
          <cell r="U36" t="str">
            <v>A</v>
          </cell>
          <cell r="V36" t="str">
            <v>A</v>
          </cell>
          <cell r="Y36" t="str">
            <v>gipsplaat voor droge binnenafbouw</v>
          </cell>
          <cell r="AA36" t="str">
            <v>A2-s1, d0 (B)</v>
          </cell>
          <cell r="AB36" t="str">
            <v>SG GY 2013 A1AAA01A003</v>
          </cell>
          <cell r="AC36" t="str">
            <v>ABA</v>
          </cell>
          <cell r="AD36" t="str">
            <v>ZOZ: zichtzijde op zichtzijde</v>
          </cell>
          <cell r="AE36">
            <v>12.5</v>
          </cell>
          <cell r="AH36" t="str">
            <v>+/-0.5</v>
          </cell>
          <cell r="AI36">
            <v>0</v>
          </cell>
          <cell r="AJ36">
            <v>0</v>
          </cell>
          <cell r="AK36">
            <v>1223</v>
          </cell>
          <cell r="AL36" t="str">
            <v>Geen eisen gesteld</v>
          </cell>
          <cell r="AM36" t="str">
            <v>Pas de exigences</v>
          </cell>
          <cell r="AN36" t="str">
            <v>kg/m³</v>
          </cell>
          <cell r="AP36">
            <v>0.25</v>
          </cell>
          <cell r="AQ36">
            <v>0.05</v>
          </cell>
          <cell r="AR36">
            <v>27.3</v>
          </cell>
          <cell r="AS36">
            <v>28.119</v>
          </cell>
          <cell r="AT36">
            <v>39</v>
          </cell>
          <cell r="AU36" t="str">
            <v>CD3</v>
          </cell>
          <cell r="AV36" t="str">
            <v>DP : Duitse Pallet</v>
          </cell>
          <cell r="AW36">
            <v>3</v>
          </cell>
          <cell r="AX36">
            <v>4.25</v>
          </cell>
          <cell r="AY36" t="str">
            <v>01.02.2015</v>
          </cell>
          <cell r="AZ36">
            <v>0</v>
          </cell>
          <cell r="BA36" t="str">
            <v>00.00.0000</v>
          </cell>
          <cell r="BB36" t="str">
            <v>M2</v>
          </cell>
          <cell r="BC36" t="str">
            <v>M2</v>
          </cell>
          <cell r="BD36" t="str">
            <v>S</v>
          </cell>
          <cell r="BE36">
            <v>5413218000154</v>
          </cell>
        </row>
        <row r="37">
          <cell r="A37" t="str">
            <v>G100965</v>
          </cell>
          <cell r="B37" t="str">
            <v>G100965</v>
          </cell>
          <cell r="C37" t="str">
            <v>A1ABA03A001A002</v>
          </cell>
          <cell r="D37" t="str">
            <v>Gyproc® 4xABA 13 / 1200 M2</v>
          </cell>
          <cell r="E37" t="str">
            <v>A1AB</v>
          </cell>
          <cell r="F37" t="str">
            <v>Technische platen M2</v>
          </cell>
          <cell r="G37" t="str">
            <v>ZIB00009</v>
          </cell>
          <cell r="H37" t="str">
            <v>bestaand</v>
          </cell>
          <cell r="I37" t="str">
            <v>01.01.2013</v>
          </cell>
          <cell r="J37" t="str">
            <v>Yes</v>
          </cell>
          <cell r="K37" t="str">
            <v>Professional</v>
          </cell>
          <cell r="L37" t="str">
            <v>Gyproc</v>
          </cell>
          <cell r="M37" t="str">
            <v>Gyproc A</v>
          </cell>
          <cell r="N37" t="str">
            <v>GY 4XABA A 12.5 X 2600 X 1200 DP/20 ZZB</v>
          </cell>
          <cell r="O37" t="str">
            <v>GY 4XABA A 12.5 X 2600 X 1200 DP/20 ZZB</v>
          </cell>
          <cell r="P37" t="str">
            <v>ivoor</v>
          </cell>
          <cell r="Q37" t="str">
            <v>ivoire</v>
          </cell>
          <cell r="R37" t="str">
            <v>grijs</v>
          </cell>
          <cell r="S37" t="str">
            <v>gris</v>
          </cell>
          <cell r="T37" t="str">
            <v>NBN EN 14190:2014</v>
          </cell>
          <cell r="U37" t="str">
            <v>A</v>
          </cell>
          <cell r="V37" t="str">
            <v>A</v>
          </cell>
          <cell r="W37" t="str">
            <v>gipskartonplaat met 4 afgeschuinde boorden</v>
          </cell>
          <cell r="Y37" t="str">
            <v>gipsplaat voor droge binnenafbouw</v>
          </cell>
          <cell r="AA37" t="str">
            <v>A2-s1, d0 (C.2)</v>
          </cell>
          <cell r="AB37" t="str">
            <v>SG GY 2013 A1ABA03A001</v>
          </cell>
          <cell r="AC37" t="str">
            <v>4xABA</v>
          </cell>
          <cell r="AD37" t="str">
            <v>ZZB: zichtzijde boven</v>
          </cell>
          <cell r="AE37">
            <v>12.5</v>
          </cell>
          <cell r="AH37" t="str">
            <v>+/-0.5</v>
          </cell>
          <cell r="AI37">
            <v>0</v>
          </cell>
          <cell r="AJ37">
            <v>0</v>
          </cell>
          <cell r="AL37" t="str">
            <v>Geen eisen gesteld</v>
          </cell>
          <cell r="AM37" t="str">
            <v>Pas de exigences</v>
          </cell>
          <cell r="AN37" t="str">
            <v>kg/m³</v>
          </cell>
          <cell r="AP37">
            <v>0.25</v>
          </cell>
          <cell r="AQ37">
            <v>0.05</v>
          </cell>
          <cell r="AR37">
            <v>28.391999999999999</v>
          </cell>
          <cell r="AS37">
            <v>29.244</v>
          </cell>
          <cell r="AT37">
            <v>40.56</v>
          </cell>
          <cell r="AU37" t="str">
            <v>CD3</v>
          </cell>
          <cell r="AV37" t="str">
            <v>DP : Duitse Pallet</v>
          </cell>
          <cell r="AW37">
            <v>3</v>
          </cell>
          <cell r="AX37">
            <v>5.72</v>
          </cell>
          <cell r="AY37" t="str">
            <v>01.02.2015</v>
          </cell>
          <cell r="AZ37">
            <v>0</v>
          </cell>
          <cell r="BA37" t="str">
            <v>00.00.0000</v>
          </cell>
          <cell r="BB37" t="str">
            <v>M2</v>
          </cell>
          <cell r="BC37" t="str">
            <v>M2</v>
          </cell>
          <cell r="BD37" t="str">
            <v>S</v>
          </cell>
          <cell r="BE37">
            <v>5413218000512</v>
          </cell>
        </row>
        <row r="38">
          <cell r="A38" t="str">
            <v>G100966</v>
          </cell>
          <cell r="B38" t="str">
            <v>G100966</v>
          </cell>
          <cell r="C38" t="str">
            <v>A1ABA03A001A002</v>
          </cell>
          <cell r="D38" t="str">
            <v>Gyproc® 4xABA 13 / 1200 M2</v>
          </cell>
          <cell r="E38" t="str">
            <v>A1AB</v>
          </cell>
          <cell r="F38" t="str">
            <v>Technische platen M2</v>
          </cell>
          <cell r="G38" t="str">
            <v>ZIB00009</v>
          </cell>
          <cell r="H38" t="str">
            <v>bestaand</v>
          </cell>
          <cell r="I38" t="str">
            <v>01.01.2013</v>
          </cell>
          <cell r="J38" t="str">
            <v>Yes</v>
          </cell>
          <cell r="K38" t="str">
            <v>Professional</v>
          </cell>
          <cell r="L38" t="str">
            <v>Gyproc</v>
          </cell>
          <cell r="M38" t="str">
            <v>Gyproc A</v>
          </cell>
          <cell r="N38" t="str">
            <v>GY 4XABA A 12.5 X 3000 X 1200 DP/40 ZZB</v>
          </cell>
          <cell r="O38" t="str">
            <v>GY 4XABA A 12.5 X 3000 X 1200 DP/40 ZZB</v>
          </cell>
          <cell r="P38" t="str">
            <v>ivoor</v>
          </cell>
          <cell r="Q38" t="str">
            <v>ivoire</v>
          </cell>
          <cell r="R38" t="str">
            <v>grijs</v>
          </cell>
          <cell r="S38" t="str">
            <v>gris</v>
          </cell>
          <cell r="T38" t="str">
            <v>NBN EN 14190:2014</v>
          </cell>
          <cell r="U38" t="str">
            <v>A</v>
          </cell>
          <cell r="V38" t="str">
            <v>A</v>
          </cell>
          <cell r="W38" t="str">
            <v>gipskartonplaat met 4 afgeschuinde boorden</v>
          </cell>
          <cell r="Y38" t="str">
            <v>gipsplaat voor droge binnenafbouw</v>
          </cell>
          <cell r="AA38" t="str">
            <v>A2-s1, d0 (C.2)</v>
          </cell>
          <cell r="AB38" t="str">
            <v>SG GY 2013 A1ABA03A001</v>
          </cell>
          <cell r="AC38" t="str">
            <v>4xABA</v>
          </cell>
          <cell r="AD38" t="str">
            <v>ZZB: zichtzijde boven</v>
          </cell>
          <cell r="AE38">
            <v>12.5</v>
          </cell>
          <cell r="AH38" t="str">
            <v>+/-0.5</v>
          </cell>
          <cell r="AI38">
            <v>0</v>
          </cell>
          <cell r="AJ38">
            <v>0</v>
          </cell>
          <cell r="AL38" t="str">
            <v>Geen eisen gesteld</v>
          </cell>
          <cell r="AM38" t="str">
            <v>Pas de exigences</v>
          </cell>
          <cell r="AN38" t="str">
            <v>kg/m³</v>
          </cell>
          <cell r="AP38">
            <v>0.25</v>
          </cell>
          <cell r="AQ38">
            <v>0.05</v>
          </cell>
          <cell r="AR38">
            <v>32.76</v>
          </cell>
          <cell r="AS38">
            <v>33.743000000000002</v>
          </cell>
          <cell r="AT38">
            <v>55.8</v>
          </cell>
          <cell r="AU38" t="str">
            <v>CD3</v>
          </cell>
          <cell r="AV38" t="str">
            <v>DP : Duitse Pallet</v>
          </cell>
          <cell r="AW38">
            <v>3</v>
          </cell>
          <cell r="AX38">
            <v>5.72</v>
          </cell>
          <cell r="AY38" t="str">
            <v>01.02.2015</v>
          </cell>
          <cell r="AZ38">
            <v>0</v>
          </cell>
          <cell r="BA38" t="str">
            <v>00.00.0000</v>
          </cell>
          <cell r="BB38" t="str">
            <v>M2</v>
          </cell>
          <cell r="BC38" t="str">
            <v>M2</v>
          </cell>
          <cell r="BD38" t="str">
            <v>S</v>
          </cell>
          <cell r="BE38">
            <v>5413218000529</v>
          </cell>
        </row>
        <row r="39">
          <cell r="A39" t="str">
            <v>G100967</v>
          </cell>
          <cell r="B39" t="str">
            <v>G100967</v>
          </cell>
          <cell r="C39" t="str">
            <v>A1ABA03A001A002</v>
          </cell>
          <cell r="D39" t="str">
            <v>Gyproc® 4xABA 13 / 1200 M2</v>
          </cell>
          <cell r="E39" t="str">
            <v>A1AB</v>
          </cell>
          <cell r="F39" t="str">
            <v>Technische platen M2</v>
          </cell>
          <cell r="G39" t="str">
            <v>ZIB00009</v>
          </cell>
          <cell r="H39" t="str">
            <v>bestaand</v>
          </cell>
          <cell r="I39" t="str">
            <v>01.01.2013</v>
          </cell>
          <cell r="J39" t="str">
            <v>Yes</v>
          </cell>
          <cell r="K39" t="str">
            <v>Professional</v>
          </cell>
          <cell r="L39" t="str">
            <v>Gyproc</v>
          </cell>
          <cell r="M39" t="str">
            <v>Gyproc A</v>
          </cell>
          <cell r="N39" t="str">
            <v>GY 4XABA A 12.5 X 3000 X 1200 DP/20 ZZB</v>
          </cell>
          <cell r="O39" t="str">
            <v>GY 4XABA A 12.5 X 3000 X 1200 DP/20 ZZB</v>
          </cell>
          <cell r="P39" t="str">
            <v>ivoor</v>
          </cell>
          <cell r="Q39" t="str">
            <v>ivoire</v>
          </cell>
          <cell r="R39" t="str">
            <v>grijs</v>
          </cell>
          <cell r="S39" t="str">
            <v>gris</v>
          </cell>
          <cell r="T39" t="str">
            <v>NBN EN 14190:2014</v>
          </cell>
          <cell r="U39" t="str">
            <v>A</v>
          </cell>
          <cell r="V39" t="str">
            <v>A</v>
          </cell>
          <cell r="W39" t="str">
            <v>gipskartonplaat met 4 afgeschuinde boorden</v>
          </cell>
          <cell r="Y39" t="str">
            <v>gipsplaat voor droge binnenafbouw</v>
          </cell>
          <cell r="AA39" t="str">
            <v>A2-s1, d0 (C.2)</v>
          </cell>
          <cell r="AB39" t="str">
            <v>SG GY 2013 A1ABA03A001</v>
          </cell>
          <cell r="AC39" t="str">
            <v>4xABA</v>
          </cell>
          <cell r="AD39" t="str">
            <v>ZZB: zichtzijde boven</v>
          </cell>
          <cell r="AE39">
            <v>12.5</v>
          </cell>
          <cell r="AH39" t="str">
            <v>+/-0.5</v>
          </cell>
          <cell r="AI39">
            <v>0</v>
          </cell>
          <cell r="AJ39">
            <v>0</v>
          </cell>
          <cell r="AL39" t="str">
            <v>Geen eisen gesteld</v>
          </cell>
          <cell r="AM39" t="str">
            <v>Pas de exigences</v>
          </cell>
          <cell r="AN39" t="str">
            <v>kg/m³</v>
          </cell>
          <cell r="AP39">
            <v>0.25</v>
          </cell>
          <cell r="AQ39">
            <v>0.05</v>
          </cell>
          <cell r="AR39">
            <v>32.76</v>
          </cell>
          <cell r="AS39">
            <v>33.743000000000002</v>
          </cell>
          <cell r="AT39">
            <v>46.8</v>
          </cell>
          <cell r="AU39" t="str">
            <v>CD3</v>
          </cell>
          <cell r="AV39" t="str">
            <v>DP : Duitse Pallet</v>
          </cell>
          <cell r="AW39">
            <v>3</v>
          </cell>
          <cell r="AX39">
            <v>5.72</v>
          </cell>
          <cell r="AY39" t="str">
            <v>01.02.2015</v>
          </cell>
          <cell r="AZ39">
            <v>0</v>
          </cell>
          <cell r="BA39" t="str">
            <v>00.00.0000</v>
          </cell>
          <cell r="BB39" t="str">
            <v>M2</v>
          </cell>
          <cell r="BC39" t="str">
            <v>M2</v>
          </cell>
          <cell r="BD39" t="str">
            <v>S</v>
          </cell>
          <cell r="BE39">
            <v>5413218000529</v>
          </cell>
        </row>
        <row r="40">
          <cell r="A40" t="str">
            <v>G100975</v>
          </cell>
          <cell r="B40" t="str">
            <v>G100975</v>
          </cell>
          <cell r="C40" t="str">
            <v>A1AAA03A007A015</v>
          </cell>
          <cell r="D40" t="str">
            <v>Gyproc® A RBD 13 120 M2</v>
          </cell>
          <cell r="E40" t="str">
            <v>A1AA</v>
          </cell>
          <cell r="F40" t="str">
            <v>Platen Standaard M2</v>
          </cell>
          <cell r="G40" t="str">
            <v>ZIB00010</v>
          </cell>
          <cell r="H40" t="str">
            <v>bestaand</v>
          </cell>
          <cell r="I40" t="str">
            <v>01.01.2013</v>
          </cell>
          <cell r="J40" t="str">
            <v>Yes</v>
          </cell>
          <cell r="K40" t="str">
            <v>Professional</v>
          </cell>
          <cell r="L40" t="str">
            <v>Gyproc</v>
          </cell>
          <cell r="M40" t="str">
            <v>Gyproc A</v>
          </cell>
          <cell r="N40" t="str">
            <v>GY RBD A 12.5 X 3000 X 1200 DP/40 ZOZ</v>
          </cell>
          <cell r="O40" t="str">
            <v>GY RBD A 12.5 X 3000 X 1200 DP/40 ZOZ</v>
          </cell>
          <cell r="P40" t="str">
            <v>ivoor</v>
          </cell>
          <cell r="Q40" t="str">
            <v>ivoire</v>
          </cell>
          <cell r="R40" t="str">
            <v>grijs</v>
          </cell>
          <cell r="S40" t="str">
            <v>gris</v>
          </cell>
          <cell r="T40" t="str">
            <v>NBN EN 520:2009</v>
          </cell>
          <cell r="U40" t="str">
            <v>A</v>
          </cell>
          <cell r="V40" t="str">
            <v>A</v>
          </cell>
          <cell r="Y40" t="str">
            <v>gipsplaat voor droge binnenafbouw</v>
          </cell>
          <cell r="AA40" t="str">
            <v>A2-s1, d0 (B)</v>
          </cell>
          <cell r="AB40" t="str">
            <v>SG GY 2013 A1AAA03A007</v>
          </cell>
          <cell r="AC40" t="str">
            <v>RBD</v>
          </cell>
          <cell r="AD40" t="str">
            <v>ZOZ: zichtzijde op zichtzijde</v>
          </cell>
          <cell r="AE40">
            <v>12.5</v>
          </cell>
          <cell r="AH40" t="str">
            <v>+/-0.5</v>
          </cell>
          <cell r="AI40">
            <v>0</v>
          </cell>
          <cell r="AJ40">
            <v>0</v>
          </cell>
          <cell r="AK40">
            <v>1227</v>
          </cell>
          <cell r="AL40" t="str">
            <v>Geen eisen gesteld</v>
          </cell>
          <cell r="AM40" t="str">
            <v>Pas de exigences</v>
          </cell>
          <cell r="AN40" t="str">
            <v>kg/m³</v>
          </cell>
          <cell r="AP40">
            <v>0.25</v>
          </cell>
          <cell r="AQ40">
            <v>0.05</v>
          </cell>
          <cell r="AR40">
            <v>32.76</v>
          </cell>
          <cell r="AS40">
            <v>33.743000000000002</v>
          </cell>
          <cell r="AT40">
            <v>46.8</v>
          </cell>
          <cell r="AU40" t="str">
            <v>CD3</v>
          </cell>
          <cell r="AV40" t="str">
            <v>DP : Duitse Pallet</v>
          </cell>
          <cell r="AW40">
            <v>3</v>
          </cell>
          <cell r="AX40">
            <v>4.25</v>
          </cell>
          <cell r="AY40" t="str">
            <v>01.02.2015</v>
          </cell>
          <cell r="AZ40">
            <v>0</v>
          </cell>
          <cell r="BA40" t="str">
            <v>00.00.0000</v>
          </cell>
          <cell r="BB40" t="str">
            <v>M2</v>
          </cell>
          <cell r="BC40" t="str">
            <v>M2</v>
          </cell>
          <cell r="BD40" t="str">
            <v>S</v>
          </cell>
          <cell r="BE40">
            <v>5413218000239</v>
          </cell>
        </row>
        <row r="41">
          <cell r="A41" t="str">
            <v>G100982</v>
          </cell>
          <cell r="B41" t="str">
            <v>G100982</v>
          </cell>
          <cell r="C41" t="str">
            <v>A1ABA07A003A019</v>
          </cell>
          <cell r="D41" t="str">
            <v>Gyproc® WR BA 13 120 M2</v>
          </cell>
          <cell r="E41" t="str">
            <v>A1AB</v>
          </cell>
          <cell r="F41" t="str">
            <v>Technische platen M2</v>
          </cell>
          <cell r="G41" t="str">
            <v>ZIB00020</v>
          </cell>
          <cell r="H41" t="str">
            <v>bestaand</v>
          </cell>
          <cell r="I41" t="str">
            <v>01.01.2013</v>
          </cell>
          <cell r="J41" t="str">
            <v>Yes</v>
          </cell>
          <cell r="K41" t="str">
            <v>Professional</v>
          </cell>
          <cell r="L41" t="str">
            <v>Gyproc</v>
          </cell>
          <cell r="M41" t="str">
            <v>Gyproc WR</v>
          </cell>
          <cell r="N41" t="str">
            <v>GY ABA WR 12.5 X 3000 X 1200 DP/40 ZOZ</v>
          </cell>
          <cell r="O41" t="str">
            <v>GY ABA WR 12.5 X 3000 X 1200 DP/40 ZOZ</v>
          </cell>
          <cell r="P41" t="str">
            <v>groen</v>
          </cell>
          <cell r="Q41" t="str">
            <v>vert</v>
          </cell>
          <cell r="R41" t="str">
            <v>grijs</v>
          </cell>
          <cell r="S41" t="str">
            <v>gris</v>
          </cell>
          <cell r="T41" t="str">
            <v>NBN EN 520:2009</v>
          </cell>
          <cell r="U41" t="str">
            <v>DFH2</v>
          </cell>
          <cell r="V41" t="str">
            <v>WR</v>
          </cell>
          <cell r="Y41" t="str">
            <v>gipsplaat voor droge binnenafbouw</v>
          </cell>
          <cell r="AA41" t="str">
            <v>A2-s1, d0 (B)</v>
          </cell>
          <cell r="AB41" t="str">
            <v>SG GY 2013 A1ABA07A003A019</v>
          </cell>
          <cell r="AC41" t="str">
            <v>ABA</v>
          </cell>
          <cell r="AD41" t="str">
            <v>ZOZ: zichtzijde op zichtzijde</v>
          </cell>
          <cell r="AE41">
            <v>12.5</v>
          </cell>
          <cell r="AH41" t="str">
            <v>+/-0.5</v>
          </cell>
          <cell r="AI41">
            <v>0</v>
          </cell>
          <cell r="AJ41">
            <v>0</v>
          </cell>
          <cell r="AK41">
            <v>1252</v>
          </cell>
          <cell r="AL41" t="str">
            <v>&gt; 800</v>
          </cell>
          <cell r="AM41" t="str">
            <v>&gt; 800</v>
          </cell>
          <cell r="AN41" t="str">
            <v>kg/m³</v>
          </cell>
          <cell r="AP41">
            <v>0.25</v>
          </cell>
          <cell r="AQ41">
            <v>0.05</v>
          </cell>
          <cell r="AR41">
            <v>38.159999999999997</v>
          </cell>
          <cell r="AS41">
            <v>39.305</v>
          </cell>
          <cell r="AT41">
            <v>55.8</v>
          </cell>
          <cell r="AU41" t="str">
            <v>CD3</v>
          </cell>
          <cell r="AV41" t="str">
            <v>DP : Duitse Pallet</v>
          </cell>
          <cell r="AW41">
            <v>3</v>
          </cell>
          <cell r="AX41">
            <v>7.12</v>
          </cell>
          <cell r="AY41" t="str">
            <v>01.02.2015</v>
          </cell>
          <cell r="AZ41">
            <v>0</v>
          </cell>
          <cell r="BA41" t="str">
            <v>00.00.0000</v>
          </cell>
          <cell r="BB41" t="str">
            <v>M2</v>
          </cell>
          <cell r="BC41" t="str">
            <v>M2</v>
          </cell>
          <cell r="BD41" t="str">
            <v>S</v>
          </cell>
          <cell r="BE41">
            <v>5413218000468</v>
          </cell>
        </row>
        <row r="42">
          <cell r="A42" t="str">
            <v>G100983</v>
          </cell>
          <cell r="B42" t="str">
            <v>G100983</v>
          </cell>
          <cell r="C42" t="str">
            <v>A1ABA07A003A019</v>
          </cell>
          <cell r="D42" t="str">
            <v>Gyproc® WR BA 13 120 M2</v>
          </cell>
          <cell r="E42" t="str">
            <v>A1AB</v>
          </cell>
          <cell r="F42" t="str">
            <v>Technische platen M2</v>
          </cell>
          <cell r="G42" t="str">
            <v>ZIB00020</v>
          </cell>
          <cell r="H42" t="str">
            <v>bestaand</v>
          </cell>
          <cell r="I42" t="str">
            <v>01.01.2013</v>
          </cell>
          <cell r="J42" t="str">
            <v>Yes</v>
          </cell>
          <cell r="K42" t="str">
            <v>Professional</v>
          </cell>
          <cell r="L42" t="str">
            <v>Gyproc</v>
          </cell>
          <cell r="M42" t="str">
            <v>Gyproc WR</v>
          </cell>
          <cell r="N42" t="str">
            <v>GY ABA WR 12.5 X 3000 X 1200 DP/20 ZOZ</v>
          </cell>
          <cell r="O42" t="str">
            <v>GY ABA WR 12.5 X 3000 X 1200 DP/20 ZOZ</v>
          </cell>
          <cell r="P42" t="str">
            <v>groen</v>
          </cell>
          <cell r="Q42" t="str">
            <v>vert</v>
          </cell>
          <cell r="R42" t="str">
            <v>grijs</v>
          </cell>
          <cell r="S42" t="str">
            <v>gris</v>
          </cell>
          <cell r="T42" t="str">
            <v>NBN EN 520:2009</v>
          </cell>
          <cell r="U42" t="str">
            <v>DFH2</v>
          </cell>
          <cell r="V42" t="str">
            <v>WR</v>
          </cell>
          <cell r="Y42" t="str">
            <v>gipsplaat voor droge binnenafbouw</v>
          </cell>
          <cell r="AA42" t="str">
            <v>A2-s1, d0 (B)</v>
          </cell>
          <cell r="AB42" t="str">
            <v>SG GY 2013 A1ABA07A003A019</v>
          </cell>
          <cell r="AC42" t="str">
            <v>ABA</v>
          </cell>
          <cell r="AD42" t="str">
            <v>ZOZ: zichtzijde op zichtzijde</v>
          </cell>
          <cell r="AE42">
            <v>12.5</v>
          </cell>
          <cell r="AH42" t="str">
            <v>+/-0.5</v>
          </cell>
          <cell r="AI42">
            <v>0</v>
          </cell>
          <cell r="AJ42">
            <v>0</v>
          </cell>
          <cell r="AK42">
            <v>1252</v>
          </cell>
          <cell r="AL42" t="str">
            <v>&gt; 800</v>
          </cell>
          <cell r="AM42" t="str">
            <v>&gt; 800</v>
          </cell>
          <cell r="AN42" t="str">
            <v>kg/m³</v>
          </cell>
          <cell r="AP42">
            <v>0.25</v>
          </cell>
          <cell r="AQ42">
            <v>0.05</v>
          </cell>
          <cell r="AR42">
            <v>38.159999999999997</v>
          </cell>
          <cell r="AS42">
            <v>39.305</v>
          </cell>
          <cell r="AT42">
            <v>46.8</v>
          </cell>
          <cell r="AU42" t="str">
            <v>CD3</v>
          </cell>
          <cell r="AV42" t="str">
            <v>DP : Duitse Pallet</v>
          </cell>
          <cell r="AW42">
            <v>3</v>
          </cell>
          <cell r="AX42">
            <v>7.12</v>
          </cell>
          <cell r="AY42" t="str">
            <v>01.02.2015</v>
          </cell>
          <cell r="AZ42">
            <v>0</v>
          </cell>
          <cell r="BA42" t="str">
            <v>00.00.0000</v>
          </cell>
          <cell r="BB42" t="str">
            <v>M2</v>
          </cell>
          <cell r="BC42" t="str">
            <v>M2</v>
          </cell>
          <cell r="BD42" t="str">
            <v>S</v>
          </cell>
          <cell r="BE42">
            <v>5413218000468</v>
          </cell>
        </row>
        <row r="43">
          <cell r="A43" t="str">
            <v>G101026</v>
          </cell>
          <cell r="B43" t="str">
            <v>G101026</v>
          </cell>
          <cell r="C43" t="str">
            <v>A1ABA15A001A009</v>
          </cell>
          <cell r="D43" t="str">
            <v>Gyproc® RF BA 13 M2</v>
          </cell>
          <cell r="E43" t="str">
            <v>A1AB</v>
          </cell>
          <cell r="F43" t="str">
            <v>Technische platen M2</v>
          </cell>
          <cell r="G43" t="str">
            <v>ZIB00013</v>
          </cell>
          <cell r="H43" t="str">
            <v>bestaand</v>
          </cell>
          <cell r="I43" t="str">
            <v>01.01.2013</v>
          </cell>
          <cell r="J43" t="str">
            <v>Yes</v>
          </cell>
          <cell r="K43" t="str">
            <v>Professional</v>
          </cell>
          <cell r="L43" t="str">
            <v>Gyproc</v>
          </cell>
          <cell r="M43" t="str">
            <v>Gyproc RF</v>
          </cell>
          <cell r="N43" t="str">
            <v>GY ABA RF 12.5 X 3000 X 1200 DP/40 ZOZ</v>
          </cell>
          <cell r="O43" t="str">
            <v>GY ABA RF 12.5 X 3000 X 1200 DP/40 ZOZ</v>
          </cell>
          <cell r="P43" t="str">
            <v>roze</v>
          </cell>
          <cell r="Q43" t="str">
            <v>rose</v>
          </cell>
          <cell r="R43" t="str">
            <v>grijs</v>
          </cell>
          <cell r="S43" t="str">
            <v>gris</v>
          </cell>
          <cell r="T43" t="str">
            <v>NBN EN 520:2009</v>
          </cell>
          <cell r="U43" t="str">
            <v>DF</v>
          </cell>
          <cell r="V43" t="str">
            <v>Rf</v>
          </cell>
          <cell r="Y43" t="str">
            <v>gipsplaat voor droge binnenafbouw</v>
          </cell>
          <cell r="AA43" t="str">
            <v>A2-s1, d0 (B)</v>
          </cell>
          <cell r="AB43" t="str">
            <v>SG GY 2013 A1ABA15A001</v>
          </cell>
          <cell r="AC43" t="str">
            <v>ABA</v>
          </cell>
          <cell r="AD43" t="str">
            <v>ZOZ: zichtzijde op zichtzijde</v>
          </cell>
          <cell r="AE43">
            <v>12.5</v>
          </cell>
          <cell r="AH43" t="str">
            <v>+/-0.5</v>
          </cell>
          <cell r="AI43">
            <v>0</v>
          </cell>
          <cell r="AJ43">
            <v>0</v>
          </cell>
          <cell r="AK43">
            <v>1256</v>
          </cell>
          <cell r="AL43" t="str">
            <v>&gt; 800</v>
          </cell>
          <cell r="AM43" t="str">
            <v>&gt; 800</v>
          </cell>
          <cell r="AN43" t="str">
            <v>kg/m³</v>
          </cell>
          <cell r="AP43">
            <v>0.25</v>
          </cell>
          <cell r="AQ43">
            <v>0.05</v>
          </cell>
          <cell r="AR43">
            <v>38.159999999999997</v>
          </cell>
          <cell r="AS43">
            <v>39.305</v>
          </cell>
          <cell r="AT43">
            <v>46.8</v>
          </cell>
          <cell r="AU43" t="str">
            <v>CD3</v>
          </cell>
          <cell r="AV43" t="str">
            <v>DP : Duitse Pallet</v>
          </cell>
          <cell r="AW43">
            <v>3</v>
          </cell>
          <cell r="AX43">
            <v>5.39</v>
          </cell>
          <cell r="AY43" t="str">
            <v>01.02.2015</v>
          </cell>
          <cell r="AZ43">
            <v>0</v>
          </cell>
          <cell r="BA43" t="str">
            <v>00.00.0000</v>
          </cell>
          <cell r="BB43" t="str">
            <v>M2</v>
          </cell>
          <cell r="BC43" t="str">
            <v>M2</v>
          </cell>
          <cell r="BD43" t="str">
            <v>S</v>
          </cell>
          <cell r="BE43">
            <v>5413218000413</v>
          </cell>
        </row>
        <row r="44">
          <cell r="A44" t="str">
            <v>G101037</v>
          </cell>
          <cell r="B44" t="str">
            <v>G101037</v>
          </cell>
          <cell r="C44" t="str">
            <v>A1AAA01A005A015</v>
          </cell>
          <cell r="D44" t="str">
            <v>Gyproc® A BA 15 M2</v>
          </cell>
          <cell r="E44" t="str">
            <v>A1AA</v>
          </cell>
          <cell r="F44" t="str">
            <v>Platen Standaard M2</v>
          </cell>
          <cell r="G44" t="str">
            <v>ZIB00006</v>
          </cell>
          <cell r="H44" t="str">
            <v>bestaand</v>
          </cell>
          <cell r="I44" t="str">
            <v>01.01.2013</v>
          </cell>
          <cell r="J44" t="str">
            <v>Yes</v>
          </cell>
          <cell r="K44" t="str">
            <v>Professional</v>
          </cell>
          <cell r="L44" t="str">
            <v>Gyproc</v>
          </cell>
          <cell r="M44" t="str">
            <v>Gyproc A</v>
          </cell>
          <cell r="N44" t="str">
            <v>GY ABA A 15.0 X 2600 X 1200 DP/40 ZZO</v>
          </cell>
          <cell r="O44" t="str">
            <v>GY ABA A 15.0 X 2600 X 1200 DP/40 ZZO</v>
          </cell>
          <cell r="P44" t="str">
            <v>ivoor</v>
          </cell>
          <cell r="Q44" t="str">
            <v>ivoire</v>
          </cell>
          <cell r="R44" t="str">
            <v>grijs</v>
          </cell>
          <cell r="S44" t="str">
            <v>gris</v>
          </cell>
          <cell r="T44" t="str">
            <v>NBN EN 520:2009</v>
          </cell>
          <cell r="U44" t="str">
            <v>A</v>
          </cell>
          <cell r="V44" t="str">
            <v>A</v>
          </cell>
          <cell r="Y44" t="str">
            <v>gipsplaat voor droge binnenafbouw</v>
          </cell>
          <cell r="AA44" t="str">
            <v>A2-s1, d0 (B)</v>
          </cell>
          <cell r="AB44" t="str">
            <v>SG GY 2013 A1AAA01A005</v>
          </cell>
          <cell r="AC44" t="str">
            <v>ABA</v>
          </cell>
          <cell r="AD44" t="str">
            <v>ZZO: zichtzijde onder</v>
          </cell>
          <cell r="AE44">
            <v>15</v>
          </cell>
          <cell r="AH44" t="str">
            <v>+/-0.5</v>
          </cell>
          <cell r="AI44">
            <v>0</v>
          </cell>
          <cell r="AJ44">
            <v>0</v>
          </cell>
          <cell r="AK44">
            <v>1224</v>
          </cell>
          <cell r="AL44" t="str">
            <v>Geen eisen gesteld</v>
          </cell>
          <cell r="AM44" t="str">
            <v>Pas de exigences</v>
          </cell>
          <cell r="AN44" t="str">
            <v>kg/m³</v>
          </cell>
          <cell r="AP44">
            <v>0.25</v>
          </cell>
          <cell r="AQ44">
            <v>0.06</v>
          </cell>
          <cell r="AR44">
            <v>35.880000000000003</v>
          </cell>
          <cell r="AS44">
            <v>36.956000000000003</v>
          </cell>
          <cell r="AT44">
            <v>54.6</v>
          </cell>
          <cell r="AU44" t="str">
            <v>CD3</v>
          </cell>
          <cell r="AV44" t="str">
            <v>DP : Duitse Pallet</v>
          </cell>
          <cell r="AW44">
            <v>3</v>
          </cell>
          <cell r="AX44">
            <v>5.07</v>
          </cell>
          <cell r="AY44" t="str">
            <v>01.02.2015</v>
          </cell>
          <cell r="AZ44">
            <v>0</v>
          </cell>
          <cell r="BA44" t="str">
            <v>00.00.0000</v>
          </cell>
          <cell r="BB44" t="str">
            <v>M2</v>
          </cell>
          <cell r="BC44" t="str">
            <v>M2</v>
          </cell>
          <cell r="BD44" t="str">
            <v>S</v>
          </cell>
          <cell r="BE44">
            <v>5413218000291</v>
          </cell>
        </row>
        <row r="45">
          <cell r="A45" t="str">
            <v>G101045</v>
          </cell>
          <cell r="B45" t="str">
            <v>G101045</v>
          </cell>
          <cell r="C45" t="str">
            <v>A1ABA15A003A005</v>
          </cell>
          <cell r="D45" t="str">
            <v>Gyproc® RF BA 15 M2</v>
          </cell>
          <cell r="E45" t="str">
            <v>A1AB</v>
          </cell>
          <cell r="F45" t="str">
            <v>Technische platen M2</v>
          </cell>
          <cell r="G45" t="str">
            <v>ZIB00014</v>
          </cell>
          <cell r="H45" t="str">
            <v>bestaand</v>
          </cell>
          <cell r="I45" t="str">
            <v>01.01.2013</v>
          </cell>
          <cell r="J45" t="str">
            <v>Yes</v>
          </cell>
          <cell r="K45" t="str">
            <v>Professional</v>
          </cell>
          <cell r="L45" t="str">
            <v>Gyproc</v>
          </cell>
          <cell r="M45" t="str">
            <v>Gyproc RF</v>
          </cell>
          <cell r="N45" t="str">
            <v>GY ABA RF 15.0 X 2600 X 1200 DP/40 ZOZ</v>
          </cell>
          <cell r="O45" t="str">
            <v>GY ABA RF 15.0 X 2600 X 1200 DP/40 ZOZ</v>
          </cell>
          <cell r="P45" t="str">
            <v>roze</v>
          </cell>
          <cell r="Q45" t="str">
            <v>rose</v>
          </cell>
          <cell r="R45" t="str">
            <v>grijs</v>
          </cell>
          <cell r="S45" t="str">
            <v>gris</v>
          </cell>
          <cell r="T45" t="str">
            <v>NBN EN 520:2009</v>
          </cell>
          <cell r="U45" t="str">
            <v>DF</v>
          </cell>
          <cell r="V45" t="str">
            <v>Rf</v>
          </cell>
          <cell r="Y45" t="str">
            <v>gipsplaat voor droge binnenafbouw</v>
          </cell>
          <cell r="AA45" t="str">
            <v>A2-s1, d0 (B)</v>
          </cell>
          <cell r="AB45" t="str">
            <v>SG GY 2013 A1ABA15A003A005</v>
          </cell>
          <cell r="AC45" t="str">
            <v>ABA</v>
          </cell>
          <cell r="AD45" t="str">
            <v>ZOZ: zichtzijde op zichtzijde</v>
          </cell>
          <cell r="AE45">
            <v>15</v>
          </cell>
          <cell r="AH45" t="str">
            <v>+/-0.5</v>
          </cell>
          <cell r="AI45">
            <v>0</v>
          </cell>
          <cell r="AJ45">
            <v>0</v>
          </cell>
          <cell r="AK45">
            <v>1257</v>
          </cell>
          <cell r="AL45" t="str">
            <v>&gt; 800</v>
          </cell>
          <cell r="AM45" t="str">
            <v>&gt; 800</v>
          </cell>
          <cell r="AN45" t="str">
            <v>kg/m³</v>
          </cell>
          <cell r="AP45">
            <v>0.25</v>
          </cell>
          <cell r="AQ45">
            <v>0.06</v>
          </cell>
          <cell r="AR45">
            <v>42.432000000000002</v>
          </cell>
          <cell r="AS45">
            <v>43.704999999999998</v>
          </cell>
          <cell r="AT45">
            <v>46.8</v>
          </cell>
          <cell r="AU45" t="str">
            <v>CD3</v>
          </cell>
          <cell r="AV45" t="str">
            <v>DP : Duitse Pallet</v>
          </cell>
          <cell r="AW45">
            <v>3</v>
          </cell>
          <cell r="AX45">
            <v>5.89</v>
          </cell>
          <cell r="AY45" t="str">
            <v>01.02.2015</v>
          </cell>
          <cell r="AZ45">
            <v>0</v>
          </cell>
          <cell r="BA45" t="str">
            <v>00.00.0000</v>
          </cell>
          <cell r="BB45" t="str">
            <v>M2</v>
          </cell>
          <cell r="BC45" t="str">
            <v>M2</v>
          </cell>
          <cell r="BD45" t="str">
            <v>S</v>
          </cell>
          <cell r="BE45">
            <v>5413218000420</v>
          </cell>
        </row>
        <row r="46">
          <cell r="A46" t="str">
            <v>G101046</v>
          </cell>
          <cell r="B46" t="str">
            <v>G101046</v>
          </cell>
          <cell r="C46" t="str">
            <v>A1ABA15A003A005</v>
          </cell>
          <cell r="D46" t="str">
            <v>Gyproc® RF BA 15 M2</v>
          </cell>
          <cell r="E46" t="str">
            <v>A1AB</v>
          </cell>
          <cell r="F46" t="str">
            <v>Technische platen M2</v>
          </cell>
          <cell r="G46" t="str">
            <v>ZIB00014</v>
          </cell>
          <cell r="H46" t="str">
            <v>bestaand</v>
          </cell>
          <cell r="I46" t="str">
            <v>01.01.2013</v>
          </cell>
          <cell r="J46" t="str">
            <v>Yes</v>
          </cell>
          <cell r="K46" t="str">
            <v>Professional</v>
          </cell>
          <cell r="L46" t="str">
            <v>Gyproc</v>
          </cell>
          <cell r="M46" t="str">
            <v>Gyproc RF</v>
          </cell>
          <cell r="N46" t="str">
            <v>GY ABA RF 15.0 X 2600 X 1200 DP/16 ZOZ</v>
          </cell>
          <cell r="O46" t="str">
            <v>GY ABA RF 15.0 X 2600 X 1200 DP/16 ZOZ</v>
          </cell>
          <cell r="P46" t="str">
            <v>roze</v>
          </cell>
          <cell r="Q46" t="str">
            <v>rose</v>
          </cell>
          <cell r="R46" t="str">
            <v>grijs</v>
          </cell>
          <cell r="S46" t="str">
            <v>gris</v>
          </cell>
          <cell r="T46" t="str">
            <v>NBN EN 520:2009</v>
          </cell>
          <cell r="U46" t="str">
            <v>DF</v>
          </cell>
          <cell r="V46" t="str">
            <v>Rf</v>
          </cell>
          <cell r="Y46" t="str">
            <v>gipsplaat voor droge binnenafbouw</v>
          </cell>
          <cell r="AA46" t="str">
            <v>A2-s1, d0 (B)</v>
          </cell>
          <cell r="AB46" t="str">
            <v>SG GY 2013 A1ABA15A003A005</v>
          </cell>
          <cell r="AC46" t="str">
            <v>ABA</v>
          </cell>
          <cell r="AD46" t="str">
            <v>ZOZ: zichtzijde op zichtzijde</v>
          </cell>
          <cell r="AE46">
            <v>15</v>
          </cell>
          <cell r="AH46" t="str">
            <v>+/-0.5</v>
          </cell>
          <cell r="AI46">
            <v>0</v>
          </cell>
          <cell r="AJ46">
            <v>0</v>
          </cell>
          <cell r="AK46">
            <v>1257</v>
          </cell>
          <cell r="AL46" t="str">
            <v>&gt; 800</v>
          </cell>
          <cell r="AM46" t="str">
            <v>&gt; 800</v>
          </cell>
          <cell r="AN46" t="str">
            <v>kg/m³</v>
          </cell>
          <cell r="AP46">
            <v>0.25</v>
          </cell>
          <cell r="AQ46">
            <v>0.06</v>
          </cell>
          <cell r="AR46">
            <v>42.432000000000002</v>
          </cell>
          <cell r="AS46">
            <v>43.704999999999998</v>
          </cell>
          <cell r="AT46">
            <v>46.8</v>
          </cell>
          <cell r="AU46" t="str">
            <v>CD3</v>
          </cell>
          <cell r="AV46" t="str">
            <v>DP : Duitse Pallet</v>
          </cell>
          <cell r="AW46">
            <v>3</v>
          </cell>
          <cell r="AX46">
            <v>5.89</v>
          </cell>
          <cell r="AY46" t="str">
            <v>01.02.2015</v>
          </cell>
          <cell r="AZ46">
            <v>0</v>
          </cell>
          <cell r="BA46" t="str">
            <v>00.00.0000</v>
          </cell>
          <cell r="BB46" t="str">
            <v>M2</v>
          </cell>
          <cell r="BC46" t="str">
            <v>M2</v>
          </cell>
          <cell r="BD46" t="str">
            <v>S</v>
          </cell>
          <cell r="BE46">
            <v>5413218000420</v>
          </cell>
        </row>
        <row r="47">
          <cell r="A47" t="str">
            <v>G101049</v>
          </cell>
          <cell r="B47" t="str">
            <v>G101049</v>
          </cell>
          <cell r="C47" t="str">
            <v>A1ABA15A003A005</v>
          </cell>
          <cell r="D47" t="str">
            <v>Gyproc® RF BA 15 M2</v>
          </cell>
          <cell r="E47" t="str">
            <v>A1AB</v>
          </cell>
          <cell r="F47" t="str">
            <v>Technische platen M2</v>
          </cell>
          <cell r="G47" t="str">
            <v>ZIB00014</v>
          </cell>
          <cell r="H47" t="str">
            <v>bestaand</v>
          </cell>
          <cell r="I47" t="str">
            <v>01.01.2013</v>
          </cell>
          <cell r="J47" t="str">
            <v>Yes</v>
          </cell>
          <cell r="K47" t="str">
            <v>Professional</v>
          </cell>
          <cell r="L47" t="str">
            <v>Gyproc</v>
          </cell>
          <cell r="M47" t="str">
            <v>Gyproc RF</v>
          </cell>
          <cell r="N47" t="str">
            <v>GY ABA RF 15.0 X 3000 X 1200 DP/16 ZOZ</v>
          </cell>
          <cell r="O47" t="str">
            <v>GY ABA RF 15.0 X 3000 X 1200 DP/16 ZOZ</v>
          </cell>
          <cell r="P47" t="str">
            <v>roze</v>
          </cell>
          <cell r="Q47" t="str">
            <v>rose</v>
          </cell>
          <cell r="R47" t="str">
            <v>grijs</v>
          </cell>
          <cell r="S47" t="str">
            <v>gris</v>
          </cell>
          <cell r="T47" t="str">
            <v>NBN EN 520:2009</v>
          </cell>
          <cell r="U47" t="str">
            <v>DF</v>
          </cell>
          <cell r="V47" t="str">
            <v>Rf</v>
          </cell>
          <cell r="Y47" t="str">
            <v>gipsplaat voor droge binnenafbouw</v>
          </cell>
          <cell r="AA47" t="str">
            <v>A2-s1, d0 (B)</v>
          </cell>
          <cell r="AB47" t="str">
            <v>SG GY 2013 A1ABA15A003A005</v>
          </cell>
          <cell r="AC47" t="str">
            <v>ABA</v>
          </cell>
          <cell r="AD47" t="str">
            <v>ZOZ: zichtzijde op zichtzijde</v>
          </cell>
          <cell r="AH47" t="str">
            <v>+/-0.5</v>
          </cell>
          <cell r="AI47">
            <v>0</v>
          </cell>
          <cell r="AJ47">
            <v>0</v>
          </cell>
          <cell r="AK47">
            <v>1257</v>
          </cell>
          <cell r="AL47" t="str">
            <v>&gt; 800</v>
          </cell>
          <cell r="AM47" t="str">
            <v>&gt; 800</v>
          </cell>
          <cell r="AN47" t="str">
            <v>kg/m³</v>
          </cell>
          <cell r="AP47">
            <v>0.25</v>
          </cell>
          <cell r="AQ47">
            <v>0.06</v>
          </cell>
          <cell r="AR47">
            <v>48.96</v>
          </cell>
          <cell r="AS47">
            <v>50.429000000000002</v>
          </cell>
          <cell r="AT47">
            <v>54</v>
          </cell>
          <cell r="AU47" t="str">
            <v>CD3</v>
          </cell>
          <cell r="AV47" t="str">
            <v>DP : Duitse Pallet</v>
          </cell>
          <cell r="AW47">
            <v>3</v>
          </cell>
          <cell r="AX47">
            <v>5.89</v>
          </cell>
          <cell r="AY47" t="str">
            <v>01.02.2015</v>
          </cell>
          <cell r="AZ47">
            <v>0</v>
          </cell>
          <cell r="BA47" t="str">
            <v>00.00.0000</v>
          </cell>
          <cell r="BB47" t="str">
            <v>M2</v>
          </cell>
          <cell r="BC47" t="str">
            <v>M2</v>
          </cell>
          <cell r="BD47" t="str">
            <v>S</v>
          </cell>
          <cell r="BE47">
            <v>5413218000437</v>
          </cell>
        </row>
        <row r="48">
          <cell r="A48" t="str">
            <v>G101051</v>
          </cell>
          <cell r="B48" t="str">
            <v>G101051</v>
          </cell>
          <cell r="C48" t="str">
            <v>A1ABA07A007A002</v>
          </cell>
          <cell r="D48" t="str">
            <v>Gyproc® WR BA 15 M2</v>
          </cell>
          <cell r="E48" t="str">
            <v>A1AB</v>
          </cell>
          <cell r="F48" t="str">
            <v>Technische platen M2</v>
          </cell>
          <cell r="G48" t="str">
            <v>ZIB00021</v>
          </cell>
          <cell r="H48" t="str">
            <v>bestaand</v>
          </cell>
          <cell r="I48" t="str">
            <v>01.01.2013</v>
          </cell>
          <cell r="J48" t="str">
            <v>Yes</v>
          </cell>
          <cell r="K48" t="str">
            <v>Professional</v>
          </cell>
          <cell r="L48" t="str">
            <v>Gyproc</v>
          </cell>
          <cell r="M48" t="str">
            <v>Gyproc WR</v>
          </cell>
          <cell r="N48" t="str">
            <v>GY ABA WR 15.0 X 2600 X 1200 DP/40 ZOZ</v>
          </cell>
          <cell r="O48" t="str">
            <v>GY ABA WR 15.0 X 2600 X 1200 DP/40 ZOZ</v>
          </cell>
          <cell r="P48" t="str">
            <v>groen</v>
          </cell>
          <cell r="Q48" t="str">
            <v>vert</v>
          </cell>
          <cell r="R48" t="str">
            <v>grijs</v>
          </cell>
          <cell r="S48" t="str">
            <v>gris</v>
          </cell>
          <cell r="T48" t="str">
            <v>NBN EN 520:2009</v>
          </cell>
          <cell r="U48" t="str">
            <v>DFH2</v>
          </cell>
          <cell r="V48" t="str">
            <v>WR</v>
          </cell>
          <cell r="Y48" t="str">
            <v>gipsplaat voor droge binnenafbouw</v>
          </cell>
          <cell r="AA48" t="str">
            <v>A2-s1, d0 (B)</v>
          </cell>
          <cell r="AB48" t="str">
            <v>SG GY 2013 A1ABA07A007</v>
          </cell>
          <cell r="AC48" t="str">
            <v>ABA</v>
          </cell>
          <cell r="AD48" t="str">
            <v>ZOZ: zichtzijde op zichtzijde</v>
          </cell>
          <cell r="AE48">
            <v>15</v>
          </cell>
          <cell r="AH48" t="str">
            <v>+/-0.5</v>
          </cell>
          <cell r="AI48">
            <v>0</v>
          </cell>
          <cell r="AJ48">
            <v>0</v>
          </cell>
          <cell r="AK48">
            <v>1253</v>
          </cell>
          <cell r="AL48" t="str">
            <v>&gt; 800</v>
          </cell>
          <cell r="AM48" t="str">
            <v>&gt; 800</v>
          </cell>
          <cell r="AN48" t="str">
            <v>kg/m³</v>
          </cell>
          <cell r="AP48">
            <v>0.25</v>
          </cell>
          <cell r="AQ48">
            <v>0.06</v>
          </cell>
          <cell r="AR48">
            <v>42.432000000000002</v>
          </cell>
          <cell r="AS48">
            <v>43.704999999999998</v>
          </cell>
          <cell r="AT48">
            <v>46.8</v>
          </cell>
          <cell r="AU48" t="str">
            <v>CD3</v>
          </cell>
          <cell r="AV48" t="str">
            <v>DP : Duitse Pallet</v>
          </cell>
          <cell r="AW48">
            <v>3</v>
          </cell>
          <cell r="AX48">
            <v>7.84</v>
          </cell>
          <cell r="AY48" t="str">
            <v>01.02.2015</v>
          </cell>
          <cell r="AZ48">
            <v>0</v>
          </cell>
          <cell r="BA48" t="str">
            <v>00.00.0000</v>
          </cell>
          <cell r="BB48" t="str">
            <v>M2</v>
          </cell>
          <cell r="BC48" t="str">
            <v>M2</v>
          </cell>
          <cell r="BD48" t="str">
            <v>S</v>
          </cell>
          <cell r="BE48">
            <v>5413218000475</v>
          </cell>
        </row>
        <row r="49">
          <cell r="A49" t="str">
            <v>G101083</v>
          </cell>
          <cell r="B49" t="str">
            <v>G101083</v>
          </cell>
          <cell r="C49" t="str">
            <v>B1BHB02B002B001</v>
          </cell>
          <cell r="D49" t="str">
            <v>Thermogyp X 9,5 x 20 M2</v>
          </cell>
          <cell r="E49" t="str">
            <v>B1BH</v>
          </cell>
          <cell r="F49" t="str">
            <v>Doublage PSX M2</v>
          </cell>
          <cell r="G49" t="str">
            <v>G101083</v>
          </cell>
          <cell r="H49" t="str">
            <v>bestaand</v>
          </cell>
          <cell r="I49" t="str">
            <v>01.01.2013</v>
          </cell>
          <cell r="J49" t="str">
            <v>Yes</v>
          </cell>
          <cell r="K49" t="str">
            <v>Professional</v>
          </cell>
          <cell r="L49" t="str">
            <v>THERMOGYP</v>
          </cell>
          <cell r="M49" t="str">
            <v>THERMOGYP X 9,5/20</v>
          </cell>
          <cell r="N49" t="str">
            <v>THGYP X ABA 9.5/20 X 2600 X 1200 DP/32</v>
          </cell>
          <cell r="O49" t="str">
            <v>THGYP X ABA 9.5/20 X 2600 X 1200 DP/32</v>
          </cell>
          <cell r="P49" t="str">
            <v>ivoor</v>
          </cell>
          <cell r="Q49" t="str">
            <v>ivoire</v>
          </cell>
          <cell r="R49" t="str">
            <v>geel XPS</v>
          </cell>
          <cell r="S49" t="str">
            <v>XPS jaune</v>
          </cell>
          <cell r="T49" t="str">
            <v>NBN EN 13950:2014</v>
          </cell>
          <cell r="U49" t="str">
            <v>A</v>
          </cell>
          <cell r="V49" t="str">
            <v>ThermX</v>
          </cell>
          <cell r="W49" t="str">
            <v>gipskartonplaat bekleed met XPS</v>
          </cell>
          <cell r="Y49" t="str">
            <v>thermisch isolerend bekledingspaneel</v>
          </cell>
          <cell r="AB49" t="str">
            <v>SG_GY_2013_B1BHB02B002</v>
          </cell>
          <cell r="AC49" t="str">
            <v>ABA</v>
          </cell>
          <cell r="AD49" t="str">
            <v>ZZO: zichtzijde onder</v>
          </cell>
          <cell r="AE49">
            <v>9.5</v>
          </cell>
          <cell r="AH49" t="str">
            <v>+/-0.5</v>
          </cell>
          <cell r="AI49">
            <v>0</v>
          </cell>
          <cell r="AJ49">
            <v>0</v>
          </cell>
          <cell r="AL49" t="str">
            <v>Geen eisen gesteld</v>
          </cell>
          <cell r="AM49" t="str">
            <v>Pas de exigences</v>
          </cell>
          <cell r="AN49" t="str">
            <v>kg/m³</v>
          </cell>
          <cell r="AP49">
            <v>0.25</v>
          </cell>
          <cell r="AQ49">
            <v>0.61</v>
          </cell>
          <cell r="AR49">
            <v>24.335999999999999</v>
          </cell>
          <cell r="AS49">
            <v>25.553000000000001</v>
          </cell>
          <cell r="AT49">
            <v>93.6</v>
          </cell>
          <cell r="AU49" t="str">
            <v>CD3</v>
          </cell>
          <cell r="AV49" t="str">
            <v>DP : Duitse Pallet</v>
          </cell>
          <cell r="AW49">
            <v>3</v>
          </cell>
          <cell r="AX49">
            <v>16</v>
          </cell>
          <cell r="AY49" t="str">
            <v>01.02.2015</v>
          </cell>
          <cell r="AZ49">
            <v>0</v>
          </cell>
          <cell r="BA49" t="str">
            <v>00.00.0000</v>
          </cell>
          <cell r="BB49" t="str">
            <v>M2</v>
          </cell>
          <cell r="BC49" t="str">
            <v>M2</v>
          </cell>
          <cell r="BD49" t="str">
            <v>S</v>
          </cell>
          <cell r="BE49">
            <v>5413218565363</v>
          </cell>
        </row>
        <row r="50">
          <cell r="A50" t="str">
            <v>G101085</v>
          </cell>
          <cell r="B50" t="str">
            <v>G101085</v>
          </cell>
          <cell r="C50" t="str">
            <v>B1BHB03B001B004</v>
          </cell>
          <cell r="D50" t="str">
            <v>Thermogyp X 9,5 x 30 M2</v>
          </cell>
          <cell r="E50" t="str">
            <v>B1BH</v>
          </cell>
          <cell r="F50" t="str">
            <v>Doublage PSX M2</v>
          </cell>
          <cell r="G50" t="str">
            <v>G101085</v>
          </cell>
          <cell r="H50" t="str">
            <v>bestaand</v>
          </cell>
          <cell r="I50" t="str">
            <v>01.01.2013</v>
          </cell>
          <cell r="J50" t="str">
            <v>Yes</v>
          </cell>
          <cell r="K50" t="str">
            <v>Professional</v>
          </cell>
          <cell r="L50" t="str">
            <v>THERMOGYP</v>
          </cell>
          <cell r="M50" t="str">
            <v>THERMOGYP X 9,5/30</v>
          </cell>
          <cell r="N50" t="str">
            <v>THGYP X ABA 9.5/30 X 2600 X 1200 DP/24</v>
          </cell>
          <cell r="O50" t="str">
            <v>THGYP X ABA 9.5/30 X 2600 X 1200 DP/24</v>
          </cell>
          <cell r="P50" t="str">
            <v>ivoor</v>
          </cell>
          <cell r="Q50" t="str">
            <v>ivoire</v>
          </cell>
          <cell r="R50" t="str">
            <v>geel XPS</v>
          </cell>
          <cell r="S50" t="str">
            <v>XPS jaune</v>
          </cell>
          <cell r="T50" t="str">
            <v>NBN EN 13950:2014</v>
          </cell>
          <cell r="U50" t="str">
            <v>A</v>
          </cell>
          <cell r="V50" t="str">
            <v>ThermX</v>
          </cell>
          <cell r="W50" t="str">
            <v>gipskartonplaat bekleed met XPS</v>
          </cell>
          <cell r="Y50" t="str">
            <v>thermisch isolerend bekledingspaneel</v>
          </cell>
          <cell r="AB50" t="str">
            <v>SG_GY_2013_B1BHB03B001</v>
          </cell>
          <cell r="AC50" t="str">
            <v>ABA</v>
          </cell>
          <cell r="AD50" t="str">
            <v>ZZO: zichtzijde onder</v>
          </cell>
          <cell r="AE50">
            <v>9.5</v>
          </cell>
          <cell r="AH50" t="str">
            <v>+/-0.5</v>
          </cell>
          <cell r="AI50">
            <v>0</v>
          </cell>
          <cell r="AJ50">
            <v>0</v>
          </cell>
          <cell r="AL50" t="str">
            <v>Geen eisen gesteld</v>
          </cell>
          <cell r="AM50" t="str">
            <v>Pas de exigences</v>
          </cell>
          <cell r="AN50" t="str">
            <v>kg/m³</v>
          </cell>
          <cell r="AP50">
            <v>0.25</v>
          </cell>
          <cell r="AQ50">
            <v>0.9</v>
          </cell>
          <cell r="AR50">
            <v>24.335999999999999</v>
          </cell>
          <cell r="AS50">
            <v>25.553000000000001</v>
          </cell>
          <cell r="AT50">
            <v>124.8</v>
          </cell>
          <cell r="AU50" t="str">
            <v>CD3</v>
          </cell>
          <cell r="AV50" t="str">
            <v>DP : Duitse Pallet</v>
          </cell>
          <cell r="AW50">
            <v>3</v>
          </cell>
          <cell r="AX50">
            <v>19.260000000000002</v>
          </cell>
          <cell r="AY50" t="str">
            <v>01.02.2015</v>
          </cell>
          <cell r="AZ50">
            <v>0</v>
          </cell>
          <cell r="BA50" t="str">
            <v>00.00.0000</v>
          </cell>
          <cell r="BB50" t="str">
            <v>M2</v>
          </cell>
          <cell r="BC50" t="str">
            <v>M2</v>
          </cell>
          <cell r="BD50" t="str">
            <v>S</v>
          </cell>
          <cell r="BE50">
            <v>5413218565387</v>
          </cell>
        </row>
        <row r="51">
          <cell r="A51" t="str">
            <v>G101086</v>
          </cell>
          <cell r="B51" t="str">
            <v>G101086</v>
          </cell>
          <cell r="C51" t="str">
            <v>B1BHB05B001B008</v>
          </cell>
          <cell r="D51" t="str">
            <v>Thermogyp X 9,5 x 40 M2</v>
          </cell>
          <cell r="E51" t="str">
            <v>B1BH</v>
          </cell>
          <cell r="F51" t="str">
            <v>Doublage PSX M2</v>
          </cell>
          <cell r="G51" t="str">
            <v>G101086</v>
          </cell>
          <cell r="H51" t="str">
            <v>bestaand</v>
          </cell>
          <cell r="I51" t="str">
            <v>01.01.2013</v>
          </cell>
          <cell r="J51" t="str">
            <v>Yes</v>
          </cell>
          <cell r="K51" t="str">
            <v>Professional</v>
          </cell>
          <cell r="L51" t="str">
            <v>THERMOGYP</v>
          </cell>
          <cell r="M51" t="str">
            <v>THERMOGYP X 9,5/40</v>
          </cell>
          <cell r="N51" t="str">
            <v>THGYP X ABA 9.5/40 X 2600 X 1200 DP/20</v>
          </cell>
          <cell r="O51" t="str">
            <v>THGYP X ABA 9.5/40 X 2600 X 1200 DP/20</v>
          </cell>
          <cell r="P51" t="str">
            <v>ivoor</v>
          </cell>
          <cell r="Q51" t="str">
            <v>ivoire</v>
          </cell>
          <cell r="R51" t="str">
            <v>geel XPS</v>
          </cell>
          <cell r="S51" t="str">
            <v>XPS jaune</v>
          </cell>
          <cell r="T51" t="str">
            <v>NBN EN 13950:2014</v>
          </cell>
          <cell r="U51" t="str">
            <v>A</v>
          </cell>
          <cell r="V51" t="str">
            <v>ThermX</v>
          </cell>
          <cell r="W51" t="str">
            <v>gipskartonplaat bekleed met XPS</v>
          </cell>
          <cell r="Y51" t="str">
            <v>thermisch isolerend bekledingspaneel</v>
          </cell>
          <cell r="AB51" t="str">
            <v>SG_GY_2013_B1BHB05B001</v>
          </cell>
          <cell r="AC51" t="str">
            <v>ABA</v>
          </cell>
          <cell r="AD51" t="str">
            <v>ZZO: zichtzijde onder</v>
          </cell>
          <cell r="AE51">
            <v>9.5</v>
          </cell>
          <cell r="AH51" t="str">
            <v>+/-0.5</v>
          </cell>
          <cell r="AI51">
            <v>0</v>
          </cell>
          <cell r="AJ51">
            <v>0</v>
          </cell>
          <cell r="AL51" t="str">
            <v>Geen eisen gesteld</v>
          </cell>
          <cell r="AM51" t="str">
            <v>Pas de exigences</v>
          </cell>
          <cell r="AN51" t="str">
            <v>kg/m³</v>
          </cell>
          <cell r="AP51">
            <v>0.25</v>
          </cell>
          <cell r="AQ51">
            <v>1.18</v>
          </cell>
          <cell r="AR51">
            <v>29.952000000000002</v>
          </cell>
          <cell r="AS51">
            <v>31.45</v>
          </cell>
          <cell r="AT51">
            <v>156</v>
          </cell>
          <cell r="AU51" t="str">
            <v>CD3</v>
          </cell>
          <cell r="AV51" t="str">
            <v>DP : Duitse Pallet</v>
          </cell>
          <cell r="AW51">
            <v>3</v>
          </cell>
          <cell r="AX51">
            <v>22.02</v>
          </cell>
          <cell r="AY51" t="str">
            <v>01.02.2015</v>
          </cell>
          <cell r="AZ51">
            <v>0</v>
          </cell>
          <cell r="BA51" t="str">
            <v>00.00.0000</v>
          </cell>
          <cell r="BB51" t="str">
            <v>M2</v>
          </cell>
          <cell r="BC51" t="str">
            <v>M2</v>
          </cell>
          <cell r="BD51" t="str">
            <v>S</v>
          </cell>
          <cell r="BE51">
            <v>5413218565400</v>
          </cell>
        </row>
        <row r="52">
          <cell r="A52" t="str">
            <v>G101088</v>
          </cell>
          <cell r="B52" t="str">
            <v>G101088</v>
          </cell>
          <cell r="C52" t="str">
            <v>B1BHB07B001B004</v>
          </cell>
          <cell r="D52" t="str">
            <v>Thermogyp X 9,5 x 50 M2</v>
          </cell>
          <cell r="E52" t="str">
            <v>B1BH</v>
          </cell>
          <cell r="F52" t="str">
            <v>Doublage PSX M2</v>
          </cell>
          <cell r="G52" t="str">
            <v>G101088</v>
          </cell>
          <cell r="H52" t="str">
            <v>bestaand</v>
          </cell>
          <cell r="I52" t="str">
            <v>01.01.2013</v>
          </cell>
          <cell r="J52" t="str">
            <v>Yes</v>
          </cell>
          <cell r="K52" t="str">
            <v>Professional</v>
          </cell>
          <cell r="L52" t="str">
            <v>THERMOGYP</v>
          </cell>
          <cell r="M52" t="str">
            <v>THERMOGYP X 9,5/50</v>
          </cell>
          <cell r="N52" t="str">
            <v>THGYP X ABA 9.5/50 X 2600 X 1200 DP/18</v>
          </cell>
          <cell r="O52" t="str">
            <v>THGYP X ABA 9.5/50 X 2600 X 1200 DP/18</v>
          </cell>
          <cell r="P52" t="str">
            <v>ivoor</v>
          </cell>
          <cell r="Q52" t="str">
            <v>ivoire</v>
          </cell>
          <cell r="R52" t="str">
            <v>geel XPS</v>
          </cell>
          <cell r="S52" t="str">
            <v>XPS jaune</v>
          </cell>
          <cell r="T52" t="str">
            <v>NBN EN 13950:2014</v>
          </cell>
          <cell r="U52" t="str">
            <v>A</v>
          </cell>
          <cell r="V52" t="str">
            <v>ThermX</v>
          </cell>
          <cell r="W52" t="str">
            <v>gipskartonplaat bekleed met XPS</v>
          </cell>
          <cell r="Y52" t="str">
            <v>thermisch isolerend bekledingspaneel</v>
          </cell>
          <cell r="AB52" t="str">
            <v>SG_GY_2013_B1BHB07B001</v>
          </cell>
          <cell r="AC52" t="str">
            <v>ABA</v>
          </cell>
          <cell r="AD52" t="str">
            <v>ZZO: zichtzijde onder</v>
          </cell>
          <cell r="AE52">
            <v>9.5</v>
          </cell>
          <cell r="AH52" t="str">
            <v>+/-0.5</v>
          </cell>
          <cell r="AI52">
            <v>0</v>
          </cell>
          <cell r="AJ52">
            <v>0</v>
          </cell>
          <cell r="AL52" t="str">
            <v>Geen eisen gesteld</v>
          </cell>
          <cell r="AM52" t="str">
            <v>Pas de exigences</v>
          </cell>
          <cell r="AN52" t="str">
            <v>kg/m³</v>
          </cell>
          <cell r="AP52">
            <v>0.25</v>
          </cell>
          <cell r="AQ52">
            <v>1.47</v>
          </cell>
          <cell r="AR52">
            <v>30.888000000000002</v>
          </cell>
          <cell r="AS52">
            <v>32.432000000000002</v>
          </cell>
          <cell r="AT52">
            <v>187.2</v>
          </cell>
          <cell r="AU52" t="str">
            <v>CD3</v>
          </cell>
          <cell r="AV52" t="str">
            <v>DP : Duitse Pallet</v>
          </cell>
          <cell r="AW52">
            <v>3</v>
          </cell>
          <cell r="AX52">
            <v>24.89</v>
          </cell>
          <cell r="AY52" t="str">
            <v>01.02.2015</v>
          </cell>
          <cell r="AZ52">
            <v>0</v>
          </cell>
          <cell r="BA52" t="str">
            <v>00.00.0000</v>
          </cell>
          <cell r="BB52" t="str">
            <v>M2</v>
          </cell>
          <cell r="BC52" t="str">
            <v>M2</v>
          </cell>
          <cell r="BD52" t="str">
            <v>S</v>
          </cell>
          <cell r="BE52">
            <v>5413218565424</v>
          </cell>
        </row>
        <row r="53">
          <cell r="A53" t="str">
            <v>G101090</v>
          </cell>
          <cell r="B53" t="str">
            <v>G101090</v>
          </cell>
          <cell r="C53" t="str">
            <v>B1BHB09B001B006</v>
          </cell>
          <cell r="D53" t="str">
            <v>Thermogyp X 9,5 x 60 M2</v>
          </cell>
          <cell r="E53" t="str">
            <v>B1BH</v>
          </cell>
          <cell r="F53" t="str">
            <v>Doublage PSX M2</v>
          </cell>
          <cell r="G53" t="str">
            <v>G101090</v>
          </cell>
          <cell r="H53" t="str">
            <v>bestaand</v>
          </cell>
          <cell r="I53" t="str">
            <v>01.01.2013</v>
          </cell>
          <cell r="J53" t="str">
            <v>Yes</v>
          </cell>
          <cell r="K53" t="str">
            <v>Professional</v>
          </cell>
          <cell r="L53" t="str">
            <v>THERMOGYP</v>
          </cell>
          <cell r="M53" t="str">
            <v>THERMOGYP X 9,5/60</v>
          </cell>
          <cell r="N53" t="str">
            <v>THGYP X ABA 9.5/60 X 2600 X 1200 DP/16</v>
          </cell>
          <cell r="O53" t="str">
            <v>THGYP X ABA 9.5/60 X 2600 X 1200 DP/16</v>
          </cell>
          <cell r="P53" t="str">
            <v>ivoor</v>
          </cell>
          <cell r="Q53" t="str">
            <v>ivoire</v>
          </cell>
          <cell r="R53" t="str">
            <v>geel XPS</v>
          </cell>
          <cell r="S53" t="str">
            <v>XPS jaune</v>
          </cell>
          <cell r="T53" t="str">
            <v>NBN EN 13950:2014</v>
          </cell>
          <cell r="U53" t="str">
            <v>A</v>
          </cell>
          <cell r="V53" t="str">
            <v>ThermX</v>
          </cell>
          <cell r="W53" t="str">
            <v>gipskartonplaat bekleed met XPS</v>
          </cell>
          <cell r="Y53" t="str">
            <v>thermisch isolerend bekledingspaneel</v>
          </cell>
          <cell r="AB53" t="str">
            <v>SG_GY_2013_B1BHB09B001</v>
          </cell>
          <cell r="AC53" t="str">
            <v>ABA</v>
          </cell>
          <cell r="AD53" t="str">
            <v>ZZO: zichtzijde onder</v>
          </cell>
          <cell r="AE53">
            <v>9.5</v>
          </cell>
          <cell r="AH53" t="str">
            <v>+/-0.5</v>
          </cell>
          <cell r="AI53">
            <v>0</v>
          </cell>
          <cell r="AJ53">
            <v>0</v>
          </cell>
          <cell r="AL53" t="str">
            <v>Geen eisen gesteld</v>
          </cell>
          <cell r="AM53" t="str">
            <v>Pas de exigences</v>
          </cell>
          <cell r="AN53" t="str">
            <v>kg/m³</v>
          </cell>
          <cell r="AP53">
            <v>0.25</v>
          </cell>
          <cell r="AQ53">
            <v>1.75</v>
          </cell>
          <cell r="AR53">
            <v>32.136000000000003</v>
          </cell>
          <cell r="AS53">
            <v>33.743000000000002</v>
          </cell>
          <cell r="AT53">
            <v>218.4</v>
          </cell>
          <cell r="AU53" t="str">
            <v>CD3</v>
          </cell>
          <cell r="AV53" t="str">
            <v>DP : Duitse Pallet</v>
          </cell>
          <cell r="AW53">
            <v>3</v>
          </cell>
          <cell r="AX53">
            <v>28.34</v>
          </cell>
          <cell r="AY53" t="str">
            <v>01.02.2015</v>
          </cell>
          <cell r="AZ53">
            <v>0</v>
          </cell>
          <cell r="BA53" t="str">
            <v>00.00.0000</v>
          </cell>
          <cell r="BB53" t="str">
            <v>M2</v>
          </cell>
          <cell r="BC53" t="str">
            <v>M2</v>
          </cell>
          <cell r="BD53" t="str">
            <v>S</v>
          </cell>
          <cell r="BE53">
            <v>5413218565448</v>
          </cell>
        </row>
        <row r="54">
          <cell r="A54" t="str">
            <v>G101771</v>
          </cell>
          <cell r="B54" t="str">
            <v>G101771</v>
          </cell>
          <cell r="C54" t="str">
            <v>A1AAA07A001A017</v>
          </cell>
          <cell r="D54" t="str">
            <v>Gyplat 600 M2</v>
          </cell>
          <cell r="E54" t="str">
            <v>A1AA</v>
          </cell>
          <cell r="F54" t="str">
            <v>Platen Standaard M2</v>
          </cell>
          <cell r="G54" t="str">
            <v>ZIB00026</v>
          </cell>
          <cell r="H54" t="str">
            <v>bestaand</v>
          </cell>
          <cell r="I54" t="str">
            <v>01.01.2013</v>
          </cell>
          <cell r="J54" t="str">
            <v>Yes</v>
          </cell>
          <cell r="K54" t="str">
            <v>Professional</v>
          </cell>
          <cell r="L54" t="str">
            <v>Gyproc</v>
          </cell>
          <cell r="M54" t="str">
            <v>Gyplat</v>
          </cell>
          <cell r="N54" t="str">
            <v>GYPLAT RBR 9.5 X 2000 X 600 DP/132</v>
          </cell>
          <cell r="O54" t="str">
            <v>GYPLAT RBR 9.5 X 2000 X 600 DP/132</v>
          </cell>
          <cell r="P54" t="str">
            <v>grijs</v>
          </cell>
          <cell r="Q54" t="str">
            <v>gris</v>
          </cell>
          <cell r="R54" t="str">
            <v>grijs</v>
          </cell>
          <cell r="S54" t="str">
            <v>gris</v>
          </cell>
          <cell r="T54" t="str">
            <v>NBN EN 520:2009</v>
          </cell>
          <cell r="U54" t="str">
            <v>P</v>
          </cell>
          <cell r="V54" t="str">
            <v>P</v>
          </cell>
          <cell r="Y54" t="str">
            <v>gipsplaat voor droge binnenafbouw</v>
          </cell>
          <cell r="AA54" t="str">
            <v>A2-s1, d0 (B)</v>
          </cell>
          <cell r="AB54" t="str">
            <v>SG GY 2013 A1AAA07A001</v>
          </cell>
          <cell r="AC54" t="str">
            <v>RBR</v>
          </cell>
          <cell r="AD54" t="str">
            <v>ZOZ: zichtzijde op zichtzijde</v>
          </cell>
          <cell r="AE54">
            <v>9.5</v>
          </cell>
          <cell r="AH54" t="str">
            <v>+/-0.6</v>
          </cell>
          <cell r="AI54">
            <v>0</v>
          </cell>
          <cell r="AJ54">
            <v>0</v>
          </cell>
          <cell r="AL54" t="str">
            <v>Geen eisen gesteld</v>
          </cell>
          <cell r="AM54" t="str">
            <v>Pas de exigences</v>
          </cell>
          <cell r="AN54" t="str">
            <v>kg/m³</v>
          </cell>
          <cell r="AP54">
            <v>0.25</v>
          </cell>
          <cell r="AQ54">
            <v>0.04</v>
          </cell>
          <cell r="AR54">
            <v>10.08</v>
          </cell>
          <cell r="AS54">
            <v>10.584</v>
          </cell>
          <cell r="AT54">
            <v>12</v>
          </cell>
          <cell r="AU54" t="str">
            <v>CD3</v>
          </cell>
          <cell r="AV54" t="str">
            <v>DP : Duitse Pallet</v>
          </cell>
          <cell r="AW54">
            <v>3</v>
          </cell>
          <cell r="AX54">
            <v>4.26</v>
          </cell>
          <cell r="AY54" t="str">
            <v>01.02.2015</v>
          </cell>
          <cell r="AZ54">
            <v>0</v>
          </cell>
          <cell r="BA54" t="str">
            <v>00.00.0000</v>
          </cell>
          <cell r="BB54" t="str">
            <v>M2</v>
          </cell>
          <cell r="BC54" t="str">
            <v>M2</v>
          </cell>
          <cell r="BD54" t="str">
            <v>S</v>
          </cell>
          <cell r="BE54">
            <v>5413218000376</v>
          </cell>
        </row>
        <row r="55">
          <cell r="A55" t="str">
            <v>G101884</v>
          </cell>
          <cell r="B55" t="str">
            <v>G101884</v>
          </cell>
          <cell r="C55" t="str">
            <v>A1AAA01A003A014</v>
          </cell>
          <cell r="D55" t="str">
            <v>Gyproc® A BA 13 120 M2</v>
          </cell>
          <cell r="E55" t="str">
            <v>A1AA</v>
          </cell>
          <cell r="F55" t="str">
            <v>Platen Standaard M2</v>
          </cell>
          <cell r="G55" t="str">
            <v>ZIB00031</v>
          </cell>
          <cell r="H55" t="str">
            <v>bestaand</v>
          </cell>
          <cell r="I55" t="str">
            <v>01.01.2013</v>
          </cell>
          <cell r="J55" t="str">
            <v>Yes</v>
          </cell>
          <cell r="K55" t="str">
            <v>Professional</v>
          </cell>
          <cell r="L55" t="str">
            <v>Gyproc</v>
          </cell>
          <cell r="M55" t="str">
            <v>Gyproc A</v>
          </cell>
          <cell r="N55" t="str">
            <v>GY ABA A 12.5 X 2000 X 1200 DP/20 ZOZ</v>
          </cell>
          <cell r="O55" t="str">
            <v>GY ABA A 12.5 X 2000 X 1200 DP/20 ZOZ</v>
          </cell>
          <cell r="P55" t="str">
            <v>ivoor</v>
          </cell>
          <cell r="Q55" t="str">
            <v>ivoire</v>
          </cell>
          <cell r="R55" t="str">
            <v>grijs</v>
          </cell>
          <cell r="S55" t="str">
            <v>gris</v>
          </cell>
          <cell r="T55" t="str">
            <v>NBN EN 520:2009</v>
          </cell>
          <cell r="U55" t="str">
            <v>A</v>
          </cell>
          <cell r="V55" t="str">
            <v>A</v>
          </cell>
          <cell r="Y55" t="str">
            <v>gipsplaat voor droge binnenafbouw</v>
          </cell>
          <cell r="AA55" t="str">
            <v>A2-s1, d0 (B)</v>
          </cell>
          <cell r="AB55" t="str">
            <v>SG GY 2013 A1AAA01A003</v>
          </cell>
          <cell r="AC55" t="str">
            <v>ABA</v>
          </cell>
          <cell r="AD55" t="str">
            <v>ZOZ: zichtzijde op zichtzijde</v>
          </cell>
          <cell r="AE55">
            <v>12.5</v>
          </cell>
          <cell r="AH55" t="str">
            <v>+/-0.5</v>
          </cell>
          <cell r="AI55">
            <v>0</v>
          </cell>
          <cell r="AJ55">
            <v>0</v>
          </cell>
          <cell r="AK55">
            <v>1223</v>
          </cell>
          <cell r="AL55" t="str">
            <v>Geen eisen gesteld</v>
          </cell>
          <cell r="AM55" t="str">
            <v>Pas de exigences</v>
          </cell>
          <cell r="AN55" t="str">
            <v>kg/m³</v>
          </cell>
          <cell r="AP55">
            <v>0.25</v>
          </cell>
          <cell r="AQ55">
            <v>0.05</v>
          </cell>
          <cell r="AR55">
            <v>21.84</v>
          </cell>
          <cell r="AS55">
            <v>22.495000000000001</v>
          </cell>
          <cell r="AT55">
            <v>31.2</v>
          </cell>
          <cell r="AU55" t="str">
            <v>CD3</v>
          </cell>
          <cell r="AV55" t="str">
            <v>DP : Duitse Pallet</v>
          </cell>
          <cell r="AW55">
            <v>3</v>
          </cell>
          <cell r="AX55">
            <v>4.25</v>
          </cell>
          <cell r="AY55" t="str">
            <v>01.02.2015</v>
          </cell>
          <cell r="AZ55">
            <v>0</v>
          </cell>
          <cell r="BA55" t="str">
            <v>00.00.0000</v>
          </cell>
          <cell r="BB55" t="str">
            <v>M2</v>
          </cell>
          <cell r="BC55" t="str">
            <v>M2</v>
          </cell>
          <cell r="BD55" t="str">
            <v>S</v>
          </cell>
          <cell r="BE55">
            <v>5413218002738</v>
          </cell>
        </row>
        <row r="56">
          <cell r="A56" t="str">
            <v>G101885</v>
          </cell>
          <cell r="B56" t="str">
            <v>G101885</v>
          </cell>
          <cell r="C56" t="str">
            <v>A1AAA01A003A014</v>
          </cell>
          <cell r="D56" t="str">
            <v>Gyproc® A BA 13 120 M2</v>
          </cell>
          <cell r="E56" t="str">
            <v>A1AA</v>
          </cell>
          <cell r="F56" t="str">
            <v>Platen Standaard M2</v>
          </cell>
          <cell r="G56" t="str">
            <v>ZIB00031</v>
          </cell>
          <cell r="H56" t="str">
            <v>bestaand</v>
          </cell>
          <cell r="I56" t="str">
            <v>01.01.2013</v>
          </cell>
          <cell r="J56" t="str">
            <v>Yes</v>
          </cell>
          <cell r="K56" t="str">
            <v>Professional</v>
          </cell>
          <cell r="L56" t="str">
            <v>Gyproc</v>
          </cell>
          <cell r="M56" t="str">
            <v>Gyproc A</v>
          </cell>
          <cell r="N56" t="str">
            <v>GY ABA A 12.5 X 2000 X 1200 DP/50 ZOZ</v>
          </cell>
          <cell r="O56" t="str">
            <v>GY ABA A 12.5 X 2000 X 1200 DP/50 ZOZ</v>
          </cell>
          <cell r="P56" t="str">
            <v>ivoor</v>
          </cell>
          <cell r="Q56" t="str">
            <v>ivoire</v>
          </cell>
          <cell r="R56" t="str">
            <v>grijs</v>
          </cell>
          <cell r="S56" t="str">
            <v>gris</v>
          </cell>
          <cell r="T56" t="str">
            <v>NBN EN 520:2009</v>
          </cell>
          <cell r="U56" t="str">
            <v>A</v>
          </cell>
          <cell r="V56" t="str">
            <v>A</v>
          </cell>
          <cell r="Y56" t="str">
            <v>gipsplaat voor droge binnenafbouw</v>
          </cell>
          <cell r="AA56" t="str">
            <v>A2-s1, d0 (B)</v>
          </cell>
          <cell r="AB56" t="str">
            <v>SG GY 2013 A1AAA01A003</v>
          </cell>
          <cell r="AC56" t="str">
            <v>ABA</v>
          </cell>
          <cell r="AD56" t="str">
            <v>ZOZ: zichtzijde op zichtzijde</v>
          </cell>
          <cell r="AE56">
            <v>12.5</v>
          </cell>
          <cell r="AH56" t="str">
            <v>+/-0.5</v>
          </cell>
          <cell r="AI56">
            <v>0</v>
          </cell>
          <cell r="AJ56">
            <v>0</v>
          </cell>
          <cell r="AK56">
            <v>1223</v>
          </cell>
          <cell r="AL56" t="str">
            <v>Geen eisen gesteld</v>
          </cell>
          <cell r="AM56" t="str">
            <v>Pas de exigences</v>
          </cell>
          <cell r="AN56" t="str">
            <v>kg/m³</v>
          </cell>
          <cell r="AP56">
            <v>0.25</v>
          </cell>
          <cell r="AQ56">
            <v>0.05</v>
          </cell>
          <cell r="AR56">
            <v>21.84</v>
          </cell>
          <cell r="AS56">
            <v>22.495000000000001</v>
          </cell>
          <cell r="AT56">
            <v>31.2</v>
          </cell>
          <cell r="AU56" t="str">
            <v>CD3</v>
          </cell>
          <cell r="AV56" t="str">
            <v>DP : Duitse Pallet</v>
          </cell>
          <cell r="AW56">
            <v>3</v>
          </cell>
          <cell r="AX56">
            <v>4.25</v>
          </cell>
          <cell r="AY56" t="str">
            <v>01.02.2015</v>
          </cell>
          <cell r="AZ56">
            <v>0</v>
          </cell>
          <cell r="BA56" t="str">
            <v>00.00.0000</v>
          </cell>
          <cell r="BB56" t="str">
            <v>M2</v>
          </cell>
          <cell r="BC56" t="str">
            <v>M2</v>
          </cell>
          <cell r="BD56" t="str">
            <v>S</v>
          </cell>
          <cell r="BE56">
            <v>5413218560221</v>
          </cell>
        </row>
        <row r="57">
          <cell r="A57" t="str">
            <v>G102373</v>
          </cell>
          <cell r="B57" t="str">
            <v>G102373</v>
          </cell>
          <cell r="C57" t="str">
            <v>A1ABA07A003A019</v>
          </cell>
          <cell r="D57" t="str">
            <v>Gyproc® WR BA 13 120 M2</v>
          </cell>
          <cell r="E57" t="str">
            <v>A1AB</v>
          </cell>
          <cell r="F57" t="str">
            <v>Technische platen M2</v>
          </cell>
          <cell r="G57" t="str">
            <v>ZIB00020</v>
          </cell>
          <cell r="H57" t="str">
            <v>bestaand</v>
          </cell>
          <cell r="I57" t="str">
            <v>01.01.2013</v>
          </cell>
          <cell r="J57" t="str">
            <v>Yes</v>
          </cell>
          <cell r="K57" t="str">
            <v>Professional</v>
          </cell>
          <cell r="L57" t="str">
            <v>Gyproc</v>
          </cell>
          <cell r="M57" t="str">
            <v>Gyproc WR</v>
          </cell>
          <cell r="N57" t="str">
            <v>GY ABA WR 12.5 X 2600 X 1200 DP/20 ZOZ</v>
          </cell>
          <cell r="O57" t="str">
            <v>GY ABA WR 12.5 X 2600 X 1200 DP/20 ZOZ</v>
          </cell>
          <cell r="P57" t="str">
            <v>groen</v>
          </cell>
          <cell r="Q57" t="str">
            <v>vert</v>
          </cell>
          <cell r="R57" t="str">
            <v>grijs</v>
          </cell>
          <cell r="S57" t="str">
            <v>gris</v>
          </cell>
          <cell r="T57" t="str">
            <v>NBN EN 520:2009</v>
          </cell>
          <cell r="U57" t="str">
            <v>DFH2</v>
          </cell>
          <cell r="V57" t="str">
            <v>WR</v>
          </cell>
          <cell r="Y57" t="str">
            <v>gipsplaat voor droge binnenafbouw</v>
          </cell>
          <cell r="AA57" t="str">
            <v>A2-s1, d0 (B)</v>
          </cell>
          <cell r="AB57" t="str">
            <v>SG GY 2013 A1ABA07A003A019</v>
          </cell>
          <cell r="AC57" t="str">
            <v>ABA</v>
          </cell>
          <cell r="AD57" t="str">
            <v>ZOZ: zichtzijde op zichtzijde</v>
          </cell>
          <cell r="AE57">
            <v>12.5</v>
          </cell>
          <cell r="AH57" t="str">
            <v>+/-0.5</v>
          </cell>
          <cell r="AI57">
            <v>0</v>
          </cell>
          <cell r="AJ57">
            <v>0</v>
          </cell>
          <cell r="AK57">
            <v>1252</v>
          </cell>
          <cell r="AL57" t="str">
            <v>&gt; 800</v>
          </cell>
          <cell r="AM57" t="str">
            <v>&gt; 800</v>
          </cell>
          <cell r="AN57" t="str">
            <v>kg/m³</v>
          </cell>
          <cell r="AP57">
            <v>0.25</v>
          </cell>
          <cell r="AQ57">
            <v>0.05</v>
          </cell>
          <cell r="AR57">
            <v>33.072000000000003</v>
          </cell>
          <cell r="AS57">
            <v>34.064</v>
          </cell>
          <cell r="AT57">
            <v>40.56</v>
          </cell>
          <cell r="AU57" t="str">
            <v>CD3</v>
          </cell>
          <cell r="AV57" t="str">
            <v>DP : Duitse Pallet</v>
          </cell>
          <cell r="AW57">
            <v>3</v>
          </cell>
          <cell r="AX57">
            <v>7.12</v>
          </cell>
          <cell r="AY57" t="str">
            <v>01.02.2015</v>
          </cell>
          <cell r="AZ57">
            <v>0</v>
          </cell>
          <cell r="BA57" t="str">
            <v>00.00.0000</v>
          </cell>
          <cell r="BB57" t="str">
            <v>M2</v>
          </cell>
          <cell r="BC57" t="str">
            <v>M2</v>
          </cell>
          <cell r="BD57" t="str">
            <v>S</v>
          </cell>
          <cell r="BE57">
            <v>5413218000451</v>
          </cell>
        </row>
        <row r="58">
          <cell r="A58" t="str">
            <v>G102424</v>
          </cell>
          <cell r="B58" t="str">
            <v>G102424</v>
          </cell>
          <cell r="C58" t="str">
            <v>A1ABA30A001A001</v>
          </cell>
          <cell r="D58" t="str">
            <v>Plaques + Plomb M2</v>
          </cell>
          <cell r="E58" t="str">
            <v>A1AB</v>
          </cell>
          <cell r="F58" t="str">
            <v>Technische platen M2</v>
          </cell>
          <cell r="G58" t="str">
            <v>G102424</v>
          </cell>
          <cell r="H58" t="str">
            <v>bestaand</v>
          </cell>
          <cell r="I58" t="str">
            <v>01.01.2013</v>
          </cell>
          <cell r="J58" t="str">
            <v>Yes</v>
          </cell>
          <cell r="K58" t="str">
            <v>Professional</v>
          </cell>
          <cell r="L58" t="str">
            <v>Gyproc</v>
          </cell>
          <cell r="M58" t="str">
            <v>Gyproc LP</v>
          </cell>
          <cell r="N58" t="str">
            <v>GYPROC ABA 12.5 X 2600 X 600 +LOOD 2MM</v>
          </cell>
          <cell r="O58" t="str">
            <v>GYPROC ABA 12.5 X 2600 X 600 +plomb 2MM</v>
          </cell>
          <cell r="P58" t="str">
            <v>ivoor</v>
          </cell>
          <cell r="Q58" t="str">
            <v>ivoire</v>
          </cell>
          <cell r="R58" t="str">
            <v>zwart</v>
          </cell>
          <cell r="S58" t="str">
            <v>noir</v>
          </cell>
          <cell r="T58" t="str">
            <v>NBN EN 14190:2014</v>
          </cell>
          <cell r="U58" t="str">
            <v>A</v>
          </cell>
          <cell r="V58" t="str">
            <v>LP</v>
          </cell>
          <cell r="W58" t="str">
            <v>gipskartonplaat bekleed met lood</v>
          </cell>
          <cell r="Y58" t="str">
            <v>gipsplaat voor droge binnenafbouw</v>
          </cell>
          <cell r="AB58" t="str">
            <v>SG_GY_2013_A1ABA30A001</v>
          </cell>
          <cell r="AC58" t="str">
            <v>ABA</v>
          </cell>
          <cell r="AD58" t="str">
            <v>ZZB: zichtzijde boven</v>
          </cell>
          <cell r="AE58">
            <v>12.5</v>
          </cell>
          <cell r="AH58" t="str">
            <v>+/-0.5</v>
          </cell>
          <cell r="AI58">
            <v>0</v>
          </cell>
          <cell r="AJ58">
            <v>0</v>
          </cell>
          <cell r="AL58" t="str">
            <v>Geen eisen gesteld</v>
          </cell>
          <cell r="AM58" t="str">
            <v>Pas de exigences</v>
          </cell>
          <cell r="AN58" t="str">
            <v>kg/m³</v>
          </cell>
          <cell r="AP58">
            <v>0.25</v>
          </cell>
          <cell r="AQ58">
            <v>0.05</v>
          </cell>
          <cell r="AR58">
            <v>51.636000000000003</v>
          </cell>
          <cell r="AS58">
            <v>54.218000000000004</v>
          </cell>
          <cell r="AT58">
            <v>20.28</v>
          </cell>
          <cell r="AU58" t="str">
            <v>CD3</v>
          </cell>
          <cell r="AV58" t="str">
            <v>DP : Duitse Pallet</v>
          </cell>
          <cell r="AW58">
            <v>3</v>
          </cell>
          <cell r="AX58">
            <v>0</v>
          </cell>
          <cell r="AY58" t="str">
            <v>00.00.0000</v>
          </cell>
          <cell r="AZ58">
            <v>0</v>
          </cell>
          <cell r="BA58" t="str">
            <v>00.00.0000</v>
          </cell>
          <cell r="BD58">
            <v>5</v>
          </cell>
          <cell r="BE58">
            <v>5413218564199</v>
          </cell>
        </row>
        <row r="59">
          <cell r="A59" t="str">
            <v>G102429</v>
          </cell>
          <cell r="B59" t="str">
            <v>G102429</v>
          </cell>
          <cell r="C59" t="str">
            <v>A1ABA30A001A001</v>
          </cell>
          <cell r="D59" t="str">
            <v>Plaques + Plomb M2</v>
          </cell>
          <cell r="E59" t="str">
            <v>A1AB</v>
          </cell>
          <cell r="F59" t="str">
            <v>Technische platen M2</v>
          </cell>
          <cell r="G59" t="str">
            <v>G102429</v>
          </cell>
          <cell r="H59" t="str">
            <v>bestaand</v>
          </cell>
          <cell r="I59" t="str">
            <v>01.01.2013</v>
          </cell>
          <cell r="J59" t="str">
            <v>Yes</v>
          </cell>
          <cell r="K59" t="str">
            <v>Professional</v>
          </cell>
          <cell r="L59" t="str">
            <v>Gyproc</v>
          </cell>
          <cell r="M59" t="str">
            <v>Gyproc LP</v>
          </cell>
          <cell r="N59" t="str">
            <v>GYPROC ABA 12.5 X 2600 X 600 +LOOD 1MM</v>
          </cell>
          <cell r="O59" t="str">
            <v>GYPROC ABA 12.5 X 2600 X 600 +plomb 1 MM</v>
          </cell>
          <cell r="P59" t="str">
            <v>ivoor</v>
          </cell>
          <cell r="Q59" t="str">
            <v>ivoire</v>
          </cell>
          <cell r="R59" t="str">
            <v>zwart</v>
          </cell>
          <cell r="S59" t="str">
            <v>noir</v>
          </cell>
          <cell r="T59" t="str">
            <v>NBN EN 14190:2014</v>
          </cell>
          <cell r="U59" t="str">
            <v>A</v>
          </cell>
          <cell r="V59" t="str">
            <v>LP</v>
          </cell>
          <cell r="W59" t="str">
            <v>gipskartonplaat bekleed met lood</v>
          </cell>
          <cell r="Y59" t="str">
            <v>gipsplaat voor droge binnenafbouw</v>
          </cell>
          <cell r="AB59" t="str">
            <v>SG_GY_2013_A1ABA30A001</v>
          </cell>
          <cell r="AC59" t="str">
            <v>ABA</v>
          </cell>
          <cell r="AD59" t="str">
            <v>ZZB: zichtzijde boven</v>
          </cell>
          <cell r="AE59">
            <v>12.5</v>
          </cell>
          <cell r="AH59" t="str">
            <v>+/-0.5</v>
          </cell>
          <cell r="AI59">
            <v>0</v>
          </cell>
          <cell r="AJ59">
            <v>0</v>
          </cell>
          <cell r="AL59" t="str">
            <v>Geen eisen gesteld</v>
          </cell>
          <cell r="AM59" t="str">
            <v>Pas de exigences</v>
          </cell>
          <cell r="AN59" t="str">
            <v>kg/m³</v>
          </cell>
          <cell r="AP59">
            <v>0.25</v>
          </cell>
          <cell r="AQ59">
            <v>0.05</v>
          </cell>
          <cell r="AR59">
            <v>34.008000000000003</v>
          </cell>
          <cell r="AS59">
            <v>35.707999999999998</v>
          </cell>
          <cell r="AT59">
            <v>20.28</v>
          </cell>
          <cell r="AU59" t="str">
            <v>CD3</v>
          </cell>
          <cell r="AV59" t="str">
            <v>DP : Duitse Pallet</v>
          </cell>
          <cell r="AW59">
            <v>3</v>
          </cell>
          <cell r="AX59">
            <v>0</v>
          </cell>
          <cell r="AY59" t="str">
            <v>00.00.0000</v>
          </cell>
          <cell r="AZ59">
            <v>0</v>
          </cell>
          <cell r="BA59" t="str">
            <v>00.00.0000</v>
          </cell>
          <cell r="BD59">
            <v>5</v>
          </cell>
          <cell r="BE59">
            <v>5413218564182</v>
          </cell>
        </row>
        <row r="60">
          <cell r="A60" t="str">
            <v>G102547</v>
          </cell>
          <cell r="B60" t="str">
            <v>G102547</v>
          </cell>
          <cell r="C60" t="str">
            <v>A1ABA07A003A021</v>
          </cell>
          <cell r="D60" t="str">
            <v>Gyproc® WR BA 13 60 M2</v>
          </cell>
          <cell r="E60" t="str">
            <v>A1AB</v>
          </cell>
          <cell r="F60" t="str">
            <v>Technische platen M2</v>
          </cell>
          <cell r="G60" t="str">
            <v>ZIB00019</v>
          </cell>
          <cell r="H60" t="str">
            <v>bestaand</v>
          </cell>
          <cell r="I60" t="str">
            <v>01.01.2013</v>
          </cell>
          <cell r="J60" t="str">
            <v>Yes</v>
          </cell>
          <cell r="K60" t="str">
            <v>Prof + DIY</v>
          </cell>
          <cell r="L60" t="str">
            <v>Gyproc</v>
          </cell>
          <cell r="M60" t="str">
            <v>Gyproc WR</v>
          </cell>
          <cell r="N60" t="str">
            <v>GY ABA WR 12.5 X 2600 X 600 DP/80 ZOZ</v>
          </cell>
          <cell r="O60" t="str">
            <v>GY ABA WR 12.5 X 2600 X 600 DP/80 ZOZ</v>
          </cell>
          <cell r="P60" t="str">
            <v>groen</v>
          </cell>
          <cell r="Q60" t="str">
            <v>vert</v>
          </cell>
          <cell r="R60" t="str">
            <v>grijs</v>
          </cell>
          <cell r="S60" t="str">
            <v>gris</v>
          </cell>
          <cell r="T60" t="str">
            <v>NBN EN 520:2009</v>
          </cell>
          <cell r="U60" t="str">
            <v>DFH2</v>
          </cell>
          <cell r="V60" t="str">
            <v>WR</v>
          </cell>
          <cell r="Y60" t="str">
            <v>gipsplaat voor droge binnenafbouw</v>
          </cell>
          <cell r="AA60" t="str">
            <v>A2-s1, d0 (B)</v>
          </cell>
          <cell r="AB60" t="str">
            <v>SG GY 2013 A1ABA07A003A021</v>
          </cell>
          <cell r="AC60" t="str">
            <v>ABA</v>
          </cell>
          <cell r="AD60" t="str">
            <v>ZOZ: zichtzijde op zichtzijde</v>
          </cell>
          <cell r="AE60">
            <v>12.5</v>
          </cell>
          <cell r="AH60" t="str">
            <v>+/-0.5</v>
          </cell>
          <cell r="AI60">
            <v>0</v>
          </cell>
          <cell r="AJ60">
            <v>0</v>
          </cell>
          <cell r="AK60">
            <v>1250</v>
          </cell>
          <cell r="AL60" t="str">
            <v>&gt; 800</v>
          </cell>
          <cell r="AM60" t="str">
            <v>&gt; 800</v>
          </cell>
          <cell r="AN60" t="str">
            <v>kg/m³</v>
          </cell>
          <cell r="AP60">
            <v>0.25</v>
          </cell>
          <cell r="AQ60">
            <v>0.05</v>
          </cell>
          <cell r="AR60">
            <v>16.38</v>
          </cell>
          <cell r="AS60">
            <v>17.199000000000002</v>
          </cell>
          <cell r="AT60">
            <v>24.18</v>
          </cell>
          <cell r="AU60" t="str">
            <v>CD3</v>
          </cell>
          <cell r="AV60" t="str">
            <v>DP : Duitse Pallet</v>
          </cell>
          <cell r="AW60">
            <v>3</v>
          </cell>
          <cell r="AX60">
            <v>7.3</v>
          </cell>
          <cell r="AY60" t="str">
            <v>01.02.2015</v>
          </cell>
          <cell r="AZ60">
            <v>0</v>
          </cell>
          <cell r="BA60" t="str">
            <v>00.00.0000</v>
          </cell>
          <cell r="BB60" t="str">
            <v>M2</v>
          </cell>
          <cell r="BC60" t="str">
            <v>M2</v>
          </cell>
          <cell r="BD60" t="str">
            <v>S</v>
          </cell>
          <cell r="BE60">
            <v>4002806607328</v>
          </cell>
        </row>
        <row r="61">
          <cell r="A61" t="str">
            <v>G102671</v>
          </cell>
          <cell r="B61" t="str">
            <v>G102671</v>
          </cell>
          <cell r="C61" t="str">
            <v>A1ABA15A003A006</v>
          </cell>
          <cell r="D61" t="str">
            <v>Gyproc® RF BA 15 (4xABA) M2</v>
          </cell>
          <cell r="E61" t="str">
            <v>A1AB</v>
          </cell>
          <cell r="F61" t="str">
            <v>Technische platen M2</v>
          </cell>
          <cell r="G61" t="str">
            <v>ZIB00016</v>
          </cell>
          <cell r="H61" t="str">
            <v>bestaand</v>
          </cell>
          <cell r="I61" t="str">
            <v>01.01.2013</v>
          </cell>
          <cell r="J61" t="str">
            <v>Yes</v>
          </cell>
          <cell r="K61" t="str">
            <v>Professional</v>
          </cell>
          <cell r="L61" t="str">
            <v>Gyproc</v>
          </cell>
          <cell r="M61" t="str">
            <v>Gyproc RF</v>
          </cell>
          <cell r="N61" t="str">
            <v>GY 4XABA RF 15.0 X 2500 X 1200 DP/40 ZZB</v>
          </cell>
          <cell r="O61" t="str">
            <v>GY 4XABA RF 15.0 X 2500 X 1200 DP/40 ZZB</v>
          </cell>
          <cell r="P61" t="str">
            <v>roze</v>
          </cell>
          <cell r="Q61" t="str">
            <v>rose</v>
          </cell>
          <cell r="R61" t="str">
            <v>grijs</v>
          </cell>
          <cell r="S61" t="str">
            <v>gris</v>
          </cell>
          <cell r="T61" t="str">
            <v>NBN EN 14190:2014</v>
          </cell>
          <cell r="U61" t="str">
            <v>DF</v>
          </cell>
          <cell r="V61" t="str">
            <v>Rf</v>
          </cell>
          <cell r="W61" t="str">
            <v>gipskartonplaat met 4 afgeschuinde boorden</v>
          </cell>
          <cell r="Y61" t="str">
            <v>gipsplaat voor droge binnenafbouw</v>
          </cell>
          <cell r="AA61" t="str">
            <v>A2-s1, d0 (C.2)</v>
          </cell>
          <cell r="AB61" t="str">
            <v>SG GY 2013 A1ABA15A003A006</v>
          </cell>
          <cell r="AC61" t="str">
            <v>4xABA</v>
          </cell>
          <cell r="AD61" t="str">
            <v>ZZB: zichtzijde boven</v>
          </cell>
          <cell r="AE61">
            <v>15</v>
          </cell>
          <cell r="AH61" t="str">
            <v>+/-0.5</v>
          </cell>
          <cell r="AI61">
            <v>0</v>
          </cell>
          <cell r="AJ61">
            <v>0</v>
          </cell>
          <cell r="AL61" t="str">
            <v>&gt; 800</v>
          </cell>
          <cell r="AM61" t="str">
            <v>&gt; 800</v>
          </cell>
          <cell r="AN61" t="str">
            <v>kg/m³</v>
          </cell>
          <cell r="AP61">
            <v>0.25</v>
          </cell>
          <cell r="AQ61">
            <v>0.06</v>
          </cell>
          <cell r="AR61">
            <v>40.799999999999997</v>
          </cell>
          <cell r="AS61">
            <v>42.024000000000001</v>
          </cell>
          <cell r="AT61">
            <v>45</v>
          </cell>
          <cell r="AU61" t="str">
            <v>CD3</v>
          </cell>
          <cell r="AV61" t="str">
            <v>DP : Duitse Pallet</v>
          </cell>
          <cell r="AW61">
            <v>3</v>
          </cell>
          <cell r="AX61">
            <v>6.67</v>
          </cell>
          <cell r="AY61" t="str">
            <v>01.02.2015</v>
          </cell>
          <cell r="AZ61">
            <v>0</v>
          </cell>
          <cell r="BA61" t="str">
            <v>00.00.0000</v>
          </cell>
          <cell r="BB61" t="str">
            <v>M2</v>
          </cell>
          <cell r="BC61" t="str">
            <v>M2</v>
          </cell>
          <cell r="BD61" t="str">
            <v>S</v>
          </cell>
          <cell r="BE61">
            <v>8711149000203</v>
          </cell>
        </row>
        <row r="62">
          <cell r="A62" t="str">
            <v>G102723</v>
          </cell>
          <cell r="B62" t="str">
            <v>G102723</v>
          </cell>
          <cell r="C62" t="str">
            <v>A1ABA15A004A002</v>
          </cell>
          <cell r="D62" t="str">
            <v>Gyproc® 4xABA RF 18 M2</v>
          </cell>
          <cell r="E62" t="str">
            <v>A1AB</v>
          </cell>
          <cell r="F62" t="str">
            <v>Technische platen M2</v>
          </cell>
          <cell r="G62" t="str">
            <v>ZIB00017</v>
          </cell>
          <cell r="H62" t="str">
            <v>bestaand</v>
          </cell>
          <cell r="I62" t="str">
            <v>01.01.2013</v>
          </cell>
          <cell r="J62" t="str">
            <v>Yes</v>
          </cell>
          <cell r="K62" t="str">
            <v>Professional</v>
          </cell>
          <cell r="L62" t="str">
            <v>Gyproc</v>
          </cell>
          <cell r="M62" t="str">
            <v>Gyproc RF</v>
          </cell>
          <cell r="N62" t="str">
            <v>GY 4XABA RF 18.0 X 2500 X 1200 DP/34 ZZB</v>
          </cell>
          <cell r="O62" t="str">
            <v>GY 4XABA RF 18.0 X 2500 X 1200 DP/34 ZZB</v>
          </cell>
          <cell r="P62" t="str">
            <v>roze</v>
          </cell>
          <cell r="Q62" t="str">
            <v>rose</v>
          </cell>
          <cell r="R62" t="str">
            <v>grijs</v>
          </cell>
          <cell r="S62" t="str">
            <v>gris</v>
          </cell>
          <cell r="T62" t="str">
            <v>NBN EN 14190:2014</v>
          </cell>
          <cell r="U62" t="str">
            <v>DF</v>
          </cell>
          <cell r="V62" t="str">
            <v>Rf</v>
          </cell>
          <cell r="W62" t="str">
            <v>gipskartonplaat met 4 afgeschuinde boorden</v>
          </cell>
          <cell r="Y62" t="str">
            <v>gipsplaat voor droge binnenafbouw</v>
          </cell>
          <cell r="AA62" t="str">
            <v>A2-s1, d0 (C.2)</v>
          </cell>
          <cell r="AC62" t="str">
            <v>4xABA</v>
          </cell>
          <cell r="AD62" t="str">
            <v>ZZB: zichtzijde boven</v>
          </cell>
          <cell r="AE62">
            <v>18</v>
          </cell>
          <cell r="AH62" t="str">
            <v>+/-0.5</v>
          </cell>
          <cell r="AI62">
            <v>0</v>
          </cell>
          <cell r="AJ62">
            <v>0</v>
          </cell>
          <cell r="AL62" t="str">
            <v>&gt; 800</v>
          </cell>
          <cell r="AM62" t="str">
            <v>&gt; 800</v>
          </cell>
          <cell r="AN62" t="str">
            <v>kg/m³</v>
          </cell>
          <cell r="AP62">
            <v>0.25</v>
          </cell>
          <cell r="AQ62">
            <v>7.0000000000000007E-2</v>
          </cell>
          <cell r="AR62">
            <v>44.55</v>
          </cell>
          <cell r="AS62">
            <v>46.777999999999999</v>
          </cell>
          <cell r="AT62">
            <v>54</v>
          </cell>
          <cell r="AU62" t="str">
            <v>CD3</v>
          </cell>
          <cell r="AV62" t="str">
            <v>DP : Duitse Pallet</v>
          </cell>
          <cell r="AW62">
            <v>3</v>
          </cell>
          <cell r="AX62">
            <v>7.65</v>
          </cell>
          <cell r="AY62" t="str">
            <v>01.02.2015</v>
          </cell>
          <cell r="AZ62">
            <v>0</v>
          </cell>
          <cell r="BA62" t="str">
            <v>00.00.0000</v>
          </cell>
          <cell r="BB62" t="str">
            <v>M2</v>
          </cell>
          <cell r="BC62" t="str">
            <v>M2</v>
          </cell>
          <cell r="BD62" t="str">
            <v>S</v>
          </cell>
          <cell r="BE62">
            <v>5413218564168</v>
          </cell>
        </row>
        <row r="63">
          <cell r="A63" t="str">
            <v>G102941N</v>
          </cell>
          <cell r="B63" t="str">
            <v>G102941</v>
          </cell>
          <cell r="C63" t="str">
            <v>C5CBC18C006C002</v>
          </cell>
          <cell r="D63" t="str">
            <v>MSH 50 M</v>
          </cell>
          <cell r="E63" t="str">
            <v>C5CB</v>
          </cell>
          <cell r="F63" t="str">
            <v>Profielen Platen en Wanden M</v>
          </cell>
          <cell r="G63" t="str">
            <v>ZIB00113</v>
          </cell>
          <cell r="H63" t="str">
            <v>bestaand</v>
          </cell>
          <cell r="I63" t="str">
            <v>01.01.2013</v>
          </cell>
          <cell r="J63" t="str">
            <v>Yes</v>
          </cell>
          <cell r="K63" t="str">
            <v>Professional</v>
          </cell>
          <cell r="L63" t="str">
            <v>METAL STUD</v>
          </cell>
          <cell r="M63" t="str">
            <v>MSH50</v>
          </cell>
          <cell r="N63" t="str">
            <v>M.S.HORZ.50 MM 4.00 M</v>
          </cell>
          <cell r="O63" t="str">
            <v>M.S.HORZ.50 MM 4.00 M</v>
          </cell>
          <cell r="P63" t="str">
            <v>(blanco)</v>
          </cell>
          <cell r="Q63" t="str">
            <v>(blanco)</v>
          </cell>
          <cell r="R63" t="str">
            <v>(blanco)</v>
          </cell>
          <cell r="S63" t="str">
            <v>(blanco)</v>
          </cell>
          <cell r="T63" t="str">
            <v>NBN EN 14195:2015</v>
          </cell>
          <cell r="U63" t="str">
            <v>U</v>
          </cell>
          <cell r="V63" t="str">
            <v>--</v>
          </cell>
          <cell r="AA63" t="str">
            <v>A1</v>
          </cell>
          <cell r="AC63" t="str">
            <v>(blanco)</v>
          </cell>
          <cell r="AD63" t="str">
            <v>(blanco)</v>
          </cell>
          <cell r="AH63">
            <v>-0.5</v>
          </cell>
          <cell r="AI63" t="e">
            <v>#DIV/0!</v>
          </cell>
          <cell r="AJ63">
            <v>0</v>
          </cell>
          <cell r="AL63" t="str">
            <v>(blanco)</v>
          </cell>
          <cell r="AM63" t="str">
            <v>(blanco)</v>
          </cell>
          <cell r="AN63" t="str">
            <v>(blanco)</v>
          </cell>
          <cell r="AP63">
            <v>50</v>
          </cell>
          <cell r="AR63">
            <v>2.4239999999999999</v>
          </cell>
          <cell r="AS63">
            <v>2.956</v>
          </cell>
          <cell r="AT63">
            <v>0</v>
          </cell>
          <cell r="AX63">
            <v>2.21</v>
          </cell>
          <cell r="AY63" t="str">
            <v>01.02.2015</v>
          </cell>
          <cell r="AZ63">
            <v>0</v>
          </cell>
          <cell r="BA63" t="str">
            <v>00.00.0000</v>
          </cell>
          <cell r="BB63" t="str">
            <v>M</v>
          </cell>
          <cell r="BC63" t="str">
            <v>M</v>
          </cell>
          <cell r="BD63" t="str">
            <v>S</v>
          </cell>
          <cell r="BE63">
            <v>5413218573979</v>
          </cell>
        </row>
        <row r="64">
          <cell r="A64" t="str">
            <v>G102943N</v>
          </cell>
          <cell r="B64" t="str">
            <v>G102943</v>
          </cell>
          <cell r="C64" t="str">
            <v>C5CBC18C006C003</v>
          </cell>
          <cell r="D64" t="str">
            <v>MSH 70 M</v>
          </cell>
          <cell r="E64" t="str">
            <v>C5CB</v>
          </cell>
          <cell r="F64" t="str">
            <v>Profielen Platen en Wanden M</v>
          </cell>
          <cell r="G64" t="str">
            <v>G102943N</v>
          </cell>
          <cell r="H64" t="str">
            <v>bestaand</v>
          </cell>
          <cell r="I64" t="str">
            <v>01.01.2013</v>
          </cell>
          <cell r="J64" t="str">
            <v>Yes</v>
          </cell>
          <cell r="K64" t="str">
            <v>Professional</v>
          </cell>
          <cell r="L64" t="str">
            <v>METAL STUD</v>
          </cell>
          <cell r="M64" t="str">
            <v>MSH70</v>
          </cell>
          <cell r="N64" t="str">
            <v>M.S.HORZ.70 MM 4.00 M</v>
          </cell>
          <cell r="O64" t="str">
            <v>M.S.HORZ.70 MM 4.00 M</v>
          </cell>
          <cell r="P64" t="str">
            <v>(blanco)</v>
          </cell>
          <cell r="Q64" t="str">
            <v>(blanco)</v>
          </cell>
          <cell r="R64" t="str">
            <v>(blanco)</v>
          </cell>
          <cell r="S64" t="str">
            <v>(blanco)</v>
          </cell>
          <cell r="T64" t="str">
            <v>NBN EN 14195:2015</v>
          </cell>
          <cell r="U64" t="str">
            <v>U</v>
          </cell>
          <cell r="V64" t="str">
            <v>--</v>
          </cell>
          <cell r="AA64" t="str">
            <v>A1</v>
          </cell>
          <cell r="AC64" t="str">
            <v>(blanco)</v>
          </cell>
          <cell r="AD64" t="str">
            <v>(blanco)</v>
          </cell>
          <cell r="AH64">
            <v>-0.5</v>
          </cell>
          <cell r="AI64" t="e">
            <v>#DIV/0!</v>
          </cell>
          <cell r="AJ64">
            <v>0</v>
          </cell>
          <cell r="AL64" t="str">
            <v>(blanco)</v>
          </cell>
          <cell r="AM64" t="str">
            <v>(blanco)</v>
          </cell>
          <cell r="AN64" t="str">
            <v>(blanco)</v>
          </cell>
          <cell r="AP64">
            <v>50</v>
          </cell>
          <cell r="AR64">
            <v>2.8039999999999998</v>
          </cell>
          <cell r="AS64">
            <v>2.8079999999999998</v>
          </cell>
          <cell r="AT64">
            <v>0</v>
          </cell>
          <cell r="AX64">
            <v>2.61</v>
          </cell>
          <cell r="AY64" t="str">
            <v>01.02.2015</v>
          </cell>
          <cell r="AZ64">
            <v>0</v>
          </cell>
          <cell r="BA64" t="str">
            <v>00.00.0000</v>
          </cell>
          <cell r="BB64" t="str">
            <v>M</v>
          </cell>
          <cell r="BC64" t="str">
            <v>M</v>
          </cell>
          <cell r="BD64" t="str">
            <v>S</v>
          </cell>
          <cell r="BE64">
            <v>5413218581417</v>
          </cell>
        </row>
        <row r="65">
          <cell r="A65" t="str">
            <v>G102944N</v>
          </cell>
          <cell r="B65" t="str">
            <v>G102944</v>
          </cell>
          <cell r="C65" t="str">
            <v>C5CBC18C006C009</v>
          </cell>
          <cell r="D65" t="str">
            <v>MSH 100 M</v>
          </cell>
          <cell r="E65" t="str">
            <v>C5CB</v>
          </cell>
          <cell r="F65" t="str">
            <v>Profielen Platen en Wanden M</v>
          </cell>
          <cell r="G65" t="str">
            <v>G102944N</v>
          </cell>
          <cell r="H65" t="str">
            <v>bestaand</v>
          </cell>
          <cell r="I65" t="str">
            <v>01.01.2013</v>
          </cell>
          <cell r="J65" t="str">
            <v>Yes</v>
          </cell>
          <cell r="K65" t="str">
            <v>Professional</v>
          </cell>
          <cell r="L65" t="str">
            <v>METAL STUD</v>
          </cell>
          <cell r="M65" t="str">
            <v>MSH100</v>
          </cell>
          <cell r="N65" t="str">
            <v>M.S.HORZ.100 MM 4.00 M</v>
          </cell>
          <cell r="O65" t="str">
            <v>M.S.HORZ.100 MM 4.00 M</v>
          </cell>
          <cell r="P65" t="str">
            <v>(blanco)</v>
          </cell>
          <cell r="Q65" t="str">
            <v>(blanco)</v>
          </cell>
          <cell r="R65" t="str">
            <v>(blanco)</v>
          </cell>
          <cell r="S65" t="str">
            <v>(blanco)</v>
          </cell>
          <cell r="T65" t="str">
            <v>NBN EN 14195:2015</v>
          </cell>
          <cell r="U65" t="str">
            <v>U</v>
          </cell>
          <cell r="V65" t="str">
            <v>--</v>
          </cell>
          <cell r="AA65" t="str">
            <v>A1</v>
          </cell>
          <cell r="AC65" t="str">
            <v>(blanco)</v>
          </cell>
          <cell r="AD65" t="str">
            <v>(blanco)</v>
          </cell>
          <cell r="AH65">
            <v>-0.5</v>
          </cell>
          <cell r="AI65" t="e">
            <v>#DIV/0!</v>
          </cell>
          <cell r="AJ65">
            <v>0</v>
          </cell>
          <cell r="AL65" t="str">
            <v>(blanco)</v>
          </cell>
          <cell r="AM65" t="str">
            <v>(blanco)</v>
          </cell>
          <cell r="AN65" t="str">
            <v>(blanco)</v>
          </cell>
          <cell r="AP65">
            <v>50</v>
          </cell>
          <cell r="AR65">
            <v>3.38</v>
          </cell>
          <cell r="AS65">
            <v>3.3839999999999999</v>
          </cell>
          <cell r="AT65">
            <v>0</v>
          </cell>
          <cell r="AX65">
            <v>2.99</v>
          </cell>
          <cell r="AY65" t="str">
            <v>01.02.2015</v>
          </cell>
          <cell r="AZ65">
            <v>0</v>
          </cell>
          <cell r="BA65" t="str">
            <v>00.00.0000</v>
          </cell>
          <cell r="BB65" t="str">
            <v>M</v>
          </cell>
          <cell r="BC65" t="str">
            <v>M</v>
          </cell>
          <cell r="BD65" t="str">
            <v>S</v>
          </cell>
          <cell r="BE65">
            <v>5413218581424</v>
          </cell>
        </row>
        <row r="66">
          <cell r="A66" t="str">
            <v>G102947N</v>
          </cell>
          <cell r="B66" t="str">
            <v>G102947</v>
          </cell>
          <cell r="C66" t="str">
            <v>C5CBC18C006C004</v>
          </cell>
          <cell r="D66" t="str">
            <v>MSH 75 M</v>
          </cell>
          <cell r="E66" t="str">
            <v>C5CB</v>
          </cell>
          <cell r="F66" t="str">
            <v>Profielen Platen en Wanden M</v>
          </cell>
          <cell r="G66" t="str">
            <v>G102947N</v>
          </cell>
          <cell r="H66" t="str">
            <v>bestaand</v>
          </cell>
          <cell r="I66" t="str">
            <v>01.01.2013</v>
          </cell>
          <cell r="J66" t="str">
            <v>Yes</v>
          </cell>
          <cell r="K66" t="str">
            <v>Professional</v>
          </cell>
          <cell r="L66" t="str">
            <v>METAL STUD</v>
          </cell>
          <cell r="M66" t="str">
            <v>MSH75</v>
          </cell>
          <cell r="N66" t="str">
            <v>M.S.HORZ.75 MM 4.00 M</v>
          </cell>
          <cell r="O66" t="str">
            <v>M.S.HORZ.75 MM 4.00 M</v>
          </cell>
          <cell r="P66" t="str">
            <v>(blanco)</v>
          </cell>
          <cell r="Q66" t="str">
            <v>(blanco)</v>
          </cell>
          <cell r="R66" t="str">
            <v>(blanco)</v>
          </cell>
          <cell r="S66" t="str">
            <v>(blanco)</v>
          </cell>
          <cell r="T66" t="str">
            <v>NBN EN 14195:2015</v>
          </cell>
          <cell r="U66" t="str">
            <v>U</v>
          </cell>
          <cell r="V66" t="str">
            <v>--</v>
          </cell>
          <cell r="AA66" t="str">
            <v>A1</v>
          </cell>
          <cell r="AC66" t="str">
            <v>(blanco)</v>
          </cell>
          <cell r="AD66" t="str">
            <v>(blanco)</v>
          </cell>
          <cell r="AH66">
            <v>-0.5</v>
          </cell>
          <cell r="AI66" t="e">
            <v>#DIV/0!</v>
          </cell>
          <cell r="AJ66">
            <v>0</v>
          </cell>
          <cell r="AL66" t="str">
            <v>(blanco)</v>
          </cell>
          <cell r="AM66" t="str">
            <v>(blanco)</v>
          </cell>
          <cell r="AN66" t="str">
            <v>(blanco)</v>
          </cell>
          <cell r="AP66">
            <v>50</v>
          </cell>
          <cell r="AR66">
            <v>2.9</v>
          </cell>
          <cell r="AS66">
            <v>2.9039999999999999</v>
          </cell>
          <cell r="AT66">
            <v>0</v>
          </cell>
          <cell r="AX66">
            <v>2.61</v>
          </cell>
          <cell r="AY66" t="str">
            <v>01.02.2015</v>
          </cell>
          <cell r="AZ66">
            <v>0</v>
          </cell>
          <cell r="BA66" t="str">
            <v>00.00.0000</v>
          </cell>
          <cell r="BB66" t="str">
            <v>M</v>
          </cell>
          <cell r="BC66" t="str">
            <v>M</v>
          </cell>
          <cell r="BD66" t="str">
            <v>S</v>
          </cell>
          <cell r="BE66">
            <v>5413218576260</v>
          </cell>
        </row>
        <row r="67">
          <cell r="A67" t="str">
            <v>G102952N</v>
          </cell>
          <cell r="B67" t="str">
            <v>G102952</v>
          </cell>
          <cell r="C67" t="str">
            <v>C5CBC18C006C006</v>
          </cell>
          <cell r="D67" t="str">
            <v>MSH 125 M</v>
          </cell>
          <cell r="E67" t="str">
            <v>C5CB</v>
          </cell>
          <cell r="F67" t="str">
            <v>Profielen Platen en Wanden M</v>
          </cell>
          <cell r="G67" t="str">
            <v>G102952N</v>
          </cell>
          <cell r="H67" t="str">
            <v>bestaand</v>
          </cell>
          <cell r="I67" t="str">
            <v>01.01.2013</v>
          </cell>
          <cell r="J67" t="str">
            <v>Yes</v>
          </cell>
          <cell r="K67" t="str">
            <v>Professional</v>
          </cell>
          <cell r="L67" t="str">
            <v>METAL STUD</v>
          </cell>
          <cell r="M67" t="str">
            <v>MSH125</v>
          </cell>
          <cell r="N67" t="str">
            <v>M.S.HORZ.125 MM 4.00 M</v>
          </cell>
          <cell r="O67" t="str">
            <v>M.S.HORZ.125 MM 4.00 M</v>
          </cell>
          <cell r="P67" t="str">
            <v>(blanco)</v>
          </cell>
          <cell r="Q67" t="str">
            <v>(blanco)</v>
          </cell>
          <cell r="R67" t="str">
            <v>(blanco)</v>
          </cell>
          <cell r="S67" t="str">
            <v>(blanco)</v>
          </cell>
          <cell r="T67" t="str">
            <v>NBN EN 14195:2015</v>
          </cell>
          <cell r="U67" t="str">
            <v>U</v>
          </cell>
          <cell r="V67" t="str">
            <v>--</v>
          </cell>
          <cell r="AA67" t="str">
            <v>A1</v>
          </cell>
          <cell r="AC67" t="str">
            <v>(blanco)</v>
          </cell>
          <cell r="AD67" t="str">
            <v>(blanco)</v>
          </cell>
          <cell r="AH67">
            <v>-0.5</v>
          </cell>
          <cell r="AI67" t="e">
            <v>#DIV/0!</v>
          </cell>
          <cell r="AJ67">
            <v>0</v>
          </cell>
          <cell r="AL67" t="str">
            <v>(blanco)</v>
          </cell>
          <cell r="AM67" t="str">
            <v>(blanco)</v>
          </cell>
          <cell r="AN67" t="str">
            <v>(blanco)</v>
          </cell>
          <cell r="AP67">
            <v>50</v>
          </cell>
          <cell r="AR67">
            <v>3.0640000000000001</v>
          </cell>
          <cell r="AS67">
            <v>3.8639999999999999</v>
          </cell>
          <cell r="AT67">
            <v>0</v>
          </cell>
          <cell r="AX67">
            <v>4.24</v>
          </cell>
          <cell r="AY67" t="str">
            <v>01.02.2015</v>
          </cell>
          <cell r="AZ67">
            <v>0</v>
          </cell>
          <cell r="BA67" t="str">
            <v>00.00.0000</v>
          </cell>
          <cell r="BB67" t="str">
            <v>M</v>
          </cell>
          <cell r="BC67" t="str">
            <v>M</v>
          </cell>
          <cell r="BD67" t="str">
            <v>S</v>
          </cell>
          <cell r="BE67">
            <v>0</v>
          </cell>
        </row>
        <row r="68">
          <cell r="A68" t="str">
            <v>G102957N</v>
          </cell>
          <cell r="B68" t="str">
            <v>G102957</v>
          </cell>
          <cell r="C68" t="str">
            <v>C5CBC18C008C003</v>
          </cell>
          <cell r="D68" t="str">
            <v>MSV 50 M</v>
          </cell>
          <cell r="E68" t="str">
            <v>C5CB</v>
          </cell>
          <cell r="F68" t="str">
            <v>Profielen Platen en Wanden M</v>
          </cell>
          <cell r="G68" t="str">
            <v>ZIB00101</v>
          </cell>
          <cell r="H68" t="str">
            <v>bestaand</v>
          </cell>
          <cell r="I68" t="str">
            <v>01.01.2013</v>
          </cell>
          <cell r="J68" t="str">
            <v>Yes</v>
          </cell>
          <cell r="K68" t="str">
            <v>Professional</v>
          </cell>
          <cell r="L68" t="str">
            <v>METAL STUD</v>
          </cell>
          <cell r="M68" t="str">
            <v>MSV50</v>
          </cell>
          <cell r="N68" t="str">
            <v>M.S.VERT.50 MM 2.60 M</v>
          </cell>
          <cell r="O68" t="str">
            <v>M.S.VERT.50 MM 2.60 M</v>
          </cell>
          <cell r="P68" t="str">
            <v>(blanco)</v>
          </cell>
          <cell r="Q68" t="str">
            <v>(blanco)</v>
          </cell>
          <cell r="R68" t="str">
            <v>(blanco)</v>
          </cell>
          <cell r="S68" t="str">
            <v>(blanco)</v>
          </cell>
          <cell r="T68" t="str">
            <v>NBN EN 14195:2015</v>
          </cell>
          <cell r="U68" t="str">
            <v>C</v>
          </cell>
          <cell r="V68" t="str">
            <v>--</v>
          </cell>
          <cell r="AA68" t="str">
            <v>A1</v>
          </cell>
          <cell r="AC68" t="str">
            <v>(blanco)</v>
          </cell>
          <cell r="AD68" t="str">
            <v>(blanco)</v>
          </cell>
          <cell r="AH68">
            <v>-0.5</v>
          </cell>
          <cell r="AI68" t="e">
            <v>#DIV/0!</v>
          </cell>
          <cell r="AJ68">
            <v>0</v>
          </cell>
          <cell r="AL68" t="str">
            <v>(blanco)</v>
          </cell>
          <cell r="AM68" t="str">
            <v>(blanco)</v>
          </cell>
          <cell r="AN68" t="str">
            <v>(blanco)</v>
          </cell>
          <cell r="AP68">
            <v>50</v>
          </cell>
          <cell r="AR68">
            <v>1.921</v>
          </cell>
          <cell r="AS68">
            <v>1.9239999999999999</v>
          </cell>
          <cell r="AT68">
            <v>0</v>
          </cell>
          <cell r="AX68">
            <v>2.9</v>
          </cell>
          <cell r="AY68" t="str">
            <v>01.02.2015</v>
          </cell>
          <cell r="AZ68">
            <v>0</v>
          </cell>
          <cell r="BA68" t="str">
            <v>00.00.0000</v>
          </cell>
          <cell r="BB68" t="str">
            <v>M</v>
          </cell>
          <cell r="BC68" t="str">
            <v>M</v>
          </cell>
          <cell r="BD68" t="str">
            <v>S</v>
          </cell>
          <cell r="BE68">
            <v>5413218573986</v>
          </cell>
        </row>
        <row r="69">
          <cell r="A69" t="str">
            <v>G102958N</v>
          </cell>
          <cell r="B69" t="str">
            <v>G102958</v>
          </cell>
          <cell r="C69" t="str">
            <v>C5CBC18C008C003</v>
          </cell>
          <cell r="D69" t="str">
            <v>MSV 50 M</v>
          </cell>
          <cell r="E69" t="str">
            <v>C5CB</v>
          </cell>
          <cell r="F69" t="str">
            <v>Profielen Platen en Wanden M</v>
          </cell>
          <cell r="G69" t="str">
            <v>ZIB00101</v>
          </cell>
          <cell r="H69" t="str">
            <v>bestaand</v>
          </cell>
          <cell r="I69" t="str">
            <v>01.01.2013</v>
          </cell>
          <cell r="J69" t="str">
            <v>Yes</v>
          </cell>
          <cell r="K69" t="str">
            <v>Professional</v>
          </cell>
          <cell r="L69" t="str">
            <v>METAL STUD</v>
          </cell>
          <cell r="M69" t="str">
            <v>MSV50</v>
          </cell>
          <cell r="N69" t="str">
            <v>M.S.VERT.50 MM 2.80 M</v>
          </cell>
          <cell r="O69" t="str">
            <v>M.S.VERT.50 MM 2.80 M</v>
          </cell>
          <cell r="P69" t="str">
            <v>(blanco)</v>
          </cell>
          <cell r="Q69" t="str">
            <v>(blanco)</v>
          </cell>
          <cell r="R69" t="str">
            <v>(blanco)</v>
          </cell>
          <cell r="S69" t="str">
            <v>(blanco)</v>
          </cell>
          <cell r="T69" t="str">
            <v>NBN EN 14195:2015</v>
          </cell>
          <cell r="U69" t="str">
            <v>C</v>
          </cell>
          <cell r="V69" t="str">
            <v>--</v>
          </cell>
          <cell r="AA69" t="str">
            <v>A1</v>
          </cell>
          <cell r="AC69" t="str">
            <v>(blanco)</v>
          </cell>
          <cell r="AD69" t="str">
            <v>(blanco)</v>
          </cell>
          <cell r="AH69">
            <v>-0.5</v>
          </cell>
          <cell r="AI69" t="e">
            <v>#DIV/0!</v>
          </cell>
          <cell r="AJ69">
            <v>0</v>
          </cell>
          <cell r="AL69" t="str">
            <v>(blanco)</v>
          </cell>
          <cell r="AM69" t="str">
            <v>(blanco)</v>
          </cell>
          <cell r="AN69" t="str">
            <v>(blanco)</v>
          </cell>
          <cell r="AP69">
            <v>50</v>
          </cell>
          <cell r="AR69">
            <v>2.069</v>
          </cell>
          <cell r="AS69">
            <v>2.0720000000000001</v>
          </cell>
          <cell r="AT69">
            <v>0</v>
          </cell>
          <cell r="AX69">
            <v>2.9</v>
          </cell>
          <cell r="AY69" t="str">
            <v>01.02.2015</v>
          </cell>
          <cell r="AZ69">
            <v>0</v>
          </cell>
          <cell r="BA69" t="str">
            <v>00.00.0000</v>
          </cell>
          <cell r="BB69" t="str">
            <v>M</v>
          </cell>
          <cell r="BC69" t="str">
            <v>M</v>
          </cell>
          <cell r="BD69" t="str">
            <v>S</v>
          </cell>
          <cell r="BE69">
            <v>5413218574020</v>
          </cell>
        </row>
        <row r="70">
          <cell r="A70" t="str">
            <v>G102959N</v>
          </cell>
          <cell r="B70" t="str">
            <v>G102959</v>
          </cell>
          <cell r="C70" t="str">
            <v>C5CBC18C008C003</v>
          </cell>
          <cell r="D70" t="str">
            <v>MSV 50 M</v>
          </cell>
          <cell r="E70" t="str">
            <v>C5CB</v>
          </cell>
          <cell r="F70" t="str">
            <v>Profielen Platen en Wanden M</v>
          </cell>
          <cell r="G70" t="str">
            <v>ZIB00101</v>
          </cell>
          <cell r="H70" t="str">
            <v>bestaand</v>
          </cell>
          <cell r="I70" t="str">
            <v>01.01.2013</v>
          </cell>
          <cell r="J70" t="str">
            <v>Yes</v>
          </cell>
          <cell r="K70" t="str">
            <v>Professional</v>
          </cell>
          <cell r="L70" t="str">
            <v>METAL STUD</v>
          </cell>
          <cell r="M70" t="str">
            <v>MSV50</v>
          </cell>
          <cell r="N70" t="str">
            <v>M.S.VERT.50 MM 3.00 M</v>
          </cell>
          <cell r="O70" t="str">
            <v>M.S.VERT.50 MM 3.00 M</v>
          </cell>
          <cell r="P70" t="str">
            <v>(blanco)</v>
          </cell>
          <cell r="Q70" t="str">
            <v>(blanco)</v>
          </cell>
          <cell r="R70" t="str">
            <v>(blanco)</v>
          </cell>
          <cell r="S70" t="str">
            <v>(blanco)</v>
          </cell>
          <cell r="T70" t="str">
            <v>NBN EN 14195:2015</v>
          </cell>
          <cell r="U70" t="str">
            <v>C</v>
          </cell>
          <cell r="V70" t="str">
            <v>--</v>
          </cell>
          <cell r="AA70" t="str">
            <v>A1</v>
          </cell>
          <cell r="AC70" t="str">
            <v>(blanco)</v>
          </cell>
          <cell r="AD70" t="str">
            <v>(blanco)</v>
          </cell>
          <cell r="AH70">
            <v>-0.5</v>
          </cell>
          <cell r="AI70" t="e">
            <v>#DIV/0!</v>
          </cell>
          <cell r="AJ70">
            <v>0</v>
          </cell>
          <cell r="AL70" t="str">
            <v>(blanco)</v>
          </cell>
          <cell r="AM70" t="str">
            <v>(blanco)</v>
          </cell>
          <cell r="AN70" t="str">
            <v>(blanco)</v>
          </cell>
          <cell r="AP70">
            <v>50</v>
          </cell>
          <cell r="AR70">
            <v>2.2170000000000001</v>
          </cell>
          <cell r="AS70">
            <v>2.2200000000000002</v>
          </cell>
          <cell r="AT70">
            <v>0</v>
          </cell>
          <cell r="AX70">
            <v>2.9</v>
          </cell>
          <cell r="AY70" t="str">
            <v>01.02.2015</v>
          </cell>
          <cell r="AZ70">
            <v>0</v>
          </cell>
          <cell r="BA70" t="str">
            <v>00.00.0000</v>
          </cell>
          <cell r="BB70" t="str">
            <v>M</v>
          </cell>
          <cell r="BC70" t="str">
            <v>M</v>
          </cell>
          <cell r="BD70" t="str">
            <v>S</v>
          </cell>
          <cell r="BE70">
            <v>5413218576284</v>
          </cell>
        </row>
        <row r="71">
          <cell r="A71" t="str">
            <v>G102960N</v>
          </cell>
          <cell r="B71" t="str">
            <v>G102960</v>
          </cell>
          <cell r="C71" t="str">
            <v>C5CBC18C008C003</v>
          </cell>
          <cell r="D71" t="str">
            <v>MSV 50 M</v>
          </cell>
          <cell r="E71" t="str">
            <v>C5CB</v>
          </cell>
          <cell r="F71" t="str">
            <v>Profielen Platen en Wanden M</v>
          </cell>
          <cell r="G71" t="str">
            <v>ZIB00101</v>
          </cell>
          <cell r="H71" t="str">
            <v>bestaand</v>
          </cell>
          <cell r="I71" t="str">
            <v>01.01.2013</v>
          </cell>
          <cell r="J71" t="str">
            <v>Yes</v>
          </cell>
          <cell r="K71" t="str">
            <v>Professional</v>
          </cell>
          <cell r="L71" t="str">
            <v>METAL STUD</v>
          </cell>
          <cell r="M71" t="str">
            <v>MSV50</v>
          </cell>
          <cell r="N71" t="str">
            <v>M.S.VERT.50 MM 3.60 M</v>
          </cell>
          <cell r="O71" t="str">
            <v>M.S.VERT.50 MM 3.60 M</v>
          </cell>
          <cell r="P71" t="str">
            <v>(blanco)</v>
          </cell>
          <cell r="Q71" t="str">
            <v>(blanco)</v>
          </cell>
          <cell r="R71" t="str">
            <v>(blanco)</v>
          </cell>
          <cell r="S71" t="str">
            <v>(blanco)</v>
          </cell>
          <cell r="T71" t="str">
            <v>NBN EN 14195:2015</v>
          </cell>
          <cell r="U71" t="str">
            <v>C</v>
          </cell>
          <cell r="V71" t="str">
            <v>--</v>
          </cell>
          <cell r="AA71" t="str">
            <v>A1</v>
          </cell>
          <cell r="AC71" t="str">
            <v>(blanco)</v>
          </cell>
          <cell r="AD71" t="str">
            <v>(blanco)</v>
          </cell>
          <cell r="AH71">
            <v>-0.5</v>
          </cell>
          <cell r="AI71" t="e">
            <v>#DIV/0!</v>
          </cell>
          <cell r="AJ71">
            <v>0</v>
          </cell>
          <cell r="AL71" t="str">
            <v>(blanco)</v>
          </cell>
          <cell r="AM71" t="str">
            <v>(blanco)</v>
          </cell>
          <cell r="AN71" t="str">
            <v>(blanco)</v>
          </cell>
          <cell r="AP71">
            <v>50</v>
          </cell>
          <cell r="AR71">
            <v>2.66</v>
          </cell>
          <cell r="AS71">
            <v>2.6640000000000001</v>
          </cell>
          <cell r="AT71">
            <v>0</v>
          </cell>
          <cell r="AX71">
            <v>2.9</v>
          </cell>
          <cell r="AY71" t="str">
            <v>01.02.2015</v>
          </cell>
          <cell r="AZ71">
            <v>0</v>
          </cell>
          <cell r="BA71" t="str">
            <v>00.00.0000</v>
          </cell>
          <cell r="BB71" t="str">
            <v>M</v>
          </cell>
          <cell r="BC71" t="str">
            <v>M</v>
          </cell>
          <cell r="BD71" t="str">
            <v>S</v>
          </cell>
          <cell r="BE71">
            <v>5413218581493</v>
          </cell>
        </row>
        <row r="72">
          <cell r="A72" t="str">
            <v>G102965N</v>
          </cell>
          <cell r="B72" t="str">
            <v>G102965</v>
          </cell>
          <cell r="C72" t="str">
            <v>C5CBC18C008C004</v>
          </cell>
          <cell r="D72" t="str">
            <v>MSV 70 M</v>
          </cell>
          <cell r="E72" t="str">
            <v>C5CB</v>
          </cell>
          <cell r="F72" t="str">
            <v>Profielen Platen en Wanden M</v>
          </cell>
          <cell r="G72" t="str">
            <v>ZIB00102</v>
          </cell>
          <cell r="H72" t="str">
            <v>bestaand</v>
          </cell>
          <cell r="I72" t="str">
            <v>01.01.2013</v>
          </cell>
          <cell r="J72" t="str">
            <v>Yes</v>
          </cell>
          <cell r="K72" t="str">
            <v>Professional</v>
          </cell>
          <cell r="L72" t="str">
            <v>METAL STUD</v>
          </cell>
          <cell r="M72" t="str">
            <v>MSV70</v>
          </cell>
          <cell r="N72" t="str">
            <v>M.S.VERT.70 MM 3.20 M</v>
          </cell>
          <cell r="O72" t="str">
            <v>M.S.VERT.70 MM 3.20 M</v>
          </cell>
          <cell r="P72" t="str">
            <v>(blanco)</v>
          </cell>
          <cell r="Q72" t="str">
            <v>(blanco)</v>
          </cell>
          <cell r="R72" t="str">
            <v>(blanco)</v>
          </cell>
          <cell r="S72" t="str">
            <v>(blanco)</v>
          </cell>
          <cell r="T72" t="str">
            <v>NBN EN 14195:2015</v>
          </cell>
          <cell r="U72" t="str">
            <v>C</v>
          </cell>
          <cell r="V72" t="str">
            <v>--</v>
          </cell>
          <cell r="AA72" t="str">
            <v>A1</v>
          </cell>
          <cell r="AC72" t="str">
            <v>(blanco)</v>
          </cell>
          <cell r="AD72" t="str">
            <v>(blanco)</v>
          </cell>
          <cell r="AH72">
            <v>-0.5</v>
          </cell>
          <cell r="AI72" t="e">
            <v>#DIV/0!</v>
          </cell>
          <cell r="AJ72">
            <v>0</v>
          </cell>
          <cell r="AL72" t="str">
            <v>(blanco)</v>
          </cell>
          <cell r="AM72" t="str">
            <v>(blanco)</v>
          </cell>
          <cell r="AN72" t="str">
            <v>(blanco)</v>
          </cell>
          <cell r="AP72">
            <v>50</v>
          </cell>
          <cell r="AR72">
            <v>2.6720000000000002</v>
          </cell>
          <cell r="AS72">
            <v>2.6749999999999998</v>
          </cell>
          <cell r="AT72">
            <v>0</v>
          </cell>
          <cell r="AX72">
            <v>3.17</v>
          </cell>
          <cell r="AY72" t="str">
            <v>01.02.2015</v>
          </cell>
          <cell r="AZ72">
            <v>0</v>
          </cell>
          <cell r="BA72" t="str">
            <v>00.00.0000</v>
          </cell>
          <cell r="BB72" t="str">
            <v>M</v>
          </cell>
          <cell r="BC72" t="str">
            <v>M</v>
          </cell>
          <cell r="BD72" t="str">
            <v>S</v>
          </cell>
          <cell r="BE72">
            <v>0</v>
          </cell>
        </row>
        <row r="73">
          <cell r="A73" t="str">
            <v>G102967N</v>
          </cell>
          <cell r="B73" t="str">
            <v>G102967</v>
          </cell>
          <cell r="C73" t="str">
            <v>C5CBC18C008C004</v>
          </cell>
          <cell r="D73" t="str">
            <v>MSV 70 M</v>
          </cell>
          <cell r="E73" t="str">
            <v>C5CB</v>
          </cell>
          <cell r="F73" t="str">
            <v>Profielen Platen en Wanden M</v>
          </cell>
          <cell r="G73" t="str">
            <v>ZIB00102</v>
          </cell>
          <cell r="H73" t="str">
            <v>bestaand</v>
          </cell>
          <cell r="I73" t="str">
            <v>01.01.2013</v>
          </cell>
          <cell r="J73" t="str">
            <v>Yes</v>
          </cell>
          <cell r="K73" t="str">
            <v>Professional</v>
          </cell>
          <cell r="L73" t="str">
            <v>METAL STUD</v>
          </cell>
          <cell r="M73" t="str">
            <v>MSV70</v>
          </cell>
          <cell r="N73" t="str">
            <v>M.S.VERT.70 MM 4.00 M</v>
          </cell>
          <cell r="O73" t="str">
            <v>M.S.VERT.70 MM 4.00 M</v>
          </cell>
          <cell r="P73" t="str">
            <v>(blanco)</v>
          </cell>
          <cell r="Q73" t="str">
            <v>(blanco)</v>
          </cell>
          <cell r="R73" t="str">
            <v>(blanco)</v>
          </cell>
          <cell r="S73" t="str">
            <v>(blanco)</v>
          </cell>
          <cell r="T73" t="str">
            <v>NBN EN 14195:2015</v>
          </cell>
          <cell r="U73" t="str">
            <v>C</v>
          </cell>
          <cell r="V73" t="str">
            <v>--</v>
          </cell>
          <cell r="AA73" t="str">
            <v>A1</v>
          </cell>
          <cell r="AC73" t="str">
            <v>(blanco)</v>
          </cell>
          <cell r="AD73" t="str">
            <v>(blanco)</v>
          </cell>
          <cell r="AH73">
            <v>-0.5</v>
          </cell>
          <cell r="AI73" t="e">
            <v>#DIV/0!</v>
          </cell>
          <cell r="AJ73">
            <v>0</v>
          </cell>
          <cell r="AL73" t="str">
            <v>(blanco)</v>
          </cell>
          <cell r="AM73" t="str">
            <v>(blanco)</v>
          </cell>
          <cell r="AN73" t="str">
            <v>(blanco)</v>
          </cell>
          <cell r="AP73">
            <v>50</v>
          </cell>
          <cell r="AR73">
            <v>3.34</v>
          </cell>
          <cell r="AS73">
            <v>3.3439999999999999</v>
          </cell>
          <cell r="AT73">
            <v>0</v>
          </cell>
          <cell r="AX73">
            <v>3.17</v>
          </cell>
          <cell r="AY73" t="str">
            <v>01.02.2015</v>
          </cell>
          <cell r="AZ73">
            <v>0</v>
          </cell>
          <cell r="BA73" t="str">
            <v>00.00.0000</v>
          </cell>
          <cell r="BB73" t="str">
            <v>M</v>
          </cell>
          <cell r="BC73" t="str">
            <v>M</v>
          </cell>
          <cell r="BD73" t="str">
            <v>S</v>
          </cell>
          <cell r="BE73">
            <v>5413218581431</v>
          </cell>
        </row>
        <row r="74">
          <cell r="A74" t="str">
            <v>G102968N</v>
          </cell>
          <cell r="B74" t="str">
            <v>G102968</v>
          </cell>
          <cell r="C74" t="str">
            <v>C5CBC18C008C004</v>
          </cell>
          <cell r="D74" t="str">
            <v>MSV 70 M</v>
          </cell>
          <cell r="E74" t="str">
            <v>C5CB</v>
          </cell>
          <cell r="F74" t="str">
            <v>Profielen Platen en Wanden M</v>
          </cell>
          <cell r="G74" t="str">
            <v>ZIB00102</v>
          </cell>
          <cell r="H74" t="str">
            <v>bestaand</v>
          </cell>
          <cell r="I74" t="str">
            <v>01.01.2013</v>
          </cell>
          <cell r="J74" t="str">
            <v>Yes</v>
          </cell>
          <cell r="K74" t="str">
            <v>Professional</v>
          </cell>
          <cell r="L74" t="str">
            <v>METAL STUD</v>
          </cell>
          <cell r="M74" t="str">
            <v>MSV70</v>
          </cell>
          <cell r="N74" t="str">
            <v>M.S.VERT.70 MM 2.60 M</v>
          </cell>
          <cell r="O74" t="str">
            <v>M.S.VERT.70 MM 2.60 M</v>
          </cell>
          <cell r="P74" t="str">
            <v>(blanco)</v>
          </cell>
          <cell r="Q74" t="str">
            <v>(blanco)</v>
          </cell>
          <cell r="R74" t="str">
            <v>(blanco)</v>
          </cell>
          <cell r="S74" t="str">
            <v>(blanco)</v>
          </cell>
          <cell r="T74" t="str">
            <v>NBN EN 14195:2015</v>
          </cell>
          <cell r="U74" t="str">
            <v>C</v>
          </cell>
          <cell r="V74" t="str">
            <v>--</v>
          </cell>
          <cell r="AA74" t="str">
            <v>A1</v>
          </cell>
          <cell r="AC74" t="str">
            <v>(blanco)</v>
          </cell>
          <cell r="AD74" t="str">
            <v>(blanco)</v>
          </cell>
          <cell r="AH74">
            <v>-0.5</v>
          </cell>
          <cell r="AI74" t="e">
            <v>#DIV/0!</v>
          </cell>
          <cell r="AJ74">
            <v>0</v>
          </cell>
          <cell r="AL74" t="str">
            <v>(blanco)</v>
          </cell>
          <cell r="AM74" t="str">
            <v>(blanco)</v>
          </cell>
          <cell r="AN74" t="str">
            <v>(blanco)</v>
          </cell>
          <cell r="AP74">
            <v>50</v>
          </cell>
          <cell r="AR74">
            <v>2.1709999999999998</v>
          </cell>
          <cell r="AS74">
            <v>2.1739999999999999</v>
          </cell>
          <cell r="AT74">
            <v>0</v>
          </cell>
          <cell r="AX74">
            <v>3.17</v>
          </cell>
          <cell r="AY74" t="str">
            <v>01.02.2015</v>
          </cell>
          <cell r="AZ74">
            <v>0</v>
          </cell>
          <cell r="BA74" t="str">
            <v>00.00.0000</v>
          </cell>
          <cell r="BB74" t="str">
            <v>M</v>
          </cell>
          <cell r="BC74" t="str">
            <v>M</v>
          </cell>
          <cell r="BD74" t="str">
            <v>S</v>
          </cell>
          <cell r="BE74">
            <v>5413218581448</v>
          </cell>
        </row>
        <row r="75">
          <cell r="A75" t="str">
            <v>G102969N</v>
          </cell>
          <cell r="B75" t="str">
            <v>G102969</v>
          </cell>
          <cell r="C75" t="str">
            <v>C5CBC18C008C004</v>
          </cell>
          <cell r="D75" t="str">
            <v>MSV 70 M</v>
          </cell>
          <cell r="E75" t="str">
            <v>C5CB</v>
          </cell>
          <cell r="F75" t="str">
            <v>Profielen Platen en Wanden M</v>
          </cell>
          <cell r="G75" t="str">
            <v>ZIB00102</v>
          </cell>
          <cell r="H75" t="str">
            <v>bestaand</v>
          </cell>
          <cell r="I75" t="str">
            <v>01.01.2013</v>
          </cell>
          <cell r="J75" t="str">
            <v>Yes</v>
          </cell>
          <cell r="K75" t="str">
            <v>Professional</v>
          </cell>
          <cell r="L75" t="str">
            <v>METAL STUD</v>
          </cell>
          <cell r="M75" t="str">
            <v>MSV70</v>
          </cell>
          <cell r="N75" t="str">
            <v>M.S.VERT.70 MM 2.80 M</v>
          </cell>
          <cell r="O75" t="str">
            <v>M.S.VERT.70 MM 2.80 M</v>
          </cell>
          <cell r="P75" t="str">
            <v>(blanco)</v>
          </cell>
          <cell r="Q75" t="str">
            <v>(blanco)</v>
          </cell>
          <cell r="R75" t="str">
            <v>(blanco)</v>
          </cell>
          <cell r="S75" t="str">
            <v>(blanco)</v>
          </cell>
          <cell r="T75" t="str">
            <v>NBN EN 14195:2015</v>
          </cell>
          <cell r="U75" t="str">
            <v>C</v>
          </cell>
          <cell r="V75" t="str">
            <v>--</v>
          </cell>
          <cell r="AA75" t="str">
            <v>A1</v>
          </cell>
          <cell r="AC75" t="str">
            <v>(blanco)</v>
          </cell>
          <cell r="AD75" t="str">
            <v>(blanco)</v>
          </cell>
          <cell r="AH75">
            <v>-0.5</v>
          </cell>
          <cell r="AI75" t="e">
            <v>#DIV/0!</v>
          </cell>
          <cell r="AJ75">
            <v>0</v>
          </cell>
          <cell r="AL75" t="str">
            <v>(blanco)</v>
          </cell>
          <cell r="AM75" t="str">
            <v>(blanco)</v>
          </cell>
          <cell r="AN75" t="str">
            <v>(blanco)</v>
          </cell>
          <cell r="AP75">
            <v>50</v>
          </cell>
          <cell r="AR75">
            <v>2.3380000000000001</v>
          </cell>
          <cell r="AS75">
            <v>2.3410000000000002</v>
          </cell>
          <cell r="AT75">
            <v>0</v>
          </cell>
          <cell r="AX75">
            <v>3.17</v>
          </cell>
          <cell r="AY75" t="str">
            <v>01.02.2015</v>
          </cell>
          <cell r="AZ75">
            <v>0</v>
          </cell>
          <cell r="BA75" t="str">
            <v>00.00.0000</v>
          </cell>
          <cell r="BB75" t="str">
            <v>M</v>
          </cell>
          <cell r="BC75" t="str">
            <v>M</v>
          </cell>
          <cell r="BD75" t="str">
            <v>S</v>
          </cell>
          <cell r="BE75">
            <v>0</v>
          </cell>
        </row>
        <row r="76">
          <cell r="A76" t="str">
            <v>G102970N</v>
          </cell>
          <cell r="B76" t="str">
            <v>G102970</v>
          </cell>
          <cell r="C76" t="str">
            <v>C5CBC18C008C004</v>
          </cell>
          <cell r="D76" t="str">
            <v>MSV 70 M</v>
          </cell>
          <cell r="E76" t="str">
            <v>C5CB</v>
          </cell>
          <cell r="F76" t="str">
            <v>Profielen Platen en Wanden M</v>
          </cell>
          <cell r="G76" t="str">
            <v>ZIB00102</v>
          </cell>
          <cell r="H76" t="str">
            <v>bestaand</v>
          </cell>
          <cell r="I76" t="str">
            <v>01.01.2013</v>
          </cell>
          <cell r="J76" t="str">
            <v>Yes</v>
          </cell>
          <cell r="K76" t="str">
            <v>Professional</v>
          </cell>
          <cell r="L76" t="str">
            <v>METAL STUD</v>
          </cell>
          <cell r="M76" t="str">
            <v>MSV70</v>
          </cell>
          <cell r="N76" t="str">
            <v>M.S.VERT.70 MM 3.00 M</v>
          </cell>
          <cell r="O76" t="str">
            <v>M.S.VERT.70 MM 3.00 M</v>
          </cell>
          <cell r="P76" t="str">
            <v>(blanco)</v>
          </cell>
          <cell r="Q76" t="str">
            <v>(blanco)</v>
          </cell>
          <cell r="R76" t="str">
            <v>(blanco)</v>
          </cell>
          <cell r="S76" t="str">
            <v>(blanco)</v>
          </cell>
          <cell r="T76" t="str">
            <v>NBN EN 14195:2015</v>
          </cell>
          <cell r="U76" t="str">
            <v>C</v>
          </cell>
          <cell r="V76" t="str">
            <v>--</v>
          </cell>
          <cell r="AA76" t="str">
            <v>A1</v>
          </cell>
          <cell r="AC76" t="str">
            <v>(blanco)</v>
          </cell>
          <cell r="AD76" t="str">
            <v>(blanco)</v>
          </cell>
          <cell r="AH76">
            <v>-0.5</v>
          </cell>
          <cell r="AI76" t="e">
            <v>#DIV/0!</v>
          </cell>
          <cell r="AJ76">
            <v>0</v>
          </cell>
          <cell r="AL76" t="str">
            <v>(blanco)</v>
          </cell>
          <cell r="AM76" t="str">
            <v>(blanco)</v>
          </cell>
          <cell r="AN76" t="str">
            <v>(blanco)</v>
          </cell>
          <cell r="AP76">
            <v>50</v>
          </cell>
          <cell r="AR76">
            <v>2.5049999999999999</v>
          </cell>
          <cell r="AS76">
            <v>2.508</v>
          </cell>
          <cell r="AT76">
            <v>0</v>
          </cell>
          <cell r="AX76">
            <v>3.17</v>
          </cell>
          <cell r="AY76" t="str">
            <v>01.02.2015</v>
          </cell>
          <cell r="AZ76">
            <v>0</v>
          </cell>
          <cell r="BA76" t="str">
            <v>00.00.0000</v>
          </cell>
          <cell r="BB76" t="str">
            <v>M</v>
          </cell>
          <cell r="BC76" t="str">
            <v>M</v>
          </cell>
          <cell r="BD76" t="str">
            <v>S</v>
          </cell>
          <cell r="BE76">
            <v>5413218581455</v>
          </cell>
        </row>
        <row r="77">
          <cell r="A77" t="str">
            <v>G102971N</v>
          </cell>
          <cell r="B77" t="str">
            <v>G102971</v>
          </cell>
          <cell r="C77" t="str">
            <v>C5CBC18C008C004</v>
          </cell>
          <cell r="D77" t="str">
            <v>MSV 70 M</v>
          </cell>
          <cell r="E77" t="str">
            <v>C5CB</v>
          </cell>
          <cell r="F77" t="str">
            <v>Profielen Platen en Wanden M</v>
          </cell>
          <cell r="G77" t="str">
            <v>ZIB00102</v>
          </cell>
          <cell r="H77" t="str">
            <v>bestaand</v>
          </cell>
          <cell r="I77" t="str">
            <v>01.01.2013</v>
          </cell>
          <cell r="J77" t="str">
            <v>Yes</v>
          </cell>
          <cell r="K77" t="str">
            <v>Professional</v>
          </cell>
          <cell r="L77" t="str">
            <v>METAL STUD</v>
          </cell>
          <cell r="M77" t="str">
            <v>MSV70</v>
          </cell>
          <cell r="N77" t="str">
            <v>M.S.VERT.70 MM 3.60 M</v>
          </cell>
          <cell r="O77" t="str">
            <v>M.S.VERT.70 MM 3.60 M</v>
          </cell>
          <cell r="P77" t="str">
            <v>(blanco)</v>
          </cell>
          <cell r="Q77" t="str">
            <v>(blanco)</v>
          </cell>
          <cell r="R77" t="str">
            <v>(blanco)</v>
          </cell>
          <cell r="S77" t="str">
            <v>(blanco)</v>
          </cell>
          <cell r="T77" t="str">
            <v>NBN EN 14195:2015</v>
          </cell>
          <cell r="U77" t="str">
            <v>C</v>
          </cell>
          <cell r="V77" t="str">
            <v>--</v>
          </cell>
          <cell r="AA77" t="str">
            <v>A1</v>
          </cell>
          <cell r="AC77" t="str">
            <v>(blanco)</v>
          </cell>
          <cell r="AD77" t="str">
            <v>(blanco)</v>
          </cell>
          <cell r="AH77">
            <v>-0.5</v>
          </cell>
          <cell r="AI77" t="e">
            <v>#DIV/0!</v>
          </cell>
          <cell r="AJ77">
            <v>0</v>
          </cell>
          <cell r="AL77" t="str">
            <v>(blanco)</v>
          </cell>
          <cell r="AM77" t="str">
            <v>(blanco)</v>
          </cell>
          <cell r="AN77" t="str">
            <v>(blanco)</v>
          </cell>
          <cell r="AP77">
            <v>50</v>
          </cell>
          <cell r="AR77">
            <v>3.0059999999999998</v>
          </cell>
          <cell r="AS77">
            <v>3.01</v>
          </cell>
          <cell r="AT77">
            <v>0</v>
          </cell>
          <cell r="AX77">
            <v>3.17</v>
          </cell>
          <cell r="AY77" t="str">
            <v>01.02.2015</v>
          </cell>
          <cell r="AZ77">
            <v>0</v>
          </cell>
          <cell r="BA77" t="str">
            <v>00.00.0000</v>
          </cell>
          <cell r="BB77" t="str">
            <v>M</v>
          </cell>
          <cell r="BC77" t="str">
            <v>M</v>
          </cell>
          <cell r="BD77" t="str">
            <v>S</v>
          </cell>
          <cell r="BE77">
            <v>0</v>
          </cell>
        </row>
        <row r="78">
          <cell r="A78" t="str">
            <v>G102974N</v>
          </cell>
          <cell r="B78" t="str">
            <v>G102974</v>
          </cell>
          <cell r="C78" t="str">
            <v>C5CBC18C008C005</v>
          </cell>
          <cell r="D78" t="str">
            <v>MSV 75 M</v>
          </cell>
          <cell r="E78" t="str">
            <v>C5CB</v>
          </cell>
          <cell r="F78" t="str">
            <v>Profielen Platen en Wanden M</v>
          </cell>
          <cell r="G78" t="str">
            <v>ZIB00103</v>
          </cell>
          <cell r="H78" t="str">
            <v>bestaand</v>
          </cell>
          <cell r="I78" t="str">
            <v>01.01.2013</v>
          </cell>
          <cell r="J78" t="str">
            <v>Yes</v>
          </cell>
          <cell r="K78" t="str">
            <v>Professional</v>
          </cell>
          <cell r="L78" t="str">
            <v>METAL STUD</v>
          </cell>
          <cell r="M78" t="str">
            <v>MSV75</v>
          </cell>
          <cell r="N78" t="str">
            <v>M.S.VERT.75 MM 2.60 M</v>
          </cell>
          <cell r="O78" t="str">
            <v>M.S.VERT.75 MM 2.60 M</v>
          </cell>
          <cell r="P78" t="str">
            <v>(blanco)</v>
          </cell>
          <cell r="Q78" t="str">
            <v>(blanco)</v>
          </cell>
          <cell r="R78" t="str">
            <v>(blanco)</v>
          </cell>
          <cell r="S78" t="str">
            <v>(blanco)</v>
          </cell>
          <cell r="T78" t="str">
            <v>NBN EN 14195:2015</v>
          </cell>
          <cell r="U78" t="str">
            <v>C</v>
          </cell>
          <cell r="V78" t="str">
            <v>--</v>
          </cell>
          <cell r="AA78" t="str">
            <v>A1</v>
          </cell>
          <cell r="AC78" t="str">
            <v>(blanco)</v>
          </cell>
          <cell r="AD78" t="str">
            <v>(blanco)</v>
          </cell>
          <cell r="AH78">
            <v>-0.5</v>
          </cell>
          <cell r="AI78" t="e">
            <v>#DIV/0!</v>
          </cell>
          <cell r="AJ78">
            <v>0</v>
          </cell>
          <cell r="AL78" t="str">
            <v>(blanco)</v>
          </cell>
          <cell r="AM78" t="str">
            <v>(blanco)</v>
          </cell>
          <cell r="AN78" t="str">
            <v>(blanco)</v>
          </cell>
          <cell r="AP78">
            <v>50</v>
          </cell>
          <cell r="AR78">
            <v>2.2330000000000001</v>
          </cell>
          <cell r="AS78">
            <v>2.2360000000000002</v>
          </cell>
          <cell r="AT78">
            <v>0</v>
          </cell>
          <cell r="AX78">
            <v>3.17</v>
          </cell>
          <cell r="AY78" t="str">
            <v>01.02.2015</v>
          </cell>
          <cell r="AZ78">
            <v>0</v>
          </cell>
          <cell r="BA78" t="str">
            <v>00.00.0000</v>
          </cell>
          <cell r="BB78" t="str">
            <v>M</v>
          </cell>
          <cell r="BC78" t="str">
            <v>M</v>
          </cell>
          <cell r="BD78" t="str">
            <v>S</v>
          </cell>
          <cell r="BE78">
            <v>5413218581509</v>
          </cell>
        </row>
        <row r="79">
          <cell r="A79" t="str">
            <v>G102975N</v>
          </cell>
          <cell r="C79" t="str">
            <v>C5CBC18C008C005</v>
          </cell>
          <cell r="D79" t="str">
            <v>MSV 75 M</v>
          </cell>
          <cell r="E79" t="str">
            <v>C5CB</v>
          </cell>
          <cell r="F79" t="str">
            <v>Profielen Platen en Wanden M</v>
          </cell>
          <cell r="G79" t="str">
            <v>ZIB00103</v>
          </cell>
          <cell r="H79" t="str">
            <v>bestaand</v>
          </cell>
          <cell r="I79" t="str">
            <v>01.01.2013</v>
          </cell>
          <cell r="J79" t="str">
            <v>Yes</v>
          </cell>
          <cell r="K79" t="str">
            <v>Professional</v>
          </cell>
          <cell r="L79" t="str">
            <v>METAL STUD</v>
          </cell>
          <cell r="M79" t="str">
            <v>MSV75</v>
          </cell>
          <cell r="N79" t="str">
            <v>M.S.VERT.75 MM 2.89 M</v>
          </cell>
          <cell r="O79" t="str">
            <v>M.S.VERT.75 MM 2.89 M</v>
          </cell>
          <cell r="P79" t="str">
            <v>(blanco)</v>
          </cell>
          <cell r="Q79" t="str">
            <v>(blanco)</v>
          </cell>
          <cell r="R79" t="str">
            <v>(blanco)</v>
          </cell>
          <cell r="S79" t="str">
            <v>(blanco)</v>
          </cell>
          <cell r="T79" t="str">
            <v>NBN EN 14195:2015</v>
          </cell>
          <cell r="U79" t="str">
            <v>C</v>
          </cell>
          <cell r="V79" t="str">
            <v>--</v>
          </cell>
          <cell r="AA79" t="str">
            <v>A1</v>
          </cell>
          <cell r="AC79" t="str">
            <v>(blanco)</v>
          </cell>
          <cell r="AD79" t="str">
            <v>(blanco)</v>
          </cell>
          <cell r="AH79">
            <v>-0.5</v>
          </cell>
          <cell r="AI79" t="e">
            <v>#DIV/0!</v>
          </cell>
          <cell r="AJ79">
            <v>0</v>
          </cell>
          <cell r="AL79" t="str">
            <v>(blanco)</v>
          </cell>
          <cell r="AM79" t="str">
            <v>(blanco)</v>
          </cell>
          <cell r="AN79" t="str">
            <v>(blanco)</v>
          </cell>
          <cell r="AP79">
            <v>50</v>
          </cell>
          <cell r="AR79">
            <v>2.4820000000000002</v>
          </cell>
          <cell r="AS79">
            <v>2.4849999999999999</v>
          </cell>
          <cell r="AT79">
            <v>0</v>
          </cell>
          <cell r="AX79">
            <v>3.17</v>
          </cell>
          <cell r="AY79" t="str">
            <v>01.02.2015</v>
          </cell>
          <cell r="AZ79">
            <v>0</v>
          </cell>
          <cell r="BA79" t="str">
            <v>00.00.0000</v>
          </cell>
          <cell r="BB79" t="str">
            <v>M</v>
          </cell>
          <cell r="BC79" t="str">
            <v>M</v>
          </cell>
          <cell r="BD79" t="str">
            <v>S</v>
          </cell>
          <cell r="BE79">
            <v>0</v>
          </cell>
        </row>
        <row r="80">
          <cell r="A80" t="str">
            <v>G102981N</v>
          </cell>
          <cell r="B80" t="str">
            <v>G102981</v>
          </cell>
          <cell r="C80" t="str">
            <v>C5CBC18C008C005</v>
          </cell>
          <cell r="D80" t="str">
            <v>MSV 75 M</v>
          </cell>
          <cell r="E80" t="str">
            <v>C5CB</v>
          </cell>
          <cell r="F80" t="str">
            <v>Profielen Platen en Wanden M</v>
          </cell>
          <cell r="G80" t="str">
            <v>ZIB00103</v>
          </cell>
          <cell r="H80" t="str">
            <v>bestaand</v>
          </cell>
          <cell r="I80" t="str">
            <v>01.01.2013</v>
          </cell>
          <cell r="J80" t="str">
            <v>Yes</v>
          </cell>
          <cell r="K80" t="str">
            <v>Professional</v>
          </cell>
          <cell r="L80" t="str">
            <v>METAL STUD</v>
          </cell>
          <cell r="M80" t="str">
            <v>MSV75</v>
          </cell>
          <cell r="N80" t="str">
            <v>M.S.VERT.75 MM 3.60 M</v>
          </cell>
          <cell r="O80" t="str">
            <v>M.S.VERT.75 MM 3.60 M</v>
          </cell>
          <cell r="P80" t="str">
            <v>(blanco)</v>
          </cell>
          <cell r="Q80" t="str">
            <v>(blanco)</v>
          </cell>
          <cell r="R80" t="str">
            <v>(blanco)</v>
          </cell>
          <cell r="S80" t="str">
            <v>(blanco)</v>
          </cell>
          <cell r="T80" t="str">
            <v>NBN EN 14195:2015</v>
          </cell>
          <cell r="U80" t="str">
            <v>C</v>
          </cell>
          <cell r="V80" t="str">
            <v>--</v>
          </cell>
          <cell r="AA80" t="str">
            <v>A1</v>
          </cell>
          <cell r="AC80" t="str">
            <v>(blanco)</v>
          </cell>
          <cell r="AD80" t="str">
            <v>(blanco)</v>
          </cell>
          <cell r="AH80">
            <v>-0.5</v>
          </cell>
          <cell r="AI80" t="e">
            <v>#DIV/0!</v>
          </cell>
          <cell r="AJ80">
            <v>0</v>
          </cell>
          <cell r="AL80" t="str">
            <v>(blanco)</v>
          </cell>
          <cell r="AM80" t="str">
            <v>(blanco)</v>
          </cell>
          <cell r="AN80" t="str">
            <v>(blanco)</v>
          </cell>
          <cell r="AP80">
            <v>50</v>
          </cell>
          <cell r="AR80">
            <v>3.0920000000000001</v>
          </cell>
          <cell r="AS80">
            <v>3.0960000000000001</v>
          </cell>
          <cell r="AT80">
            <v>0</v>
          </cell>
          <cell r="AX80">
            <v>3.17</v>
          </cell>
          <cell r="AY80" t="str">
            <v>01.02.2015</v>
          </cell>
          <cell r="AZ80">
            <v>0</v>
          </cell>
          <cell r="BA80" t="str">
            <v>00.00.0000</v>
          </cell>
          <cell r="BB80" t="str">
            <v>M</v>
          </cell>
          <cell r="BC80" t="str">
            <v>M</v>
          </cell>
          <cell r="BD80" t="str">
            <v>S</v>
          </cell>
          <cell r="BE80">
            <v>5413218581523</v>
          </cell>
        </row>
        <row r="81">
          <cell r="A81" t="str">
            <v>G102983N</v>
          </cell>
          <cell r="B81" t="str">
            <v>G102983</v>
          </cell>
          <cell r="C81" t="str">
            <v>C5CBC18C008C005</v>
          </cell>
          <cell r="D81" t="str">
            <v>MSV 75 M</v>
          </cell>
          <cell r="E81" t="str">
            <v>C5CB</v>
          </cell>
          <cell r="F81" t="str">
            <v>Profielen Platen en Wanden M</v>
          </cell>
          <cell r="G81" t="str">
            <v>ZIB00103</v>
          </cell>
          <cell r="H81" t="str">
            <v>bestaand</v>
          </cell>
          <cell r="I81" t="str">
            <v>01.02.2014</v>
          </cell>
          <cell r="J81" t="str">
            <v>Yes</v>
          </cell>
          <cell r="K81" t="str">
            <v>Professional</v>
          </cell>
          <cell r="L81" t="str">
            <v>METAL STUD</v>
          </cell>
          <cell r="M81" t="str">
            <v>MSV75</v>
          </cell>
          <cell r="N81" t="str">
            <v>M.S.VERT.75 MM 2.80 M</v>
          </cell>
          <cell r="O81" t="str">
            <v>M.S.VERT.75 MM 2.80 M</v>
          </cell>
          <cell r="P81" t="str">
            <v>(blanco)</v>
          </cell>
          <cell r="Q81" t="str">
            <v>(blanco)</v>
          </cell>
          <cell r="R81" t="str">
            <v>(blanco)</v>
          </cell>
          <cell r="S81" t="str">
            <v>(blanco)</v>
          </cell>
          <cell r="T81" t="str">
            <v>NBN EN 14195:2015</v>
          </cell>
          <cell r="U81" t="str">
            <v>C</v>
          </cell>
          <cell r="V81" t="str">
            <v>--</v>
          </cell>
          <cell r="AA81" t="str">
            <v>A1</v>
          </cell>
          <cell r="AC81" t="str">
            <v>(blanco)</v>
          </cell>
          <cell r="AD81" t="str">
            <v>(blanco)</v>
          </cell>
          <cell r="AH81">
            <v>-0.5</v>
          </cell>
          <cell r="AI81" t="e">
            <v>#DIV/0!</v>
          </cell>
          <cell r="AJ81">
            <v>0</v>
          </cell>
          <cell r="AL81" t="str">
            <v>(blanco)</v>
          </cell>
          <cell r="AM81" t="str">
            <v>(blanco)</v>
          </cell>
          <cell r="AN81" t="str">
            <v>(blanco)</v>
          </cell>
          <cell r="AP81">
            <v>50</v>
          </cell>
          <cell r="AR81">
            <v>2.4049999999999998</v>
          </cell>
          <cell r="AS81">
            <v>2.4079999999999999</v>
          </cell>
          <cell r="AT81">
            <v>0</v>
          </cell>
          <cell r="AX81">
            <v>3.17</v>
          </cell>
          <cell r="AY81" t="str">
            <v>01.02.2015</v>
          </cell>
          <cell r="AZ81">
            <v>0</v>
          </cell>
          <cell r="BA81" t="str">
            <v>00.00.0000</v>
          </cell>
          <cell r="BB81" t="str">
            <v>M</v>
          </cell>
          <cell r="BC81" t="str">
            <v>M</v>
          </cell>
          <cell r="BD81" t="str">
            <v>S</v>
          </cell>
          <cell r="BE81">
            <v>0</v>
          </cell>
        </row>
        <row r="82">
          <cell r="A82" t="str">
            <v>G102984N</v>
          </cell>
          <cell r="B82" t="str">
            <v>G102984</v>
          </cell>
          <cell r="C82" t="str">
            <v>C5CBC18C008C006</v>
          </cell>
          <cell r="D82" t="str">
            <v>MSV 100 M</v>
          </cell>
          <cell r="E82" t="str">
            <v>C5CB</v>
          </cell>
          <cell r="F82" t="str">
            <v>Profielen Platen en Wanden M</v>
          </cell>
          <cell r="G82" t="str">
            <v>ZIB00104</v>
          </cell>
          <cell r="H82" t="str">
            <v>bestaand</v>
          </cell>
          <cell r="I82" t="str">
            <v>01.01.2013</v>
          </cell>
          <cell r="J82" t="str">
            <v>Yes</v>
          </cell>
          <cell r="K82" t="str">
            <v>Professional</v>
          </cell>
          <cell r="L82" t="str">
            <v>METAL STUD</v>
          </cell>
          <cell r="M82" t="str">
            <v>MSV100</v>
          </cell>
          <cell r="N82" t="str">
            <v>M.S.VERT.100 MM 4.00 M</v>
          </cell>
          <cell r="O82" t="str">
            <v>M.S.VERT.100 MM 4.00 M</v>
          </cell>
          <cell r="P82" t="str">
            <v>(blanco)</v>
          </cell>
          <cell r="Q82" t="str">
            <v>(blanco)</v>
          </cell>
          <cell r="R82" t="str">
            <v>(blanco)</v>
          </cell>
          <cell r="S82" t="str">
            <v>(blanco)</v>
          </cell>
          <cell r="T82" t="str">
            <v>NBN EN 14195:2015</v>
          </cell>
          <cell r="U82" t="str">
            <v>C</v>
          </cell>
          <cell r="V82" t="str">
            <v>--</v>
          </cell>
          <cell r="AA82" t="str">
            <v>A1</v>
          </cell>
          <cell r="AC82" t="str">
            <v>(blanco)</v>
          </cell>
          <cell r="AD82" t="str">
            <v>(blanco)</v>
          </cell>
          <cell r="AH82">
            <v>-0.5</v>
          </cell>
          <cell r="AI82" t="e">
            <v>#DIV/0!</v>
          </cell>
          <cell r="AJ82">
            <v>0</v>
          </cell>
          <cell r="AL82" t="str">
            <v>(blanco)</v>
          </cell>
          <cell r="AM82" t="str">
            <v>(blanco)</v>
          </cell>
          <cell r="AN82" t="str">
            <v>(blanco)</v>
          </cell>
          <cell r="AP82">
            <v>50</v>
          </cell>
          <cell r="AR82">
            <v>3.9159999999999999</v>
          </cell>
          <cell r="AS82">
            <v>3.92</v>
          </cell>
          <cell r="AT82">
            <v>0</v>
          </cell>
          <cell r="AX82">
            <v>3.56</v>
          </cell>
          <cell r="AY82" t="str">
            <v>01.02.2015</v>
          </cell>
          <cell r="AZ82">
            <v>0</v>
          </cell>
          <cell r="BA82" t="str">
            <v>00.00.0000</v>
          </cell>
          <cell r="BB82" t="str">
            <v>M</v>
          </cell>
          <cell r="BC82" t="str">
            <v>M</v>
          </cell>
          <cell r="BD82" t="str">
            <v>S</v>
          </cell>
          <cell r="BE82">
            <v>5413218576321</v>
          </cell>
        </row>
        <row r="83">
          <cell r="A83" t="str">
            <v>G102999N</v>
          </cell>
          <cell r="B83" t="str">
            <v>G102999</v>
          </cell>
          <cell r="C83" t="str">
            <v>C5CBC18C008C005</v>
          </cell>
          <cell r="D83" t="str">
            <v>MSV 75 M</v>
          </cell>
          <cell r="E83" t="str">
            <v>C5CB</v>
          </cell>
          <cell r="F83" t="str">
            <v>Profielen Platen en Wanden M</v>
          </cell>
          <cell r="G83" t="str">
            <v>ZIB00103</v>
          </cell>
          <cell r="H83" t="str">
            <v>bestaand</v>
          </cell>
          <cell r="I83" t="str">
            <v>01.02.2014</v>
          </cell>
          <cell r="J83" t="str">
            <v>Yes</v>
          </cell>
          <cell r="K83" t="str">
            <v>Professional</v>
          </cell>
          <cell r="L83" t="str">
            <v>METAL STUD</v>
          </cell>
          <cell r="M83" t="str">
            <v>MSV75</v>
          </cell>
          <cell r="N83" t="str">
            <v>M.S.VERT.75 MM 3.20 M</v>
          </cell>
          <cell r="O83" t="str">
            <v>M.S.VERT.75 MM 3.20 M</v>
          </cell>
          <cell r="P83" t="str">
            <v>(blanco)</v>
          </cell>
          <cell r="Q83" t="str">
            <v>(blanco)</v>
          </cell>
          <cell r="R83" t="str">
            <v>(blanco)</v>
          </cell>
          <cell r="S83" t="str">
            <v>(blanco)</v>
          </cell>
          <cell r="T83" t="str">
            <v>NBN EN 14195:2015</v>
          </cell>
          <cell r="U83" t="str">
            <v>C</v>
          </cell>
          <cell r="V83" t="str">
            <v>--</v>
          </cell>
          <cell r="AA83" t="str">
            <v>A1</v>
          </cell>
          <cell r="AC83" t="str">
            <v>(blanco)</v>
          </cell>
          <cell r="AD83" t="str">
            <v>(blanco)</v>
          </cell>
          <cell r="AH83">
            <v>-0.5</v>
          </cell>
          <cell r="AI83" t="e">
            <v>#DIV/0!</v>
          </cell>
          <cell r="AJ83">
            <v>0</v>
          </cell>
          <cell r="AL83" t="str">
            <v>(blanco)</v>
          </cell>
          <cell r="AM83" t="str">
            <v>(blanco)</v>
          </cell>
          <cell r="AN83" t="str">
            <v>(blanco)</v>
          </cell>
          <cell r="AP83">
            <v>50</v>
          </cell>
          <cell r="AR83">
            <v>2.7490000000000001</v>
          </cell>
          <cell r="AS83">
            <v>2.7519999999999998</v>
          </cell>
          <cell r="AT83">
            <v>0</v>
          </cell>
          <cell r="AX83">
            <v>3.17</v>
          </cell>
          <cell r="AY83" t="str">
            <v>01.02.2015</v>
          </cell>
          <cell r="AZ83">
            <v>0</v>
          </cell>
          <cell r="BA83" t="str">
            <v>00.00.0000</v>
          </cell>
          <cell r="BB83" t="str">
            <v>M</v>
          </cell>
          <cell r="BC83" t="str">
            <v>M</v>
          </cell>
          <cell r="BD83" t="str">
            <v>S</v>
          </cell>
          <cell r="BE83">
            <v>0</v>
          </cell>
        </row>
        <row r="84">
          <cell r="A84" t="str">
            <v>G103010N</v>
          </cell>
          <cell r="B84" t="str">
            <v>G103010</v>
          </cell>
          <cell r="C84" t="str">
            <v>C5CBC18C008C005</v>
          </cell>
          <cell r="D84" t="str">
            <v>MSV 75 M</v>
          </cell>
          <cell r="E84" t="str">
            <v>C5CB</v>
          </cell>
          <cell r="F84" t="str">
            <v>Profielen Platen en Wanden M</v>
          </cell>
          <cell r="G84" t="str">
            <v>ZIB00103</v>
          </cell>
          <cell r="H84" t="str">
            <v>bestaand</v>
          </cell>
          <cell r="I84" t="str">
            <v>01.01.2013</v>
          </cell>
          <cell r="J84" t="str">
            <v>Yes</v>
          </cell>
          <cell r="K84" t="str">
            <v>Professional</v>
          </cell>
          <cell r="L84" t="str">
            <v>METAL STUD</v>
          </cell>
          <cell r="M84" t="str">
            <v>MSV75</v>
          </cell>
          <cell r="N84" t="str">
            <v>M.S.VERT.75 MM 3.00 M</v>
          </cell>
          <cell r="O84" t="str">
            <v>M.S.VERT.75 MM 3.00 M</v>
          </cell>
          <cell r="P84" t="str">
            <v>(blanco)</v>
          </cell>
          <cell r="Q84" t="str">
            <v>(blanco)</v>
          </cell>
          <cell r="R84" t="str">
            <v>(blanco)</v>
          </cell>
          <cell r="S84" t="str">
            <v>(blanco)</v>
          </cell>
          <cell r="T84" t="str">
            <v>NBN EN 14195:2015</v>
          </cell>
          <cell r="U84" t="str">
            <v>C</v>
          </cell>
          <cell r="V84" t="str">
            <v>--</v>
          </cell>
          <cell r="AA84" t="str">
            <v>A1</v>
          </cell>
          <cell r="AC84" t="str">
            <v>(blanco)</v>
          </cell>
          <cell r="AD84" t="str">
            <v>(blanco)</v>
          </cell>
          <cell r="AH84">
            <v>-0.5</v>
          </cell>
          <cell r="AI84" t="e">
            <v>#DIV/0!</v>
          </cell>
          <cell r="AJ84">
            <v>0</v>
          </cell>
          <cell r="AL84" t="str">
            <v>(blanco)</v>
          </cell>
          <cell r="AM84" t="str">
            <v>(blanco)</v>
          </cell>
          <cell r="AN84" t="str">
            <v>(blanco)</v>
          </cell>
          <cell r="AP84">
            <v>50</v>
          </cell>
          <cell r="AR84">
            <v>2.577</v>
          </cell>
          <cell r="AS84">
            <v>2.58</v>
          </cell>
          <cell r="AT84">
            <v>0</v>
          </cell>
          <cell r="AX84">
            <v>3.17</v>
          </cell>
          <cell r="AY84" t="str">
            <v>01.02.2015</v>
          </cell>
          <cell r="AZ84">
            <v>0</v>
          </cell>
          <cell r="BA84" t="str">
            <v>00.00.0000</v>
          </cell>
          <cell r="BB84" t="str">
            <v>M</v>
          </cell>
          <cell r="BC84" t="str">
            <v>M</v>
          </cell>
          <cell r="BD84" t="str">
            <v>S</v>
          </cell>
          <cell r="BE84">
            <v>5413218581516</v>
          </cell>
        </row>
        <row r="85">
          <cell r="A85" t="str">
            <v>G103015N</v>
          </cell>
          <cell r="B85" t="str">
            <v>G103015</v>
          </cell>
          <cell r="C85" t="str">
            <v>C5CBC18C008C006</v>
          </cell>
          <cell r="D85" t="str">
            <v>MSV 100 M</v>
          </cell>
          <cell r="E85" t="str">
            <v>C5CB</v>
          </cell>
          <cell r="F85" t="str">
            <v>Profielen Platen en Wanden M</v>
          </cell>
          <cell r="G85" t="str">
            <v>ZIB00104</v>
          </cell>
          <cell r="H85" t="str">
            <v>bestaand</v>
          </cell>
          <cell r="I85" t="str">
            <v>01.01.2013</v>
          </cell>
          <cell r="J85" t="str">
            <v>Yes</v>
          </cell>
          <cell r="K85" t="str">
            <v>Professional</v>
          </cell>
          <cell r="L85" t="str">
            <v>METAL STUD</v>
          </cell>
          <cell r="M85" t="str">
            <v>MSV100</v>
          </cell>
          <cell r="N85" t="str">
            <v>M.S.VERT.100 MM 2.60 M</v>
          </cell>
          <cell r="O85" t="str">
            <v>M.S.VERT.100 MM 2.60 M</v>
          </cell>
          <cell r="P85" t="str">
            <v>(blanco)</v>
          </cell>
          <cell r="Q85" t="str">
            <v>(blanco)</v>
          </cell>
          <cell r="R85" t="str">
            <v>(blanco)</v>
          </cell>
          <cell r="S85" t="str">
            <v>(blanco)</v>
          </cell>
          <cell r="T85" t="str">
            <v>NBN EN 14195:2015</v>
          </cell>
          <cell r="U85" t="str">
            <v>C</v>
          </cell>
          <cell r="V85" t="str">
            <v>--</v>
          </cell>
          <cell r="AA85" t="str">
            <v>A1</v>
          </cell>
          <cell r="AC85" t="str">
            <v>(blanco)</v>
          </cell>
          <cell r="AD85" t="str">
            <v>(blanco)</v>
          </cell>
          <cell r="AH85">
            <v>-0.5</v>
          </cell>
          <cell r="AI85" t="e">
            <v>#DIV/0!</v>
          </cell>
          <cell r="AJ85">
            <v>0</v>
          </cell>
          <cell r="AL85" t="str">
            <v>(blanco)</v>
          </cell>
          <cell r="AM85" t="str">
            <v>(blanco)</v>
          </cell>
          <cell r="AN85" t="str">
            <v>(blanco)</v>
          </cell>
          <cell r="AP85">
            <v>50</v>
          </cell>
          <cell r="AR85">
            <v>2.5449999999999999</v>
          </cell>
          <cell r="AS85">
            <v>2.548</v>
          </cell>
          <cell r="AT85">
            <v>0</v>
          </cell>
          <cell r="AX85">
            <v>3.56</v>
          </cell>
          <cell r="AY85" t="str">
            <v>01.02.2015</v>
          </cell>
          <cell r="AZ85">
            <v>0</v>
          </cell>
          <cell r="BA85" t="str">
            <v>00.00.0000</v>
          </cell>
          <cell r="BB85" t="str">
            <v>M</v>
          </cell>
          <cell r="BC85" t="str">
            <v>M</v>
          </cell>
          <cell r="BD85" t="str">
            <v>S</v>
          </cell>
          <cell r="BE85">
            <v>0</v>
          </cell>
        </row>
        <row r="86">
          <cell r="A86" t="str">
            <v>G103027N</v>
          </cell>
          <cell r="B86" t="str">
            <v>G103027</v>
          </cell>
          <cell r="C86" t="str">
            <v>C5CBC18C008C003</v>
          </cell>
          <cell r="D86" t="str">
            <v>MSV 50 M</v>
          </cell>
          <cell r="E86" t="str">
            <v>C5CB</v>
          </cell>
          <cell r="F86" t="str">
            <v>Profielen Platen en Wanden M</v>
          </cell>
          <cell r="G86" t="str">
            <v>ZIB00101</v>
          </cell>
          <cell r="H86" t="str">
            <v>bestaand</v>
          </cell>
          <cell r="I86" t="str">
            <v>01.01.2013</v>
          </cell>
          <cell r="J86" t="str">
            <v>Yes</v>
          </cell>
          <cell r="K86" t="str">
            <v>Professional</v>
          </cell>
          <cell r="L86" t="str">
            <v>METAL STUD</v>
          </cell>
          <cell r="M86" t="str">
            <v>MSV50</v>
          </cell>
          <cell r="N86" t="str">
            <v>M.S.VERT.50 MM 3.20 M</v>
          </cell>
          <cell r="O86" t="str">
            <v>M.S.VERT.50 MM 3.20 M</v>
          </cell>
          <cell r="P86" t="str">
            <v>(blanco)</v>
          </cell>
          <cell r="Q86" t="str">
            <v>(blanco)</v>
          </cell>
          <cell r="R86" t="str">
            <v>(blanco)</v>
          </cell>
          <cell r="S86" t="str">
            <v>(blanco)</v>
          </cell>
          <cell r="T86" t="str">
            <v>NBN EN 14195:2015</v>
          </cell>
          <cell r="U86" t="str">
            <v>C</v>
          </cell>
          <cell r="V86" t="str">
            <v>--</v>
          </cell>
          <cell r="AA86" t="str">
            <v>A1</v>
          </cell>
          <cell r="AC86" t="str">
            <v>(blanco)</v>
          </cell>
          <cell r="AD86" t="str">
            <v>(blanco)</v>
          </cell>
          <cell r="AH86">
            <v>-0.5</v>
          </cell>
          <cell r="AI86" t="e">
            <v>#DIV/0!</v>
          </cell>
          <cell r="AJ86">
            <v>0</v>
          </cell>
          <cell r="AL86" t="str">
            <v>(blanco)</v>
          </cell>
          <cell r="AM86" t="str">
            <v>(blanco)</v>
          </cell>
          <cell r="AN86" t="str">
            <v>(blanco)</v>
          </cell>
          <cell r="AP86">
            <v>50</v>
          </cell>
          <cell r="AR86">
            <v>2.3650000000000002</v>
          </cell>
          <cell r="AS86">
            <v>2.3679999999999999</v>
          </cell>
          <cell r="AT86">
            <v>0</v>
          </cell>
          <cell r="AX86">
            <v>2.9</v>
          </cell>
          <cell r="AY86" t="str">
            <v>01.02.2015</v>
          </cell>
          <cell r="AZ86">
            <v>0</v>
          </cell>
          <cell r="BA86" t="str">
            <v>00.00.0000</v>
          </cell>
          <cell r="BB86" t="str">
            <v>M</v>
          </cell>
          <cell r="BC86" t="str">
            <v>M</v>
          </cell>
          <cell r="BD86" t="str">
            <v>S</v>
          </cell>
          <cell r="BE86">
            <v>5413218573993</v>
          </cell>
        </row>
        <row r="87">
          <cell r="A87" t="str">
            <v>G103029N</v>
          </cell>
          <cell r="B87" t="str">
            <v>G103029</v>
          </cell>
          <cell r="C87" t="str">
            <v>C5CBC18C008C007</v>
          </cell>
          <cell r="D87" t="str">
            <v>MSV 125 M</v>
          </cell>
          <cell r="E87" t="str">
            <v>C5CB</v>
          </cell>
          <cell r="F87" t="str">
            <v>Profielen Platen en Wanden M</v>
          </cell>
          <cell r="G87" t="str">
            <v>ZIB00105</v>
          </cell>
          <cell r="H87" t="str">
            <v>bestaand</v>
          </cell>
          <cell r="I87" t="str">
            <v>01.01.2013</v>
          </cell>
          <cell r="J87" t="str">
            <v>Yes</v>
          </cell>
          <cell r="K87" t="str">
            <v>Professional</v>
          </cell>
          <cell r="L87" t="str">
            <v>METAL STUD</v>
          </cell>
          <cell r="M87" t="str">
            <v>MSV125</v>
          </cell>
          <cell r="N87" t="str">
            <v>M.S.VERT.125 MM 4.80 M</v>
          </cell>
          <cell r="O87" t="str">
            <v>M.S.VERT.125 MM 4.80 M</v>
          </cell>
          <cell r="P87" t="str">
            <v>(blanco)</v>
          </cell>
          <cell r="Q87" t="str">
            <v>(blanco)</v>
          </cell>
          <cell r="R87" t="str">
            <v>(blanco)</v>
          </cell>
          <cell r="S87" t="str">
            <v>(blanco)</v>
          </cell>
          <cell r="T87" t="str">
            <v>NBN EN 14195:2015</v>
          </cell>
          <cell r="U87" t="str">
            <v>C</v>
          </cell>
          <cell r="V87" t="str">
            <v>--</v>
          </cell>
          <cell r="AA87" t="str">
            <v>A1</v>
          </cell>
          <cell r="AC87" t="str">
            <v>(blanco)</v>
          </cell>
          <cell r="AD87" t="str">
            <v>(blanco)</v>
          </cell>
          <cell r="AH87">
            <v>-0.5</v>
          </cell>
          <cell r="AI87" t="e">
            <v>#DIV/0!</v>
          </cell>
          <cell r="AJ87">
            <v>0</v>
          </cell>
          <cell r="AL87" t="str">
            <v>(blanco)</v>
          </cell>
          <cell r="AM87" t="str">
            <v>(blanco)</v>
          </cell>
          <cell r="AN87" t="str">
            <v>(blanco)</v>
          </cell>
          <cell r="AP87">
            <v>50</v>
          </cell>
          <cell r="AR87">
            <v>5.2750000000000004</v>
          </cell>
          <cell r="AS87">
            <v>5.28</v>
          </cell>
          <cell r="AT87">
            <v>0</v>
          </cell>
          <cell r="AX87">
            <v>4.83</v>
          </cell>
          <cell r="AY87" t="str">
            <v>01.02.2015</v>
          </cell>
          <cell r="AZ87">
            <v>0</v>
          </cell>
          <cell r="BA87" t="str">
            <v>00.00.0000</v>
          </cell>
          <cell r="BB87" t="str">
            <v>M</v>
          </cell>
          <cell r="BC87" t="str">
            <v>M</v>
          </cell>
          <cell r="BD87" t="str">
            <v>S</v>
          </cell>
          <cell r="BE87">
            <v>0</v>
          </cell>
        </row>
        <row r="88">
          <cell r="A88" t="str">
            <v>G103031</v>
          </cell>
          <cell r="B88" t="str">
            <v>G103031</v>
          </cell>
          <cell r="C88" t="str">
            <v>C5CBC18C007C004</v>
          </cell>
          <cell r="D88" t="str">
            <v>MSP M</v>
          </cell>
          <cell r="E88" t="str">
            <v>C5CB</v>
          </cell>
          <cell r="F88" t="str">
            <v>Profielen Platen en Wanden M</v>
          </cell>
          <cell r="G88" t="str">
            <v>G103031</v>
          </cell>
          <cell r="H88" t="str">
            <v>bestaand</v>
          </cell>
          <cell r="I88" t="str">
            <v>01.01.2013</v>
          </cell>
          <cell r="J88" t="str">
            <v>Yes</v>
          </cell>
          <cell r="K88" t="str">
            <v>Professional</v>
          </cell>
          <cell r="L88" t="str">
            <v>METAL STUD</v>
          </cell>
          <cell r="M88" t="str">
            <v>MSP100</v>
          </cell>
          <cell r="N88" t="str">
            <v>M.S.P.100 MM 4.00 M</v>
          </cell>
          <cell r="O88" t="str">
            <v>M.S.P.100 MM 4.00 M</v>
          </cell>
          <cell r="P88" t="str">
            <v>(blanco)</v>
          </cell>
          <cell r="Q88" t="str">
            <v>(blanco)</v>
          </cell>
          <cell r="R88" t="str">
            <v>(blanco)</v>
          </cell>
          <cell r="S88" t="str">
            <v>(blanco)</v>
          </cell>
          <cell r="T88" t="str">
            <v>NBN EN 14195:2015</v>
          </cell>
          <cell r="U88" t="str">
            <v>U</v>
          </cell>
          <cell r="V88" t="str">
            <v>--</v>
          </cell>
          <cell r="AA88" t="str">
            <v>A1</v>
          </cell>
          <cell r="AC88" t="str">
            <v>(blanco)</v>
          </cell>
          <cell r="AD88" t="str">
            <v>(blanco)</v>
          </cell>
          <cell r="AE88">
            <v>1</v>
          </cell>
          <cell r="AL88" t="str">
            <v>(blanco)</v>
          </cell>
          <cell r="AM88" t="str">
            <v>(blanco)</v>
          </cell>
          <cell r="AN88" t="str">
            <v>(blanco)</v>
          </cell>
          <cell r="AP88">
            <v>50</v>
          </cell>
          <cell r="AR88">
            <v>2.92</v>
          </cell>
          <cell r="AS88">
            <v>3.0640000000000001</v>
          </cell>
          <cell r="AT88">
            <v>0</v>
          </cell>
          <cell r="AX88">
            <v>9.83</v>
          </cell>
          <cell r="AY88" t="str">
            <v>01.02.2015</v>
          </cell>
          <cell r="AZ88">
            <v>0</v>
          </cell>
          <cell r="BA88" t="str">
            <v>00.00.0000</v>
          </cell>
          <cell r="BB88" t="str">
            <v>M</v>
          </cell>
          <cell r="BC88" t="str">
            <v>M</v>
          </cell>
          <cell r="BD88">
            <v>2</v>
          </cell>
          <cell r="BE88">
            <v>5413218567138</v>
          </cell>
        </row>
        <row r="89">
          <cell r="A89" t="str">
            <v>G103032</v>
          </cell>
          <cell r="B89" t="str">
            <v>G103032</v>
          </cell>
          <cell r="C89" t="str">
            <v>C5CBC18C009C002</v>
          </cell>
          <cell r="D89" t="str">
            <v>MSR 50 M</v>
          </cell>
          <cell r="E89" t="str">
            <v>C5CB</v>
          </cell>
          <cell r="F89" t="str">
            <v>Profielen Platen en Wanden M</v>
          </cell>
          <cell r="G89" t="str">
            <v>ZIB00106</v>
          </cell>
          <cell r="H89" t="str">
            <v>bestaand</v>
          </cell>
          <cell r="I89" t="str">
            <v>01.01.2013</v>
          </cell>
          <cell r="J89" t="str">
            <v>Yes</v>
          </cell>
          <cell r="K89" t="str">
            <v>Professional</v>
          </cell>
          <cell r="L89" t="str">
            <v>METAL STUD</v>
          </cell>
          <cell r="M89" t="str">
            <v>MSR50</v>
          </cell>
          <cell r="N89" t="str">
            <v>M.S.R.50 MM 4.00 M</v>
          </cell>
          <cell r="O89" t="str">
            <v>M.S.R.50 MM 4.00 M</v>
          </cell>
          <cell r="P89" t="str">
            <v>(blanco)</v>
          </cell>
          <cell r="Q89" t="str">
            <v>(blanco)</v>
          </cell>
          <cell r="R89" t="str">
            <v>(blanco)</v>
          </cell>
          <cell r="S89" t="str">
            <v>(blanco)</v>
          </cell>
          <cell r="T89" t="str">
            <v>NBN EN 14195:2015</v>
          </cell>
          <cell r="U89" t="str">
            <v>U</v>
          </cell>
          <cell r="V89" t="str">
            <v>--</v>
          </cell>
          <cell r="AA89" t="str">
            <v>A1</v>
          </cell>
          <cell r="AC89" t="str">
            <v>(blanco)</v>
          </cell>
          <cell r="AD89" t="str">
            <v>(blanco)</v>
          </cell>
          <cell r="AL89" t="str">
            <v>(blanco)</v>
          </cell>
          <cell r="AM89" t="str">
            <v>(blanco)</v>
          </cell>
          <cell r="AN89" t="str">
            <v>(blanco)</v>
          </cell>
          <cell r="AP89">
            <v>50</v>
          </cell>
          <cell r="AR89">
            <v>2.92</v>
          </cell>
          <cell r="AS89">
            <v>3.0640000000000001</v>
          </cell>
          <cell r="AT89">
            <v>0</v>
          </cell>
          <cell r="AX89">
            <v>8.74</v>
          </cell>
          <cell r="AY89" t="str">
            <v>01.02.2015</v>
          </cell>
          <cell r="AZ89">
            <v>0</v>
          </cell>
          <cell r="BA89" t="str">
            <v>00.00.0000</v>
          </cell>
          <cell r="BB89" t="str">
            <v>M</v>
          </cell>
          <cell r="BC89" t="str">
            <v>M</v>
          </cell>
          <cell r="BD89">
            <v>2</v>
          </cell>
          <cell r="BE89">
            <v>5413218567152</v>
          </cell>
        </row>
        <row r="90">
          <cell r="A90" t="str">
            <v>G103049</v>
          </cell>
          <cell r="B90" t="str">
            <v>G103049</v>
          </cell>
          <cell r="C90" t="str">
            <v>D1DCD01D005D036</v>
          </cell>
          <cell r="D90" t="str">
            <v>DIY - Pluggen KAR</v>
          </cell>
          <cell r="E90" t="str">
            <v>D1DC</v>
          </cell>
          <cell r="F90" t="str">
            <v>Toebehoren Bevestigingen *</v>
          </cell>
          <cell r="G90" t="str">
            <v>G103049</v>
          </cell>
          <cell r="H90" t="str">
            <v>bestaand</v>
          </cell>
          <cell r="I90" t="str">
            <v>01.01.2013</v>
          </cell>
          <cell r="J90" t="str">
            <v>Yes</v>
          </cell>
          <cell r="K90" t="str">
            <v>Professional</v>
          </cell>
          <cell r="L90" t="str">
            <v>Gyproc</v>
          </cell>
          <cell r="M90" t="str">
            <v>SPIJKERPLUG</v>
          </cell>
          <cell r="N90" t="str">
            <v>SPIJKERPLUG SP6 40MM/100 ST</v>
          </cell>
          <cell r="O90" t="str">
            <v>Chevilles clouables SP6 40MM/100pcs</v>
          </cell>
          <cell r="P90" t="str">
            <v>(blanco)</v>
          </cell>
          <cell r="Q90" t="str">
            <v>(blanco)</v>
          </cell>
          <cell r="R90" t="str">
            <v>(blanco)</v>
          </cell>
          <cell r="S90" t="str">
            <v>(blanco)</v>
          </cell>
          <cell r="T90" t="str">
            <v>--</v>
          </cell>
          <cell r="AA90" t="str">
            <v>(blanco)</v>
          </cell>
          <cell r="AC90" t="str">
            <v>(blanco)</v>
          </cell>
          <cell r="AD90" t="str">
            <v>(blanco)</v>
          </cell>
          <cell r="AE90">
            <v>6</v>
          </cell>
          <cell r="AL90" t="str">
            <v>(blanco)</v>
          </cell>
          <cell r="AM90" t="str">
            <v>(blanco)</v>
          </cell>
          <cell r="AN90" t="str">
            <v>(blanco)</v>
          </cell>
          <cell r="AR90">
            <v>0.5</v>
          </cell>
          <cell r="AS90">
            <v>0.52500000000000002</v>
          </cell>
          <cell r="AT90">
            <v>0</v>
          </cell>
          <cell r="AX90">
            <v>20.100000000000001</v>
          </cell>
          <cell r="AY90" t="str">
            <v>01.02.2015</v>
          </cell>
          <cell r="AZ90">
            <v>0</v>
          </cell>
          <cell r="BA90" t="str">
            <v>00.00.0000</v>
          </cell>
          <cell r="BB90" t="str">
            <v>KAR</v>
          </cell>
          <cell r="BC90" t="str">
            <v>******</v>
          </cell>
          <cell r="BD90" t="str">
            <v>S</v>
          </cell>
          <cell r="BE90">
            <v>5413218601948</v>
          </cell>
        </row>
        <row r="91">
          <cell r="A91" t="str">
            <v>G103053</v>
          </cell>
          <cell r="B91" t="str">
            <v>G103053</v>
          </cell>
          <cell r="C91" t="str">
            <v>F5FAF01F002F005</v>
          </cell>
          <cell r="D91" t="str">
            <v>Gyproc gereedschappen ST</v>
          </cell>
          <cell r="E91" t="str">
            <v>F5FA</v>
          </cell>
          <cell r="F91" t="str">
            <v>Gereedschap bevestigingen *</v>
          </cell>
          <cell r="G91" t="str">
            <v>G103053</v>
          </cell>
          <cell r="H91" t="str">
            <v>bestaand</v>
          </cell>
          <cell r="I91" t="str">
            <v>01.01.2013</v>
          </cell>
          <cell r="J91" t="str">
            <v>Yes</v>
          </cell>
          <cell r="K91" t="str">
            <v>Professional</v>
          </cell>
          <cell r="L91" t="str">
            <v>Gyproc</v>
          </cell>
          <cell r="M91" t="str">
            <v>SCHUURGAAS</v>
          </cell>
          <cell r="N91" t="str">
            <v>SCHUURGAAS VOOR VOEGWERK 10 ST</v>
          </cell>
          <cell r="O91" t="str">
            <v>Gaze à poncer</v>
          </cell>
          <cell r="P91" t="str">
            <v>(blanco)</v>
          </cell>
          <cell r="Q91" t="str">
            <v>(blanco)</v>
          </cell>
          <cell r="R91" t="str">
            <v>(blanco)</v>
          </cell>
          <cell r="S91" t="str">
            <v>(blanco)</v>
          </cell>
          <cell r="T91" t="str">
            <v>--</v>
          </cell>
          <cell r="AA91" t="str">
            <v>(blanco)</v>
          </cell>
          <cell r="AC91" t="str">
            <v>(blanco)</v>
          </cell>
          <cell r="AD91" t="str">
            <v>(blanco)</v>
          </cell>
          <cell r="AH91" t="str">
            <v>(blanco)</v>
          </cell>
          <cell r="AI91" t="str">
            <v>(blanco)</v>
          </cell>
          <cell r="AJ91" t="str">
            <v>(blanco)</v>
          </cell>
          <cell r="AL91" t="str">
            <v>(blanco)</v>
          </cell>
          <cell r="AM91" t="str">
            <v>(blanco)</v>
          </cell>
          <cell r="AN91" t="str">
            <v>(blanco)</v>
          </cell>
          <cell r="AR91">
            <v>0.3</v>
          </cell>
          <cell r="AS91">
            <v>0.315</v>
          </cell>
          <cell r="AT91">
            <v>0</v>
          </cell>
          <cell r="AX91">
            <v>1.63</v>
          </cell>
          <cell r="AY91" t="str">
            <v>01.02.2015</v>
          </cell>
          <cell r="AZ91">
            <v>0</v>
          </cell>
          <cell r="BA91" t="str">
            <v>00.00.0000</v>
          </cell>
          <cell r="BB91" t="str">
            <v>ST</v>
          </cell>
          <cell r="BC91" t="str">
            <v>******</v>
          </cell>
          <cell r="BD91" t="str">
            <v>S</v>
          </cell>
          <cell r="BE91">
            <v>5413218565677</v>
          </cell>
        </row>
        <row r="92">
          <cell r="A92" t="str">
            <v>G103054</v>
          </cell>
          <cell r="B92" t="str">
            <v>G103054</v>
          </cell>
          <cell r="C92" t="str">
            <v>F5FAF01F002F005</v>
          </cell>
          <cell r="D92" t="str">
            <v>Gyproc gereedschappen ST</v>
          </cell>
          <cell r="E92" t="str">
            <v>F5FA</v>
          </cell>
          <cell r="F92" t="str">
            <v>Gereedschap bevestigingen *</v>
          </cell>
          <cell r="G92" t="str">
            <v>G103054</v>
          </cell>
          <cell r="H92" t="str">
            <v>bestaand</v>
          </cell>
          <cell r="I92" t="str">
            <v>01.01.2013</v>
          </cell>
          <cell r="J92" t="str">
            <v>Yes</v>
          </cell>
          <cell r="K92" t="str">
            <v>Professional</v>
          </cell>
          <cell r="L92" t="str">
            <v>Gyproc</v>
          </cell>
          <cell r="M92" t="str">
            <v>MS-KRULTANG</v>
          </cell>
          <cell r="N92" t="str">
            <v>MS-KRULTANG CR73</v>
          </cell>
          <cell r="O92" t="str">
            <v>Pince à agrafer MS</v>
          </cell>
          <cell r="P92" t="str">
            <v>(blanco)</v>
          </cell>
          <cell r="Q92" t="str">
            <v>(blanco)</v>
          </cell>
          <cell r="R92" t="str">
            <v>(blanco)</v>
          </cell>
          <cell r="S92" t="str">
            <v>(blanco)</v>
          </cell>
          <cell r="T92" t="str">
            <v>--</v>
          </cell>
          <cell r="AA92" t="str">
            <v>(blanco)</v>
          </cell>
          <cell r="AC92" t="str">
            <v>(blanco)</v>
          </cell>
          <cell r="AD92" t="str">
            <v>(blanco)</v>
          </cell>
          <cell r="AH92" t="str">
            <v>(blanco)</v>
          </cell>
          <cell r="AI92" t="str">
            <v>(blanco)</v>
          </cell>
          <cell r="AJ92" t="str">
            <v>(blanco)</v>
          </cell>
          <cell r="AL92" t="str">
            <v>(blanco)</v>
          </cell>
          <cell r="AM92" t="str">
            <v>(blanco)</v>
          </cell>
          <cell r="AN92" t="str">
            <v>(blanco)</v>
          </cell>
          <cell r="AR92">
            <v>0.3</v>
          </cell>
          <cell r="AS92">
            <v>0.315</v>
          </cell>
          <cell r="AT92">
            <v>0</v>
          </cell>
          <cell r="AX92">
            <v>91.22</v>
          </cell>
          <cell r="AY92" t="str">
            <v>01.02.2015</v>
          </cell>
          <cell r="AZ92">
            <v>0</v>
          </cell>
          <cell r="BA92" t="str">
            <v>00.00.0000</v>
          </cell>
          <cell r="BB92" t="str">
            <v>ST</v>
          </cell>
          <cell r="BC92" t="str">
            <v>******</v>
          </cell>
          <cell r="BD92" t="str">
            <v>S</v>
          </cell>
          <cell r="BE92">
            <v>5413218564335</v>
          </cell>
        </row>
        <row r="93">
          <cell r="A93" t="str">
            <v>G103056</v>
          </cell>
          <cell r="B93" t="str">
            <v>G103056</v>
          </cell>
          <cell r="C93" t="str">
            <v>D1DFD05D003D001</v>
          </cell>
          <cell r="D93" t="str">
            <v>Bandes *</v>
          </cell>
          <cell r="E93" t="str">
            <v>D1DF</v>
          </cell>
          <cell r="F93" t="str">
            <v>Andere Toebehoren *</v>
          </cell>
          <cell r="G93" t="str">
            <v>G103056</v>
          </cell>
          <cell r="H93" t="str">
            <v>bestaand</v>
          </cell>
          <cell r="I93" t="str">
            <v>01.01.2013</v>
          </cell>
          <cell r="J93" t="str">
            <v>Yes</v>
          </cell>
          <cell r="K93" t="str">
            <v>Professional</v>
          </cell>
          <cell r="L93" t="str">
            <v>Gyproc</v>
          </cell>
          <cell r="M93" t="str">
            <v>PAPIEREN VOEGBAND P50</v>
          </cell>
          <cell r="N93" t="str">
            <v>PAPIEREN VOEGBAND P50 - 76 M</v>
          </cell>
          <cell r="O93" t="str">
            <v>Bande d'armature P50 - 76 M</v>
          </cell>
          <cell r="P93" t="str">
            <v>(blanco)</v>
          </cell>
          <cell r="Q93" t="str">
            <v>(blanco)</v>
          </cell>
          <cell r="R93" t="str">
            <v>(blanco)</v>
          </cell>
          <cell r="S93" t="str">
            <v>(blanco)</v>
          </cell>
          <cell r="T93" t="str">
            <v>NBN EN 13963:2014</v>
          </cell>
          <cell r="U93" t="str">
            <v>--</v>
          </cell>
          <cell r="V93" t="str">
            <v>--</v>
          </cell>
          <cell r="AC93" t="str">
            <v>(blanco)</v>
          </cell>
          <cell r="AD93" t="str">
            <v>(blanco)</v>
          </cell>
          <cell r="AE93">
            <v>0</v>
          </cell>
          <cell r="AL93" t="str">
            <v>(blanco)</v>
          </cell>
          <cell r="AM93" t="str">
            <v>(blanco)</v>
          </cell>
          <cell r="AN93" t="str">
            <v>(blanco)</v>
          </cell>
          <cell r="AP93">
            <v>0</v>
          </cell>
          <cell r="AR93">
            <v>0.5</v>
          </cell>
          <cell r="AS93">
            <v>0.52500000000000002</v>
          </cell>
          <cell r="AT93">
            <v>0</v>
          </cell>
          <cell r="AX93">
            <v>3.46</v>
          </cell>
          <cell r="AY93" t="str">
            <v>01.02.2015</v>
          </cell>
          <cell r="AZ93">
            <v>0</v>
          </cell>
          <cell r="BA93" t="str">
            <v>00.00.0000</v>
          </cell>
          <cell r="BB93" t="str">
            <v>ST</v>
          </cell>
          <cell r="BC93" t="str">
            <v>******</v>
          </cell>
          <cell r="BD93" t="str">
            <v>S</v>
          </cell>
          <cell r="BE93">
            <v>5413218601993</v>
          </cell>
        </row>
        <row r="94">
          <cell r="A94" t="str">
            <v>G103060</v>
          </cell>
          <cell r="B94" t="str">
            <v>G103060</v>
          </cell>
          <cell r="C94" t="str">
            <v>D1DFD05D003D001</v>
          </cell>
          <cell r="D94" t="str">
            <v>Bandes *</v>
          </cell>
          <cell r="E94" t="str">
            <v>D1DF</v>
          </cell>
          <cell r="F94" t="str">
            <v>Andere Toebehoren *</v>
          </cell>
          <cell r="G94" t="str">
            <v>G103060</v>
          </cell>
          <cell r="H94" t="str">
            <v>bestaand</v>
          </cell>
          <cell r="I94" t="str">
            <v>01.01.2013</v>
          </cell>
          <cell r="J94" t="str">
            <v>Yes</v>
          </cell>
          <cell r="K94" t="str">
            <v>Professional</v>
          </cell>
          <cell r="L94" t="str">
            <v>Gyproc</v>
          </cell>
          <cell r="M94" t="str">
            <v>FLEX CORNER 30 M</v>
          </cell>
          <cell r="N94" t="str">
            <v>FLEXCORNER</v>
          </cell>
          <cell r="O94" t="str">
            <v>FLEXCORNER</v>
          </cell>
          <cell r="P94" t="str">
            <v>(blanco)</v>
          </cell>
          <cell r="Q94" t="str">
            <v>(blanco)</v>
          </cell>
          <cell r="R94" t="str">
            <v>(blanco)</v>
          </cell>
          <cell r="S94" t="str">
            <v>(blanco)</v>
          </cell>
          <cell r="T94" t="str">
            <v>NBN EN 13963:2014</v>
          </cell>
          <cell r="AC94" t="str">
            <v>(blanco)</v>
          </cell>
          <cell r="AD94" t="str">
            <v>(blanco)</v>
          </cell>
          <cell r="AE94">
            <v>0</v>
          </cell>
          <cell r="AL94" t="str">
            <v>(blanco)</v>
          </cell>
          <cell r="AM94" t="str">
            <v>(blanco)</v>
          </cell>
          <cell r="AN94" t="str">
            <v>(blanco)</v>
          </cell>
          <cell r="AP94">
            <v>0</v>
          </cell>
          <cell r="AR94">
            <v>2.5</v>
          </cell>
          <cell r="AS94">
            <v>2.625</v>
          </cell>
          <cell r="AT94">
            <v>0</v>
          </cell>
          <cell r="AX94">
            <v>21.74</v>
          </cell>
          <cell r="AY94" t="str">
            <v>01.02.2015</v>
          </cell>
          <cell r="AZ94">
            <v>0</v>
          </cell>
          <cell r="BA94" t="str">
            <v>00.00.0000</v>
          </cell>
          <cell r="BB94" t="str">
            <v>ST</v>
          </cell>
          <cell r="BC94" t="str">
            <v>******</v>
          </cell>
          <cell r="BD94" t="str">
            <v>S</v>
          </cell>
          <cell r="BE94">
            <v>5413218565622</v>
          </cell>
        </row>
        <row r="95">
          <cell r="A95" t="str">
            <v>G103061</v>
          </cell>
          <cell r="B95" t="str">
            <v>G103061</v>
          </cell>
          <cell r="C95" t="str">
            <v>D1DBD01D007D003</v>
          </cell>
          <cell r="D95" t="str">
            <v>Ruban Résilient 45 *</v>
          </cell>
          <cell r="E95" t="str">
            <v>D1DB</v>
          </cell>
          <cell r="F95" t="str">
            <v>Toebehoren Platen *</v>
          </cell>
          <cell r="G95" t="str">
            <v>G103061</v>
          </cell>
          <cell r="H95" t="str">
            <v>bestaand</v>
          </cell>
          <cell r="I95" t="str">
            <v>01.01.2013</v>
          </cell>
          <cell r="J95" t="str">
            <v>Yes</v>
          </cell>
          <cell r="K95" t="str">
            <v>Professional</v>
          </cell>
          <cell r="L95" t="str">
            <v>Gyproc</v>
          </cell>
          <cell r="M95" t="str">
            <v>SOEPELE ISOLATIEBAND</v>
          </cell>
          <cell r="N95" t="str">
            <v>SOEPELE ISOLATIEBAND PE/10</v>
          </cell>
          <cell r="O95" t="str">
            <v>Bande d'étanchéité souple PE/10</v>
          </cell>
          <cell r="P95" t="str">
            <v>(blanco)</v>
          </cell>
          <cell r="Q95" t="str">
            <v>(blanco)</v>
          </cell>
          <cell r="R95" t="str">
            <v>(blanco)</v>
          </cell>
          <cell r="S95" t="str">
            <v>(blanco)</v>
          </cell>
          <cell r="T95" t="str">
            <v>--</v>
          </cell>
          <cell r="AA95" t="str">
            <v>(blanco)</v>
          </cell>
          <cell r="AC95" t="str">
            <v>(blanco)</v>
          </cell>
          <cell r="AD95" t="str">
            <v>(blanco)</v>
          </cell>
          <cell r="AE95">
            <v>6</v>
          </cell>
          <cell r="AL95" t="str">
            <v>(blanco)</v>
          </cell>
          <cell r="AM95" t="str">
            <v>(blanco)</v>
          </cell>
          <cell r="AN95" t="str">
            <v>(blanco)</v>
          </cell>
          <cell r="AP95">
            <v>0</v>
          </cell>
          <cell r="AQ95">
            <v>0</v>
          </cell>
          <cell r="AR95">
            <v>0.1</v>
          </cell>
          <cell r="AS95">
            <v>0.105</v>
          </cell>
          <cell r="AT95">
            <v>0</v>
          </cell>
          <cell r="AX95">
            <v>1.95</v>
          </cell>
          <cell r="AY95" t="str">
            <v>01.02.2015</v>
          </cell>
          <cell r="AZ95">
            <v>0</v>
          </cell>
          <cell r="BA95" t="str">
            <v>00.00.0000</v>
          </cell>
          <cell r="BB95" t="str">
            <v>ST</v>
          </cell>
          <cell r="BC95" t="str">
            <v>******</v>
          </cell>
          <cell r="BD95" t="str">
            <v>S</v>
          </cell>
          <cell r="BE95">
            <v>5413218602037</v>
          </cell>
        </row>
        <row r="96">
          <cell r="A96" t="str">
            <v>G103062</v>
          </cell>
          <cell r="B96" t="str">
            <v>G103062</v>
          </cell>
          <cell r="C96" t="str">
            <v>D1DBD01D007D003</v>
          </cell>
          <cell r="D96" t="str">
            <v>Ruban Résilient 45 *</v>
          </cell>
          <cell r="E96" t="str">
            <v>D1DB</v>
          </cell>
          <cell r="F96" t="str">
            <v>Toebehoren Platen *</v>
          </cell>
          <cell r="G96" t="str">
            <v>G103062</v>
          </cell>
          <cell r="H96" t="str">
            <v>bestaand</v>
          </cell>
          <cell r="I96" t="str">
            <v>01.01.2013</v>
          </cell>
          <cell r="J96" t="str">
            <v>Yes</v>
          </cell>
          <cell r="K96" t="str">
            <v>Professional</v>
          </cell>
          <cell r="L96" t="str">
            <v>Gyproc</v>
          </cell>
          <cell r="M96" t="str">
            <v>SOEPELE ISOLATIEBAND</v>
          </cell>
          <cell r="N96" t="str">
            <v>SOEPELE ISOLATIEBAND PE/30</v>
          </cell>
          <cell r="O96" t="str">
            <v>Bande d'étanchéité souple PE/30</v>
          </cell>
          <cell r="P96" t="str">
            <v>(blanco)</v>
          </cell>
          <cell r="Q96" t="str">
            <v>(blanco)</v>
          </cell>
          <cell r="R96" t="str">
            <v>(blanco)</v>
          </cell>
          <cell r="S96" t="str">
            <v>(blanco)</v>
          </cell>
          <cell r="T96" t="str">
            <v>--</v>
          </cell>
          <cell r="AA96" t="str">
            <v>(blanco)</v>
          </cell>
          <cell r="AC96" t="str">
            <v>(blanco)</v>
          </cell>
          <cell r="AD96" t="str">
            <v>(blanco)</v>
          </cell>
          <cell r="AE96">
            <v>6</v>
          </cell>
          <cell r="AL96" t="str">
            <v>(blanco)</v>
          </cell>
          <cell r="AM96" t="str">
            <v>(blanco)</v>
          </cell>
          <cell r="AN96" t="str">
            <v>(blanco)</v>
          </cell>
          <cell r="AP96">
            <v>0</v>
          </cell>
          <cell r="AQ96">
            <v>0</v>
          </cell>
          <cell r="AR96">
            <v>0.1</v>
          </cell>
          <cell r="AS96">
            <v>0.105</v>
          </cell>
          <cell r="AT96">
            <v>0</v>
          </cell>
          <cell r="AX96">
            <v>4.28</v>
          </cell>
          <cell r="AY96" t="str">
            <v>01.02.2015</v>
          </cell>
          <cell r="AZ96">
            <v>0</v>
          </cell>
          <cell r="BA96" t="str">
            <v>00.00.0000</v>
          </cell>
          <cell r="BB96" t="str">
            <v>ST</v>
          </cell>
          <cell r="BC96" t="str">
            <v>******</v>
          </cell>
          <cell r="BD96" t="str">
            <v>S</v>
          </cell>
          <cell r="BE96">
            <v>5413218602044</v>
          </cell>
        </row>
        <row r="97">
          <cell r="A97" t="str">
            <v>G103067</v>
          </cell>
          <cell r="B97" t="str">
            <v>G103067</v>
          </cell>
          <cell r="C97" t="str">
            <v>F5FAF01F002F005</v>
          </cell>
          <cell r="D97" t="str">
            <v>Gyproc gereedschappen ST</v>
          </cell>
          <cell r="E97" t="str">
            <v>F5FA</v>
          </cell>
          <cell r="F97" t="str">
            <v>Gereedschap bevestigingen *</v>
          </cell>
          <cell r="G97" t="str">
            <v>G103067</v>
          </cell>
          <cell r="H97" t="str">
            <v>bestaand</v>
          </cell>
          <cell r="I97" t="str">
            <v>01.01.2013</v>
          </cell>
          <cell r="J97" t="str">
            <v>Yes</v>
          </cell>
          <cell r="K97" t="str">
            <v>Professional</v>
          </cell>
          <cell r="L97" t="str">
            <v>Gyproc</v>
          </cell>
          <cell r="M97" t="str">
            <v>STRIPPER</v>
          </cell>
          <cell r="N97" t="str">
            <v>GYPROC-STRIPPER ST 64</v>
          </cell>
          <cell r="O97" t="str">
            <v>Trusquin Gyproc ST 64</v>
          </cell>
          <cell r="P97" t="str">
            <v>(blanco)</v>
          </cell>
          <cell r="Q97" t="str">
            <v>(blanco)</v>
          </cell>
          <cell r="R97" t="str">
            <v>(blanco)</v>
          </cell>
          <cell r="S97" t="str">
            <v>(blanco)</v>
          </cell>
          <cell r="T97" t="str">
            <v>--</v>
          </cell>
          <cell r="AA97" t="str">
            <v>(blanco)</v>
          </cell>
          <cell r="AC97" t="str">
            <v>(blanco)</v>
          </cell>
          <cell r="AD97" t="str">
            <v>(blanco)</v>
          </cell>
          <cell r="AH97" t="str">
            <v>(blanco)</v>
          </cell>
          <cell r="AI97" t="str">
            <v>(blanco)</v>
          </cell>
          <cell r="AJ97" t="str">
            <v>(blanco)</v>
          </cell>
          <cell r="AL97" t="str">
            <v>(blanco)</v>
          </cell>
          <cell r="AM97" t="str">
            <v>(blanco)</v>
          </cell>
          <cell r="AN97" t="str">
            <v>(blanco)</v>
          </cell>
          <cell r="AR97">
            <v>1</v>
          </cell>
          <cell r="AS97">
            <v>1.05</v>
          </cell>
          <cell r="AT97">
            <v>0</v>
          </cell>
          <cell r="AX97">
            <v>131.69</v>
          </cell>
          <cell r="AY97" t="str">
            <v>01.02.2015</v>
          </cell>
          <cell r="AZ97">
            <v>0</v>
          </cell>
          <cell r="BA97" t="str">
            <v>00.00.0000</v>
          </cell>
          <cell r="BB97" t="str">
            <v>ST</v>
          </cell>
          <cell r="BC97" t="str">
            <v>******</v>
          </cell>
          <cell r="BD97" t="str">
            <v>S</v>
          </cell>
          <cell r="BE97">
            <v>5413218565165</v>
          </cell>
        </row>
        <row r="98">
          <cell r="A98" t="str">
            <v>G103072</v>
          </cell>
          <cell r="B98" t="str">
            <v>G103072</v>
          </cell>
          <cell r="C98" t="str">
            <v>F5FAF01F002F005</v>
          </cell>
          <cell r="D98" t="str">
            <v>Gyproc gereedschappen ST</v>
          </cell>
          <cell r="E98" t="str">
            <v>F5FA</v>
          </cell>
          <cell r="F98" t="str">
            <v>Gereedschap bevestigingen *</v>
          </cell>
          <cell r="G98" t="str">
            <v>G103072</v>
          </cell>
          <cell r="H98" t="str">
            <v>bestaand</v>
          </cell>
          <cell r="I98" t="str">
            <v>01.01.2013</v>
          </cell>
          <cell r="J98" t="str">
            <v>Yes</v>
          </cell>
          <cell r="K98" t="str">
            <v>Professional</v>
          </cell>
          <cell r="L98" t="str">
            <v>Gyproc</v>
          </cell>
          <cell r="M98" t="str">
            <v>PLAMUURMES 150 MM</v>
          </cell>
          <cell r="N98" t="str">
            <v>PLAMUURMES 150 MM</v>
          </cell>
          <cell r="O98" t="str">
            <v>Couteau de peintre 150 MM</v>
          </cell>
          <cell r="P98" t="str">
            <v>(blanco)</v>
          </cell>
          <cell r="Q98" t="str">
            <v>(blanco)</v>
          </cell>
          <cell r="R98" t="str">
            <v>(blanco)</v>
          </cell>
          <cell r="S98" t="str">
            <v>(blanco)</v>
          </cell>
          <cell r="T98" t="str">
            <v>--</v>
          </cell>
          <cell r="AA98" t="str">
            <v>(blanco)</v>
          </cell>
          <cell r="AC98" t="str">
            <v>(blanco)</v>
          </cell>
          <cell r="AD98" t="str">
            <v>(blanco)</v>
          </cell>
          <cell r="AH98" t="str">
            <v>(blanco)</v>
          </cell>
          <cell r="AI98" t="str">
            <v>(blanco)</v>
          </cell>
          <cell r="AJ98" t="str">
            <v>(blanco)</v>
          </cell>
          <cell r="AL98" t="str">
            <v>(blanco)</v>
          </cell>
          <cell r="AM98" t="str">
            <v>(blanco)</v>
          </cell>
          <cell r="AN98" t="str">
            <v>(blanco)</v>
          </cell>
          <cell r="AR98">
            <v>0.1</v>
          </cell>
          <cell r="AS98">
            <v>0.105</v>
          </cell>
          <cell r="AT98">
            <v>0</v>
          </cell>
          <cell r="AX98">
            <v>30.79</v>
          </cell>
          <cell r="AY98" t="str">
            <v>01.02.2015</v>
          </cell>
          <cell r="AZ98">
            <v>0</v>
          </cell>
          <cell r="BA98" t="str">
            <v>00.00.0000</v>
          </cell>
          <cell r="BB98" t="str">
            <v>ST</v>
          </cell>
          <cell r="BC98" t="str">
            <v>******</v>
          </cell>
          <cell r="BD98" t="str">
            <v>S</v>
          </cell>
          <cell r="BE98">
            <v>5413218565240</v>
          </cell>
        </row>
        <row r="99">
          <cell r="A99" t="str">
            <v>G103073</v>
          </cell>
          <cell r="B99" t="str">
            <v>G103073</v>
          </cell>
          <cell r="C99" t="str">
            <v>F5FAF01F002F005</v>
          </cell>
          <cell r="D99" t="str">
            <v>Gyproc gereedschappen ST</v>
          </cell>
          <cell r="E99" t="str">
            <v>F5FA</v>
          </cell>
          <cell r="F99" t="str">
            <v>Gereedschap bevestigingen *</v>
          </cell>
          <cell r="G99" t="str">
            <v>G103073</v>
          </cell>
          <cell r="H99" t="str">
            <v>bestaand</v>
          </cell>
          <cell r="I99" t="str">
            <v>01.01.2013</v>
          </cell>
          <cell r="J99" t="str">
            <v>Yes</v>
          </cell>
          <cell r="K99" t="str">
            <v>Professional</v>
          </cell>
          <cell r="L99" t="str">
            <v>Gyproc</v>
          </cell>
          <cell r="M99" t="str">
            <v>PLEISTERSPAAN</v>
          </cell>
          <cell r="N99" t="str">
            <v>PLEISTERSPAAN 13100</v>
          </cell>
          <cell r="O99" t="str">
            <v>Platoir 13100</v>
          </cell>
          <cell r="P99" t="str">
            <v>(blanco)</v>
          </cell>
          <cell r="Q99" t="str">
            <v>(blanco)</v>
          </cell>
          <cell r="R99" t="str">
            <v>(blanco)</v>
          </cell>
          <cell r="S99" t="str">
            <v>(blanco)</v>
          </cell>
          <cell r="T99" t="str">
            <v>--</v>
          </cell>
          <cell r="AA99" t="str">
            <v>(blanco)</v>
          </cell>
          <cell r="AC99" t="str">
            <v>(blanco)</v>
          </cell>
          <cell r="AD99" t="str">
            <v>(blanco)</v>
          </cell>
          <cell r="AH99" t="str">
            <v>(blanco)</v>
          </cell>
          <cell r="AI99" t="str">
            <v>(blanco)</v>
          </cell>
          <cell r="AJ99" t="str">
            <v>(blanco)</v>
          </cell>
          <cell r="AL99" t="str">
            <v>(blanco)</v>
          </cell>
          <cell r="AM99" t="str">
            <v>(blanco)</v>
          </cell>
          <cell r="AN99" t="str">
            <v>(blanco)</v>
          </cell>
          <cell r="AR99">
            <v>0.5</v>
          </cell>
          <cell r="AS99">
            <v>0.52500000000000002</v>
          </cell>
          <cell r="AT99">
            <v>0</v>
          </cell>
          <cell r="AX99">
            <v>51.24</v>
          </cell>
          <cell r="AY99" t="str">
            <v>01.02.2015</v>
          </cell>
          <cell r="AZ99">
            <v>0</v>
          </cell>
          <cell r="BA99" t="str">
            <v>00.00.0000</v>
          </cell>
          <cell r="BB99" t="str">
            <v>ST</v>
          </cell>
          <cell r="BC99" t="str">
            <v>******</v>
          </cell>
          <cell r="BD99" t="str">
            <v>S</v>
          </cell>
          <cell r="BE99">
            <v>5413218565226</v>
          </cell>
        </row>
        <row r="100">
          <cell r="A100" t="str">
            <v>G103075</v>
          </cell>
          <cell r="B100" t="str">
            <v>G103075</v>
          </cell>
          <cell r="C100" t="str">
            <v>F5FAF01F002F005</v>
          </cell>
          <cell r="D100" t="str">
            <v>Gyproc gereedschappen ST</v>
          </cell>
          <cell r="E100" t="str">
            <v>F5FA</v>
          </cell>
          <cell r="F100" t="str">
            <v>Gereedschap bevestigingen *</v>
          </cell>
          <cell r="G100" t="str">
            <v>G103075</v>
          </cell>
          <cell r="H100" t="str">
            <v>bestaand</v>
          </cell>
          <cell r="I100" t="str">
            <v>01.01.2013</v>
          </cell>
          <cell r="J100" t="str">
            <v>Yes</v>
          </cell>
          <cell r="K100" t="str">
            <v>Professional</v>
          </cell>
          <cell r="L100" t="str">
            <v>Gyproc</v>
          </cell>
          <cell r="M100" t="str">
            <v>ALU-SPAARBORD</v>
          </cell>
          <cell r="N100" t="str">
            <v>ALU.SPAARBORD 300/300</v>
          </cell>
          <cell r="O100" t="str">
            <v>Plateau en aluminium 300/300</v>
          </cell>
          <cell r="P100" t="str">
            <v>(blanco)</v>
          </cell>
          <cell r="Q100" t="str">
            <v>(blanco)</v>
          </cell>
          <cell r="R100" t="str">
            <v>(blanco)</v>
          </cell>
          <cell r="S100" t="str">
            <v>(blanco)</v>
          </cell>
          <cell r="T100" t="str">
            <v>--</v>
          </cell>
          <cell r="AA100" t="str">
            <v>(blanco)</v>
          </cell>
          <cell r="AC100" t="str">
            <v>(blanco)</v>
          </cell>
          <cell r="AD100" t="str">
            <v>(blanco)</v>
          </cell>
          <cell r="AH100" t="str">
            <v>(blanco)</v>
          </cell>
          <cell r="AI100" t="str">
            <v>(blanco)</v>
          </cell>
          <cell r="AJ100" t="str">
            <v>(blanco)</v>
          </cell>
          <cell r="AL100" t="str">
            <v>(blanco)</v>
          </cell>
          <cell r="AM100" t="str">
            <v>(blanco)</v>
          </cell>
          <cell r="AN100" t="str">
            <v>(blanco)</v>
          </cell>
          <cell r="AR100">
            <v>0.5</v>
          </cell>
          <cell r="AS100">
            <v>0.52500000000000002</v>
          </cell>
          <cell r="AT100">
            <v>0</v>
          </cell>
          <cell r="AX100">
            <v>28.82</v>
          </cell>
          <cell r="AY100" t="str">
            <v>01.02.2015</v>
          </cell>
          <cell r="AZ100">
            <v>0</v>
          </cell>
          <cell r="BA100" t="str">
            <v>00.00.0000</v>
          </cell>
          <cell r="BB100" t="str">
            <v>ST</v>
          </cell>
          <cell r="BC100" t="str">
            <v>******</v>
          </cell>
          <cell r="BD100" t="str">
            <v>S</v>
          </cell>
          <cell r="BE100">
            <v>5413218565257</v>
          </cell>
        </row>
        <row r="101">
          <cell r="A101" t="str">
            <v>G103076</v>
          </cell>
          <cell r="B101" t="str">
            <v>G103076</v>
          </cell>
          <cell r="C101" t="str">
            <v>F5FAF01F002F005</v>
          </cell>
          <cell r="D101" t="str">
            <v>Gyproc gereedschappen ST</v>
          </cell>
          <cell r="E101" t="str">
            <v>F5FA</v>
          </cell>
          <cell r="F101" t="str">
            <v>Gereedschap bevestigingen *</v>
          </cell>
          <cell r="G101" t="str">
            <v>G103076</v>
          </cell>
          <cell r="H101" t="str">
            <v>bestaand</v>
          </cell>
          <cell r="I101" t="str">
            <v>01.01.2013</v>
          </cell>
          <cell r="J101" t="str">
            <v>Yes</v>
          </cell>
          <cell r="K101" t="str">
            <v>Professional</v>
          </cell>
          <cell r="L101" t="str">
            <v>Gyproc</v>
          </cell>
          <cell r="M101" t="str">
            <v>PLATENDRAAGSTEL</v>
          </cell>
          <cell r="N101" t="str">
            <v>PLATENDRAAGSTEL (PAAR)</v>
          </cell>
          <cell r="O101" t="str">
            <v>Porte-plaques (paire)</v>
          </cell>
          <cell r="P101" t="str">
            <v>(blanco)</v>
          </cell>
          <cell r="Q101" t="str">
            <v>(blanco)</v>
          </cell>
          <cell r="R101" t="str">
            <v>(blanco)</v>
          </cell>
          <cell r="S101" t="str">
            <v>(blanco)</v>
          </cell>
          <cell r="T101" t="str">
            <v>--</v>
          </cell>
          <cell r="AA101" t="str">
            <v>(blanco)</v>
          </cell>
          <cell r="AC101" t="str">
            <v>(blanco)</v>
          </cell>
          <cell r="AD101" t="str">
            <v>(blanco)</v>
          </cell>
          <cell r="AH101" t="str">
            <v>(blanco)</v>
          </cell>
          <cell r="AI101" t="str">
            <v>(blanco)</v>
          </cell>
          <cell r="AJ101" t="str">
            <v>(blanco)</v>
          </cell>
          <cell r="AL101" t="str">
            <v>(blanco)</v>
          </cell>
          <cell r="AM101" t="str">
            <v>(blanco)</v>
          </cell>
          <cell r="AN101" t="str">
            <v>(blanco)</v>
          </cell>
          <cell r="AR101">
            <v>0.2</v>
          </cell>
          <cell r="AS101">
            <v>0.21</v>
          </cell>
          <cell r="AT101">
            <v>0</v>
          </cell>
          <cell r="AX101">
            <v>55.78</v>
          </cell>
          <cell r="AY101" t="str">
            <v>01.02.2015</v>
          </cell>
          <cell r="AZ101">
            <v>0</v>
          </cell>
          <cell r="BA101" t="str">
            <v>00.00.0000</v>
          </cell>
          <cell r="BB101" t="str">
            <v>ST</v>
          </cell>
          <cell r="BC101" t="str">
            <v>******</v>
          </cell>
          <cell r="BD101" t="str">
            <v>S</v>
          </cell>
          <cell r="BE101">
            <v>5413218565158</v>
          </cell>
        </row>
        <row r="102">
          <cell r="A102" t="str">
            <v>G103078</v>
          </cell>
          <cell r="B102" t="str">
            <v>G103078</v>
          </cell>
          <cell r="C102" t="str">
            <v>F5FAF01F002F005</v>
          </cell>
          <cell r="D102" t="str">
            <v>Gyproc gereedschappen ST</v>
          </cell>
          <cell r="E102" t="str">
            <v>F5FA</v>
          </cell>
          <cell r="F102" t="str">
            <v>Gereedschap bevestigingen *</v>
          </cell>
          <cell r="G102" t="str">
            <v>G103078</v>
          </cell>
          <cell r="H102" t="str">
            <v>bestaand</v>
          </cell>
          <cell r="I102" t="str">
            <v>01.01.2013</v>
          </cell>
          <cell r="J102" t="str">
            <v>Yes</v>
          </cell>
          <cell r="K102" t="str">
            <v>Professional</v>
          </cell>
          <cell r="L102" t="str">
            <v>Gyproc</v>
          </cell>
          <cell r="M102" t="str">
            <v>CLINCH-ON MET HAMER</v>
          </cell>
          <cell r="N102" t="str">
            <v>CLINCH-ON MET HAMER</v>
          </cell>
          <cell r="O102" t="str">
            <v>Clinch-on avec marteau</v>
          </cell>
          <cell r="P102" t="str">
            <v>(blanco)</v>
          </cell>
          <cell r="Q102" t="str">
            <v>(blanco)</v>
          </cell>
          <cell r="R102" t="str">
            <v>(blanco)</v>
          </cell>
          <cell r="S102" t="str">
            <v>(blanco)</v>
          </cell>
          <cell r="T102" t="str">
            <v>--</v>
          </cell>
          <cell r="AA102" t="str">
            <v>(blanco)</v>
          </cell>
          <cell r="AC102" t="str">
            <v>(blanco)</v>
          </cell>
          <cell r="AD102" t="str">
            <v>(blanco)</v>
          </cell>
          <cell r="AH102" t="str">
            <v>(blanco)</v>
          </cell>
          <cell r="AI102" t="str">
            <v>(blanco)</v>
          </cell>
          <cell r="AJ102" t="str">
            <v>(blanco)</v>
          </cell>
          <cell r="AL102" t="str">
            <v>(blanco)</v>
          </cell>
          <cell r="AM102" t="str">
            <v>(blanco)</v>
          </cell>
          <cell r="AN102" t="str">
            <v>(blanco)</v>
          </cell>
          <cell r="AR102">
            <v>3</v>
          </cell>
          <cell r="AS102">
            <v>3.15</v>
          </cell>
          <cell r="AT102">
            <v>0</v>
          </cell>
          <cell r="AX102">
            <v>111.39</v>
          </cell>
          <cell r="AY102" t="str">
            <v>01.02.2015</v>
          </cell>
          <cell r="AZ102">
            <v>0</v>
          </cell>
          <cell r="BA102" t="str">
            <v>00.00.0000</v>
          </cell>
          <cell r="BB102" t="str">
            <v>ST</v>
          </cell>
          <cell r="BC102" t="str">
            <v>******</v>
          </cell>
          <cell r="BD102" t="str">
            <v>S</v>
          </cell>
          <cell r="BE102">
            <v>5413218565264</v>
          </cell>
        </row>
        <row r="103">
          <cell r="A103" t="str">
            <v>G103079</v>
          </cell>
          <cell r="B103" t="str">
            <v>G103079</v>
          </cell>
          <cell r="C103" t="str">
            <v>F5FAF01F002F005</v>
          </cell>
          <cell r="D103" t="str">
            <v>Gyproc gereedschappen ST</v>
          </cell>
          <cell r="E103" t="str">
            <v>F5FA</v>
          </cell>
          <cell r="F103" t="str">
            <v>Gereedschap bevestigingen *</v>
          </cell>
          <cell r="G103" t="str">
            <v>G103079</v>
          </cell>
          <cell r="H103" t="str">
            <v>bestaand</v>
          </cell>
          <cell r="I103" t="str">
            <v>01.01.2013</v>
          </cell>
          <cell r="J103" t="str">
            <v>Yes</v>
          </cell>
          <cell r="K103" t="str">
            <v>Professional</v>
          </cell>
          <cell r="L103" t="str">
            <v>Gyproc</v>
          </cell>
          <cell r="M103" t="str">
            <v>MIXER</v>
          </cell>
          <cell r="N103" t="str">
            <v>MIXER 570/140/100</v>
          </cell>
          <cell r="O103" t="str">
            <v>MIXER 570/140/100</v>
          </cell>
          <cell r="P103" t="str">
            <v>(blanco)</v>
          </cell>
          <cell r="Q103" t="str">
            <v>(blanco)</v>
          </cell>
          <cell r="R103" t="str">
            <v>(blanco)</v>
          </cell>
          <cell r="S103" t="str">
            <v>(blanco)</v>
          </cell>
          <cell r="T103" t="str">
            <v>--</v>
          </cell>
          <cell r="AA103" t="str">
            <v>(blanco)</v>
          </cell>
          <cell r="AC103" t="str">
            <v>(blanco)</v>
          </cell>
          <cell r="AD103" t="str">
            <v>(blanco)</v>
          </cell>
          <cell r="AH103" t="str">
            <v>(blanco)</v>
          </cell>
          <cell r="AI103" t="str">
            <v>(blanco)</v>
          </cell>
          <cell r="AJ103" t="str">
            <v>(blanco)</v>
          </cell>
          <cell r="AL103" t="str">
            <v>(blanco)</v>
          </cell>
          <cell r="AM103" t="str">
            <v>(blanco)</v>
          </cell>
          <cell r="AN103" t="str">
            <v>(blanco)</v>
          </cell>
          <cell r="AR103">
            <v>2</v>
          </cell>
          <cell r="AS103">
            <v>2.1</v>
          </cell>
          <cell r="AT103">
            <v>0</v>
          </cell>
          <cell r="AX103">
            <v>44.09</v>
          </cell>
          <cell r="AY103" t="str">
            <v>01.02.2015</v>
          </cell>
          <cell r="AZ103">
            <v>0</v>
          </cell>
          <cell r="BA103" t="str">
            <v>00.00.0000</v>
          </cell>
          <cell r="BB103" t="str">
            <v>ST</v>
          </cell>
          <cell r="BC103" t="str">
            <v>******</v>
          </cell>
          <cell r="BD103" t="str">
            <v>S</v>
          </cell>
          <cell r="BE103">
            <v>5413218565219</v>
          </cell>
        </row>
        <row r="104">
          <cell r="A104" t="str">
            <v>G103083</v>
          </cell>
          <cell r="B104" t="str">
            <v>G103083</v>
          </cell>
          <cell r="C104" t="str">
            <v>F5FAF01F002F005</v>
          </cell>
          <cell r="D104" t="str">
            <v>Gyproc gereedschappen ST</v>
          </cell>
          <cell r="E104" t="str">
            <v>F5FA</v>
          </cell>
          <cell r="F104" t="str">
            <v>Gereedschap bevestigingen *</v>
          </cell>
          <cell r="G104" t="str">
            <v>G103083</v>
          </cell>
          <cell r="H104" t="str">
            <v>bestaand</v>
          </cell>
          <cell r="I104" t="str">
            <v>01.01.2013</v>
          </cell>
          <cell r="J104" t="str">
            <v>Yes</v>
          </cell>
          <cell r="K104" t="str">
            <v>Professional</v>
          </cell>
          <cell r="L104" t="str">
            <v>Gyproc</v>
          </cell>
          <cell r="M104" t="str">
            <v>MESJES CLINCH-ON</v>
          </cell>
          <cell r="N104" t="str">
            <v>MESJES VOOR CLINCH-ON PER KIT</v>
          </cell>
          <cell r="O104" t="str">
            <v>Lames Clinch-on</v>
          </cell>
          <cell r="P104" t="str">
            <v>(blanco)</v>
          </cell>
          <cell r="Q104" t="str">
            <v>(blanco)</v>
          </cell>
          <cell r="R104" t="str">
            <v>(blanco)</v>
          </cell>
          <cell r="S104" t="str">
            <v>(blanco)</v>
          </cell>
          <cell r="T104" t="str">
            <v>--</v>
          </cell>
          <cell r="AA104" t="str">
            <v>(blanco)</v>
          </cell>
          <cell r="AC104" t="str">
            <v>(blanco)</v>
          </cell>
          <cell r="AD104" t="str">
            <v>(blanco)</v>
          </cell>
          <cell r="AH104" t="str">
            <v>(blanco)</v>
          </cell>
          <cell r="AI104" t="str">
            <v>(blanco)</v>
          </cell>
          <cell r="AJ104" t="str">
            <v>(blanco)</v>
          </cell>
          <cell r="AL104" t="str">
            <v>(blanco)</v>
          </cell>
          <cell r="AM104" t="str">
            <v>(blanco)</v>
          </cell>
          <cell r="AN104" t="str">
            <v>(blanco)</v>
          </cell>
          <cell r="AR104">
            <v>0.1</v>
          </cell>
          <cell r="AS104">
            <v>0.105</v>
          </cell>
          <cell r="AT104">
            <v>0</v>
          </cell>
          <cell r="AX104">
            <v>22.53</v>
          </cell>
          <cell r="AY104" t="str">
            <v>01.02.2015</v>
          </cell>
          <cell r="AZ104">
            <v>0</v>
          </cell>
          <cell r="BA104" t="str">
            <v>00.00.0000</v>
          </cell>
          <cell r="BB104" t="str">
            <v>ST</v>
          </cell>
          <cell r="BC104" t="str">
            <v>******</v>
          </cell>
          <cell r="BD104" t="str">
            <v>S</v>
          </cell>
          <cell r="BE104">
            <v>5413218565271</v>
          </cell>
        </row>
        <row r="105">
          <cell r="A105" t="str">
            <v>G103087</v>
          </cell>
          <cell r="B105" t="str">
            <v>G103087</v>
          </cell>
          <cell r="C105" t="str">
            <v>F5FAF01F002F005</v>
          </cell>
          <cell r="D105" t="str">
            <v>Gyproc gereedschappen ST</v>
          </cell>
          <cell r="E105" t="str">
            <v>F5FA</v>
          </cell>
          <cell r="F105" t="str">
            <v>Gereedschap bevestigingen *</v>
          </cell>
          <cell r="G105" t="str">
            <v>G103087</v>
          </cell>
          <cell r="H105" t="str">
            <v>bestaand</v>
          </cell>
          <cell r="I105" t="str">
            <v>01.01.2013</v>
          </cell>
          <cell r="J105" t="str">
            <v>Yes</v>
          </cell>
          <cell r="K105" t="str">
            <v>Professional</v>
          </cell>
          <cell r="L105" t="str">
            <v>Gyproc</v>
          </cell>
          <cell r="M105" t="str">
            <v>HANDSCHUURDER</v>
          </cell>
          <cell r="N105" t="str">
            <v>HANDSCHUURDER 8/23</v>
          </cell>
          <cell r="O105" t="str">
            <v>Ponceur à main 8/23</v>
          </cell>
          <cell r="P105" t="str">
            <v>(blanco)</v>
          </cell>
          <cell r="Q105" t="str">
            <v>(blanco)</v>
          </cell>
          <cell r="R105" t="str">
            <v>(blanco)</v>
          </cell>
          <cell r="S105" t="str">
            <v>(blanco)</v>
          </cell>
          <cell r="T105" t="str">
            <v>--</v>
          </cell>
          <cell r="AA105" t="str">
            <v>(blanco)</v>
          </cell>
          <cell r="AC105" t="str">
            <v>(blanco)</v>
          </cell>
          <cell r="AD105" t="str">
            <v>(blanco)</v>
          </cell>
          <cell r="AH105" t="str">
            <v>(blanco)</v>
          </cell>
          <cell r="AI105" t="str">
            <v>(blanco)</v>
          </cell>
          <cell r="AJ105" t="str">
            <v>(blanco)</v>
          </cell>
          <cell r="AL105" t="str">
            <v>(blanco)</v>
          </cell>
          <cell r="AM105" t="str">
            <v>(blanco)</v>
          </cell>
          <cell r="AN105" t="str">
            <v>(blanco)</v>
          </cell>
          <cell r="AR105">
            <v>0.4</v>
          </cell>
          <cell r="AS105">
            <v>0.42</v>
          </cell>
          <cell r="AT105">
            <v>0</v>
          </cell>
          <cell r="AX105">
            <v>22.24</v>
          </cell>
          <cell r="AY105" t="str">
            <v>01.02.2015</v>
          </cell>
          <cell r="AZ105">
            <v>0</v>
          </cell>
          <cell r="BA105" t="str">
            <v>00.00.0000</v>
          </cell>
          <cell r="BB105" t="str">
            <v>ST</v>
          </cell>
          <cell r="BC105" t="str">
            <v>******</v>
          </cell>
          <cell r="BD105" t="str">
            <v>S</v>
          </cell>
          <cell r="BE105">
            <v>5413218565288</v>
          </cell>
        </row>
        <row r="106">
          <cell r="A106" t="str">
            <v>G103113N</v>
          </cell>
          <cell r="B106" t="str">
            <v>G103113</v>
          </cell>
          <cell r="C106" t="str">
            <v>C5CBC18C008C003</v>
          </cell>
          <cell r="D106" t="str">
            <v>MSV 50 M</v>
          </cell>
          <cell r="E106" t="str">
            <v>C5CB</v>
          </cell>
          <cell r="F106" t="str">
            <v>Profielen Platen en Wanden M</v>
          </cell>
          <cell r="G106" t="str">
            <v>ZIB00101</v>
          </cell>
          <cell r="H106" t="str">
            <v>bestaand</v>
          </cell>
          <cell r="I106" t="str">
            <v>01.01.2013</v>
          </cell>
          <cell r="J106" t="str">
            <v>Yes</v>
          </cell>
          <cell r="K106" t="str">
            <v>Professional</v>
          </cell>
          <cell r="L106" t="str">
            <v>METAL STUD</v>
          </cell>
          <cell r="M106" t="str">
            <v>MSV50</v>
          </cell>
          <cell r="N106" t="str">
            <v>M.S.VERT.50 MM 2.40 M</v>
          </cell>
          <cell r="O106" t="str">
            <v>M.S.VERT.50 MM 2.40 M</v>
          </cell>
          <cell r="P106" t="str">
            <v>(blanco)</v>
          </cell>
          <cell r="Q106" t="str">
            <v>(blanco)</v>
          </cell>
          <cell r="R106" t="str">
            <v>(blanco)</v>
          </cell>
          <cell r="S106" t="str">
            <v>(blanco)</v>
          </cell>
          <cell r="T106" t="str">
            <v>NBN EN 14195:2015</v>
          </cell>
          <cell r="U106" t="str">
            <v>C</v>
          </cell>
          <cell r="V106" t="str">
            <v>--</v>
          </cell>
          <cell r="AA106" t="str">
            <v>A1</v>
          </cell>
          <cell r="AC106" t="str">
            <v>(blanco)</v>
          </cell>
          <cell r="AD106" t="str">
            <v>(blanco)</v>
          </cell>
          <cell r="AH106">
            <v>-0.5</v>
          </cell>
          <cell r="AI106" t="e">
            <v>#DIV/0!</v>
          </cell>
          <cell r="AJ106">
            <v>0</v>
          </cell>
          <cell r="AL106" t="str">
            <v>(blanco)</v>
          </cell>
          <cell r="AM106" t="str">
            <v>(blanco)</v>
          </cell>
          <cell r="AN106" t="str">
            <v>(blanco)</v>
          </cell>
          <cell r="AP106">
            <v>50</v>
          </cell>
          <cell r="AR106">
            <v>1.774</v>
          </cell>
          <cell r="AS106">
            <v>1.776</v>
          </cell>
          <cell r="AT106">
            <v>0</v>
          </cell>
          <cell r="AX106">
            <v>2.9</v>
          </cell>
          <cell r="AY106" t="str">
            <v>01.02.2015</v>
          </cell>
          <cell r="AZ106">
            <v>0</v>
          </cell>
          <cell r="BA106" t="str">
            <v>00.00.0000</v>
          </cell>
          <cell r="BB106" t="str">
            <v>M</v>
          </cell>
          <cell r="BC106" t="str">
            <v>M</v>
          </cell>
          <cell r="BD106" t="str">
            <v>S</v>
          </cell>
          <cell r="BE106">
            <v>5413218581462</v>
          </cell>
        </row>
        <row r="107">
          <cell r="A107" t="str">
            <v>G103140N</v>
          </cell>
          <cell r="B107" t="str">
            <v>G103140</v>
          </cell>
          <cell r="C107" t="str">
            <v>C5CBC18C008C006</v>
          </cell>
          <cell r="D107" t="str">
            <v>MSV 100 M</v>
          </cell>
          <cell r="E107" t="str">
            <v>C5CB</v>
          </cell>
          <cell r="F107" t="str">
            <v>Profielen Platen en Wanden M</v>
          </cell>
          <cell r="G107" t="str">
            <v>ZIB00104</v>
          </cell>
          <cell r="H107" t="str">
            <v>bestaand</v>
          </cell>
          <cell r="I107" t="str">
            <v>01.01.2013</v>
          </cell>
          <cell r="J107" t="str">
            <v>Yes</v>
          </cell>
          <cell r="K107" t="str">
            <v>Professional</v>
          </cell>
          <cell r="L107" t="str">
            <v>METAL STUD</v>
          </cell>
          <cell r="M107" t="str">
            <v>MSV100</v>
          </cell>
          <cell r="N107" t="str">
            <v>M.S.VERT.100 MM 3.00 M</v>
          </cell>
          <cell r="O107" t="str">
            <v>M.S.VERT.100 MM 3.00 M</v>
          </cell>
          <cell r="P107" t="str">
            <v>(blanco)</v>
          </cell>
          <cell r="Q107" t="str">
            <v>(blanco)</v>
          </cell>
          <cell r="R107" t="str">
            <v>(blanco)</v>
          </cell>
          <cell r="S107" t="str">
            <v>(blanco)</v>
          </cell>
          <cell r="T107" t="str">
            <v>NBN EN 14195:2015</v>
          </cell>
          <cell r="U107" t="str">
            <v>C</v>
          </cell>
          <cell r="V107" t="str">
            <v>--</v>
          </cell>
          <cell r="AA107" t="str">
            <v>A1</v>
          </cell>
          <cell r="AC107" t="str">
            <v>(blanco)</v>
          </cell>
          <cell r="AD107" t="str">
            <v>(blanco)</v>
          </cell>
          <cell r="AH107">
            <v>-0.5</v>
          </cell>
          <cell r="AI107" t="e">
            <v>#DIV/0!</v>
          </cell>
          <cell r="AJ107">
            <v>0</v>
          </cell>
          <cell r="AL107" t="str">
            <v>(blanco)</v>
          </cell>
          <cell r="AM107" t="str">
            <v>(blanco)</v>
          </cell>
          <cell r="AN107" t="str">
            <v>(blanco)</v>
          </cell>
          <cell r="AP107">
            <v>50</v>
          </cell>
          <cell r="AR107">
            <v>2.9369999999999998</v>
          </cell>
          <cell r="AS107">
            <v>2.94</v>
          </cell>
          <cell r="AT107">
            <v>0</v>
          </cell>
          <cell r="AX107">
            <v>3.56</v>
          </cell>
          <cell r="AY107" t="str">
            <v>01.02.2015</v>
          </cell>
          <cell r="AZ107">
            <v>0</v>
          </cell>
          <cell r="BA107" t="str">
            <v>00.00.0000</v>
          </cell>
          <cell r="BB107" t="str">
            <v>M</v>
          </cell>
          <cell r="BC107" t="str">
            <v>M</v>
          </cell>
          <cell r="BD107" t="str">
            <v>S</v>
          </cell>
          <cell r="BE107">
            <v>5413218581530</v>
          </cell>
        </row>
        <row r="108">
          <cell r="A108" t="str">
            <v>G103165N</v>
          </cell>
          <cell r="B108" t="str">
            <v>G103165</v>
          </cell>
          <cell r="C108" t="str">
            <v>C5CBC18C008C003</v>
          </cell>
          <cell r="D108" t="str">
            <v>MSV 50 M</v>
          </cell>
          <cell r="E108" t="str">
            <v>C5CB</v>
          </cell>
          <cell r="F108" t="str">
            <v>Profielen Platen en Wanden M</v>
          </cell>
          <cell r="G108" t="str">
            <v>ZIB00101</v>
          </cell>
          <cell r="H108" t="str">
            <v>bestaand</v>
          </cell>
          <cell r="I108" t="str">
            <v>01.01.2013</v>
          </cell>
          <cell r="J108" t="str">
            <v>Yes</v>
          </cell>
          <cell r="K108" t="str">
            <v>Professional</v>
          </cell>
          <cell r="L108" t="str">
            <v>METAL STUD</v>
          </cell>
          <cell r="M108" t="str">
            <v>MSV50</v>
          </cell>
          <cell r="N108" t="str">
            <v>M.S.VERT.50 MM 4.00 M</v>
          </cell>
          <cell r="O108" t="str">
            <v>M.S.VERT.50 MM 4.00 M</v>
          </cell>
          <cell r="P108" t="str">
            <v>(blanco)</v>
          </cell>
          <cell r="Q108" t="str">
            <v>(blanco)</v>
          </cell>
          <cell r="R108" t="str">
            <v>(blanco)</v>
          </cell>
          <cell r="S108" t="str">
            <v>(blanco)</v>
          </cell>
          <cell r="T108" t="str">
            <v>NBN EN 14195:2015</v>
          </cell>
          <cell r="U108" t="str">
            <v>C</v>
          </cell>
          <cell r="V108" t="str">
            <v>--</v>
          </cell>
          <cell r="AA108" t="str">
            <v>A1</v>
          </cell>
          <cell r="AC108" t="str">
            <v>(blanco)</v>
          </cell>
          <cell r="AD108" t="str">
            <v>(blanco)</v>
          </cell>
          <cell r="AH108">
            <v>-0.5</v>
          </cell>
          <cell r="AI108" t="e">
            <v>#DIV/0!</v>
          </cell>
          <cell r="AJ108">
            <v>0</v>
          </cell>
          <cell r="AL108" t="str">
            <v>(blanco)</v>
          </cell>
          <cell r="AM108" t="str">
            <v>(blanco)</v>
          </cell>
          <cell r="AN108" t="str">
            <v>(blanco)</v>
          </cell>
          <cell r="AP108">
            <v>50</v>
          </cell>
          <cell r="AR108">
            <v>2.956</v>
          </cell>
          <cell r="AS108">
            <v>2.96</v>
          </cell>
          <cell r="AT108">
            <v>0</v>
          </cell>
          <cell r="AX108">
            <v>2.9</v>
          </cell>
          <cell r="AY108" t="str">
            <v>01.02.2015</v>
          </cell>
          <cell r="AZ108">
            <v>0</v>
          </cell>
          <cell r="BA108" t="str">
            <v>00.00.0000</v>
          </cell>
          <cell r="BB108" t="str">
            <v>M</v>
          </cell>
          <cell r="BC108" t="str">
            <v>M</v>
          </cell>
          <cell r="BD108" t="str">
            <v>S</v>
          </cell>
          <cell r="BE108">
            <v>0</v>
          </cell>
        </row>
        <row r="109">
          <cell r="A109" t="str">
            <v>G103184N</v>
          </cell>
          <cell r="B109" t="str">
            <v>G103184</v>
          </cell>
          <cell r="C109" t="str">
            <v>C5CBC18C008C007</v>
          </cell>
          <cell r="D109" t="str">
            <v>MSV 125 M</v>
          </cell>
          <cell r="E109" t="str">
            <v>C5CB</v>
          </cell>
          <cell r="F109" t="str">
            <v>Profielen Platen en Wanden M</v>
          </cell>
          <cell r="G109" t="str">
            <v>ZIB00105</v>
          </cell>
          <cell r="H109" t="str">
            <v>bestaand</v>
          </cell>
          <cell r="I109" t="str">
            <v>01.01.2013</v>
          </cell>
          <cell r="J109" t="str">
            <v>Yes</v>
          </cell>
          <cell r="K109" t="str">
            <v>Professional</v>
          </cell>
          <cell r="L109" t="str">
            <v>METAL STUD</v>
          </cell>
          <cell r="M109" t="str">
            <v>MSV125</v>
          </cell>
          <cell r="N109" t="str">
            <v>M.S.VERT.125 MM 3.60 M</v>
          </cell>
          <cell r="O109" t="str">
            <v>M.S.VERT.125 MM 3.60 M</v>
          </cell>
          <cell r="P109" t="str">
            <v>(blanco)</v>
          </cell>
          <cell r="Q109" t="str">
            <v>(blanco)</v>
          </cell>
          <cell r="R109" t="str">
            <v>(blanco)</v>
          </cell>
          <cell r="S109" t="str">
            <v>(blanco)</v>
          </cell>
          <cell r="T109" t="str">
            <v>NBN EN 14195:2015</v>
          </cell>
          <cell r="U109" t="str">
            <v>C</v>
          </cell>
          <cell r="V109" t="str">
            <v>--</v>
          </cell>
          <cell r="AA109" t="str">
            <v>A1</v>
          </cell>
          <cell r="AC109" t="str">
            <v>(blanco)</v>
          </cell>
          <cell r="AD109" t="str">
            <v>(blanco)</v>
          </cell>
          <cell r="AH109">
            <v>-0.5</v>
          </cell>
          <cell r="AI109" t="e">
            <v>#DIV/0!</v>
          </cell>
          <cell r="AJ109">
            <v>0</v>
          </cell>
          <cell r="AL109" t="str">
            <v>(blanco)</v>
          </cell>
          <cell r="AM109" t="str">
            <v>(blanco)</v>
          </cell>
          <cell r="AN109" t="str">
            <v>(blanco)</v>
          </cell>
          <cell r="AP109">
            <v>50</v>
          </cell>
          <cell r="AR109">
            <v>3.956</v>
          </cell>
          <cell r="AS109">
            <v>3.96</v>
          </cell>
          <cell r="AT109">
            <v>0</v>
          </cell>
          <cell r="AX109">
            <v>4.83</v>
          </cell>
          <cell r="AY109" t="str">
            <v>01.02.2015</v>
          </cell>
          <cell r="AZ109">
            <v>0</v>
          </cell>
          <cell r="BA109" t="str">
            <v>00.00.0000</v>
          </cell>
          <cell r="BB109" t="str">
            <v>M</v>
          </cell>
          <cell r="BC109" t="str">
            <v>M</v>
          </cell>
          <cell r="BD109" t="str">
            <v>S</v>
          </cell>
          <cell r="BE109">
            <v>0</v>
          </cell>
        </row>
        <row r="110">
          <cell r="A110" t="str">
            <v>G103187N</v>
          </cell>
          <cell r="B110" t="str">
            <v>G103187</v>
          </cell>
          <cell r="C110" t="str">
            <v>C5CBC18C008C005</v>
          </cell>
          <cell r="D110" t="str">
            <v>MSV 75 M</v>
          </cell>
          <cell r="E110" t="str">
            <v>C5CB</v>
          </cell>
          <cell r="F110" t="str">
            <v>Profielen Platen en Wanden M</v>
          </cell>
          <cell r="G110" t="str">
            <v>ZIB00103</v>
          </cell>
          <cell r="H110" t="str">
            <v>bestaand</v>
          </cell>
          <cell r="I110" t="str">
            <v>01.01.2013</v>
          </cell>
          <cell r="J110" t="str">
            <v>Yes</v>
          </cell>
          <cell r="K110" t="str">
            <v>Professional</v>
          </cell>
          <cell r="L110" t="str">
            <v>METAL STUD</v>
          </cell>
          <cell r="M110" t="str">
            <v>MSV75</v>
          </cell>
          <cell r="N110" t="str">
            <v>M.S.VERT.75 MM 4.00 M</v>
          </cell>
          <cell r="O110" t="str">
            <v>M.S.VERT.75 MM 4.00 M</v>
          </cell>
          <cell r="P110" t="str">
            <v>(blanco)</v>
          </cell>
          <cell r="Q110" t="str">
            <v>(blanco)</v>
          </cell>
          <cell r="R110" t="str">
            <v>(blanco)</v>
          </cell>
          <cell r="S110" t="str">
            <v>(blanco)</v>
          </cell>
          <cell r="T110" t="str">
            <v>NBN EN 14195:2015</v>
          </cell>
          <cell r="U110" t="str">
            <v>C</v>
          </cell>
          <cell r="V110" t="str">
            <v>--</v>
          </cell>
          <cell r="AA110" t="str">
            <v>A1</v>
          </cell>
          <cell r="AC110" t="str">
            <v>(blanco)</v>
          </cell>
          <cell r="AD110" t="str">
            <v>(blanco)</v>
          </cell>
          <cell r="AH110">
            <v>-0.5</v>
          </cell>
          <cell r="AI110" t="e">
            <v>#DIV/0!</v>
          </cell>
          <cell r="AJ110">
            <v>0</v>
          </cell>
          <cell r="AL110" t="str">
            <v>(blanco)</v>
          </cell>
          <cell r="AM110" t="str">
            <v>(blanco)</v>
          </cell>
          <cell r="AN110" t="str">
            <v>(blanco)</v>
          </cell>
          <cell r="AP110">
            <v>50</v>
          </cell>
          <cell r="AR110">
            <v>3.4359999999999999</v>
          </cell>
          <cell r="AS110">
            <v>3.44</v>
          </cell>
          <cell r="AT110">
            <v>0</v>
          </cell>
          <cell r="AX110">
            <v>3.17</v>
          </cell>
          <cell r="AY110" t="str">
            <v>01.02.2015</v>
          </cell>
          <cell r="AZ110">
            <v>0</v>
          </cell>
          <cell r="BA110" t="str">
            <v>00.00.0000</v>
          </cell>
          <cell r="BB110" t="str">
            <v>M</v>
          </cell>
          <cell r="BC110" t="str">
            <v>M</v>
          </cell>
          <cell r="BD110" t="str">
            <v>S</v>
          </cell>
          <cell r="BE110">
            <v>5413218576307</v>
          </cell>
        </row>
        <row r="111">
          <cell r="A111" t="str">
            <v>G103208N</v>
          </cell>
          <cell r="B111" t="str">
            <v>G103208</v>
          </cell>
          <cell r="C111" t="str">
            <v>C5CBC18C008C006</v>
          </cell>
          <cell r="D111" t="str">
            <v>MSV 100 M</v>
          </cell>
          <cell r="E111" t="str">
            <v>C5CB</v>
          </cell>
          <cell r="F111" t="str">
            <v>Profielen Platen en Wanden M</v>
          </cell>
          <cell r="G111" t="str">
            <v>ZIB00104</v>
          </cell>
          <cell r="H111" t="str">
            <v>bestaand</v>
          </cell>
          <cell r="I111" t="str">
            <v>01.01.2013</v>
          </cell>
          <cell r="J111" t="str">
            <v>Yes</v>
          </cell>
          <cell r="K111" t="str">
            <v>Professional</v>
          </cell>
          <cell r="L111" t="str">
            <v>METAL STUD</v>
          </cell>
          <cell r="M111" t="str">
            <v>MSV100</v>
          </cell>
          <cell r="N111" t="str">
            <v>M.S.VERT.100 MM 3.60 M</v>
          </cell>
          <cell r="O111" t="str">
            <v>M.S.VERT.100 MM 3.60 M</v>
          </cell>
          <cell r="P111" t="str">
            <v>(blanco)</v>
          </cell>
          <cell r="Q111" t="str">
            <v>(blanco)</v>
          </cell>
          <cell r="R111" t="str">
            <v>(blanco)</v>
          </cell>
          <cell r="S111" t="str">
            <v>(blanco)</v>
          </cell>
          <cell r="T111" t="str">
            <v>NBN EN 14195:2015</v>
          </cell>
          <cell r="U111" t="str">
            <v>C</v>
          </cell>
          <cell r="V111" t="str">
            <v>--</v>
          </cell>
          <cell r="AA111" t="str">
            <v>A1</v>
          </cell>
          <cell r="AC111" t="str">
            <v>(blanco)</v>
          </cell>
          <cell r="AD111" t="str">
            <v>(blanco)</v>
          </cell>
          <cell r="AH111">
            <v>-0.5</v>
          </cell>
          <cell r="AI111" t="e">
            <v>#DIV/0!</v>
          </cell>
          <cell r="AJ111">
            <v>0</v>
          </cell>
          <cell r="AL111" t="str">
            <v>(blanco)</v>
          </cell>
          <cell r="AM111" t="str">
            <v>(blanco)</v>
          </cell>
          <cell r="AN111" t="str">
            <v>(blanco)</v>
          </cell>
          <cell r="AP111">
            <v>50</v>
          </cell>
          <cell r="AR111">
            <v>3.524</v>
          </cell>
          <cell r="AS111">
            <v>3.528</v>
          </cell>
          <cell r="AT111">
            <v>0</v>
          </cell>
          <cell r="AX111">
            <v>3.56</v>
          </cell>
          <cell r="AY111" t="str">
            <v>01.02.2015</v>
          </cell>
          <cell r="AZ111">
            <v>0</v>
          </cell>
          <cell r="BA111" t="str">
            <v>00.00.0000</v>
          </cell>
          <cell r="BB111" t="str">
            <v>M</v>
          </cell>
          <cell r="BC111" t="str">
            <v>M</v>
          </cell>
          <cell r="BD111" t="str">
            <v>S</v>
          </cell>
          <cell r="BE111">
            <v>0</v>
          </cell>
        </row>
        <row r="112">
          <cell r="A112" t="str">
            <v>G103241</v>
          </cell>
          <cell r="B112" t="str">
            <v>G103241</v>
          </cell>
          <cell r="C112" t="str">
            <v>C5CBC17C004C003</v>
          </cell>
          <cell r="D112" t="str">
            <v>Profielen VERTEBRA M</v>
          </cell>
          <cell r="E112" t="str">
            <v>C5CB</v>
          </cell>
          <cell r="F112" t="str">
            <v>Profielen Platen en Wanden M</v>
          </cell>
          <cell r="G112" t="str">
            <v>G103241</v>
          </cell>
          <cell r="H112" t="str">
            <v>bestaand</v>
          </cell>
          <cell r="I112" t="str">
            <v>01.01.2013</v>
          </cell>
          <cell r="J112" t="str">
            <v>Yes</v>
          </cell>
          <cell r="K112" t="str">
            <v>Professional</v>
          </cell>
          <cell r="L112" t="str">
            <v>VERTEBRA</v>
          </cell>
          <cell r="M112" t="str">
            <v>VT45</v>
          </cell>
          <cell r="N112" t="str">
            <v>VERTEBRA PLAFONDPROFIEL F-VT45</v>
          </cell>
          <cell r="O112" t="str">
            <v>VERTEBRA PLAFONDPROFIEL F-VT 45</v>
          </cell>
          <cell r="P112" t="str">
            <v>(blanco)</v>
          </cell>
          <cell r="Q112" t="str">
            <v>(blanco)</v>
          </cell>
          <cell r="R112" t="str">
            <v>(blanco)</v>
          </cell>
          <cell r="S112" t="str">
            <v>(blanco)</v>
          </cell>
          <cell r="T112" t="str">
            <v>NBN EN 14195:2015</v>
          </cell>
          <cell r="U112" t="str">
            <v>U</v>
          </cell>
          <cell r="V112" t="str">
            <v>--</v>
          </cell>
          <cell r="AA112" t="str">
            <v>A1</v>
          </cell>
          <cell r="AC112" t="str">
            <v>(blanco)</v>
          </cell>
          <cell r="AD112" t="str">
            <v>(blanco)</v>
          </cell>
          <cell r="AL112" t="str">
            <v>(blanco)</v>
          </cell>
          <cell r="AM112" t="str">
            <v>(blanco)</v>
          </cell>
          <cell r="AN112" t="str">
            <v>(blanco)</v>
          </cell>
          <cell r="AP112">
            <v>50</v>
          </cell>
          <cell r="AR112">
            <v>2.02</v>
          </cell>
          <cell r="AS112">
            <v>2.04</v>
          </cell>
          <cell r="AT112">
            <v>0</v>
          </cell>
          <cell r="AX112">
            <v>9.24</v>
          </cell>
          <cell r="AY112" t="str">
            <v>01.02.2015</v>
          </cell>
          <cell r="AZ112">
            <v>0</v>
          </cell>
          <cell r="BA112" t="str">
            <v>00.00.0000</v>
          </cell>
          <cell r="BB112" t="str">
            <v>M</v>
          </cell>
          <cell r="BC112" t="str">
            <v>M</v>
          </cell>
          <cell r="BD112" t="str">
            <v>S</v>
          </cell>
          <cell r="BE112">
            <v>5413218567268</v>
          </cell>
        </row>
        <row r="113">
          <cell r="A113" t="str">
            <v>G103243</v>
          </cell>
          <cell r="B113" t="str">
            <v>G103243</v>
          </cell>
          <cell r="C113" t="str">
            <v>C5CBC17C004C003</v>
          </cell>
          <cell r="D113" t="str">
            <v>Profielen VERTEBRA M</v>
          </cell>
          <cell r="E113" t="str">
            <v>C5CB</v>
          </cell>
          <cell r="F113" t="str">
            <v>Profielen Platen en Wanden M</v>
          </cell>
          <cell r="G113" t="str">
            <v>G103243</v>
          </cell>
          <cell r="H113" t="str">
            <v>bestaand</v>
          </cell>
          <cell r="I113" t="str">
            <v>01.01.2013</v>
          </cell>
          <cell r="J113" t="str">
            <v>Yes</v>
          </cell>
          <cell r="K113" t="str">
            <v>Professional</v>
          </cell>
          <cell r="L113" t="str">
            <v>VERTEBRA</v>
          </cell>
          <cell r="M113" t="str">
            <v>SP45/27</v>
          </cell>
          <cell r="N113" t="str">
            <v>VERTEBRA C-PLAFONDPROFIEL SP45/27</v>
          </cell>
          <cell r="O113" t="str">
            <v>VERTEBRA C-PLAFONDPROFIEL SP 45/27</v>
          </cell>
          <cell r="P113" t="str">
            <v>(blanco)</v>
          </cell>
          <cell r="Q113" t="str">
            <v>(blanco)</v>
          </cell>
          <cell r="R113" t="str">
            <v>(blanco)</v>
          </cell>
          <cell r="S113" t="str">
            <v>(blanco)</v>
          </cell>
          <cell r="T113" t="str">
            <v>NBN EN 14195:2015</v>
          </cell>
          <cell r="U113" t="str">
            <v>C</v>
          </cell>
          <cell r="V113" t="str">
            <v>--</v>
          </cell>
          <cell r="AA113" t="str">
            <v>A1</v>
          </cell>
          <cell r="AC113" t="str">
            <v>(blanco)</v>
          </cell>
          <cell r="AD113" t="str">
            <v>(blanco)</v>
          </cell>
          <cell r="AL113" t="str">
            <v>(blanco)</v>
          </cell>
          <cell r="AM113" t="str">
            <v>(blanco)</v>
          </cell>
          <cell r="AN113" t="str">
            <v>(blanco)</v>
          </cell>
          <cell r="AP113">
            <v>50</v>
          </cell>
          <cell r="AR113">
            <v>2.02</v>
          </cell>
          <cell r="AS113">
            <v>2.04</v>
          </cell>
          <cell r="AT113">
            <v>0</v>
          </cell>
          <cell r="AX113">
            <v>2</v>
          </cell>
          <cell r="AY113" t="str">
            <v>01.02.2015</v>
          </cell>
          <cell r="AZ113">
            <v>0</v>
          </cell>
          <cell r="BA113" t="str">
            <v>00.00.0000</v>
          </cell>
          <cell r="BB113" t="str">
            <v>M</v>
          </cell>
          <cell r="BC113" t="str">
            <v>M</v>
          </cell>
          <cell r="BD113" t="str">
            <v>S</v>
          </cell>
          <cell r="BE113">
            <v>5413218567275</v>
          </cell>
        </row>
        <row r="114">
          <cell r="A114" t="str">
            <v>G103245</v>
          </cell>
          <cell r="B114" t="str">
            <v>G103245</v>
          </cell>
          <cell r="C114" t="str">
            <v>D1DBD01D010D001</v>
          </cell>
          <cell r="D114" t="str">
            <v>Toebehoren specifieke uitvoeringen *</v>
          </cell>
          <cell r="E114" t="str">
            <v>D1DB</v>
          </cell>
          <cell r="F114" t="str">
            <v>Toebehoren Platen *</v>
          </cell>
          <cell r="G114" t="str">
            <v>G103245</v>
          </cell>
          <cell r="H114" t="str">
            <v>bestaand</v>
          </cell>
          <cell r="I114" t="str">
            <v>01.01.2013</v>
          </cell>
          <cell r="J114" t="str">
            <v>Yes</v>
          </cell>
          <cell r="K114" t="str">
            <v>Professional</v>
          </cell>
          <cell r="L114" t="str">
            <v>VERTEBRA</v>
          </cell>
          <cell r="M114" t="str">
            <v>VU45/27</v>
          </cell>
          <cell r="N114" t="str">
            <v>VERTEBRA VERBINDINGSSTUK VU45/27</v>
          </cell>
          <cell r="O114" t="str">
            <v>VERTEBRA VERBINDINGSSTUK VU 45/27</v>
          </cell>
          <cell r="P114" t="str">
            <v>(blanco)</v>
          </cell>
          <cell r="Q114" t="str">
            <v>(blanco)</v>
          </cell>
          <cell r="R114" t="str">
            <v>(blanco)</v>
          </cell>
          <cell r="S114" t="str">
            <v>(blanco)</v>
          </cell>
          <cell r="T114" t="str">
            <v>NBN EN 14195:2015</v>
          </cell>
          <cell r="U114" t="str">
            <v>U</v>
          </cell>
          <cell r="V114" t="str">
            <v>--</v>
          </cell>
          <cell r="AA114" t="str">
            <v>A1</v>
          </cell>
          <cell r="AC114" t="str">
            <v>(blanco)</v>
          </cell>
          <cell r="AD114" t="str">
            <v>(blanco)</v>
          </cell>
          <cell r="AL114" t="str">
            <v>(blanco)</v>
          </cell>
          <cell r="AM114" t="str">
            <v>(blanco)</v>
          </cell>
          <cell r="AN114" t="str">
            <v>(blanco)</v>
          </cell>
          <cell r="AP114">
            <v>50</v>
          </cell>
          <cell r="AR114">
            <v>0.54300000000000004</v>
          </cell>
          <cell r="AS114">
            <v>0.55000000000000004</v>
          </cell>
          <cell r="AT114">
            <v>0</v>
          </cell>
          <cell r="AX114">
            <v>0.48</v>
          </cell>
          <cell r="AY114" t="str">
            <v>01.02.2015</v>
          </cell>
          <cell r="AZ114">
            <v>0</v>
          </cell>
          <cell r="BA114" t="str">
            <v>00.00.0000</v>
          </cell>
          <cell r="BB114" t="str">
            <v>ST</v>
          </cell>
          <cell r="BC114" t="str">
            <v>******</v>
          </cell>
          <cell r="BD114" t="str">
            <v>S</v>
          </cell>
          <cell r="BE114">
            <v>8711149903757</v>
          </cell>
        </row>
        <row r="115">
          <cell r="A115" t="str">
            <v>G103246</v>
          </cell>
          <cell r="B115" t="str">
            <v>G103246</v>
          </cell>
          <cell r="C115" t="str">
            <v>D1DCD01D005D038</v>
          </cell>
          <cell r="D115" t="str">
            <v>DIY - Douche kit KG</v>
          </cell>
          <cell r="E115" t="str">
            <v>D1DC</v>
          </cell>
          <cell r="F115" t="str">
            <v>Toebehoren Bevestigingen *</v>
          </cell>
          <cell r="G115" t="str">
            <v>G103246</v>
          </cell>
          <cell r="H115" t="str">
            <v>bestaand</v>
          </cell>
          <cell r="I115" t="str">
            <v>01.01.2013</v>
          </cell>
          <cell r="J115" t="str">
            <v>Yes</v>
          </cell>
          <cell r="K115" t="str">
            <v>Professional</v>
          </cell>
          <cell r="L115" t="str">
            <v>VERTEBRA</v>
          </cell>
          <cell r="M115" t="str">
            <v>VV50/2X4</v>
          </cell>
          <cell r="N115" t="str">
            <v>VEERKLEM DUBBEL VV 50/2 X 4</v>
          </cell>
          <cell r="O115" t="str">
            <v>VEERKLEM DUBBEL VV 50/2 X 4</v>
          </cell>
          <cell r="P115" t="str">
            <v>(blanco)</v>
          </cell>
          <cell r="Q115" t="str">
            <v>(blanco)</v>
          </cell>
          <cell r="R115" t="str">
            <v>(blanco)</v>
          </cell>
          <cell r="S115" t="str">
            <v>(blanco)</v>
          </cell>
          <cell r="T115" t="str">
            <v>NBN EN 14195:2015</v>
          </cell>
          <cell r="U115" t="str">
            <v>--</v>
          </cell>
          <cell r="V115" t="str">
            <v>--</v>
          </cell>
          <cell r="AA115" t="str">
            <v>A1</v>
          </cell>
          <cell r="AC115" t="str">
            <v>(blanco)</v>
          </cell>
          <cell r="AD115" t="str">
            <v>(blanco)</v>
          </cell>
          <cell r="AE115">
            <v>0</v>
          </cell>
          <cell r="AL115" t="str">
            <v>(blanco)</v>
          </cell>
          <cell r="AM115" t="str">
            <v>(blanco)</v>
          </cell>
          <cell r="AN115" t="str">
            <v>(blanco)</v>
          </cell>
          <cell r="AP115">
            <v>50</v>
          </cell>
          <cell r="AR115">
            <v>1.0999999999999999E-2</v>
          </cell>
          <cell r="AS115">
            <v>1.2E-2</v>
          </cell>
          <cell r="AT115">
            <v>0</v>
          </cell>
          <cell r="AX115">
            <v>0.34</v>
          </cell>
          <cell r="AY115" t="str">
            <v>01.02.2015</v>
          </cell>
          <cell r="AZ115">
            <v>0</v>
          </cell>
          <cell r="BA115" t="str">
            <v>00.00.0000</v>
          </cell>
          <cell r="BB115" t="str">
            <v>ST</v>
          </cell>
          <cell r="BC115" t="str">
            <v>******</v>
          </cell>
          <cell r="BD115" t="str">
            <v>S</v>
          </cell>
          <cell r="BE115">
            <v>8711149903771</v>
          </cell>
        </row>
        <row r="116">
          <cell r="A116" t="str">
            <v>G103247</v>
          </cell>
          <cell r="B116" t="str">
            <v>G103247</v>
          </cell>
          <cell r="C116" t="str">
            <v>D1DCD01D005D034</v>
          </cell>
          <cell r="D116" t="str">
            <v>Ophangdraden *</v>
          </cell>
          <cell r="E116" t="str">
            <v>D1DC</v>
          </cell>
          <cell r="F116" t="str">
            <v>Toebehoren Bevestigingen *</v>
          </cell>
          <cell r="G116" t="str">
            <v>G103247</v>
          </cell>
          <cell r="H116" t="str">
            <v>bestaand</v>
          </cell>
          <cell r="I116" t="str">
            <v>01.01.2013</v>
          </cell>
          <cell r="J116" t="str">
            <v>Yes</v>
          </cell>
          <cell r="K116" t="str">
            <v>Professional</v>
          </cell>
          <cell r="L116" t="str">
            <v>VERTEBRA</v>
          </cell>
          <cell r="M116" t="str">
            <v>R160/250</v>
          </cell>
          <cell r="N116" t="str">
            <v>OPHANGDRAAD MET HAAK R160/250</v>
          </cell>
          <cell r="O116" t="str">
            <v>Fil de suspension avec crochet R160/250</v>
          </cell>
          <cell r="P116" t="str">
            <v>(blanco)</v>
          </cell>
          <cell r="Q116" t="str">
            <v>(blanco)</v>
          </cell>
          <cell r="R116" t="str">
            <v>(blanco)</v>
          </cell>
          <cell r="S116" t="str">
            <v>(blanco)</v>
          </cell>
          <cell r="T116" t="str">
            <v>NBN EN 14195:2015</v>
          </cell>
          <cell r="U116" t="str">
            <v>--</v>
          </cell>
          <cell r="V116" t="str">
            <v>--</v>
          </cell>
          <cell r="AA116" t="str">
            <v>A1</v>
          </cell>
          <cell r="AC116" t="str">
            <v>(blanco)</v>
          </cell>
          <cell r="AD116" t="str">
            <v>(blanco)</v>
          </cell>
          <cell r="AE116">
            <v>4</v>
          </cell>
          <cell r="AL116" t="str">
            <v>(blanco)</v>
          </cell>
          <cell r="AM116" t="str">
            <v>(blanco)</v>
          </cell>
          <cell r="AN116" t="str">
            <v>(blanco)</v>
          </cell>
          <cell r="AP116">
            <v>50</v>
          </cell>
          <cell r="AR116">
            <v>0.4</v>
          </cell>
          <cell r="AS116">
            <v>0.42</v>
          </cell>
          <cell r="AT116">
            <v>0</v>
          </cell>
          <cell r="AX116">
            <v>0.37</v>
          </cell>
          <cell r="AY116" t="str">
            <v>01.02.2015</v>
          </cell>
          <cell r="AZ116">
            <v>0</v>
          </cell>
          <cell r="BA116" t="str">
            <v>00.00.0000</v>
          </cell>
          <cell r="BB116" t="str">
            <v>ST</v>
          </cell>
          <cell r="BC116" t="str">
            <v>******</v>
          </cell>
          <cell r="BD116" t="str">
            <v>S</v>
          </cell>
          <cell r="BE116">
            <v>8711149903764</v>
          </cell>
        </row>
        <row r="117">
          <cell r="A117" t="str">
            <v>G103248</v>
          </cell>
          <cell r="B117" t="str">
            <v>G103248</v>
          </cell>
          <cell r="C117" t="str">
            <v>D1DFD05D003D004</v>
          </cell>
          <cell r="D117" t="str">
            <v>Afwerkingsprofielen M</v>
          </cell>
          <cell r="E117" t="str">
            <v>D1DF</v>
          </cell>
          <cell r="F117" t="str">
            <v>Andere Toebehoren *</v>
          </cell>
          <cell r="G117" t="str">
            <v>G103248</v>
          </cell>
          <cell r="H117" t="str">
            <v>bestaand</v>
          </cell>
          <cell r="I117" t="str">
            <v>01.01.2013</v>
          </cell>
          <cell r="J117" t="str">
            <v>Yes</v>
          </cell>
          <cell r="K117" t="str">
            <v>Professional</v>
          </cell>
          <cell r="L117" t="str">
            <v>Gyproc</v>
          </cell>
          <cell r="M117" t="str">
            <v>CORNER ARCH</v>
          </cell>
          <cell r="N117" t="str">
            <v>CORNER ARCH</v>
          </cell>
          <cell r="O117" t="str">
            <v>CORNER ARCH</v>
          </cell>
          <cell r="P117" t="str">
            <v>(blanco)</v>
          </cell>
          <cell r="Q117" t="str">
            <v>(blanco)</v>
          </cell>
          <cell r="R117" t="str">
            <v>(blanco)</v>
          </cell>
          <cell r="S117" t="str">
            <v>(blanco)</v>
          </cell>
          <cell r="T117" t="str">
            <v>--</v>
          </cell>
          <cell r="AC117" t="str">
            <v>(blanco)</v>
          </cell>
          <cell r="AD117" t="str">
            <v>(blanco)</v>
          </cell>
          <cell r="AE117">
            <v>0</v>
          </cell>
          <cell r="AL117" t="str">
            <v>(blanco)</v>
          </cell>
          <cell r="AM117" t="str">
            <v>(blanco)</v>
          </cell>
          <cell r="AN117" t="str">
            <v>(blanco)</v>
          </cell>
          <cell r="AP117">
            <v>0.17</v>
          </cell>
          <cell r="AR117">
            <v>0.3</v>
          </cell>
          <cell r="AS117">
            <v>0.315</v>
          </cell>
          <cell r="AT117">
            <v>0</v>
          </cell>
          <cell r="AX117">
            <v>0.97</v>
          </cell>
          <cell r="AY117" t="str">
            <v>01.02.2015</v>
          </cell>
          <cell r="AZ117">
            <v>0</v>
          </cell>
          <cell r="BA117" t="str">
            <v>00.00.0000</v>
          </cell>
          <cell r="BB117" t="str">
            <v>M</v>
          </cell>
          <cell r="BC117" t="str">
            <v>M</v>
          </cell>
          <cell r="BD117" t="str">
            <v>S</v>
          </cell>
          <cell r="BE117">
            <v>5413218566957</v>
          </cell>
        </row>
        <row r="118">
          <cell r="A118" t="str">
            <v>G103249</v>
          </cell>
          <cell r="B118" t="str">
            <v>G103249</v>
          </cell>
          <cell r="C118" t="str">
            <v>D1DGD03D001D002</v>
          </cell>
          <cell r="D118" t="str">
            <v>STUC ARCH M</v>
          </cell>
          <cell r="E118" t="str">
            <v>D1DG</v>
          </cell>
          <cell r="F118" t="str">
            <v>Toebehoren Pleister *</v>
          </cell>
          <cell r="G118" t="str">
            <v>G103249</v>
          </cell>
          <cell r="H118" t="str">
            <v>bestaand</v>
          </cell>
          <cell r="I118" t="str">
            <v>01.01.2013</v>
          </cell>
          <cell r="J118" t="str">
            <v>Yes</v>
          </cell>
          <cell r="K118" t="str">
            <v>Gyproc Pleisters</v>
          </cell>
          <cell r="L118" t="str">
            <v>Gyproc</v>
          </cell>
          <cell r="M118" t="str">
            <v>STUC ARCH</v>
          </cell>
          <cell r="N118" t="str">
            <v>STUC ARCH</v>
          </cell>
          <cell r="O118" t="str">
            <v>STUC ARCH</v>
          </cell>
          <cell r="P118" t="str">
            <v>(blanco)</v>
          </cell>
          <cell r="Q118" t="str">
            <v>(blanco)</v>
          </cell>
          <cell r="R118" t="str">
            <v>(blanco)</v>
          </cell>
          <cell r="S118" t="str">
            <v>(blanco)</v>
          </cell>
          <cell r="T118" t="str">
            <v>--</v>
          </cell>
          <cell r="AC118" t="str">
            <v>(blanco)</v>
          </cell>
          <cell r="AD118" t="str">
            <v>(blanco)</v>
          </cell>
          <cell r="AE118">
            <v>0</v>
          </cell>
          <cell r="AL118" t="str">
            <v>(blanco)</v>
          </cell>
          <cell r="AM118" t="str">
            <v>(blanco)</v>
          </cell>
          <cell r="AN118" t="str">
            <v>(blanco)</v>
          </cell>
          <cell r="AR118">
            <v>0.3</v>
          </cell>
          <cell r="AS118">
            <v>0.315</v>
          </cell>
          <cell r="AT118">
            <v>0</v>
          </cell>
          <cell r="AV118" t="str">
            <v>WP : Wegwerppallet</v>
          </cell>
          <cell r="AW118">
            <v>7</v>
          </cell>
          <cell r="AX118">
            <v>1.0900000000000001</v>
          </cell>
          <cell r="AY118" t="str">
            <v>01.02.2015</v>
          </cell>
          <cell r="AZ118">
            <v>0</v>
          </cell>
          <cell r="BA118" t="str">
            <v>00.00.0000</v>
          </cell>
          <cell r="BB118" t="str">
            <v>M</v>
          </cell>
          <cell r="BC118" t="str">
            <v>M</v>
          </cell>
          <cell r="BD118" t="str">
            <v>S</v>
          </cell>
          <cell r="BE118">
            <v>5413218554213</v>
          </cell>
        </row>
        <row r="119">
          <cell r="A119" t="str">
            <v>G103250</v>
          </cell>
          <cell r="B119" t="str">
            <v>G103250</v>
          </cell>
          <cell r="C119" t="str">
            <v>C5CBC17C004C003</v>
          </cell>
          <cell r="D119" t="str">
            <v>Profielen VERTEBRA M</v>
          </cell>
          <cell r="E119" t="str">
            <v>C5CB</v>
          </cell>
          <cell r="F119" t="str">
            <v>Profielen Platen en Wanden M</v>
          </cell>
          <cell r="G119" t="str">
            <v>G103250</v>
          </cell>
          <cell r="H119" t="str">
            <v>bestaand</v>
          </cell>
          <cell r="I119" t="str">
            <v>01.01.2013</v>
          </cell>
          <cell r="J119" t="str">
            <v>Yes</v>
          </cell>
          <cell r="K119" t="str">
            <v>Professional</v>
          </cell>
          <cell r="L119" t="str">
            <v>VERTEBRA</v>
          </cell>
          <cell r="M119" t="str">
            <v>GV50</v>
          </cell>
          <cell r="N119" t="str">
            <v>VERTEBRA VLOER-PLAFONDPROF.F-GV50</v>
          </cell>
          <cell r="O119" t="str">
            <v>VERTEBRA VLOER-PLAFONDPROF.F-G50</v>
          </cell>
          <cell r="P119" t="str">
            <v>(blanco)</v>
          </cell>
          <cell r="Q119" t="str">
            <v>(blanco)</v>
          </cell>
          <cell r="R119" t="str">
            <v>(blanco)</v>
          </cell>
          <cell r="S119" t="str">
            <v>(blanco)</v>
          </cell>
          <cell r="T119" t="str">
            <v>NBN EN 14195:2015</v>
          </cell>
          <cell r="U119" t="str">
            <v>U</v>
          </cell>
          <cell r="V119" t="str">
            <v>--</v>
          </cell>
          <cell r="AA119" t="str">
            <v>A1</v>
          </cell>
          <cell r="AC119" t="str">
            <v>(blanco)</v>
          </cell>
          <cell r="AD119" t="str">
            <v>(blanco)</v>
          </cell>
          <cell r="AL119" t="str">
            <v>(blanco)</v>
          </cell>
          <cell r="AM119" t="str">
            <v>(blanco)</v>
          </cell>
          <cell r="AN119" t="str">
            <v>(blanco)</v>
          </cell>
          <cell r="AP119">
            <v>50</v>
          </cell>
          <cell r="AR119">
            <v>2.11</v>
          </cell>
          <cell r="AS119">
            <v>2.13</v>
          </cell>
          <cell r="AT119">
            <v>0</v>
          </cell>
          <cell r="AX119">
            <v>6.52</v>
          </cell>
          <cell r="AY119" t="str">
            <v>01.02.2015</v>
          </cell>
          <cell r="AZ119">
            <v>0</v>
          </cell>
          <cell r="BA119" t="str">
            <v>00.00.0000</v>
          </cell>
          <cell r="BB119" t="str">
            <v>M</v>
          </cell>
          <cell r="BC119" t="str">
            <v>M</v>
          </cell>
          <cell r="BD119" t="str">
            <v>S</v>
          </cell>
          <cell r="BE119">
            <v>5413218567244</v>
          </cell>
        </row>
        <row r="120">
          <cell r="A120" t="str">
            <v>G103251</v>
          </cell>
          <cell r="B120" t="str">
            <v>G103251</v>
          </cell>
          <cell r="C120" t="str">
            <v>C5CBC17C004C003</v>
          </cell>
          <cell r="D120" t="str">
            <v>Profielen VERTEBRA M</v>
          </cell>
          <cell r="E120" t="str">
            <v>C5CB</v>
          </cell>
          <cell r="F120" t="str">
            <v>Profielen Platen en Wanden M</v>
          </cell>
          <cell r="G120" t="str">
            <v>G103251</v>
          </cell>
          <cell r="H120" t="str">
            <v>bestaand</v>
          </cell>
          <cell r="I120" t="str">
            <v>01.01.2013</v>
          </cell>
          <cell r="J120" t="str">
            <v>Yes</v>
          </cell>
          <cell r="K120" t="str">
            <v>Professional</v>
          </cell>
          <cell r="L120" t="str">
            <v>VERTEBRA</v>
          </cell>
          <cell r="M120" t="str">
            <v>VAR</v>
          </cell>
          <cell r="N120" t="str">
            <v>VERTEBRA VARIANGOLO RIGIDO VAR</v>
          </cell>
          <cell r="O120" t="str">
            <v>VERTEBRA VARIANGOLO RIGIDO VAR</v>
          </cell>
          <cell r="P120" t="str">
            <v>(blanco)</v>
          </cell>
          <cell r="Q120" t="str">
            <v>(blanco)</v>
          </cell>
          <cell r="R120" t="str">
            <v>(blanco)</v>
          </cell>
          <cell r="S120" t="str">
            <v>(blanco)</v>
          </cell>
          <cell r="T120" t="str">
            <v>NBN EN 14195:2015</v>
          </cell>
          <cell r="U120" t="str">
            <v>L</v>
          </cell>
          <cell r="V120" t="str">
            <v>--</v>
          </cell>
          <cell r="AA120" t="str">
            <v>A1</v>
          </cell>
          <cell r="AC120" t="str">
            <v>(blanco)</v>
          </cell>
          <cell r="AD120" t="str">
            <v>(blanco)</v>
          </cell>
          <cell r="AL120" t="str">
            <v>(blanco)</v>
          </cell>
          <cell r="AM120" t="str">
            <v>(blanco)</v>
          </cell>
          <cell r="AN120" t="str">
            <v>(blanco)</v>
          </cell>
          <cell r="AP120">
            <v>50</v>
          </cell>
          <cell r="AR120">
            <v>1.1000000000000001</v>
          </cell>
          <cell r="AS120">
            <v>1.155</v>
          </cell>
          <cell r="AT120">
            <v>0</v>
          </cell>
          <cell r="AX120">
            <v>6.83</v>
          </cell>
          <cell r="AY120" t="str">
            <v>01.02.2015</v>
          </cell>
          <cell r="AZ120">
            <v>0</v>
          </cell>
          <cell r="BA120" t="str">
            <v>00.00.0000</v>
          </cell>
          <cell r="BB120" t="str">
            <v>M</v>
          </cell>
          <cell r="BC120" t="str">
            <v>M</v>
          </cell>
          <cell r="BD120" t="str">
            <v>S</v>
          </cell>
          <cell r="BE120">
            <v>5413218567299</v>
          </cell>
        </row>
        <row r="121">
          <cell r="A121" t="str">
            <v>G103252</v>
          </cell>
          <cell r="B121" t="str">
            <v>G103252</v>
          </cell>
          <cell r="C121" t="str">
            <v>C5CBC17C004C003</v>
          </cell>
          <cell r="D121" t="str">
            <v>Profielen VERTEBRA M</v>
          </cell>
          <cell r="E121" t="str">
            <v>C5CB</v>
          </cell>
          <cell r="F121" t="str">
            <v>Profielen Platen en Wanden M</v>
          </cell>
          <cell r="G121" t="str">
            <v>G103252</v>
          </cell>
          <cell r="H121" t="str">
            <v>bestaand</v>
          </cell>
          <cell r="I121" t="str">
            <v>01.01.2013</v>
          </cell>
          <cell r="J121" t="str">
            <v>Yes</v>
          </cell>
          <cell r="K121" t="str">
            <v>Professional</v>
          </cell>
          <cell r="L121" t="str">
            <v>VERTEBRA</v>
          </cell>
          <cell r="M121" t="str">
            <v>VAF</v>
          </cell>
          <cell r="N121" t="str">
            <v>VERTEBRA VARIANGOLO FLESSIBILE VAF</v>
          </cell>
          <cell r="O121" t="str">
            <v>VERTEBRA VARIANGOLO FLESSIBILE VAF</v>
          </cell>
          <cell r="P121" t="str">
            <v>(blanco)</v>
          </cell>
          <cell r="Q121" t="str">
            <v>(blanco)</v>
          </cell>
          <cell r="R121" t="str">
            <v>(blanco)</v>
          </cell>
          <cell r="S121" t="str">
            <v>(blanco)</v>
          </cell>
          <cell r="T121" t="str">
            <v>NBN EN 14195:2015</v>
          </cell>
          <cell r="U121" t="str">
            <v>L</v>
          </cell>
          <cell r="V121" t="str">
            <v>--</v>
          </cell>
          <cell r="AA121" t="str">
            <v>A1</v>
          </cell>
          <cell r="AC121" t="str">
            <v>(blanco)</v>
          </cell>
          <cell r="AD121" t="str">
            <v>(blanco)</v>
          </cell>
          <cell r="AL121" t="str">
            <v>(blanco)</v>
          </cell>
          <cell r="AM121" t="str">
            <v>(blanco)</v>
          </cell>
          <cell r="AN121" t="str">
            <v>(blanco)</v>
          </cell>
          <cell r="AP121">
            <v>50</v>
          </cell>
          <cell r="AR121">
            <v>1.1000000000000001</v>
          </cell>
          <cell r="AS121">
            <v>1.155</v>
          </cell>
          <cell r="AT121">
            <v>0</v>
          </cell>
          <cell r="AX121">
            <v>6.78</v>
          </cell>
          <cell r="AY121" t="str">
            <v>01.02.2015</v>
          </cell>
          <cell r="AZ121">
            <v>0</v>
          </cell>
          <cell r="BA121" t="str">
            <v>00.00.0000</v>
          </cell>
          <cell r="BB121" t="str">
            <v>M</v>
          </cell>
          <cell r="BC121" t="str">
            <v>M</v>
          </cell>
          <cell r="BD121" t="str">
            <v>S</v>
          </cell>
          <cell r="BE121">
            <v>5413218567282</v>
          </cell>
        </row>
        <row r="122">
          <cell r="A122" t="str">
            <v>G103253</v>
          </cell>
          <cell r="B122" t="str">
            <v>G103253</v>
          </cell>
          <cell r="C122" t="str">
            <v>C5CBC17C004C003</v>
          </cell>
          <cell r="D122" t="str">
            <v>Profielen VERTEBRA M</v>
          </cell>
          <cell r="E122" t="str">
            <v>C5CB</v>
          </cell>
          <cell r="F122" t="str">
            <v>Profielen Platen en Wanden M</v>
          </cell>
          <cell r="G122" t="str">
            <v>G103253</v>
          </cell>
          <cell r="H122" t="str">
            <v>bestaand</v>
          </cell>
          <cell r="I122" t="str">
            <v>01.01.2013</v>
          </cell>
          <cell r="J122" t="str">
            <v>Yes</v>
          </cell>
          <cell r="K122" t="str">
            <v>Professional</v>
          </cell>
          <cell r="L122" t="str">
            <v>VERTEBRA</v>
          </cell>
          <cell r="M122" t="str">
            <v>VS30</v>
          </cell>
          <cell r="N122" t="str">
            <v>VERTEBRA F-VS30</v>
          </cell>
          <cell r="O122" t="str">
            <v>VERTEBRA F-VS30</v>
          </cell>
          <cell r="P122" t="str">
            <v>(blanco)</v>
          </cell>
          <cell r="Q122" t="str">
            <v>(blanco)</v>
          </cell>
          <cell r="R122" t="str">
            <v>(blanco)</v>
          </cell>
          <cell r="S122" t="str">
            <v>(blanco)</v>
          </cell>
          <cell r="T122" t="str">
            <v>NBN EN 14195:2015</v>
          </cell>
          <cell r="U122" t="str">
            <v>U</v>
          </cell>
          <cell r="V122" t="str">
            <v>--</v>
          </cell>
          <cell r="AA122" t="str">
            <v>A1</v>
          </cell>
          <cell r="AC122" t="str">
            <v>(blanco)</v>
          </cell>
          <cell r="AD122" t="str">
            <v>(blanco)</v>
          </cell>
          <cell r="AL122" t="str">
            <v>(blanco)</v>
          </cell>
          <cell r="AM122" t="str">
            <v>(blanco)</v>
          </cell>
          <cell r="AN122" t="str">
            <v>(blanco)</v>
          </cell>
          <cell r="AP122">
            <v>50</v>
          </cell>
          <cell r="AR122">
            <v>1.45</v>
          </cell>
          <cell r="AS122">
            <v>1.47</v>
          </cell>
          <cell r="AT122">
            <v>0</v>
          </cell>
          <cell r="AX122">
            <v>7.12</v>
          </cell>
          <cell r="AY122" t="str">
            <v>01.02.2015</v>
          </cell>
          <cell r="AZ122">
            <v>0</v>
          </cell>
          <cell r="BA122" t="str">
            <v>00.00.0000</v>
          </cell>
          <cell r="BB122" t="str">
            <v>M</v>
          </cell>
          <cell r="BC122" t="str">
            <v>M</v>
          </cell>
          <cell r="BD122" t="str">
            <v>S</v>
          </cell>
          <cell r="BE122">
            <v>5413218567305</v>
          </cell>
        </row>
        <row r="123">
          <cell r="A123" t="str">
            <v>G103254</v>
          </cell>
          <cell r="B123" t="str">
            <v>G103254</v>
          </cell>
          <cell r="C123" t="str">
            <v>C5CBC17C004C003</v>
          </cell>
          <cell r="D123" t="str">
            <v>Profielen VERTEBRA M</v>
          </cell>
          <cell r="E123" t="str">
            <v>C5CB</v>
          </cell>
          <cell r="F123" t="str">
            <v>Profielen Platen en Wanden M</v>
          </cell>
          <cell r="G123" t="str">
            <v>G103254</v>
          </cell>
          <cell r="H123" t="str">
            <v>bestaand</v>
          </cell>
          <cell r="I123" t="str">
            <v>01.01.2013</v>
          </cell>
          <cell r="J123" t="str">
            <v>Yes</v>
          </cell>
          <cell r="K123" t="str">
            <v>Professional</v>
          </cell>
          <cell r="L123" t="str">
            <v>VERTEBRA</v>
          </cell>
          <cell r="M123" t="str">
            <v>VS40</v>
          </cell>
          <cell r="N123" t="str">
            <v>VERTEBRA F-VS40</v>
          </cell>
          <cell r="O123" t="str">
            <v>VERTEBRA F-VS40</v>
          </cell>
          <cell r="P123" t="str">
            <v>(blanco)</v>
          </cell>
          <cell r="Q123" t="str">
            <v>(blanco)</v>
          </cell>
          <cell r="R123" t="str">
            <v>(blanco)</v>
          </cell>
          <cell r="S123" t="str">
            <v>(blanco)</v>
          </cell>
          <cell r="T123" t="str">
            <v>NBN EN 14195:2015</v>
          </cell>
          <cell r="U123" t="str">
            <v>U</v>
          </cell>
          <cell r="V123" t="str">
            <v>--</v>
          </cell>
          <cell r="AA123" t="str">
            <v>A1</v>
          </cell>
          <cell r="AC123" t="str">
            <v>(blanco)</v>
          </cell>
          <cell r="AD123" t="str">
            <v>(blanco)</v>
          </cell>
          <cell r="AL123" t="str">
            <v>(blanco)</v>
          </cell>
          <cell r="AM123" t="str">
            <v>(blanco)</v>
          </cell>
          <cell r="AN123" t="str">
            <v>(blanco)</v>
          </cell>
          <cell r="AP123">
            <v>50</v>
          </cell>
          <cell r="AR123">
            <v>1.57</v>
          </cell>
          <cell r="AS123">
            <v>1.59</v>
          </cell>
          <cell r="AT123">
            <v>0</v>
          </cell>
          <cell r="AX123">
            <v>7.12</v>
          </cell>
          <cell r="AY123" t="str">
            <v>01.02.2015</v>
          </cell>
          <cell r="AZ123">
            <v>0</v>
          </cell>
          <cell r="BA123" t="str">
            <v>00.00.0000</v>
          </cell>
          <cell r="BB123" t="str">
            <v>M</v>
          </cell>
          <cell r="BC123" t="str">
            <v>M</v>
          </cell>
          <cell r="BD123" t="str">
            <v>S</v>
          </cell>
          <cell r="BE123">
            <v>5413218567312</v>
          </cell>
        </row>
        <row r="124">
          <cell r="A124" t="str">
            <v>G103255</v>
          </cell>
          <cell r="B124" t="str">
            <v>G103255</v>
          </cell>
          <cell r="C124" t="str">
            <v>C5CBC17C004C003</v>
          </cell>
          <cell r="D124" t="str">
            <v>Profielen VERTEBRA M</v>
          </cell>
          <cell r="E124" t="str">
            <v>C5CB</v>
          </cell>
          <cell r="F124" t="str">
            <v>Profielen Platen en Wanden M</v>
          </cell>
          <cell r="G124" t="str">
            <v>G103255</v>
          </cell>
          <cell r="H124" t="str">
            <v>bestaand</v>
          </cell>
          <cell r="I124" t="str">
            <v>01.01.2013</v>
          </cell>
          <cell r="J124" t="str">
            <v>Yes</v>
          </cell>
          <cell r="K124" t="str">
            <v>Professional</v>
          </cell>
          <cell r="L124" t="str">
            <v>VERTEBRA</v>
          </cell>
          <cell r="M124" t="str">
            <v>VS50</v>
          </cell>
          <cell r="N124" t="str">
            <v>VERTEBRA F-VS50</v>
          </cell>
          <cell r="O124" t="str">
            <v>VERTEBRA F-VS50</v>
          </cell>
          <cell r="P124" t="str">
            <v>(blanco)</v>
          </cell>
          <cell r="Q124" t="str">
            <v>(blanco)</v>
          </cell>
          <cell r="R124" t="str">
            <v>(blanco)</v>
          </cell>
          <cell r="S124" t="str">
            <v>(blanco)</v>
          </cell>
          <cell r="T124" t="str">
            <v>NBN EN 14195:2015</v>
          </cell>
          <cell r="U124" t="str">
            <v>U</v>
          </cell>
          <cell r="V124" t="str">
            <v>--</v>
          </cell>
          <cell r="AA124" t="str">
            <v>A1</v>
          </cell>
          <cell r="AC124" t="str">
            <v>(blanco)</v>
          </cell>
          <cell r="AD124" t="str">
            <v>(blanco)</v>
          </cell>
          <cell r="AL124" t="str">
            <v>(blanco)</v>
          </cell>
          <cell r="AM124" t="str">
            <v>(blanco)</v>
          </cell>
          <cell r="AN124" t="str">
            <v>(blanco)</v>
          </cell>
          <cell r="AP124">
            <v>50</v>
          </cell>
          <cell r="AR124">
            <v>1.72</v>
          </cell>
          <cell r="AS124">
            <v>1.74</v>
          </cell>
          <cell r="AT124">
            <v>0</v>
          </cell>
          <cell r="AX124">
            <v>7.12</v>
          </cell>
          <cell r="AY124" t="str">
            <v>01.02.2015</v>
          </cell>
          <cell r="AZ124">
            <v>0</v>
          </cell>
          <cell r="BA124" t="str">
            <v>00.00.0000</v>
          </cell>
          <cell r="BB124" t="str">
            <v>M</v>
          </cell>
          <cell r="BC124" t="str">
            <v>M</v>
          </cell>
          <cell r="BD124" t="str">
            <v>S</v>
          </cell>
          <cell r="BE124">
            <v>5413218567329</v>
          </cell>
        </row>
        <row r="125">
          <cell r="A125" t="str">
            <v>G103256</v>
          </cell>
          <cell r="B125" t="str">
            <v>G103256</v>
          </cell>
          <cell r="C125" t="str">
            <v>C5CBC17C004C001</v>
          </cell>
          <cell r="D125" t="str">
            <v>Profielen specifieke uitvoeringen M</v>
          </cell>
          <cell r="E125" t="str">
            <v>C5CB</v>
          </cell>
          <cell r="F125" t="str">
            <v>Profielen Platen en Wanden M</v>
          </cell>
          <cell r="G125" t="str">
            <v>G103256</v>
          </cell>
          <cell r="H125" t="str">
            <v>bestaand</v>
          </cell>
          <cell r="I125" t="str">
            <v>01.01.2013</v>
          </cell>
          <cell r="J125" t="str">
            <v>Yes</v>
          </cell>
          <cell r="K125" t="str">
            <v>Professional</v>
          </cell>
          <cell r="L125" t="str">
            <v>PLAGYP</v>
          </cell>
          <cell r="M125" t="str">
            <v>R1023</v>
          </cell>
          <cell r="N125" t="str">
            <v>L-PROFIEL R1023</v>
          </cell>
          <cell r="O125" t="str">
            <v>Profil L R1023</v>
          </cell>
          <cell r="P125" t="str">
            <v>(blanco)</v>
          </cell>
          <cell r="Q125" t="str">
            <v>(blanco)</v>
          </cell>
          <cell r="R125" t="str">
            <v>(blanco)</v>
          </cell>
          <cell r="S125" t="str">
            <v>(blanco)</v>
          </cell>
          <cell r="T125" t="str">
            <v>NBN EN 14195:2015</v>
          </cell>
          <cell r="U125" t="str">
            <v>L</v>
          </cell>
          <cell r="V125" t="str">
            <v>--</v>
          </cell>
          <cell r="AA125" t="str">
            <v>A1</v>
          </cell>
          <cell r="AC125" t="str">
            <v>(blanco)</v>
          </cell>
          <cell r="AD125" t="str">
            <v>(blanco)</v>
          </cell>
          <cell r="AE125" t="str">
            <v>0,75</v>
          </cell>
          <cell r="AL125" t="str">
            <v>(blanco)</v>
          </cell>
          <cell r="AM125" t="str">
            <v>(blanco)</v>
          </cell>
          <cell r="AN125" t="str">
            <v>(blanco)</v>
          </cell>
          <cell r="AP125">
            <v>50</v>
          </cell>
          <cell r="AR125">
            <v>1.08</v>
          </cell>
          <cell r="AS125">
            <v>1.083</v>
          </cell>
          <cell r="AT125">
            <v>0</v>
          </cell>
          <cell r="AX125">
            <v>1.48</v>
          </cell>
          <cell r="AY125" t="str">
            <v>01.02.2015</v>
          </cell>
          <cell r="AZ125">
            <v>0</v>
          </cell>
          <cell r="BA125" t="str">
            <v>00.00.0000</v>
          </cell>
          <cell r="BB125" t="str">
            <v>M</v>
          </cell>
          <cell r="BC125" t="str">
            <v>M</v>
          </cell>
          <cell r="BD125" t="str">
            <v>S</v>
          </cell>
          <cell r="BE125">
            <v>5413218567220</v>
          </cell>
        </row>
        <row r="126">
          <cell r="A126" t="str">
            <v>G103257</v>
          </cell>
          <cell r="B126" t="str">
            <v>G103257</v>
          </cell>
          <cell r="C126" t="str">
            <v>D1DCD01D005D034</v>
          </cell>
          <cell r="D126" t="str">
            <v>Ophangdraden *</v>
          </cell>
          <cell r="E126" t="str">
            <v>D1DC</v>
          </cell>
          <cell r="F126" t="str">
            <v>Toebehoren Bevestigingen *</v>
          </cell>
          <cell r="G126" t="str">
            <v>G103257</v>
          </cell>
          <cell r="H126" t="str">
            <v>bestaand</v>
          </cell>
          <cell r="I126" t="str">
            <v>01.01.2013</v>
          </cell>
          <cell r="J126" t="str">
            <v>Yes</v>
          </cell>
          <cell r="K126" t="str">
            <v>Professional</v>
          </cell>
          <cell r="L126" t="str">
            <v>PLAGYP</v>
          </cell>
          <cell r="M126" t="str">
            <v>R150/250</v>
          </cell>
          <cell r="N126" t="str">
            <v>OPHANGDRAAD MET OOG R150/250</v>
          </cell>
          <cell r="O126" t="str">
            <v>Fil de suspension à oeillet R150/250</v>
          </cell>
          <cell r="P126" t="str">
            <v>(blanco)</v>
          </cell>
          <cell r="Q126" t="str">
            <v>(blanco)</v>
          </cell>
          <cell r="R126" t="str">
            <v>(blanco)</v>
          </cell>
          <cell r="S126" t="str">
            <v>(blanco)</v>
          </cell>
          <cell r="T126" t="str">
            <v>NBN EN 14195:2015</v>
          </cell>
          <cell r="U126" t="str">
            <v>--</v>
          </cell>
          <cell r="V126" t="str">
            <v>--</v>
          </cell>
          <cell r="AA126" t="str">
            <v>A1</v>
          </cell>
          <cell r="AC126" t="str">
            <v>(blanco)</v>
          </cell>
          <cell r="AD126" t="str">
            <v>(blanco)</v>
          </cell>
          <cell r="AE126">
            <v>4</v>
          </cell>
          <cell r="AL126" t="str">
            <v>(blanco)</v>
          </cell>
          <cell r="AM126" t="str">
            <v>(blanco)</v>
          </cell>
          <cell r="AN126" t="str">
            <v>(blanco)</v>
          </cell>
          <cell r="AP126">
            <v>50</v>
          </cell>
          <cell r="AR126">
            <v>0.02</v>
          </cell>
          <cell r="AS126">
            <v>2.1000000000000001E-2</v>
          </cell>
          <cell r="AT126">
            <v>0</v>
          </cell>
          <cell r="AX126">
            <v>0.28000000000000003</v>
          </cell>
          <cell r="AY126" t="str">
            <v>01.02.2015</v>
          </cell>
          <cell r="AZ126">
            <v>0</v>
          </cell>
          <cell r="BA126" t="str">
            <v>00.00.0000</v>
          </cell>
          <cell r="BB126" t="str">
            <v>ST</v>
          </cell>
          <cell r="BC126" t="str">
            <v>******</v>
          </cell>
          <cell r="BD126" t="str">
            <v>S</v>
          </cell>
          <cell r="BE126">
            <v>5413218564281</v>
          </cell>
        </row>
        <row r="127">
          <cell r="A127" t="str">
            <v>G103258</v>
          </cell>
          <cell r="B127" t="str">
            <v>G103258</v>
          </cell>
          <cell r="C127" t="str">
            <v>D1DCD01D005D034</v>
          </cell>
          <cell r="D127" t="str">
            <v>Ophangdraden *</v>
          </cell>
          <cell r="E127" t="str">
            <v>D1DC</v>
          </cell>
          <cell r="F127" t="str">
            <v>Toebehoren Bevestigingen *</v>
          </cell>
          <cell r="G127" t="str">
            <v>G103258</v>
          </cell>
          <cell r="H127" t="str">
            <v>bestaand</v>
          </cell>
          <cell r="I127" t="str">
            <v>01.01.2013</v>
          </cell>
          <cell r="J127" t="str">
            <v>Yes</v>
          </cell>
          <cell r="K127" t="str">
            <v>Professional</v>
          </cell>
          <cell r="L127" t="str">
            <v>PLAGYP</v>
          </cell>
          <cell r="M127" t="str">
            <v>R150/500</v>
          </cell>
          <cell r="N127" t="str">
            <v>OPHANGDRAAD MET OOG R150/500</v>
          </cell>
          <cell r="O127" t="str">
            <v>Fil de suspension à oeillet R150/500</v>
          </cell>
          <cell r="P127" t="str">
            <v>(blanco)</v>
          </cell>
          <cell r="Q127" t="str">
            <v>(blanco)</v>
          </cell>
          <cell r="R127" t="str">
            <v>(blanco)</v>
          </cell>
          <cell r="S127" t="str">
            <v>(blanco)</v>
          </cell>
          <cell r="T127" t="str">
            <v>NBN EN 14195:2015</v>
          </cell>
          <cell r="U127" t="str">
            <v>--</v>
          </cell>
          <cell r="V127" t="str">
            <v>--</v>
          </cell>
          <cell r="AA127" t="str">
            <v>A1</v>
          </cell>
          <cell r="AC127" t="str">
            <v>(blanco)</v>
          </cell>
          <cell r="AD127" t="str">
            <v>(blanco)</v>
          </cell>
          <cell r="AE127">
            <v>4</v>
          </cell>
          <cell r="AL127" t="str">
            <v>(blanco)</v>
          </cell>
          <cell r="AM127" t="str">
            <v>(blanco)</v>
          </cell>
          <cell r="AN127" t="str">
            <v>(blanco)</v>
          </cell>
          <cell r="AP127">
            <v>50</v>
          </cell>
          <cell r="AR127">
            <v>0.02</v>
          </cell>
          <cell r="AS127">
            <v>2.1000000000000001E-2</v>
          </cell>
          <cell r="AT127">
            <v>0</v>
          </cell>
          <cell r="AX127">
            <v>0.48</v>
          </cell>
          <cell r="AY127" t="str">
            <v>01.02.2015</v>
          </cell>
          <cell r="AZ127">
            <v>0</v>
          </cell>
          <cell r="BA127" t="str">
            <v>00.00.0000</v>
          </cell>
          <cell r="BB127" t="str">
            <v>ST</v>
          </cell>
          <cell r="BC127" t="str">
            <v>******</v>
          </cell>
          <cell r="BD127" t="str">
            <v>S</v>
          </cell>
          <cell r="BE127">
            <v>5413218564274</v>
          </cell>
        </row>
        <row r="128">
          <cell r="A128" t="str">
            <v>G103259</v>
          </cell>
          <cell r="B128" t="str">
            <v>G103259</v>
          </cell>
          <cell r="C128" t="str">
            <v>D1DCD01D005D034</v>
          </cell>
          <cell r="D128" t="str">
            <v>Ophangdraden *</v>
          </cell>
          <cell r="E128" t="str">
            <v>D1DC</v>
          </cell>
          <cell r="F128" t="str">
            <v>Toebehoren Bevestigingen *</v>
          </cell>
          <cell r="G128" t="str">
            <v>G103259</v>
          </cell>
          <cell r="H128" t="str">
            <v>bestaand</v>
          </cell>
          <cell r="I128" t="str">
            <v>01.01.2013</v>
          </cell>
          <cell r="J128" t="str">
            <v>Yes</v>
          </cell>
          <cell r="K128" t="str">
            <v>Professional</v>
          </cell>
          <cell r="L128" t="str">
            <v>PLAGYP</v>
          </cell>
          <cell r="M128" t="str">
            <v>R150/1000</v>
          </cell>
          <cell r="N128" t="str">
            <v>OPHANGDRAAD MET OOG R150/1000</v>
          </cell>
          <cell r="O128" t="str">
            <v>Fil de suspension à oeillet R150/1000</v>
          </cell>
          <cell r="P128" t="str">
            <v>(blanco)</v>
          </cell>
          <cell r="Q128" t="str">
            <v>(blanco)</v>
          </cell>
          <cell r="R128" t="str">
            <v>(blanco)</v>
          </cell>
          <cell r="S128" t="str">
            <v>(blanco)</v>
          </cell>
          <cell r="T128" t="str">
            <v>NBN EN 14195:2015</v>
          </cell>
          <cell r="U128" t="str">
            <v>--</v>
          </cell>
          <cell r="V128" t="str">
            <v>--</v>
          </cell>
          <cell r="AA128" t="str">
            <v>A1</v>
          </cell>
          <cell r="AC128" t="str">
            <v>(blanco)</v>
          </cell>
          <cell r="AD128" t="str">
            <v>(blanco)</v>
          </cell>
          <cell r="AE128">
            <v>4</v>
          </cell>
          <cell r="AL128" t="str">
            <v>(blanco)</v>
          </cell>
          <cell r="AM128" t="str">
            <v>(blanco)</v>
          </cell>
          <cell r="AN128" t="str">
            <v>(blanco)</v>
          </cell>
          <cell r="AP128">
            <v>50</v>
          </cell>
          <cell r="AR128">
            <v>0.04</v>
          </cell>
          <cell r="AS128">
            <v>4.2000000000000003E-2</v>
          </cell>
          <cell r="AT128">
            <v>0</v>
          </cell>
          <cell r="AX128">
            <v>0.66</v>
          </cell>
          <cell r="AY128" t="str">
            <v>01.02.2015</v>
          </cell>
          <cell r="AZ128">
            <v>0</v>
          </cell>
          <cell r="BA128" t="str">
            <v>00.00.0000</v>
          </cell>
          <cell r="BB128" t="str">
            <v>ST</v>
          </cell>
          <cell r="BC128" t="str">
            <v>******</v>
          </cell>
          <cell r="BD128" t="str">
            <v>S</v>
          </cell>
          <cell r="BE128">
            <v>5413218564328</v>
          </cell>
        </row>
        <row r="129">
          <cell r="A129" t="str">
            <v>G103264</v>
          </cell>
          <cell r="B129" t="str">
            <v>G103264</v>
          </cell>
          <cell r="C129" t="str">
            <v>D1DCD01D006D003</v>
          </cell>
          <cell r="D129" t="str">
            <v>Voegenclip *</v>
          </cell>
          <cell r="E129" t="str">
            <v>D1DC</v>
          </cell>
          <cell r="F129" t="str">
            <v>Toebehoren Bevestigingen *</v>
          </cell>
          <cell r="G129" t="str">
            <v>G103264</v>
          </cell>
          <cell r="H129" t="str">
            <v>bestaand</v>
          </cell>
          <cell r="I129" t="str">
            <v>01.01.2013</v>
          </cell>
          <cell r="J129" t="str">
            <v>Yes</v>
          </cell>
          <cell r="K129" t="str">
            <v>Professional</v>
          </cell>
          <cell r="L129" t="str">
            <v>Gyproc</v>
          </cell>
          <cell r="M129" t="str">
            <v>VOEGENCLIP</v>
          </cell>
          <cell r="N129" t="str">
            <v>VOEGENCLIP R111</v>
          </cell>
          <cell r="O129" t="str">
            <v>Clip de joints R111</v>
          </cell>
          <cell r="P129" t="str">
            <v>(blanco)</v>
          </cell>
          <cell r="Q129" t="str">
            <v>(blanco)</v>
          </cell>
          <cell r="R129" t="str">
            <v>(blanco)</v>
          </cell>
          <cell r="S129" t="str">
            <v>(blanco)</v>
          </cell>
          <cell r="T129" t="str">
            <v>--</v>
          </cell>
          <cell r="AA129" t="str">
            <v>(blanco)</v>
          </cell>
          <cell r="AC129" t="str">
            <v>(blanco)</v>
          </cell>
          <cell r="AD129" t="str">
            <v>(blanco)</v>
          </cell>
          <cell r="AE129">
            <v>0</v>
          </cell>
          <cell r="AL129" t="str">
            <v>(blanco)</v>
          </cell>
          <cell r="AM129" t="str">
            <v>(blanco)</v>
          </cell>
          <cell r="AN129" t="str">
            <v>(blanco)</v>
          </cell>
          <cell r="AP129">
            <v>50</v>
          </cell>
          <cell r="AR129">
            <v>0.02</v>
          </cell>
          <cell r="AS129">
            <v>2.1000000000000001E-2</v>
          </cell>
          <cell r="AT129">
            <v>0</v>
          </cell>
          <cell r="AX129">
            <v>0.35</v>
          </cell>
          <cell r="AY129" t="str">
            <v>01.02.2015</v>
          </cell>
          <cell r="AZ129">
            <v>0</v>
          </cell>
          <cell r="BA129" t="str">
            <v>00.00.0000</v>
          </cell>
          <cell r="BB129" t="str">
            <v>ST</v>
          </cell>
          <cell r="BC129" t="str">
            <v>******</v>
          </cell>
          <cell r="BD129" t="str">
            <v>S</v>
          </cell>
          <cell r="BE129">
            <v>5413218001571</v>
          </cell>
        </row>
        <row r="130">
          <cell r="A130" t="str">
            <v>G103266</v>
          </cell>
          <cell r="B130" t="str">
            <v>G103266</v>
          </cell>
          <cell r="C130" t="str">
            <v>D1DBD01D012D001</v>
          </cell>
          <cell r="D130" t="str">
            <v>ACC PLAGYP *</v>
          </cell>
          <cell r="E130" t="str">
            <v>D1DB</v>
          </cell>
          <cell r="F130" t="str">
            <v>Toebehoren Platen *</v>
          </cell>
          <cell r="G130" t="str">
            <v>G103266</v>
          </cell>
          <cell r="H130" t="str">
            <v>bestaand</v>
          </cell>
          <cell r="I130" t="str">
            <v>01.01.2013</v>
          </cell>
          <cell r="J130" t="str">
            <v>Yes</v>
          </cell>
          <cell r="K130" t="str">
            <v>Professional</v>
          </cell>
          <cell r="L130" t="str">
            <v>PLAGYP</v>
          </cell>
          <cell r="M130" t="str">
            <v>PL60/100</v>
          </cell>
          <cell r="N130" t="str">
            <v>PLAGYP VERBINDINGSSTUK PL60/100</v>
          </cell>
          <cell r="O130" t="str">
            <v>Eclisse de raccordement PlaGyp PL60/100</v>
          </cell>
          <cell r="P130" t="str">
            <v>(blanco)</v>
          </cell>
          <cell r="Q130" t="str">
            <v>(blanco)</v>
          </cell>
          <cell r="R130" t="str">
            <v>(blanco)</v>
          </cell>
          <cell r="S130" t="str">
            <v>(blanco)</v>
          </cell>
          <cell r="T130" t="str">
            <v>NBN EN 14195:2015</v>
          </cell>
          <cell r="U130" t="str">
            <v>U</v>
          </cell>
          <cell r="V130" t="str">
            <v>--</v>
          </cell>
          <cell r="AA130" t="str">
            <v>A1</v>
          </cell>
          <cell r="AC130" t="str">
            <v>(blanco)</v>
          </cell>
          <cell r="AD130" t="str">
            <v>(blanco)</v>
          </cell>
          <cell r="AI130" t="str">
            <v>+/-0.2</v>
          </cell>
          <cell r="AJ130" t="str">
            <v>+/-0.2</v>
          </cell>
          <cell r="AL130" t="str">
            <v>(blanco)</v>
          </cell>
          <cell r="AM130" t="str">
            <v>(blanco)</v>
          </cell>
          <cell r="AN130" t="str">
            <v>(blanco)</v>
          </cell>
          <cell r="AP130">
            <v>50</v>
          </cell>
          <cell r="AR130">
            <v>4.9939999999999998</v>
          </cell>
          <cell r="AS130">
            <v>5</v>
          </cell>
          <cell r="AT130">
            <v>0</v>
          </cell>
          <cell r="AX130">
            <v>0.72</v>
          </cell>
          <cell r="AY130" t="str">
            <v>01.02.2015</v>
          </cell>
          <cell r="AZ130">
            <v>0</v>
          </cell>
          <cell r="BA130" t="str">
            <v>00.00.0000</v>
          </cell>
          <cell r="BB130" t="str">
            <v>ST</v>
          </cell>
          <cell r="BC130" t="str">
            <v>******</v>
          </cell>
          <cell r="BD130" t="str">
            <v>S</v>
          </cell>
          <cell r="BE130">
            <v>5413218564298</v>
          </cell>
        </row>
        <row r="131">
          <cell r="A131" t="str">
            <v>G103267</v>
          </cell>
          <cell r="B131" t="str">
            <v>G103267</v>
          </cell>
          <cell r="C131" t="str">
            <v>D1DBD01D012D001</v>
          </cell>
          <cell r="D131" t="str">
            <v>ACC PLAGYP *</v>
          </cell>
          <cell r="E131" t="str">
            <v>D1DB</v>
          </cell>
          <cell r="F131" t="str">
            <v>Toebehoren Platen *</v>
          </cell>
          <cell r="G131" t="str">
            <v>G103267</v>
          </cell>
          <cell r="H131" t="str">
            <v>bestaand</v>
          </cell>
          <cell r="I131" t="str">
            <v>01.01.2013</v>
          </cell>
          <cell r="J131" t="str">
            <v>Yes</v>
          </cell>
          <cell r="K131" t="str">
            <v>Professional</v>
          </cell>
          <cell r="L131" t="str">
            <v>PLAGYP</v>
          </cell>
          <cell r="M131" t="str">
            <v>PD60/60</v>
          </cell>
          <cell r="N131" t="str">
            <v>PLAGYP D VERBINDINGSRUITER PD60/60</v>
          </cell>
          <cell r="O131" t="str">
            <v>Cavalier d'ancrage PlaGyp D PD60/60</v>
          </cell>
          <cell r="P131" t="str">
            <v>(blanco)</v>
          </cell>
          <cell r="Q131" t="str">
            <v>(blanco)</v>
          </cell>
          <cell r="R131" t="str">
            <v>(blanco)</v>
          </cell>
          <cell r="S131" t="str">
            <v>(blanco)</v>
          </cell>
          <cell r="T131" t="str">
            <v>NBN EN 14195:2015</v>
          </cell>
          <cell r="U131" t="str">
            <v>--</v>
          </cell>
          <cell r="V131" t="str">
            <v>--</v>
          </cell>
          <cell r="AA131" t="str">
            <v>A1</v>
          </cell>
          <cell r="AC131" t="str">
            <v>(blanco)</v>
          </cell>
          <cell r="AD131" t="str">
            <v>(blanco)</v>
          </cell>
          <cell r="AE131">
            <v>1</v>
          </cell>
          <cell r="AI131" t="str">
            <v>+/-0.2</v>
          </cell>
          <cell r="AJ131" t="str">
            <v>+/-0.2</v>
          </cell>
          <cell r="AL131" t="str">
            <v>(blanco)</v>
          </cell>
          <cell r="AM131" t="str">
            <v>(blanco)</v>
          </cell>
          <cell r="AN131" t="str">
            <v>(blanco)</v>
          </cell>
          <cell r="AP131">
            <v>50</v>
          </cell>
          <cell r="AR131">
            <v>4.28</v>
          </cell>
          <cell r="AS131">
            <v>4.3</v>
          </cell>
          <cell r="AT131">
            <v>0</v>
          </cell>
          <cell r="AX131">
            <v>0.54</v>
          </cell>
          <cell r="AY131" t="str">
            <v>01.02.2015</v>
          </cell>
          <cell r="AZ131">
            <v>0</v>
          </cell>
          <cell r="BA131" t="str">
            <v>00.00.0000</v>
          </cell>
          <cell r="BB131" t="str">
            <v>ST</v>
          </cell>
          <cell r="BC131" t="str">
            <v>******</v>
          </cell>
          <cell r="BD131" t="str">
            <v>S</v>
          </cell>
          <cell r="BE131">
            <v>5413218564250</v>
          </cell>
        </row>
        <row r="132">
          <cell r="A132" t="str">
            <v>G103268</v>
          </cell>
          <cell r="B132" t="str">
            <v>G103268</v>
          </cell>
          <cell r="C132" t="str">
            <v>D1DBD01D012D001</v>
          </cell>
          <cell r="D132" t="str">
            <v>ACC PLAGYP *</v>
          </cell>
          <cell r="E132" t="str">
            <v>D1DB</v>
          </cell>
          <cell r="F132" t="str">
            <v>Toebehoren Platen *</v>
          </cell>
          <cell r="G132" t="str">
            <v>ZIB00231</v>
          </cell>
          <cell r="H132" t="str">
            <v>bestaand</v>
          </cell>
          <cell r="I132" t="str">
            <v>01.01.2013</v>
          </cell>
          <cell r="J132" t="str">
            <v>Yes</v>
          </cell>
          <cell r="K132" t="str">
            <v>Professional</v>
          </cell>
          <cell r="L132" t="str">
            <v>PLAGYP</v>
          </cell>
          <cell r="M132" t="str">
            <v>PV60/120</v>
          </cell>
          <cell r="N132" t="str">
            <v>PLAGYP VEERKLEMPLAFONDHANGER PV60/120</v>
          </cell>
          <cell r="O132" t="str">
            <v>Suspente PlaGyp PV60/120</v>
          </cell>
          <cell r="P132" t="str">
            <v>(blanco)</v>
          </cell>
          <cell r="Q132" t="str">
            <v>(blanco)</v>
          </cell>
          <cell r="R132" t="str">
            <v>(blanco)</v>
          </cell>
          <cell r="S132" t="str">
            <v>(blanco)</v>
          </cell>
          <cell r="T132" t="str">
            <v>NBN EN 14195:2015</v>
          </cell>
          <cell r="U132" t="str">
            <v>--</v>
          </cell>
          <cell r="V132" t="str">
            <v>--</v>
          </cell>
          <cell r="AA132" t="str">
            <v>A1</v>
          </cell>
          <cell r="AC132" t="str">
            <v>(blanco)</v>
          </cell>
          <cell r="AD132" t="str">
            <v>(blanco)</v>
          </cell>
          <cell r="AE132" t="str">
            <v>0,75</v>
          </cell>
          <cell r="AI132" t="str">
            <v>+/-0.2</v>
          </cell>
          <cell r="AJ132" t="str">
            <v>+/-0.2</v>
          </cell>
          <cell r="AL132" t="str">
            <v>(blanco)</v>
          </cell>
          <cell r="AM132" t="str">
            <v>(blanco)</v>
          </cell>
          <cell r="AN132" t="str">
            <v>(blanco)</v>
          </cell>
          <cell r="AP132">
            <v>50</v>
          </cell>
          <cell r="AR132">
            <v>4.2240000000000002</v>
          </cell>
          <cell r="AS132">
            <v>4.3</v>
          </cell>
          <cell r="AT132">
            <v>0</v>
          </cell>
          <cell r="AX132">
            <v>1.33</v>
          </cell>
          <cell r="AY132" t="str">
            <v>01.02.2015</v>
          </cell>
          <cell r="AZ132">
            <v>0</v>
          </cell>
          <cell r="BA132" t="str">
            <v>00.00.0000</v>
          </cell>
          <cell r="BB132" t="str">
            <v>ST</v>
          </cell>
          <cell r="BC132" t="str">
            <v>******</v>
          </cell>
          <cell r="BD132" t="str">
            <v>S</v>
          </cell>
          <cell r="BE132">
            <v>5413218602365</v>
          </cell>
        </row>
        <row r="133">
          <cell r="A133" t="str">
            <v>G103269</v>
          </cell>
          <cell r="B133" t="str">
            <v>G103269</v>
          </cell>
          <cell r="C133" t="str">
            <v>D1DBD01D012D001</v>
          </cell>
          <cell r="D133" t="str">
            <v>ACC PLAGYP *</v>
          </cell>
          <cell r="E133" t="str">
            <v>D1DB</v>
          </cell>
          <cell r="F133" t="str">
            <v>Toebehoren Platen *</v>
          </cell>
          <cell r="G133" t="str">
            <v>G103269</v>
          </cell>
          <cell r="H133" t="str">
            <v>bestaand</v>
          </cell>
          <cell r="I133" t="str">
            <v>01.01.2013</v>
          </cell>
          <cell r="J133" t="str">
            <v>Yes</v>
          </cell>
          <cell r="K133" t="str">
            <v>Professional</v>
          </cell>
          <cell r="L133" t="str">
            <v>PLAGYP</v>
          </cell>
          <cell r="M133" t="str">
            <v>PH60/200</v>
          </cell>
          <cell r="N133" t="str">
            <v>PLAGYP PLAFONDHANGER PH60/200</v>
          </cell>
          <cell r="O133" t="str">
            <v>Suspente PlaGyp PH60/200</v>
          </cell>
          <cell r="P133" t="str">
            <v>(blanco)</v>
          </cell>
          <cell r="Q133" t="str">
            <v>(blanco)</v>
          </cell>
          <cell r="R133" t="str">
            <v>(blanco)</v>
          </cell>
          <cell r="S133" t="str">
            <v>(blanco)</v>
          </cell>
          <cell r="T133" t="str">
            <v>NBN EN 14195:2015</v>
          </cell>
          <cell r="U133" t="str">
            <v>--</v>
          </cell>
          <cell r="V133" t="str">
            <v>--</v>
          </cell>
          <cell r="AA133" t="str">
            <v>A1</v>
          </cell>
          <cell r="AC133" t="str">
            <v>(blanco)</v>
          </cell>
          <cell r="AD133" t="str">
            <v>(blanco)</v>
          </cell>
          <cell r="AI133" t="str">
            <v>+/-0.2</v>
          </cell>
          <cell r="AJ133" t="str">
            <v>+/-0.2</v>
          </cell>
          <cell r="AL133" t="str">
            <v>(blanco)</v>
          </cell>
          <cell r="AM133" t="str">
            <v>(blanco)</v>
          </cell>
          <cell r="AN133" t="str">
            <v>(blanco)</v>
          </cell>
          <cell r="AP133">
            <v>50</v>
          </cell>
          <cell r="AR133">
            <v>3.46</v>
          </cell>
          <cell r="AS133">
            <v>3.5</v>
          </cell>
          <cell r="AT133">
            <v>0</v>
          </cell>
          <cell r="AX133">
            <v>0.5</v>
          </cell>
          <cell r="AY133" t="str">
            <v>01.02.2015</v>
          </cell>
          <cell r="AZ133">
            <v>0</v>
          </cell>
          <cell r="BA133" t="str">
            <v>00.00.0000</v>
          </cell>
          <cell r="BB133" t="str">
            <v>ST</v>
          </cell>
          <cell r="BC133" t="str">
            <v>******</v>
          </cell>
          <cell r="BD133" t="str">
            <v>S</v>
          </cell>
          <cell r="BE133">
            <v>5413218564267</v>
          </cell>
        </row>
        <row r="134">
          <cell r="A134" t="str">
            <v>G103270</v>
          </cell>
          <cell r="B134" t="str">
            <v>G103270</v>
          </cell>
          <cell r="C134" t="str">
            <v>C5CAC01C001C004</v>
          </cell>
          <cell r="D134" t="str">
            <v>Plagyp PC 60/27 M</v>
          </cell>
          <cell r="E134" t="str">
            <v>C5CA</v>
          </cell>
          <cell r="F134" t="str">
            <v>Plafond Profielen</v>
          </cell>
          <cell r="G134" t="str">
            <v>G103270</v>
          </cell>
          <cell r="H134" t="str">
            <v>bestaand</v>
          </cell>
          <cell r="I134" t="str">
            <v>01.01.2013</v>
          </cell>
          <cell r="J134" t="str">
            <v>Yes</v>
          </cell>
          <cell r="K134" t="str">
            <v>Professional</v>
          </cell>
          <cell r="L134" t="str">
            <v>PLAGYP</v>
          </cell>
          <cell r="M134" t="str">
            <v>PC60/27</v>
          </cell>
          <cell r="N134" t="str">
            <v>PLAGYP PLAFONDPROFIEL PC 60/27 4.00 M</v>
          </cell>
          <cell r="O134" t="str">
            <v>Profilé de plafond PlaGyp PC60/27 4.00 M</v>
          </cell>
          <cell r="P134" t="str">
            <v>(blanco)</v>
          </cell>
          <cell r="Q134" t="str">
            <v>(blanco)</v>
          </cell>
          <cell r="R134" t="str">
            <v>(blanco)</v>
          </cell>
          <cell r="S134" t="str">
            <v>(blanco)</v>
          </cell>
          <cell r="T134" t="str">
            <v>NBN EN 14195:2015</v>
          </cell>
          <cell r="U134" t="str">
            <v>C</v>
          </cell>
          <cell r="V134" t="str">
            <v>--</v>
          </cell>
          <cell r="AA134" t="str">
            <v>A1</v>
          </cell>
          <cell r="AC134" t="str">
            <v>(blanco)</v>
          </cell>
          <cell r="AD134" t="str">
            <v>(blanco)</v>
          </cell>
          <cell r="AL134" t="str">
            <v>(blanco)</v>
          </cell>
          <cell r="AM134" t="str">
            <v>(blanco)</v>
          </cell>
          <cell r="AN134" t="str">
            <v>(blanco)</v>
          </cell>
          <cell r="AP134">
            <v>50</v>
          </cell>
          <cell r="AR134">
            <v>2.44</v>
          </cell>
          <cell r="AS134">
            <v>2.444</v>
          </cell>
          <cell r="AT134">
            <v>0</v>
          </cell>
          <cell r="AX134">
            <v>2.88</v>
          </cell>
          <cell r="AY134" t="str">
            <v>01.02.2015</v>
          </cell>
          <cell r="AZ134">
            <v>0</v>
          </cell>
          <cell r="BA134" t="str">
            <v>00.00.0000</v>
          </cell>
          <cell r="BB134" t="str">
            <v>M</v>
          </cell>
          <cell r="BC134" t="str">
            <v>M</v>
          </cell>
          <cell r="BD134" t="str">
            <v>S</v>
          </cell>
          <cell r="BE134">
            <v>5413218602389</v>
          </cell>
        </row>
        <row r="135">
          <cell r="A135" t="str">
            <v>G103278</v>
          </cell>
          <cell r="B135" t="str">
            <v>G103278</v>
          </cell>
          <cell r="C135" t="str">
            <v>C5CAC01C001C006</v>
          </cell>
          <cell r="D135" t="str">
            <v>Plagyp PU 27/48 M</v>
          </cell>
          <cell r="E135" t="str">
            <v>C5CA</v>
          </cell>
          <cell r="F135" t="str">
            <v>Plafond Profielen</v>
          </cell>
          <cell r="G135" t="str">
            <v>G103278</v>
          </cell>
          <cell r="H135" t="str">
            <v>bestaand</v>
          </cell>
          <cell r="I135" t="str">
            <v>01.01.2013</v>
          </cell>
          <cell r="J135" t="str">
            <v>Yes</v>
          </cell>
          <cell r="K135" t="str">
            <v>Professional</v>
          </cell>
          <cell r="L135" t="str">
            <v>PLAGYP</v>
          </cell>
          <cell r="M135" t="str">
            <v>PU27/48</v>
          </cell>
          <cell r="N135" t="str">
            <v>PLAGYP RANDPROFIEL PU 27/48 4.00 M</v>
          </cell>
          <cell r="O135" t="str">
            <v>Profilé périph. PlaGyp PU27/48 4.00 M</v>
          </cell>
          <cell r="P135" t="str">
            <v>(blanco)</v>
          </cell>
          <cell r="Q135" t="str">
            <v>(blanco)</v>
          </cell>
          <cell r="R135" t="str">
            <v>(blanco)</v>
          </cell>
          <cell r="S135" t="str">
            <v>(blanco)</v>
          </cell>
          <cell r="T135" t="str">
            <v>NBN EN 14195:2015</v>
          </cell>
          <cell r="U135" t="str">
            <v>U</v>
          </cell>
          <cell r="V135" t="str">
            <v>--</v>
          </cell>
          <cell r="AA135" t="str">
            <v>A1</v>
          </cell>
          <cell r="AC135" t="str">
            <v>(blanco)</v>
          </cell>
          <cell r="AD135" t="str">
            <v>(blanco)</v>
          </cell>
          <cell r="AL135" t="str">
            <v>(blanco)</v>
          </cell>
          <cell r="AM135" t="str">
            <v>(blanco)</v>
          </cell>
          <cell r="AN135" t="str">
            <v>(blanco)</v>
          </cell>
          <cell r="AP135">
            <v>50</v>
          </cell>
          <cell r="AR135">
            <v>1.9</v>
          </cell>
          <cell r="AS135">
            <v>1.9039999999999999</v>
          </cell>
          <cell r="AT135">
            <v>0</v>
          </cell>
          <cell r="AX135">
            <v>2.72</v>
          </cell>
          <cell r="AY135" t="str">
            <v>01.02.2015</v>
          </cell>
          <cell r="AZ135">
            <v>0</v>
          </cell>
          <cell r="BA135" t="str">
            <v>00.00.0000</v>
          </cell>
          <cell r="BB135" t="str">
            <v>M</v>
          </cell>
          <cell r="BC135" t="str">
            <v>M</v>
          </cell>
          <cell r="BD135" t="str">
            <v>S</v>
          </cell>
          <cell r="BE135">
            <v>5413218602402</v>
          </cell>
        </row>
        <row r="136">
          <cell r="A136" t="str">
            <v>G103287</v>
          </cell>
          <cell r="B136" t="str">
            <v>G103287</v>
          </cell>
          <cell r="C136" t="str">
            <v>D1DFD05D003D004</v>
          </cell>
          <cell r="D136" t="str">
            <v>Afwerkingsprofielen M</v>
          </cell>
          <cell r="E136" t="str">
            <v>D1DF</v>
          </cell>
          <cell r="F136" t="str">
            <v>Andere Toebehoren *</v>
          </cell>
          <cell r="G136" t="str">
            <v>G103287</v>
          </cell>
          <cell r="H136" t="str">
            <v>bestaand</v>
          </cell>
          <cell r="I136" t="str">
            <v>01.01.2013</v>
          </cell>
          <cell r="J136" t="str">
            <v>Yes</v>
          </cell>
          <cell r="K136" t="str">
            <v>Professional</v>
          </cell>
          <cell r="L136" t="str">
            <v>Gyproc</v>
          </cell>
          <cell r="M136" t="str">
            <v>METAL EDGE TRIM</v>
          </cell>
          <cell r="N136" t="str">
            <v>METAL EDGE TRIM 801 B</v>
          </cell>
          <cell r="O136" t="str">
            <v>METAL EDGE TRIM 801 B</v>
          </cell>
          <cell r="P136" t="str">
            <v>(blanco)</v>
          </cell>
          <cell r="Q136" t="str">
            <v>(blanco)</v>
          </cell>
          <cell r="R136" t="str">
            <v>(blanco)</v>
          </cell>
          <cell r="S136" t="str">
            <v>(blanco)</v>
          </cell>
          <cell r="T136" t="str">
            <v>NBN EN 14353+A1:2010</v>
          </cell>
          <cell r="U136" t="str">
            <v>PB - FB</v>
          </cell>
          <cell r="V136" t="str">
            <v>--</v>
          </cell>
          <cell r="W136" t="str">
            <v>metalen profiel voor gebruik met gipsplaten</v>
          </cell>
          <cell r="AC136" t="str">
            <v>(blanco)</v>
          </cell>
          <cell r="AD136" t="str">
            <v>(blanco)</v>
          </cell>
          <cell r="AE136">
            <v>0</v>
          </cell>
          <cell r="AL136" t="str">
            <v>(blanco)</v>
          </cell>
          <cell r="AM136" t="str">
            <v>(blanco)</v>
          </cell>
          <cell r="AN136" t="str">
            <v>(blanco)</v>
          </cell>
          <cell r="AP136">
            <v>50</v>
          </cell>
          <cell r="AR136">
            <v>1</v>
          </cell>
          <cell r="AS136">
            <v>1</v>
          </cell>
          <cell r="AT136">
            <v>0</v>
          </cell>
          <cell r="AX136">
            <v>1.86</v>
          </cell>
          <cell r="AY136" t="str">
            <v>01.02.2015</v>
          </cell>
          <cell r="AZ136">
            <v>0</v>
          </cell>
          <cell r="BA136" t="str">
            <v>00.00.0000</v>
          </cell>
          <cell r="BB136" t="str">
            <v>M</v>
          </cell>
          <cell r="BC136" t="str">
            <v>M</v>
          </cell>
          <cell r="BD136" t="str">
            <v>S</v>
          </cell>
          <cell r="BE136">
            <v>5413218602419</v>
          </cell>
        </row>
        <row r="137">
          <cell r="A137" t="str">
            <v>G103288</v>
          </cell>
          <cell r="B137" t="str">
            <v>G103288</v>
          </cell>
          <cell r="C137" t="str">
            <v>C5CBC17C004C002</v>
          </cell>
          <cell r="D137" t="str">
            <v>VEERREGEL *</v>
          </cell>
          <cell r="E137" t="str">
            <v>C5CB</v>
          </cell>
          <cell r="F137" t="str">
            <v>Profielen Platen en Wanden M</v>
          </cell>
          <cell r="G137" t="str">
            <v>G103288</v>
          </cell>
          <cell r="H137" t="str">
            <v>bestaand</v>
          </cell>
          <cell r="I137" t="str">
            <v>01.01.2013</v>
          </cell>
          <cell r="J137" t="str">
            <v>Yes</v>
          </cell>
          <cell r="K137" t="str">
            <v>Professional</v>
          </cell>
          <cell r="L137" t="str">
            <v>Gyproc</v>
          </cell>
          <cell r="M137" t="str">
            <v>VEERREGEL RB66</v>
          </cell>
          <cell r="N137" t="str">
            <v>RESILIENT BAR 0.6 3M</v>
          </cell>
          <cell r="O137" t="str">
            <v>Profilé à ressort RB66 3M</v>
          </cell>
          <cell r="P137" t="str">
            <v>(blanco)</v>
          </cell>
          <cell r="Q137" t="str">
            <v>(blanco)</v>
          </cell>
          <cell r="R137" t="str">
            <v>(blanco)</v>
          </cell>
          <cell r="S137" t="str">
            <v>(blanco)</v>
          </cell>
          <cell r="T137" t="str">
            <v>NBN EN 14195:2015</v>
          </cell>
          <cell r="U137" t="str">
            <v>W</v>
          </cell>
          <cell r="V137" t="str">
            <v>--</v>
          </cell>
          <cell r="AA137" t="str">
            <v>A1</v>
          </cell>
          <cell r="AC137" t="str">
            <v>(blanco)</v>
          </cell>
          <cell r="AD137" t="str">
            <v>(blanco)</v>
          </cell>
          <cell r="AL137" t="str">
            <v>(blanco)</v>
          </cell>
          <cell r="AM137" t="str">
            <v>(blanco)</v>
          </cell>
          <cell r="AN137" t="str">
            <v>(blanco)</v>
          </cell>
          <cell r="AP137">
            <v>50</v>
          </cell>
          <cell r="AR137">
            <v>1.3260000000000001</v>
          </cell>
          <cell r="AS137">
            <v>1.329</v>
          </cell>
          <cell r="AT137">
            <v>0</v>
          </cell>
          <cell r="AX137">
            <v>2.83</v>
          </cell>
          <cell r="AY137" t="str">
            <v>01.02.2015</v>
          </cell>
          <cell r="AZ137">
            <v>0</v>
          </cell>
          <cell r="BA137" t="str">
            <v>00.00.0000</v>
          </cell>
          <cell r="BB137" t="str">
            <v>M</v>
          </cell>
          <cell r="BC137" t="str">
            <v>M</v>
          </cell>
          <cell r="BD137" t="str">
            <v>S</v>
          </cell>
          <cell r="BE137">
            <v>5413218567237</v>
          </cell>
        </row>
        <row r="138">
          <cell r="A138" t="str">
            <v>G103292</v>
          </cell>
          <cell r="B138" t="str">
            <v>G103292</v>
          </cell>
          <cell r="C138" t="str">
            <v>C5CBC18C007C003</v>
          </cell>
          <cell r="D138" t="str">
            <v>MSP 75 M</v>
          </cell>
          <cell r="E138" t="str">
            <v>C5CB</v>
          </cell>
          <cell r="F138" t="str">
            <v>Profielen Platen en Wanden M</v>
          </cell>
          <cell r="G138" t="str">
            <v>G103292</v>
          </cell>
          <cell r="H138" t="str">
            <v>bestaand</v>
          </cell>
          <cell r="I138" t="str">
            <v>01.01.2013</v>
          </cell>
          <cell r="J138" t="str">
            <v>Yes</v>
          </cell>
          <cell r="K138" t="str">
            <v>Professional</v>
          </cell>
          <cell r="L138" t="str">
            <v>METAL STUD</v>
          </cell>
          <cell r="M138" t="str">
            <v>MSP75</v>
          </cell>
          <cell r="N138" t="str">
            <v>M.S.P.75 MM 4.00 M</v>
          </cell>
          <cell r="O138" t="str">
            <v>M.S.P.75 MM 4.00 M</v>
          </cell>
          <cell r="P138" t="str">
            <v>(blanco)</v>
          </cell>
          <cell r="Q138" t="str">
            <v>(blanco)</v>
          </cell>
          <cell r="R138" t="str">
            <v>(blanco)</v>
          </cell>
          <cell r="S138" t="str">
            <v>(blanco)</v>
          </cell>
          <cell r="T138" t="str">
            <v>NBN EN 14195:2015</v>
          </cell>
          <cell r="U138" t="str">
            <v>U</v>
          </cell>
          <cell r="V138" t="str">
            <v>--</v>
          </cell>
          <cell r="AA138" t="str">
            <v>A1</v>
          </cell>
          <cell r="AC138" t="str">
            <v>(blanco)</v>
          </cell>
          <cell r="AD138" t="str">
            <v>(blanco)</v>
          </cell>
          <cell r="AE138">
            <v>1</v>
          </cell>
          <cell r="AL138" t="str">
            <v>(blanco)</v>
          </cell>
          <cell r="AM138" t="str">
            <v>(blanco)</v>
          </cell>
          <cell r="AN138" t="str">
            <v>(blanco)</v>
          </cell>
          <cell r="AP138">
            <v>50</v>
          </cell>
          <cell r="AR138">
            <v>2.92</v>
          </cell>
          <cell r="AS138">
            <v>3.0640000000000001</v>
          </cell>
          <cell r="AT138">
            <v>0</v>
          </cell>
          <cell r="AX138">
            <v>8.74</v>
          </cell>
          <cell r="AY138" t="str">
            <v>01.02.2015</v>
          </cell>
          <cell r="AZ138">
            <v>0</v>
          </cell>
          <cell r="BA138" t="str">
            <v>00.00.0000</v>
          </cell>
          <cell r="BB138" t="str">
            <v>M</v>
          </cell>
          <cell r="BC138" t="str">
            <v>M</v>
          </cell>
          <cell r="BD138">
            <v>2</v>
          </cell>
          <cell r="BE138">
            <v>5413218567121</v>
          </cell>
        </row>
        <row r="139">
          <cell r="A139" t="str">
            <v>G103298</v>
          </cell>
          <cell r="B139" t="str">
            <v>G103298</v>
          </cell>
          <cell r="C139" t="str">
            <v>C5CBC18C009C004</v>
          </cell>
          <cell r="D139" t="str">
            <v>MSR 75 M</v>
          </cell>
          <cell r="E139" t="str">
            <v>C5CB</v>
          </cell>
          <cell r="F139" t="str">
            <v>Profielen Platen en Wanden M</v>
          </cell>
          <cell r="G139" t="str">
            <v>ZIB00108</v>
          </cell>
          <cell r="H139" t="str">
            <v>bestaand</v>
          </cell>
          <cell r="I139" t="str">
            <v>01.01.2013</v>
          </cell>
          <cell r="J139" t="str">
            <v>Yes</v>
          </cell>
          <cell r="K139" t="str">
            <v>Professional</v>
          </cell>
          <cell r="L139" t="str">
            <v>METAL STUD</v>
          </cell>
          <cell r="M139" t="str">
            <v>MSR75</v>
          </cell>
          <cell r="N139" t="str">
            <v>M.S.R.75 MM 4.00 M (1.5mm)</v>
          </cell>
          <cell r="O139" t="str">
            <v>M.S.R.75 MM 4.00 M (1.5mm)</v>
          </cell>
          <cell r="P139" t="str">
            <v>(blanco)</v>
          </cell>
          <cell r="Q139" t="str">
            <v>(blanco)</v>
          </cell>
          <cell r="R139" t="str">
            <v>(blanco)</v>
          </cell>
          <cell r="S139" t="str">
            <v>(blanco)</v>
          </cell>
          <cell r="T139" t="str">
            <v>NBN EN 14195:2015</v>
          </cell>
          <cell r="U139" t="str">
            <v>U</v>
          </cell>
          <cell r="V139" t="str">
            <v>--</v>
          </cell>
          <cell r="AA139" t="str">
            <v>A1</v>
          </cell>
          <cell r="AC139" t="str">
            <v>(blanco)</v>
          </cell>
          <cell r="AD139" t="str">
            <v>(blanco)</v>
          </cell>
          <cell r="AL139" t="str">
            <v>(blanco)</v>
          </cell>
          <cell r="AM139" t="str">
            <v>(blanco)</v>
          </cell>
          <cell r="AN139" t="str">
            <v>(blanco)</v>
          </cell>
          <cell r="AP139">
            <v>50</v>
          </cell>
          <cell r="AR139">
            <v>2.92</v>
          </cell>
          <cell r="AS139">
            <v>3.0640000000000001</v>
          </cell>
          <cell r="AT139">
            <v>0</v>
          </cell>
          <cell r="AX139">
            <v>10.41</v>
          </cell>
          <cell r="AY139" t="str">
            <v>01.02.2015</v>
          </cell>
          <cell r="AZ139">
            <v>0</v>
          </cell>
          <cell r="BA139" t="str">
            <v>00.00.0000</v>
          </cell>
          <cell r="BB139" t="str">
            <v>M</v>
          </cell>
          <cell r="BC139" t="str">
            <v>M</v>
          </cell>
          <cell r="BD139">
            <v>2</v>
          </cell>
          <cell r="BE139">
            <v>5413218567190</v>
          </cell>
        </row>
        <row r="140">
          <cell r="A140" t="str">
            <v>G103308</v>
          </cell>
          <cell r="B140" t="str">
            <v>G103308</v>
          </cell>
          <cell r="C140" t="str">
            <v>C5CBC18C009C001</v>
          </cell>
          <cell r="D140" t="str">
            <v>MSR 100 M</v>
          </cell>
          <cell r="E140" t="str">
            <v>C5CB</v>
          </cell>
          <cell r="F140" t="str">
            <v>Profielen Platen en Wanden M</v>
          </cell>
          <cell r="G140" t="str">
            <v>ZIB00109</v>
          </cell>
          <cell r="H140" t="str">
            <v>bestaand</v>
          </cell>
          <cell r="I140" t="str">
            <v>01.01.2013</v>
          </cell>
          <cell r="J140" t="str">
            <v>Yes</v>
          </cell>
          <cell r="K140" t="str">
            <v>Professional</v>
          </cell>
          <cell r="L140" t="str">
            <v>METAL STUD</v>
          </cell>
          <cell r="M140" t="str">
            <v>MSR100</v>
          </cell>
          <cell r="N140" t="str">
            <v>M.S.R.100 MM 3.00 M (1.5MM)</v>
          </cell>
          <cell r="O140" t="str">
            <v>M.S.R.100 MM 3.00 M (1.5MM)</v>
          </cell>
          <cell r="P140" t="str">
            <v>(blanco)</v>
          </cell>
          <cell r="Q140" t="str">
            <v>(blanco)</v>
          </cell>
          <cell r="R140" t="str">
            <v>(blanco)</v>
          </cell>
          <cell r="S140" t="str">
            <v>(blanco)</v>
          </cell>
          <cell r="T140" t="str">
            <v>NBN EN 14195:2015</v>
          </cell>
          <cell r="U140" t="str">
            <v>U</v>
          </cell>
          <cell r="V140" t="str">
            <v>--</v>
          </cell>
          <cell r="AA140" t="str">
            <v>A1</v>
          </cell>
          <cell r="AC140" t="str">
            <v>(blanco)</v>
          </cell>
          <cell r="AD140" t="str">
            <v>(blanco)</v>
          </cell>
          <cell r="AL140" t="str">
            <v>(blanco)</v>
          </cell>
          <cell r="AM140" t="str">
            <v>(blanco)</v>
          </cell>
          <cell r="AN140" t="str">
            <v>(blanco)</v>
          </cell>
          <cell r="AP140">
            <v>50</v>
          </cell>
          <cell r="AR140">
            <v>2.19</v>
          </cell>
          <cell r="AS140">
            <v>2.298</v>
          </cell>
          <cell r="AT140">
            <v>0</v>
          </cell>
          <cell r="AX140">
            <v>12.09</v>
          </cell>
          <cell r="AY140" t="str">
            <v>01.02.2015</v>
          </cell>
          <cell r="AZ140">
            <v>0</v>
          </cell>
          <cell r="BA140" t="str">
            <v>00.00.0000</v>
          </cell>
          <cell r="BB140" t="str">
            <v>M</v>
          </cell>
          <cell r="BC140" t="str">
            <v>M</v>
          </cell>
          <cell r="BD140">
            <v>2</v>
          </cell>
          <cell r="BE140">
            <v>5413218567206</v>
          </cell>
        </row>
        <row r="141">
          <cell r="A141" t="str">
            <v>G103311</v>
          </cell>
          <cell r="B141" t="str">
            <v>G103311</v>
          </cell>
          <cell r="C141" t="str">
            <v>C5CBC18C009C004</v>
          </cell>
          <cell r="D141" t="str">
            <v>MSR 75 M</v>
          </cell>
          <cell r="E141" t="str">
            <v>C5CB</v>
          </cell>
          <cell r="F141" t="str">
            <v>Profielen Platen en Wanden M</v>
          </cell>
          <cell r="G141" t="str">
            <v>ZIB00108</v>
          </cell>
          <cell r="H141" t="str">
            <v>bestaand</v>
          </cell>
          <cell r="I141" t="str">
            <v>01.01.2013</v>
          </cell>
          <cell r="J141" t="str">
            <v>Yes</v>
          </cell>
          <cell r="K141" t="str">
            <v>Professional</v>
          </cell>
          <cell r="L141" t="str">
            <v>METAL STUD</v>
          </cell>
          <cell r="M141" t="str">
            <v>MSR75</v>
          </cell>
          <cell r="N141" t="str">
            <v>M.S.R.75 MM 3.00 M</v>
          </cell>
          <cell r="O141" t="str">
            <v>M.S.R.75 MM 3.00 M</v>
          </cell>
          <cell r="P141" t="str">
            <v>(blanco)</v>
          </cell>
          <cell r="Q141" t="str">
            <v>(blanco)</v>
          </cell>
          <cell r="R141" t="str">
            <v>(blanco)</v>
          </cell>
          <cell r="S141" t="str">
            <v>(blanco)</v>
          </cell>
          <cell r="T141" t="str">
            <v>NBN EN 14195:2015</v>
          </cell>
          <cell r="U141" t="str">
            <v>U</v>
          </cell>
          <cell r="V141" t="str">
            <v>--</v>
          </cell>
          <cell r="AA141" t="str">
            <v>A1</v>
          </cell>
          <cell r="AC141" t="str">
            <v>(blanco)</v>
          </cell>
          <cell r="AD141" t="str">
            <v>(blanco)</v>
          </cell>
          <cell r="AL141" t="str">
            <v>(blanco)</v>
          </cell>
          <cell r="AM141" t="str">
            <v>(blanco)</v>
          </cell>
          <cell r="AN141" t="str">
            <v>(blanco)</v>
          </cell>
          <cell r="AP141">
            <v>50</v>
          </cell>
          <cell r="AR141">
            <v>2.19</v>
          </cell>
          <cell r="AS141">
            <v>2.298</v>
          </cell>
          <cell r="AT141">
            <v>0</v>
          </cell>
          <cell r="AX141">
            <v>10.41</v>
          </cell>
          <cell r="AY141" t="str">
            <v>01.02.2015</v>
          </cell>
          <cell r="AZ141">
            <v>0</v>
          </cell>
          <cell r="BA141" t="str">
            <v>00.00.0000</v>
          </cell>
          <cell r="BB141" t="str">
            <v>M</v>
          </cell>
          <cell r="BC141" t="str">
            <v>M</v>
          </cell>
          <cell r="BD141">
            <v>2</v>
          </cell>
          <cell r="BE141">
            <v>5413218567183</v>
          </cell>
        </row>
        <row r="142">
          <cell r="A142" t="str">
            <v>G103312</v>
          </cell>
          <cell r="B142" t="str">
            <v>G103312</v>
          </cell>
          <cell r="C142" t="str">
            <v>C5CBC18C009C003</v>
          </cell>
          <cell r="D142" t="str">
            <v>MSR 70 M</v>
          </cell>
          <cell r="E142" t="str">
            <v>C5CB</v>
          </cell>
          <cell r="F142" t="str">
            <v>Profielen Platen en Wanden M</v>
          </cell>
          <cell r="G142" t="str">
            <v>ZIB00107</v>
          </cell>
          <cell r="H142" t="str">
            <v>bestaand</v>
          </cell>
          <cell r="I142" t="str">
            <v>01.01.2013</v>
          </cell>
          <cell r="J142" t="str">
            <v>Yes</v>
          </cell>
          <cell r="K142" t="str">
            <v>Professional</v>
          </cell>
          <cell r="L142" t="str">
            <v>METAL STUD</v>
          </cell>
          <cell r="M142" t="str">
            <v>MSR70</v>
          </cell>
          <cell r="N142" t="str">
            <v>M.S.R.70 MM 4.00 M</v>
          </cell>
          <cell r="O142" t="str">
            <v>M.S.R.70 MM 4.00 M</v>
          </cell>
          <cell r="P142" t="str">
            <v>(blanco)</v>
          </cell>
          <cell r="Q142" t="str">
            <v>(blanco)</v>
          </cell>
          <cell r="R142" t="str">
            <v>(blanco)</v>
          </cell>
          <cell r="S142" t="str">
            <v>(blanco)</v>
          </cell>
          <cell r="T142" t="str">
            <v>NBN EN 14195:2015</v>
          </cell>
          <cell r="U142" t="str">
            <v>U</v>
          </cell>
          <cell r="V142" t="str">
            <v>--</v>
          </cell>
          <cell r="AA142" t="str">
            <v>A1</v>
          </cell>
          <cell r="AC142" t="str">
            <v>(blanco)</v>
          </cell>
          <cell r="AD142" t="str">
            <v>(blanco)</v>
          </cell>
          <cell r="AL142" t="str">
            <v>(blanco)</v>
          </cell>
          <cell r="AM142" t="str">
            <v>(blanco)</v>
          </cell>
          <cell r="AN142" t="str">
            <v>(blanco)</v>
          </cell>
          <cell r="AP142">
            <v>50</v>
          </cell>
          <cell r="AR142">
            <v>2.92</v>
          </cell>
          <cell r="AS142">
            <v>3.0640000000000001</v>
          </cell>
          <cell r="AT142">
            <v>0</v>
          </cell>
          <cell r="AX142">
            <v>10.07</v>
          </cell>
          <cell r="AY142" t="str">
            <v>01.02.2015</v>
          </cell>
          <cell r="AZ142">
            <v>0</v>
          </cell>
          <cell r="BA142" t="str">
            <v>00.00.0000</v>
          </cell>
          <cell r="BB142" t="str">
            <v>M</v>
          </cell>
          <cell r="BC142" t="str">
            <v>M</v>
          </cell>
          <cell r="BD142">
            <v>2</v>
          </cell>
          <cell r="BE142">
            <v>5413218567176</v>
          </cell>
        </row>
        <row r="143">
          <cell r="A143" t="str">
            <v>G103314</v>
          </cell>
          <cell r="B143" t="str">
            <v>G103314</v>
          </cell>
          <cell r="C143" t="str">
            <v>C5CBC18C009C001</v>
          </cell>
          <cell r="D143" t="str">
            <v>MSR 100 M</v>
          </cell>
          <cell r="E143" t="str">
            <v>C5CB</v>
          </cell>
          <cell r="F143" t="str">
            <v>Profielen Platen en Wanden M</v>
          </cell>
          <cell r="G143" t="str">
            <v>ZIB00109</v>
          </cell>
          <cell r="H143" t="str">
            <v>bestaand</v>
          </cell>
          <cell r="I143" t="str">
            <v>01.01.2013</v>
          </cell>
          <cell r="J143" t="str">
            <v>Yes</v>
          </cell>
          <cell r="K143" t="str">
            <v>Professional</v>
          </cell>
          <cell r="L143" t="str">
            <v>METAL STUD</v>
          </cell>
          <cell r="M143" t="str">
            <v>MSR100</v>
          </cell>
          <cell r="N143" t="str">
            <v>M.S.R.100 MM 4.00 M (1,5 mm )</v>
          </cell>
          <cell r="O143" t="str">
            <v>M.S.R.100 MM 4.00 M (1,5 mm )</v>
          </cell>
          <cell r="P143" t="str">
            <v>(blanco)</v>
          </cell>
          <cell r="Q143" t="str">
            <v>(blanco)</v>
          </cell>
          <cell r="R143" t="str">
            <v>(blanco)</v>
          </cell>
          <cell r="S143" t="str">
            <v>(blanco)</v>
          </cell>
          <cell r="T143" t="str">
            <v>NBN EN 14195:2015</v>
          </cell>
          <cell r="U143" t="str">
            <v>U</v>
          </cell>
          <cell r="V143" t="str">
            <v>--</v>
          </cell>
          <cell r="AA143" t="str">
            <v>A1</v>
          </cell>
          <cell r="AC143" t="str">
            <v>(blanco)</v>
          </cell>
          <cell r="AD143" t="str">
            <v>(blanco)</v>
          </cell>
          <cell r="AL143" t="str">
            <v>(blanco)</v>
          </cell>
          <cell r="AM143" t="str">
            <v>(blanco)</v>
          </cell>
          <cell r="AN143" t="str">
            <v>(blanco)</v>
          </cell>
          <cell r="AP143">
            <v>50</v>
          </cell>
          <cell r="AR143">
            <v>3.0640000000000001</v>
          </cell>
          <cell r="AS143">
            <v>3.0640000000000001</v>
          </cell>
          <cell r="AT143">
            <v>0</v>
          </cell>
          <cell r="AX143">
            <v>12.09</v>
          </cell>
          <cell r="AY143" t="str">
            <v>01.02.2015</v>
          </cell>
          <cell r="AZ143">
            <v>0</v>
          </cell>
          <cell r="BA143" t="str">
            <v>00.00.0000</v>
          </cell>
          <cell r="BB143" t="str">
            <v>M</v>
          </cell>
          <cell r="BC143" t="str">
            <v>M</v>
          </cell>
          <cell r="BD143">
            <v>2</v>
          </cell>
          <cell r="BE143">
            <v>5413218567213</v>
          </cell>
        </row>
        <row r="144">
          <cell r="A144" t="str">
            <v>G103465</v>
          </cell>
          <cell r="B144" t="str">
            <v>G103465</v>
          </cell>
          <cell r="C144" t="str">
            <v>C5CBC18C007C001</v>
          </cell>
          <cell r="D144" t="str">
            <v>MSP 50 M</v>
          </cell>
          <cell r="E144" t="str">
            <v>C5CB</v>
          </cell>
          <cell r="F144" t="str">
            <v>Profielen Platen en Wanden M</v>
          </cell>
          <cell r="G144" t="str">
            <v>G103465</v>
          </cell>
          <cell r="H144" t="str">
            <v>bestaand</v>
          </cell>
          <cell r="I144" t="str">
            <v>01.01.2013</v>
          </cell>
          <cell r="J144" t="str">
            <v>Yes</v>
          </cell>
          <cell r="K144" t="str">
            <v>Professional</v>
          </cell>
          <cell r="L144" t="str">
            <v>METAL STUD</v>
          </cell>
          <cell r="M144" t="str">
            <v>MSP50</v>
          </cell>
          <cell r="N144" t="str">
            <v>M.S.P.50 MM 4.00 M</v>
          </cell>
          <cell r="O144" t="str">
            <v>M.S.P.50 MM 4.00 M</v>
          </cell>
          <cell r="P144" t="str">
            <v>(blanco)</v>
          </cell>
          <cell r="Q144" t="str">
            <v>(blanco)</v>
          </cell>
          <cell r="R144" t="str">
            <v>(blanco)</v>
          </cell>
          <cell r="S144" t="str">
            <v>(blanco)</v>
          </cell>
          <cell r="T144" t="str">
            <v>NBN EN 14195:2015</v>
          </cell>
          <cell r="U144" t="str">
            <v>U</v>
          </cell>
          <cell r="V144" t="str">
            <v>--</v>
          </cell>
          <cell r="AA144" t="str">
            <v>A1</v>
          </cell>
          <cell r="AC144" t="str">
            <v>(blanco)</v>
          </cell>
          <cell r="AD144" t="str">
            <v>(blanco)</v>
          </cell>
          <cell r="AE144">
            <v>1</v>
          </cell>
          <cell r="AL144" t="str">
            <v>(blanco)</v>
          </cell>
          <cell r="AM144" t="str">
            <v>(blanco)</v>
          </cell>
          <cell r="AN144" t="str">
            <v>(blanco)</v>
          </cell>
          <cell r="AP144">
            <v>50</v>
          </cell>
          <cell r="AR144">
            <v>2.92</v>
          </cell>
          <cell r="AS144">
            <v>3.0640000000000001</v>
          </cell>
          <cell r="AT144">
            <v>0</v>
          </cell>
          <cell r="AX144">
            <v>7.62</v>
          </cell>
          <cell r="AY144" t="str">
            <v>01.02.2015</v>
          </cell>
          <cell r="AZ144">
            <v>0</v>
          </cell>
          <cell r="BA144" t="str">
            <v>00.00.0000</v>
          </cell>
          <cell r="BB144" t="str">
            <v>M</v>
          </cell>
          <cell r="BC144" t="str">
            <v>M</v>
          </cell>
          <cell r="BD144">
            <v>2</v>
          </cell>
          <cell r="BE144">
            <v>5413218567107</v>
          </cell>
        </row>
        <row r="145">
          <cell r="A145" t="str">
            <v>G103466</v>
          </cell>
          <cell r="B145" t="str">
            <v>G103466</v>
          </cell>
          <cell r="C145" t="str">
            <v>C5CBC18C009C002</v>
          </cell>
          <cell r="D145" t="str">
            <v>MSR 50 M</v>
          </cell>
          <cell r="E145" t="str">
            <v>C5CB</v>
          </cell>
          <cell r="F145" t="str">
            <v>Profielen Platen en Wanden M</v>
          </cell>
          <cell r="G145" t="str">
            <v>ZIB00106</v>
          </cell>
          <cell r="H145" t="str">
            <v>bestaand</v>
          </cell>
          <cell r="I145" t="str">
            <v>01.01.2013</v>
          </cell>
          <cell r="J145" t="str">
            <v>Yes</v>
          </cell>
          <cell r="K145" t="str">
            <v>Professional</v>
          </cell>
          <cell r="L145" t="str">
            <v>METAL STUD</v>
          </cell>
          <cell r="M145" t="str">
            <v>MSR50</v>
          </cell>
          <cell r="N145" t="str">
            <v>M.S.R.50 MM 3.00 M</v>
          </cell>
          <cell r="O145" t="str">
            <v>M.S.R.50 MM 3.00 M</v>
          </cell>
          <cell r="P145" t="str">
            <v>(blanco)</v>
          </cell>
          <cell r="Q145" t="str">
            <v>(blanco)</v>
          </cell>
          <cell r="R145" t="str">
            <v>(blanco)</v>
          </cell>
          <cell r="S145" t="str">
            <v>(blanco)</v>
          </cell>
          <cell r="T145" t="str">
            <v>NBN EN 14195:2015</v>
          </cell>
          <cell r="U145" t="str">
            <v>U</v>
          </cell>
          <cell r="V145" t="str">
            <v>--</v>
          </cell>
          <cell r="AA145" t="str">
            <v>A1</v>
          </cell>
          <cell r="AC145" t="str">
            <v>(blanco)</v>
          </cell>
          <cell r="AD145" t="str">
            <v>(blanco)</v>
          </cell>
          <cell r="AL145" t="str">
            <v>(blanco)</v>
          </cell>
          <cell r="AM145" t="str">
            <v>(blanco)</v>
          </cell>
          <cell r="AN145" t="str">
            <v>(blanco)</v>
          </cell>
          <cell r="AP145">
            <v>50</v>
          </cell>
          <cell r="AR145">
            <v>2.19</v>
          </cell>
          <cell r="AS145">
            <v>2.298</v>
          </cell>
          <cell r="AT145">
            <v>0</v>
          </cell>
          <cell r="AX145">
            <v>8.74</v>
          </cell>
          <cell r="AY145" t="str">
            <v>01.02.2015</v>
          </cell>
          <cell r="AZ145">
            <v>0</v>
          </cell>
          <cell r="BA145" t="str">
            <v>00.00.0000</v>
          </cell>
          <cell r="BB145" t="str">
            <v>M</v>
          </cell>
          <cell r="BC145" t="str">
            <v>M</v>
          </cell>
          <cell r="BD145">
            <v>2</v>
          </cell>
          <cell r="BE145">
            <v>5413218567145</v>
          </cell>
        </row>
        <row r="146">
          <cell r="A146" t="str">
            <v>G103467</v>
          </cell>
          <cell r="B146" t="str">
            <v>G103467</v>
          </cell>
          <cell r="C146" t="str">
            <v>C5CBC18C009C003</v>
          </cell>
          <cell r="D146" t="str">
            <v>MSR 70 M</v>
          </cell>
          <cell r="E146" t="str">
            <v>C5CB</v>
          </cell>
          <cell r="F146" t="str">
            <v>Profielen Platen en Wanden M</v>
          </cell>
          <cell r="G146" t="str">
            <v>ZIB00107</v>
          </cell>
          <cell r="H146" t="str">
            <v>bestaand</v>
          </cell>
          <cell r="I146" t="str">
            <v>01.01.2013</v>
          </cell>
          <cell r="J146" t="str">
            <v>Yes</v>
          </cell>
          <cell r="K146" t="str">
            <v>Professional</v>
          </cell>
          <cell r="L146" t="str">
            <v>METAL STUD</v>
          </cell>
          <cell r="M146" t="str">
            <v>MSR70</v>
          </cell>
          <cell r="N146" t="str">
            <v>M.S.R.70 MM 3.00 M</v>
          </cell>
          <cell r="O146" t="str">
            <v>M.S.R.70 MM 3.00 M</v>
          </cell>
          <cell r="P146" t="str">
            <v>(blanco)</v>
          </cell>
          <cell r="Q146" t="str">
            <v>(blanco)</v>
          </cell>
          <cell r="R146" t="str">
            <v>(blanco)</v>
          </cell>
          <cell r="S146" t="str">
            <v>(blanco)</v>
          </cell>
          <cell r="T146" t="str">
            <v>NBN EN 14195:2015</v>
          </cell>
          <cell r="U146" t="str">
            <v>U</v>
          </cell>
          <cell r="V146" t="str">
            <v>--</v>
          </cell>
          <cell r="AA146" t="str">
            <v>A1</v>
          </cell>
          <cell r="AC146" t="str">
            <v>(blanco)</v>
          </cell>
          <cell r="AD146" t="str">
            <v>(blanco)</v>
          </cell>
          <cell r="AL146" t="str">
            <v>(blanco)</v>
          </cell>
          <cell r="AM146" t="str">
            <v>(blanco)</v>
          </cell>
          <cell r="AN146" t="str">
            <v>(blanco)</v>
          </cell>
          <cell r="AP146">
            <v>50</v>
          </cell>
          <cell r="AR146">
            <v>2.19</v>
          </cell>
          <cell r="AS146">
            <v>2.298</v>
          </cell>
          <cell r="AT146">
            <v>0</v>
          </cell>
          <cell r="AX146">
            <v>10.07</v>
          </cell>
          <cell r="AY146" t="str">
            <v>01.02.2015</v>
          </cell>
          <cell r="AZ146">
            <v>0</v>
          </cell>
          <cell r="BA146" t="str">
            <v>00.00.0000</v>
          </cell>
          <cell r="BB146" t="str">
            <v>M</v>
          </cell>
          <cell r="BC146" t="str">
            <v>M</v>
          </cell>
          <cell r="BD146">
            <v>2</v>
          </cell>
          <cell r="BE146">
            <v>5413218567169</v>
          </cell>
        </row>
        <row r="147">
          <cell r="A147" t="str">
            <v>G103531</v>
          </cell>
          <cell r="B147" t="str">
            <v>G103531</v>
          </cell>
          <cell r="C147" t="str">
            <v>D1DCD01D005D032</v>
          </cell>
          <cell r="D147" t="str">
            <v>DIY - Schroeven KAR</v>
          </cell>
          <cell r="E147" t="str">
            <v>D1DC</v>
          </cell>
          <cell r="F147" t="str">
            <v>Toebehoren Bevestigingen *</v>
          </cell>
          <cell r="G147" t="str">
            <v>G103531</v>
          </cell>
          <cell r="H147" t="str">
            <v>bestaand</v>
          </cell>
          <cell r="I147" t="str">
            <v>01.01.2013</v>
          </cell>
          <cell r="J147" t="str">
            <v>Yes</v>
          </cell>
          <cell r="K147" t="str">
            <v>Professional</v>
          </cell>
          <cell r="L147" t="str">
            <v>Gyproc</v>
          </cell>
          <cell r="M147" t="str">
            <v>SNELBOUWSCHROEVEN TT3,5/..</v>
          </cell>
          <cell r="N147" t="str">
            <v>SNELBOUWSCHROEVEN TT3,5 25 MM/1000 ST</v>
          </cell>
          <cell r="O147" t="str">
            <v>Vis à fixation rapide TT3,5 25MM/1000pcs</v>
          </cell>
          <cell r="P147" t="str">
            <v>(blanco)</v>
          </cell>
          <cell r="Q147" t="str">
            <v>(blanco)</v>
          </cell>
          <cell r="R147" t="str">
            <v>(blanco)</v>
          </cell>
          <cell r="S147" t="str">
            <v>(blanco)</v>
          </cell>
          <cell r="T147" t="str">
            <v>NBN EN 14566+A1:2009</v>
          </cell>
          <cell r="U147" t="str">
            <v>TSD</v>
          </cell>
          <cell r="V147" t="str">
            <v>--</v>
          </cell>
          <cell r="AA147" t="str">
            <v>A1</v>
          </cell>
          <cell r="AC147" t="str">
            <v>(blanco)</v>
          </cell>
          <cell r="AD147" t="str">
            <v>(blanco)</v>
          </cell>
          <cell r="AL147" t="str">
            <v>(blanco)</v>
          </cell>
          <cell r="AM147" t="str">
            <v>(blanco)</v>
          </cell>
          <cell r="AN147" t="str">
            <v>(blanco)</v>
          </cell>
          <cell r="AP147">
            <v>50</v>
          </cell>
          <cell r="AR147">
            <v>1.7</v>
          </cell>
          <cell r="AS147">
            <v>1.7849999999999999</v>
          </cell>
          <cell r="AT147">
            <v>0</v>
          </cell>
          <cell r="AX147">
            <v>53.34</v>
          </cell>
          <cell r="AY147" t="str">
            <v>01.02.2015</v>
          </cell>
          <cell r="AZ147">
            <v>0</v>
          </cell>
          <cell r="BA147" t="str">
            <v>00.00.0000</v>
          </cell>
          <cell r="BB147" t="str">
            <v>KAR</v>
          </cell>
          <cell r="BC147" t="str">
            <v>******</v>
          </cell>
          <cell r="BD147" t="str">
            <v>S</v>
          </cell>
          <cell r="BE147">
            <v>5413218565646</v>
          </cell>
        </row>
        <row r="148">
          <cell r="A148" t="str">
            <v>G103623</v>
          </cell>
          <cell r="B148" t="str">
            <v>G103623</v>
          </cell>
          <cell r="C148" t="str">
            <v>D1DCD01D005D032</v>
          </cell>
          <cell r="D148" t="str">
            <v>DIY - Schroeven KAR</v>
          </cell>
          <cell r="E148" t="str">
            <v>D1DC</v>
          </cell>
          <cell r="F148" t="str">
            <v>Toebehoren Bevestigingen *</v>
          </cell>
          <cell r="G148" t="str">
            <v>G103623</v>
          </cell>
          <cell r="H148" t="str">
            <v>bestaand</v>
          </cell>
          <cell r="I148" t="str">
            <v>01.01.2013</v>
          </cell>
          <cell r="J148" t="str">
            <v>Yes</v>
          </cell>
          <cell r="K148" t="str">
            <v>Professional</v>
          </cell>
          <cell r="L148" t="str">
            <v>Gyproc</v>
          </cell>
          <cell r="M148" t="str">
            <v>SNELBOUWSCHROEVEN TT3,5/..</v>
          </cell>
          <cell r="N148" t="str">
            <v>SNELBOUWSCHROEVEN TT3,5 45 MM/1000 ST</v>
          </cell>
          <cell r="O148" t="str">
            <v>Vis à fixation rapide TT3,5 45MM/1000pcs</v>
          </cell>
          <cell r="P148" t="str">
            <v>(blanco)</v>
          </cell>
          <cell r="Q148" t="str">
            <v>(blanco)</v>
          </cell>
          <cell r="R148" t="str">
            <v>(blanco)</v>
          </cell>
          <cell r="S148" t="str">
            <v>(blanco)</v>
          </cell>
          <cell r="T148" t="str">
            <v>NBN EN 14566+A1:2009</v>
          </cell>
          <cell r="U148" t="str">
            <v>TSD</v>
          </cell>
          <cell r="V148" t="str">
            <v>--</v>
          </cell>
          <cell r="AA148" t="str">
            <v>A1</v>
          </cell>
          <cell r="AC148" t="str">
            <v>(blanco)</v>
          </cell>
          <cell r="AD148" t="str">
            <v>(blanco)</v>
          </cell>
          <cell r="AL148" t="str">
            <v>(blanco)</v>
          </cell>
          <cell r="AM148" t="str">
            <v>(blanco)</v>
          </cell>
          <cell r="AN148" t="str">
            <v>(blanco)</v>
          </cell>
          <cell r="AP148">
            <v>50</v>
          </cell>
          <cell r="AR148">
            <v>0.73</v>
          </cell>
          <cell r="AS148">
            <v>0.76600000000000001</v>
          </cell>
          <cell r="AT148">
            <v>0</v>
          </cell>
          <cell r="AX148">
            <v>77.33</v>
          </cell>
          <cell r="AY148" t="str">
            <v>01.02.2015</v>
          </cell>
          <cell r="AZ148">
            <v>0</v>
          </cell>
          <cell r="BA148" t="str">
            <v>00.00.0000</v>
          </cell>
          <cell r="BB148" t="str">
            <v>KAR</v>
          </cell>
          <cell r="BC148" t="str">
            <v>******</v>
          </cell>
          <cell r="BD148" t="str">
            <v>S</v>
          </cell>
          <cell r="BE148">
            <v>5413218565660</v>
          </cell>
        </row>
        <row r="149">
          <cell r="A149" t="str">
            <v>G103628</v>
          </cell>
          <cell r="B149" t="str">
            <v>G103628</v>
          </cell>
          <cell r="C149" t="str">
            <v>D1DCD01D005D032</v>
          </cell>
          <cell r="D149" t="str">
            <v>DIY - Schroeven KAR</v>
          </cell>
          <cell r="E149" t="str">
            <v>D1DC</v>
          </cell>
          <cell r="F149" t="str">
            <v>Toebehoren Bevestigingen *</v>
          </cell>
          <cell r="G149" t="str">
            <v>G103628</v>
          </cell>
          <cell r="H149" t="str">
            <v>bestaand</v>
          </cell>
          <cell r="I149" t="str">
            <v>01.01.2013</v>
          </cell>
          <cell r="J149" t="str">
            <v>Yes</v>
          </cell>
          <cell r="K149" t="str">
            <v>Professional</v>
          </cell>
          <cell r="L149" t="str">
            <v>Gyproc</v>
          </cell>
          <cell r="M149" t="str">
            <v>SNELBOUWSCHROEVEN TT3,5/..</v>
          </cell>
          <cell r="N149" t="str">
            <v>SNELBOUWSCHROEVEN TT3,5 35 MM/1000 ST</v>
          </cell>
          <cell r="O149" t="str">
            <v>Vis à fixation rapide TT3,5 35MM/1000pcs</v>
          </cell>
          <cell r="P149" t="str">
            <v>(blanco)</v>
          </cell>
          <cell r="Q149" t="str">
            <v>(blanco)</v>
          </cell>
          <cell r="R149" t="str">
            <v>(blanco)</v>
          </cell>
          <cell r="S149" t="str">
            <v>(blanco)</v>
          </cell>
          <cell r="T149" t="str">
            <v>NBN EN 14566+A1:2009</v>
          </cell>
          <cell r="U149" t="str">
            <v>TSD</v>
          </cell>
          <cell r="V149" t="str">
            <v>--</v>
          </cell>
          <cell r="AA149" t="str">
            <v>A1</v>
          </cell>
          <cell r="AC149" t="str">
            <v>(blanco)</v>
          </cell>
          <cell r="AD149" t="str">
            <v>(blanco)</v>
          </cell>
          <cell r="AL149" t="str">
            <v>(blanco)</v>
          </cell>
          <cell r="AM149" t="str">
            <v>(blanco)</v>
          </cell>
          <cell r="AN149" t="str">
            <v>(blanco)</v>
          </cell>
          <cell r="AP149">
            <v>50</v>
          </cell>
          <cell r="AR149">
            <v>0.73</v>
          </cell>
          <cell r="AS149">
            <v>0.75</v>
          </cell>
          <cell r="AT149">
            <v>0</v>
          </cell>
          <cell r="AX149">
            <v>65.319999999999993</v>
          </cell>
          <cell r="AY149" t="str">
            <v>01.02.2015</v>
          </cell>
          <cell r="AZ149">
            <v>0</v>
          </cell>
          <cell r="BA149" t="str">
            <v>00.00.0000</v>
          </cell>
          <cell r="BB149" t="str">
            <v>KAR</v>
          </cell>
          <cell r="BC149" t="str">
            <v>******</v>
          </cell>
          <cell r="BD149" t="str">
            <v>S</v>
          </cell>
          <cell r="BE149">
            <v>5413218565653</v>
          </cell>
        </row>
        <row r="150">
          <cell r="A150" t="str">
            <v>G104440</v>
          </cell>
          <cell r="B150" t="str">
            <v>G104440</v>
          </cell>
          <cell r="C150" t="str">
            <v>C5CBC18C007C002</v>
          </cell>
          <cell r="D150" t="str">
            <v>MSP 70 M</v>
          </cell>
          <cell r="E150" t="str">
            <v>C5CB</v>
          </cell>
          <cell r="F150" t="str">
            <v>Profielen Platen en Wanden M</v>
          </cell>
          <cell r="G150" t="str">
            <v>G104440</v>
          </cell>
          <cell r="H150" t="str">
            <v>bestaand</v>
          </cell>
          <cell r="I150" t="str">
            <v>01.01.2013</v>
          </cell>
          <cell r="J150" t="str">
            <v>Yes</v>
          </cell>
          <cell r="K150" t="str">
            <v>Professional</v>
          </cell>
          <cell r="L150" t="str">
            <v>METAL STUD</v>
          </cell>
          <cell r="M150" t="str">
            <v>MSP70</v>
          </cell>
          <cell r="N150" t="str">
            <v>M.S.P.70 MM 4.00 M</v>
          </cell>
          <cell r="O150" t="str">
            <v>M.S.P.70 MM 4.00 M</v>
          </cell>
          <cell r="P150" t="str">
            <v>(blanco)</v>
          </cell>
          <cell r="Q150" t="str">
            <v>(blanco)</v>
          </cell>
          <cell r="R150" t="str">
            <v>(blanco)</v>
          </cell>
          <cell r="S150" t="str">
            <v>(blanco)</v>
          </cell>
          <cell r="T150" t="str">
            <v>NBN EN 14195:2015</v>
          </cell>
          <cell r="U150" t="str">
            <v>U</v>
          </cell>
          <cell r="V150" t="str">
            <v>--</v>
          </cell>
          <cell r="AA150" t="str">
            <v>A1</v>
          </cell>
          <cell r="AC150" t="str">
            <v>(blanco)</v>
          </cell>
          <cell r="AD150" t="str">
            <v>(blanco)</v>
          </cell>
          <cell r="AE150">
            <v>1</v>
          </cell>
          <cell r="AL150" t="str">
            <v>(blanco)</v>
          </cell>
          <cell r="AM150" t="str">
            <v>(blanco)</v>
          </cell>
          <cell r="AN150" t="str">
            <v>(blanco)</v>
          </cell>
          <cell r="AP150">
            <v>50</v>
          </cell>
          <cell r="AR150">
            <v>2.92</v>
          </cell>
          <cell r="AS150">
            <v>3.06</v>
          </cell>
          <cell r="AT150">
            <v>0</v>
          </cell>
          <cell r="AX150">
            <v>8.51</v>
          </cell>
          <cell r="AY150" t="str">
            <v>01.02.2015</v>
          </cell>
          <cell r="AZ150">
            <v>0</v>
          </cell>
          <cell r="BA150" t="str">
            <v>00.00.0000</v>
          </cell>
          <cell r="BB150" t="str">
            <v>M</v>
          </cell>
          <cell r="BC150" t="str">
            <v>M</v>
          </cell>
          <cell r="BD150">
            <v>2</v>
          </cell>
          <cell r="BE150">
            <v>5413218567114</v>
          </cell>
        </row>
        <row r="151">
          <cell r="A151" t="str">
            <v>G104917N</v>
          </cell>
          <cell r="C151" t="str">
            <v>C5CBC18C006C007</v>
          </cell>
          <cell r="D151" t="str">
            <v>MSH 150 M</v>
          </cell>
          <cell r="E151" t="str">
            <v>C5CB</v>
          </cell>
          <cell r="F151" t="str">
            <v>Profielen Platen en Wanden M</v>
          </cell>
          <cell r="G151" t="str">
            <v>G104917N</v>
          </cell>
          <cell r="H151" t="str">
            <v>bestaand</v>
          </cell>
          <cell r="I151" t="str">
            <v>01.02.2014</v>
          </cell>
          <cell r="J151" t="str">
            <v>Yes</v>
          </cell>
          <cell r="K151" t="str">
            <v>Professional</v>
          </cell>
          <cell r="L151" t="str">
            <v>METAL STUD</v>
          </cell>
          <cell r="M151" t="str">
            <v>MSH150</v>
          </cell>
          <cell r="N151" t="str">
            <v>M.S.HORZ.150 MM 4.00 M</v>
          </cell>
          <cell r="O151" t="str">
            <v>M.S.HORZ.150 MM 4.00 M</v>
          </cell>
          <cell r="P151" t="str">
            <v>(blanco)</v>
          </cell>
          <cell r="Q151" t="str">
            <v>(blanco)</v>
          </cell>
          <cell r="R151" t="str">
            <v>(blanco)</v>
          </cell>
          <cell r="S151" t="str">
            <v>(blanco)</v>
          </cell>
          <cell r="T151" t="str">
            <v>NBN EN 14195:2015</v>
          </cell>
          <cell r="U151" t="str">
            <v>U</v>
          </cell>
          <cell r="V151" t="str">
            <v>--</v>
          </cell>
          <cell r="AA151" t="str">
            <v>A1</v>
          </cell>
          <cell r="AC151" t="str">
            <v>(blanco)</v>
          </cell>
          <cell r="AD151" t="str">
            <v>(blanco)</v>
          </cell>
          <cell r="AH151">
            <v>-0.5</v>
          </cell>
          <cell r="AI151" t="e">
            <v>#DIV/0!</v>
          </cell>
          <cell r="AJ151">
            <v>0</v>
          </cell>
          <cell r="AL151" t="str">
            <v>(blanco)</v>
          </cell>
          <cell r="AM151" t="str">
            <v>(blanco)</v>
          </cell>
          <cell r="AN151" t="str">
            <v>(blanco)</v>
          </cell>
          <cell r="AP151">
            <v>50</v>
          </cell>
          <cell r="AR151">
            <v>2.88</v>
          </cell>
          <cell r="AS151">
            <v>3.0640000000000001</v>
          </cell>
          <cell r="AT151">
            <v>0</v>
          </cell>
          <cell r="AX151">
            <v>4.41</v>
          </cell>
          <cell r="AY151" t="str">
            <v>01.02.2015</v>
          </cell>
          <cell r="AZ151">
            <v>0</v>
          </cell>
          <cell r="BA151" t="str">
            <v>00.00.0000</v>
          </cell>
          <cell r="BB151" t="str">
            <v>M</v>
          </cell>
          <cell r="BC151" t="str">
            <v>M</v>
          </cell>
          <cell r="BD151" t="str">
            <v>S</v>
          </cell>
          <cell r="BE151">
            <v>0</v>
          </cell>
        </row>
        <row r="152">
          <cell r="A152" t="str">
            <v>G105533</v>
          </cell>
          <cell r="B152" t="str">
            <v>G105533</v>
          </cell>
          <cell r="C152" t="str">
            <v>C5CBC17C004C003</v>
          </cell>
          <cell r="D152" t="str">
            <v>Profielen VERTEBRA M</v>
          </cell>
          <cell r="E152" t="str">
            <v>C5CB</v>
          </cell>
          <cell r="F152" t="str">
            <v>Profielen Platen en Wanden M</v>
          </cell>
          <cell r="G152" t="str">
            <v>G105533</v>
          </cell>
          <cell r="H152" t="str">
            <v>bestaand</v>
          </cell>
          <cell r="I152" t="str">
            <v>01.01.2013</v>
          </cell>
          <cell r="J152" t="str">
            <v>Yes</v>
          </cell>
          <cell r="K152" t="str">
            <v>Professional</v>
          </cell>
          <cell r="L152" t="str">
            <v>VERTEBRA</v>
          </cell>
          <cell r="M152" t="str">
            <v>GV75</v>
          </cell>
          <cell r="N152" t="str">
            <v>VERTEBRA VLOER-PLAFONDPROF.F-GV75</v>
          </cell>
          <cell r="O152" t="str">
            <v>VERTEBRA VLOER-PLAFONDPROF.F-G75</v>
          </cell>
          <cell r="P152" t="str">
            <v>(blanco)</v>
          </cell>
          <cell r="Q152" t="str">
            <v>(blanco)</v>
          </cell>
          <cell r="R152" t="str">
            <v>(blanco)</v>
          </cell>
          <cell r="S152" t="str">
            <v>(blanco)</v>
          </cell>
          <cell r="T152" t="str">
            <v>NBN EN 14195:2015</v>
          </cell>
          <cell r="U152" t="str">
            <v>U</v>
          </cell>
          <cell r="V152" t="str">
            <v>--</v>
          </cell>
          <cell r="AA152" t="str">
            <v>A1</v>
          </cell>
          <cell r="AC152" t="str">
            <v>(blanco)</v>
          </cell>
          <cell r="AD152" t="str">
            <v>(blanco)</v>
          </cell>
          <cell r="AL152" t="str">
            <v>(blanco)</v>
          </cell>
          <cell r="AM152" t="str">
            <v>(blanco)</v>
          </cell>
          <cell r="AN152" t="str">
            <v>(blanco)</v>
          </cell>
          <cell r="AP152">
            <v>50</v>
          </cell>
          <cell r="AR152">
            <v>2.0649999999999999</v>
          </cell>
          <cell r="AS152">
            <v>2.0699999999999998</v>
          </cell>
          <cell r="AT152">
            <v>0</v>
          </cell>
          <cell r="AX152">
            <v>11.91</v>
          </cell>
          <cell r="AY152" t="str">
            <v>01.02.2015</v>
          </cell>
          <cell r="AZ152">
            <v>0</v>
          </cell>
          <cell r="BA152" t="str">
            <v>00.00.0000</v>
          </cell>
          <cell r="BB152" t="str">
            <v>M</v>
          </cell>
          <cell r="BC152" t="str">
            <v>M</v>
          </cell>
          <cell r="BD152" t="str">
            <v>S</v>
          </cell>
          <cell r="BE152">
            <v>5413218567251</v>
          </cell>
        </row>
        <row r="153">
          <cell r="A153" t="str">
            <v>G106118N</v>
          </cell>
          <cell r="C153" t="str">
            <v>C5CBC18C008C007</v>
          </cell>
          <cell r="D153" t="str">
            <v>MSV 125 M</v>
          </cell>
          <cell r="E153" t="str">
            <v>C5CB</v>
          </cell>
          <cell r="F153" t="str">
            <v>Profielen Platen en Wanden M</v>
          </cell>
          <cell r="G153" t="str">
            <v>ZIB00105</v>
          </cell>
          <cell r="H153" t="str">
            <v>bestaand</v>
          </cell>
          <cell r="I153" t="str">
            <v>01.02.2014</v>
          </cell>
          <cell r="J153" t="str">
            <v>Yes</v>
          </cell>
          <cell r="K153" t="str">
            <v>Professional</v>
          </cell>
          <cell r="L153" t="str">
            <v>METAL STUD</v>
          </cell>
          <cell r="M153" t="str">
            <v>MSV125</v>
          </cell>
          <cell r="N153" t="str">
            <v>M.S.VERT.125 MM 5.00 M</v>
          </cell>
          <cell r="O153" t="str">
            <v>M.S.VERT.125 MM 5.00 M</v>
          </cell>
          <cell r="P153" t="str">
            <v>(blanco)</v>
          </cell>
          <cell r="Q153" t="str">
            <v>(blanco)</v>
          </cell>
          <cell r="R153" t="str">
            <v>(blanco)</v>
          </cell>
          <cell r="S153" t="str">
            <v>(blanco)</v>
          </cell>
          <cell r="T153" t="str">
            <v>NBN EN 14195:2015</v>
          </cell>
          <cell r="U153" t="str">
            <v>C</v>
          </cell>
          <cell r="V153" t="str">
            <v>--</v>
          </cell>
          <cell r="AA153" t="str">
            <v>A1</v>
          </cell>
          <cell r="AC153" t="str">
            <v>(blanco)</v>
          </cell>
          <cell r="AD153" t="str">
            <v>(blanco)</v>
          </cell>
          <cell r="AH153">
            <v>-0.5</v>
          </cell>
          <cell r="AI153" t="e">
            <v>#DIV/0!</v>
          </cell>
          <cell r="AJ153">
            <v>0</v>
          </cell>
          <cell r="AL153" t="str">
            <v>(blanco)</v>
          </cell>
          <cell r="AM153" t="str">
            <v>(blanco)</v>
          </cell>
          <cell r="AN153" t="str">
            <v>(blanco)</v>
          </cell>
          <cell r="AP153">
            <v>50</v>
          </cell>
          <cell r="AR153">
            <v>5.4950000000000001</v>
          </cell>
          <cell r="AS153">
            <v>5.5</v>
          </cell>
          <cell r="AT153">
            <v>0</v>
          </cell>
          <cell r="AX153">
            <v>4.83</v>
          </cell>
          <cell r="AY153" t="str">
            <v>01.02.2015</v>
          </cell>
          <cell r="AZ153">
            <v>0</v>
          </cell>
          <cell r="BA153" t="str">
            <v>00.00.0000</v>
          </cell>
          <cell r="BB153" t="str">
            <v>M</v>
          </cell>
          <cell r="BC153" t="str">
            <v>M</v>
          </cell>
          <cell r="BD153" t="str">
            <v>S</v>
          </cell>
          <cell r="BE153">
            <v>0</v>
          </cell>
        </row>
        <row r="154">
          <cell r="A154" t="str">
            <v>G107013</v>
          </cell>
          <cell r="B154" t="str">
            <v>G107013</v>
          </cell>
          <cell r="C154" t="str">
            <v>D1DBD01D012D001</v>
          </cell>
          <cell r="D154" t="str">
            <v>ACC PLAGYP *</v>
          </cell>
          <cell r="E154" t="str">
            <v>D1DB</v>
          </cell>
          <cell r="F154" t="str">
            <v>Toebehoren Platen *</v>
          </cell>
          <cell r="G154" t="str">
            <v>G107013</v>
          </cell>
          <cell r="H154" t="str">
            <v>bestaand</v>
          </cell>
          <cell r="I154" t="str">
            <v>01.01.2013</v>
          </cell>
          <cell r="J154" t="str">
            <v>Yes</v>
          </cell>
          <cell r="K154" t="str">
            <v>Professional</v>
          </cell>
          <cell r="L154" t="str">
            <v>PLAGYP</v>
          </cell>
          <cell r="M154" t="str">
            <v>PU60/125</v>
          </cell>
          <cell r="N154" t="str">
            <v>PLAGYP PLAFONDHANGER PU60/125</v>
          </cell>
          <cell r="O154" t="str">
            <v>Suspente PlaGyp PU60/125</v>
          </cell>
          <cell r="P154" t="str">
            <v>(blanco)</v>
          </cell>
          <cell r="Q154" t="str">
            <v>(blanco)</v>
          </cell>
          <cell r="R154" t="str">
            <v>(blanco)</v>
          </cell>
          <cell r="S154" t="str">
            <v>(blanco)</v>
          </cell>
          <cell r="T154" t="str">
            <v>NBN EN 14195:2015</v>
          </cell>
          <cell r="U154" t="str">
            <v>--</v>
          </cell>
          <cell r="V154" t="str">
            <v>--</v>
          </cell>
          <cell r="AA154" t="str">
            <v>A1</v>
          </cell>
          <cell r="AC154" t="str">
            <v>(blanco)</v>
          </cell>
          <cell r="AD154" t="str">
            <v>(blanco)</v>
          </cell>
          <cell r="AE154">
            <v>1</v>
          </cell>
          <cell r="AI154" t="str">
            <v>+/-0.2</v>
          </cell>
          <cell r="AJ154" t="str">
            <v>+/-0.2</v>
          </cell>
          <cell r="AL154" t="str">
            <v>(blanco)</v>
          </cell>
          <cell r="AM154" t="str">
            <v>(blanco)</v>
          </cell>
          <cell r="AN154" t="str">
            <v>(blanco)</v>
          </cell>
          <cell r="AP154">
            <v>50</v>
          </cell>
          <cell r="AR154">
            <v>2.85</v>
          </cell>
          <cell r="AS154">
            <v>2.95</v>
          </cell>
          <cell r="AT154">
            <v>0</v>
          </cell>
          <cell r="AX154">
            <v>0.59</v>
          </cell>
          <cell r="AY154" t="str">
            <v>01.02.2015</v>
          </cell>
          <cell r="AZ154">
            <v>0</v>
          </cell>
          <cell r="BA154" t="str">
            <v>00.00.0000</v>
          </cell>
          <cell r="BB154" t="str">
            <v>ST</v>
          </cell>
          <cell r="BC154" t="str">
            <v>******</v>
          </cell>
          <cell r="BD154" t="str">
            <v>S</v>
          </cell>
          <cell r="BE154">
            <v>5413218554480</v>
          </cell>
        </row>
        <row r="155">
          <cell r="A155" t="str">
            <v>G108259</v>
          </cell>
          <cell r="B155" t="str">
            <v>G108259</v>
          </cell>
          <cell r="C155" t="str">
            <v>A1ABA30A001A001</v>
          </cell>
          <cell r="D155" t="str">
            <v>Plaques + Plomb M2</v>
          </cell>
          <cell r="E155" t="str">
            <v>A1AB</v>
          </cell>
          <cell r="F155" t="str">
            <v>Technische platen M2</v>
          </cell>
          <cell r="G155" t="str">
            <v>G108259</v>
          </cell>
          <cell r="H155" t="str">
            <v>bestaand</v>
          </cell>
          <cell r="I155" t="str">
            <v>01.01.2013</v>
          </cell>
          <cell r="J155" t="str">
            <v>Yes</v>
          </cell>
          <cell r="K155" t="str">
            <v>Professional</v>
          </cell>
          <cell r="L155" t="str">
            <v>Gyproc</v>
          </cell>
          <cell r="M155" t="str">
            <v>Gyproc LP</v>
          </cell>
          <cell r="N155" t="str">
            <v>GYPROC ABA 12.5 X 2600 X 600 +LOOD 3MM</v>
          </cell>
          <cell r="O155" t="str">
            <v>GYPROC ABA 12.5 X 2600 X 600 +plomb 3MM</v>
          </cell>
          <cell r="P155" t="str">
            <v>ivoor</v>
          </cell>
          <cell r="Q155" t="str">
            <v>ivoire</v>
          </cell>
          <cell r="R155" t="str">
            <v>zwart</v>
          </cell>
          <cell r="S155" t="str">
            <v>noir</v>
          </cell>
          <cell r="T155" t="str">
            <v>NBN EN 14190:2014</v>
          </cell>
          <cell r="U155" t="str">
            <v>A</v>
          </cell>
          <cell r="V155" t="str">
            <v>LP</v>
          </cell>
          <cell r="W155" t="str">
            <v>gipskartonplaat bekleed met lood</v>
          </cell>
          <cell r="Y155" t="str">
            <v>gipsplaat voor droge binnenafbouw</v>
          </cell>
          <cell r="AB155" t="str">
            <v>SG_GY_2013_A1ABA30A001</v>
          </cell>
          <cell r="AC155" t="str">
            <v>ABA</v>
          </cell>
          <cell r="AD155" t="str">
            <v>ZZB: zichtzijde boven</v>
          </cell>
          <cell r="AE155">
            <v>12.5</v>
          </cell>
          <cell r="AH155" t="str">
            <v>+/-0.5</v>
          </cell>
          <cell r="AI155">
            <v>0</v>
          </cell>
          <cell r="AJ155">
            <v>0</v>
          </cell>
          <cell r="AL155" t="str">
            <v>Geen eisen gesteld</v>
          </cell>
          <cell r="AM155" t="str">
            <v>Pas de exigences</v>
          </cell>
          <cell r="AN155" t="str">
            <v>kg/m³</v>
          </cell>
          <cell r="AP155">
            <v>0.25</v>
          </cell>
          <cell r="AQ155">
            <v>0.05</v>
          </cell>
          <cell r="AR155">
            <v>69.263999999999996</v>
          </cell>
          <cell r="AS155">
            <v>72.727000000000004</v>
          </cell>
          <cell r="AT155">
            <v>0.20300000000000001</v>
          </cell>
          <cell r="AU155" t="str">
            <v>HL</v>
          </cell>
          <cell r="AV155" t="str">
            <v>DP : Duitse Pallet</v>
          </cell>
          <cell r="AW155">
            <v>3</v>
          </cell>
          <cell r="AX155">
            <v>0</v>
          </cell>
          <cell r="AY155" t="str">
            <v>00.00.0000</v>
          </cell>
          <cell r="AZ155">
            <v>0</v>
          </cell>
          <cell r="BA155" t="str">
            <v>00.00.0000</v>
          </cell>
          <cell r="BD155">
            <v>5</v>
          </cell>
          <cell r="BE155">
            <v>5413218564205</v>
          </cell>
        </row>
        <row r="156">
          <cell r="A156" t="str">
            <v>G109355</v>
          </cell>
          <cell r="B156" t="str">
            <v>G109355</v>
          </cell>
          <cell r="C156" t="str">
            <v>D5DAD01D005D001</v>
          </cell>
          <cell r="D156" t="str">
            <v>DIY - ABA-Joint Mix KG</v>
          </cell>
          <cell r="E156" t="str">
            <v>D5DA</v>
          </cell>
          <cell r="F156" t="str">
            <v>Voegproducten KG</v>
          </cell>
          <cell r="G156" t="str">
            <v>G109355</v>
          </cell>
          <cell r="H156" t="str">
            <v>bestaand</v>
          </cell>
          <cell r="I156" t="str">
            <v>01.01.2013</v>
          </cell>
          <cell r="J156" t="str">
            <v>Yes</v>
          </cell>
          <cell r="K156" t="str">
            <v>Doe-Het-Zelver</v>
          </cell>
          <cell r="L156" t="str">
            <v>Gyproc</v>
          </cell>
          <cell r="M156" t="str">
            <v>ABA-JOINT MIX</v>
          </cell>
          <cell r="N156" t="str">
            <v>DIY - ABA-Joint MIX 5 KG EP/80</v>
          </cell>
          <cell r="O156" t="str">
            <v>ABA-JOINT MIX 5 KG EP/80</v>
          </cell>
          <cell r="P156" t="str">
            <v>(blanco)</v>
          </cell>
          <cell r="Q156" t="str">
            <v>(blanco)</v>
          </cell>
          <cell r="R156" t="str">
            <v>(blanco)</v>
          </cell>
          <cell r="S156" t="str">
            <v>(blanco)</v>
          </cell>
          <cell r="T156" t="str">
            <v>NBN EN 13963:2014</v>
          </cell>
          <cell r="U156" t="str">
            <v>3A</v>
          </cell>
          <cell r="V156" t="str">
            <v>--</v>
          </cell>
          <cell r="AA156" t="str">
            <v>A1</v>
          </cell>
          <cell r="AC156" t="str">
            <v>(blanco)</v>
          </cell>
          <cell r="AD156" t="str">
            <v>(blanco)</v>
          </cell>
          <cell r="AH156" t="str">
            <v>(blanco)</v>
          </cell>
          <cell r="AI156" t="str">
            <v>(blanco)</v>
          </cell>
          <cell r="AJ156" t="str">
            <v>(blanco)</v>
          </cell>
          <cell r="AL156" t="str">
            <v>(blanco)</v>
          </cell>
          <cell r="AM156" t="str">
            <v>(blanco)</v>
          </cell>
          <cell r="AN156" t="str">
            <v>(blanco)</v>
          </cell>
          <cell r="AP156">
            <v>0.25</v>
          </cell>
          <cell r="AR156">
            <v>5</v>
          </cell>
          <cell r="AS156">
            <v>5.25</v>
          </cell>
          <cell r="AT156">
            <v>0</v>
          </cell>
          <cell r="AX156">
            <v>17</v>
          </cell>
          <cell r="AY156" t="str">
            <v>01.02.2015</v>
          </cell>
          <cell r="AZ156">
            <v>0</v>
          </cell>
          <cell r="BA156" t="str">
            <v>00.00.0000</v>
          </cell>
          <cell r="BB156" t="str">
            <v>ST</v>
          </cell>
          <cell r="BC156" t="str">
            <v>******</v>
          </cell>
          <cell r="BD156" t="str">
            <v>S</v>
          </cell>
          <cell r="BE156">
            <v>5413218562522</v>
          </cell>
        </row>
        <row r="157">
          <cell r="A157" t="str">
            <v>G109356</v>
          </cell>
          <cell r="B157" t="str">
            <v>G109356</v>
          </cell>
          <cell r="C157" t="str">
            <v>D7DAD02D005D001</v>
          </cell>
          <cell r="D157" t="str">
            <v>DIY - L-Gips KG</v>
          </cell>
          <cell r="E157" t="str">
            <v>D7DA</v>
          </cell>
          <cell r="F157" t="str">
            <v>Mortels KG</v>
          </cell>
          <cell r="G157" t="str">
            <v>G109356</v>
          </cell>
          <cell r="H157" t="str">
            <v>bestaand</v>
          </cell>
          <cell r="I157" t="str">
            <v>01.01.2013</v>
          </cell>
          <cell r="J157" t="str">
            <v>Yes</v>
          </cell>
          <cell r="K157" t="str">
            <v>Doe-Het-Zelver</v>
          </cell>
          <cell r="L157" t="str">
            <v>Gyproc</v>
          </cell>
          <cell r="M157" t="str">
            <v>L-GIPS</v>
          </cell>
          <cell r="N157" t="str">
            <v>DIY - L-Gips 25 KG EP/40</v>
          </cell>
          <cell r="O157" t="str">
            <v>Plâtre L 25KG EP/40</v>
          </cell>
          <cell r="P157" t="str">
            <v>(blanco)</v>
          </cell>
          <cell r="Q157" t="str">
            <v>(blanco)</v>
          </cell>
          <cell r="R157" t="str">
            <v>(blanco)</v>
          </cell>
          <cell r="S157" t="str">
            <v>(blanco)</v>
          </cell>
          <cell r="T157" t="str">
            <v>NBN EN 14496:2006</v>
          </cell>
          <cell r="U157" t="str">
            <v>--</v>
          </cell>
          <cell r="V157" t="str">
            <v>--</v>
          </cell>
          <cell r="W157" t="str">
            <v>lijm op gipsbasis voor samengestelde thermisch/akoestische isolatiepanelen en gipsplaten</v>
          </cell>
          <cell r="Y157" t="str">
            <v>lijm op gipsbasis voor samengestelde thermisch/akoestische isolatiepanelen en gipsplaten</v>
          </cell>
          <cell r="AA157" t="str">
            <v>A1</v>
          </cell>
          <cell r="AC157" t="str">
            <v>(blanco)</v>
          </cell>
          <cell r="AD157" t="str">
            <v>(blanco)</v>
          </cell>
          <cell r="AH157" t="str">
            <v>(blanco)</v>
          </cell>
          <cell r="AI157" t="str">
            <v>(blanco)</v>
          </cell>
          <cell r="AJ157" t="str">
            <v>(blanco)</v>
          </cell>
          <cell r="AP157">
            <v>0.25</v>
          </cell>
          <cell r="AR157">
            <v>25</v>
          </cell>
          <cell r="AS157">
            <v>26.25</v>
          </cell>
          <cell r="AT157">
            <v>0</v>
          </cell>
          <cell r="AX157">
            <v>8.8000000000000007</v>
          </cell>
          <cell r="AY157" t="str">
            <v>01.02.2015</v>
          </cell>
          <cell r="AZ157">
            <v>0</v>
          </cell>
          <cell r="BA157" t="str">
            <v>00.00.0000</v>
          </cell>
          <cell r="BB157" t="str">
            <v>ST</v>
          </cell>
          <cell r="BC157" t="str">
            <v>******</v>
          </cell>
          <cell r="BD157" t="str">
            <v>S</v>
          </cell>
          <cell r="BE157">
            <v>5413218562188</v>
          </cell>
        </row>
        <row r="158">
          <cell r="A158" t="str">
            <v>G109370</v>
          </cell>
          <cell r="B158" t="str">
            <v>G109370</v>
          </cell>
          <cell r="C158" t="str">
            <v>D1DBD01D008D003</v>
          </cell>
          <cell r="D158" t="str">
            <v>DIY Primers L</v>
          </cell>
          <cell r="E158" t="str">
            <v>D1DB</v>
          </cell>
          <cell r="F158" t="str">
            <v>Toebehoren Platen *</v>
          </cell>
          <cell r="G158" t="str">
            <v>G109370</v>
          </cell>
          <cell r="H158" t="str">
            <v>bestaand</v>
          </cell>
          <cell r="I158" t="str">
            <v>01.01.2013</v>
          </cell>
          <cell r="J158" t="str">
            <v>Yes</v>
          </cell>
          <cell r="K158" t="str">
            <v>Doe-Het-Zelver</v>
          </cell>
          <cell r="L158" t="str">
            <v>Gyproc</v>
          </cell>
          <cell r="M158" t="str">
            <v>BEHANGPRIMER</v>
          </cell>
          <cell r="N158" t="str">
            <v>DIY - Behangprimer 5L</v>
          </cell>
          <cell r="O158" t="str">
            <v>Primaire papier-peint 5L</v>
          </cell>
          <cell r="P158" t="str">
            <v>(blanco)</v>
          </cell>
          <cell r="Q158" t="str">
            <v>(blanco)</v>
          </cell>
          <cell r="R158" t="str">
            <v>(blanco)</v>
          </cell>
          <cell r="S158" t="str">
            <v>(blanco)</v>
          </cell>
          <cell r="T158" t="str">
            <v>--</v>
          </cell>
          <cell r="AA158" t="str">
            <v>(blanco)</v>
          </cell>
          <cell r="AC158" t="str">
            <v>(blanco)</v>
          </cell>
          <cell r="AD158" t="str">
            <v>(blanco)</v>
          </cell>
          <cell r="AH158" t="str">
            <v>(blanco)</v>
          </cell>
          <cell r="AI158" t="str">
            <v>(blanco)</v>
          </cell>
          <cell r="AJ158" t="str">
            <v>(blanco)</v>
          </cell>
          <cell r="AL158" t="str">
            <v>(blanco)</v>
          </cell>
          <cell r="AM158" t="str">
            <v>(blanco)</v>
          </cell>
          <cell r="AN158" t="str">
            <v>(blanco)</v>
          </cell>
          <cell r="AR158">
            <v>5</v>
          </cell>
          <cell r="AS158">
            <v>5.25</v>
          </cell>
          <cell r="AT158">
            <v>0</v>
          </cell>
          <cell r="AX158">
            <v>23.13</v>
          </cell>
          <cell r="AY158" t="str">
            <v>01.02.2015</v>
          </cell>
          <cell r="AZ158">
            <v>0</v>
          </cell>
          <cell r="BA158" t="str">
            <v>00.00.0000</v>
          </cell>
          <cell r="BB158" t="str">
            <v>ST</v>
          </cell>
          <cell r="BC158" t="str">
            <v>******</v>
          </cell>
          <cell r="BD158" t="str">
            <v>S</v>
          </cell>
          <cell r="BE158">
            <v>5413218562218</v>
          </cell>
        </row>
        <row r="159">
          <cell r="A159" t="str">
            <v>G109371</v>
          </cell>
          <cell r="B159" t="str">
            <v>G109371</v>
          </cell>
          <cell r="C159" t="str">
            <v>D1DBD01D008D003</v>
          </cell>
          <cell r="D159" t="str">
            <v>DIY Primers L</v>
          </cell>
          <cell r="E159" t="str">
            <v>D1DB</v>
          </cell>
          <cell r="F159" t="str">
            <v>Toebehoren Platen *</v>
          </cell>
          <cell r="G159" t="str">
            <v>G109371</v>
          </cell>
          <cell r="H159" t="str">
            <v>bestaand</v>
          </cell>
          <cell r="I159" t="str">
            <v>01.01.2013</v>
          </cell>
          <cell r="J159" t="str">
            <v>Yes</v>
          </cell>
          <cell r="K159" t="str">
            <v>Doe-Het-Zelver</v>
          </cell>
          <cell r="L159" t="str">
            <v>Gyproc</v>
          </cell>
          <cell r="M159" t="str">
            <v>SCHILDERPRIMER</v>
          </cell>
          <cell r="N159" t="str">
            <v>DIY - Schilderprimer 3.5L EP/54</v>
          </cell>
          <cell r="O159" t="str">
            <v>Primaire de peintre 3.5L</v>
          </cell>
          <cell r="P159" t="str">
            <v>(blanco)</v>
          </cell>
          <cell r="Q159" t="str">
            <v>(blanco)</v>
          </cell>
          <cell r="R159" t="str">
            <v>(blanco)</v>
          </cell>
          <cell r="S159" t="str">
            <v>(blanco)</v>
          </cell>
          <cell r="T159" t="str">
            <v>--</v>
          </cell>
          <cell r="AA159" t="str">
            <v>(blanco)</v>
          </cell>
          <cell r="AC159" t="str">
            <v>(blanco)</v>
          </cell>
          <cell r="AD159" t="str">
            <v>(blanco)</v>
          </cell>
          <cell r="AH159" t="str">
            <v>(blanco)</v>
          </cell>
          <cell r="AI159" t="str">
            <v>(blanco)</v>
          </cell>
          <cell r="AJ159" t="str">
            <v>(blanco)</v>
          </cell>
          <cell r="AL159" t="str">
            <v>(blanco)</v>
          </cell>
          <cell r="AM159" t="str">
            <v>(blanco)</v>
          </cell>
          <cell r="AN159" t="str">
            <v>(blanco)</v>
          </cell>
          <cell r="AR159">
            <v>3.5</v>
          </cell>
          <cell r="AS159">
            <v>3.6749999999999998</v>
          </cell>
          <cell r="AT159">
            <v>0</v>
          </cell>
          <cell r="AX159">
            <v>29.19</v>
          </cell>
          <cell r="AY159" t="str">
            <v>01.02.2015</v>
          </cell>
          <cell r="AZ159">
            <v>0</v>
          </cell>
          <cell r="BA159" t="str">
            <v>00.00.0000</v>
          </cell>
          <cell r="BB159" t="str">
            <v>ST</v>
          </cell>
          <cell r="BC159" t="str">
            <v>******</v>
          </cell>
          <cell r="BD159" t="str">
            <v>S</v>
          </cell>
          <cell r="BE159">
            <v>5413218561563</v>
          </cell>
        </row>
        <row r="160">
          <cell r="A160" t="str">
            <v>G109372</v>
          </cell>
          <cell r="B160" t="str">
            <v>G109372</v>
          </cell>
          <cell r="C160" t="str">
            <v>D1DBD01D008D003</v>
          </cell>
          <cell r="D160" t="str">
            <v>DIY Primers L</v>
          </cell>
          <cell r="E160" t="str">
            <v>D1DB</v>
          </cell>
          <cell r="F160" t="str">
            <v>Toebehoren Platen *</v>
          </cell>
          <cell r="G160" t="str">
            <v>G109372</v>
          </cell>
          <cell r="H160" t="str">
            <v>bestaand</v>
          </cell>
          <cell r="I160" t="str">
            <v>01.01.2013</v>
          </cell>
          <cell r="J160" t="str">
            <v>Yes</v>
          </cell>
          <cell r="K160" t="str">
            <v>Doe-Het-Zelver</v>
          </cell>
          <cell r="L160" t="str">
            <v>Gyproc</v>
          </cell>
          <cell r="M160" t="str">
            <v>VOORSTRIJK</v>
          </cell>
          <cell r="N160" t="str">
            <v>DIY - Voorstrijkmiddel 5L</v>
          </cell>
          <cell r="O160" t="str">
            <v>Prod. de prétraitement 5L</v>
          </cell>
          <cell r="P160" t="str">
            <v>(blanco)</v>
          </cell>
          <cell r="Q160" t="str">
            <v>(blanco)</v>
          </cell>
          <cell r="R160" t="str">
            <v>(blanco)</v>
          </cell>
          <cell r="S160" t="str">
            <v>(blanco)</v>
          </cell>
          <cell r="T160" t="str">
            <v>--</v>
          </cell>
          <cell r="AA160" t="str">
            <v>(blanco)</v>
          </cell>
          <cell r="AC160" t="str">
            <v>(blanco)</v>
          </cell>
          <cell r="AD160" t="str">
            <v>(blanco)</v>
          </cell>
          <cell r="AH160" t="str">
            <v>(blanco)</v>
          </cell>
          <cell r="AI160" t="str">
            <v>(blanco)</v>
          </cell>
          <cell r="AJ160" t="str">
            <v>(blanco)</v>
          </cell>
          <cell r="AL160" t="str">
            <v>(blanco)</v>
          </cell>
          <cell r="AM160" t="str">
            <v>(blanco)</v>
          </cell>
          <cell r="AN160" t="str">
            <v>(blanco)</v>
          </cell>
          <cell r="AR160">
            <v>5</v>
          </cell>
          <cell r="AS160">
            <v>5.25</v>
          </cell>
          <cell r="AT160">
            <v>0</v>
          </cell>
          <cell r="AX160">
            <v>23.24</v>
          </cell>
          <cell r="AY160" t="str">
            <v>01.02.2015</v>
          </cell>
          <cell r="AZ160">
            <v>0</v>
          </cell>
          <cell r="BA160" t="str">
            <v>00.00.0000</v>
          </cell>
          <cell r="BB160" t="str">
            <v>ST</v>
          </cell>
          <cell r="BC160" t="str">
            <v>******</v>
          </cell>
          <cell r="BD160" t="str">
            <v>S</v>
          </cell>
          <cell r="BE160">
            <v>5413218561570</v>
          </cell>
        </row>
        <row r="161">
          <cell r="A161" t="str">
            <v>G109373</v>
          </cell>
          <cell r="B161" t="str">
            <v>G109373</v>
          </cell>
          <cell r="C161" t="str">
            <v>D9DAD01D012D001</v>
          </cell>
          <cell r="D161" t="str">
            <v>DIY - Tegellijm KG</v>
          </cell>
          <cell r="E161" t="str">
            <v>D9DA</v>
          </cell>
          <cell r="F161" t="str">
            <v>Andere Lijmen KG</v>
          </cell>
          <cell r="G161" t="str">
            <v>G109373</v>
          </cell>
          <cell r="H161" t="str">
            <v>bestaand</v>
          </cell>
          <cell r="I161" t="str">
            <v>01.01.2013</v>
          </cell>
          <cell r="J161" t="str">
            <v>Yes</v>
          </cell>
          <cell r="K161" t="str">
            <v>Doe-Het-Zelver</v>
          </cell>
          <cell r="L161" t="str">
            <v>Gyproc</v>
          </cell>
          <cell r="M161" t="str">
            <v>TEGELLIJM</v>
          </cell>
          <cell r="N161" t="str">
            <v>DIY - Tegellijm 5 KG</v>
          </cell>
          <cell r="O161" t="str">
            <v>Colle pour carrelage 5 kg</v>
          </cell>
          <cell r="P161" t="str">
            <v>(blanco)</v>
          </cell>
          <cell r="Q161" t="str">
            <v>(blanco)</v>
          </cell>
          <cell r="R161" t="str">
            <v>(blanco)</v>
          </cell>
          <cell r="S161" t="str">
            <v>(blanco)</v>
          </cell>
          <cell r="T161" t="str">
            <v>--</v>
          </cell>
          <cell r="AA161" t="str">
            <v>(blanco)</v>
          </cell>
          <cell r="AC161" t="str">
            <v>(blanco)</v>
          </cell>
          <cell r="AD161" t="str">
            <v>(blanco)</v>
          </cell>
          <cell r="AH161" t="str">
            <v>(blanco)</v>
          </cell>
          <cell r="AI161" t="str">
            <v>(blanco)</v>
          </cell>
          <cell r="AJ161" t="str">
            <v>(blanco)</v>
          </cell>
          <cell r="AL161" t="str">
            <v>(blanco)</v>
          </cell>
          <cell r="AM161" t="str">
            <v>(blanco)</v>
          </cell>
          <cell r="AN161" t="str">
            <v>(blanco)</v>
          </cell>
          <cell r="AP161">
            <v>0</v>
          </cell>
          <cell r="AR161">
            <v>5</v>
          </cell>
          <cell r="AS161">
            <v>5.25</v>
          </cell>
          <cell r="AT161">
            <v>0</v>
          </cell>
          <cell r="AX161">
            <v>16.05</v>
          </cell>
          <cell r="AY161" t="str">
            <v>01.02.2015</v>
          </cell>
          <cell r="AZ161">
            <v>0</v>
          </cell>
          <cell r="BA161" t="str">
            <v>00.00.0000</v>
          </cell>
          <cell r="BB161" t="str">
            <v>ST</v>
          </cell>
          <cell r="BC161" t="str">
            <v>******</v>
          </cell>
          <cell r="BD161" t="str">
            <v>S</v>
          </cell>
          <cell r="BE161">
            <v>5413218561587</v>
          </cell>
        </row>
        <row r="162">
          <cell r="A162" t="str">
            <v>G109384</v>
          </cell>
          <cell r="B162" t="str">
            <v>G109384</v>
          </cell>
          <cell r="C162" t="str">
            <v>D5DAD01D005D004</v>
          </cell>
          <cell r="D162" t="str">
            <v>DIY - Vulmiddel Mix KG</v>
          </cell>
          <cell r="E162" t="str">
            <v>D5DA</v>
          </cell>
          <cell r="F162" t="str">
            <v>Voegproducten KG</v>
          </cell>
          <cell r="G162" t="str">
            <v>G109384</v>
          </cell>
          <cell r="H162" t="str">
            <v>bestaand</v>
          </cell>
          <cell r="I162" t="str">
            <v>01.01.2013</v>
          </cell>
          <cell r="J162" t="str">
            <v>Yes</v>
          </cell>
          <cell r="K162" t="str">
            <v>Doe-Het-Zelver</v>
          </cell>
          <cell r="L162" t="str">
            <v>Gyproc</v>
          </cell>
          <cell r="M162" t="str">
            <v>VULMIDDEL MIX</v>
          </cell>
          <cell r="N162" t="str">
            <v>DIY - Vulmiddel Mix 1.5 KG EP/256</v>
          </cell>
          <cell r="O162" t="str">
            <v>Reboucheur Mix 1.5 KG EP/256</v>
          </cell>
          <cell r="P162" t="str">
            <v>(blanco)</v>
          </cell>
          <cell r="Q162" t="str">
            <v>(blanco)</v>
          </cell>
          <cell r="R162" t="str">
            <v>(blanco)</v>
          </cell>
          <cell r="S162" t="str">
            <v>(blanco)</v>
          </cell>
          <cell r="T162" t="str">
            <v>NBN EN 13963:2014</v>
          </cell>
          <cell r="U162" t="str">
            <v>3A</v>
          </cell>
          <cell r="V162" t="str">
            <v>--</v>
          </cell>
          <cell r="AA162" t="str">
            <v>A1</v>
          </cell>
          <cell r="AC162" t="str">
            <v>(blanco)</v>
          </cell>
          <cell r="AD162" t="str">
            <v>(blanco)</v>
          </cell>
          <cell r="AH162" t="str">
            <v>(blanco)</v>
          </cell>
          <cell r="AI162" t="str">
            <v>(blanco)</v>
          </cell>
          <cell r="AJ162" t="str">
            <v>(blanco)</v>
          </cell>
          <cell r="AL162" t="str">
            <v>(blanco)</v>
          </cell>
          <cell r="AM162" t="str">
            <v>(blanco)</v>
          </cell>
          <cell r="AN162" t="str">
            <v>(blanco)</v>
          </cell>
          <cell r="AP162">
            <v>0.25</v>
          </cell>
          <cell r="AR162">
            <v>1.5</v>
          </cell>
          <cell r="AS162">
            <v>1.575</v>
          </cell>
          <cell r="AT162">
            <v>0</v>
          </cell>
          <cell r="AX162">
            <v>11.75</v>
          </cell>
          <cell r="AY162" t="str">
            <v>01.02.2015</v>
          </cell>
          <cell r="AZ162">
            <v>0</v>
          </cell>
          <cell r="BA162" t="str">
            <v>00.00.0000</v>
          </cell>
          <cell r="BB162" t="str">
            <v>ST</v>
          </cell>
          <cell r="BC162" t="str">
            <v>******</v>
          </cell>
          <cell r="BD162" t="str">
            <v>S</v>
          </cell>
          <cell r="BE162">
            <v>5413218561624</v>
          </cell>
        </row>
        <row r="163">
          <cell r="A163" t="str">
            <v>G109385</v>
          </cell>
          <cell r="B163" t="str">
            <v>G109385</v>
          </cell>
          <cell r="C163" t="str">
            <v>D5DAD01D005D004</v>
          </cell>
          <cell r="D163" t="str">
            <v>DIY - Vulmiddel Mix KG</v>
          </cell>
          <cell r="E163" t="str">
            <v>D5DA</v>
          </cell>
          <cell r="F163" t="str">
            <v>Voegproducten KG</v>
          </cell>
          <cell r="G163" t="str">
            <v>G109385</v>
          </cell>
          <cell r="H163" t="str">
            <v>bestaand</v>
          </cell>
          <cell r="I163" t="str">
            <v>01.01.2013</v>
          </cell>
          <cell r="J163" t="str">
            <v>Yes</v>
          </cell>
          <cell r="K163" t="str">
            <v>Doe-Het-Zelver</v>
          </cell>
          <cell r="L163" t="str">
            <v>Gyproc</v>
          </cell>
          <cell r="M163" t="str">
            <v>VULMIDDEL MIX</v>
          </cell>
          <cell r="N163" t="str">
            <v>DIY - Vulmiddel Mix 5 KG EP/80</v>
          </cell>
          <cell r="O163" t="str">
            <v>Reboucheur Mix 5 KG EP/80</v>
          </cell>
          <cell r="P163" t="str">
            <v>(blanco)</v>
          </cell>
          <cell r="Q163" t="str">
            <v>(blanco)</v>
          </cell>
          <cell r="R163" t="str">
            <v>(blanco)</v>
          </cell>
          <cell r="S163" t="str">
            <v>(blanco)</v>
          </cell>
          <cell r="T163" t="str">
            <v>NBN EN 13963:2014</v>
          </cell>
          <cell r="U163" t="str">
            <v>3A</v>
          </cell>
          <cell r="V163" t="str">
            <v>--</v>
          </cell>
          <cell r="AA163" t="str">
            <v>A1</v>
          </cell>
          <cell r="AC163" t="str">
            <v>(blanco)</v>
          </cell>
          <cell r="AD163" t="str">
            <v>(blanco)</v>
          </cell>
          <cell r="AH163" t="str">
            <v>(blanco)</v>
          </cell>
          <cell r="AI163" t="str">
            <v>(blanco)</v>
          </cell>
          <cell r="AJ163" t="str">
            <v>(blanco)</v>
          </cell>
          <cell r="AL163" t="str">
            <v>(blanco)</v>
          </cell>
          <cell r="AM163" t="str">
            <v>(blanco)</v>
          </cell>
          <cell r="AN163" t="str">
            <v>(blanco)</v>
          </cell>
          <cell r="AP163">
            <v>0.25</v>
          </cell>
          <cell r="AR163">
            <v>5</v>
          </cell>
          <cell r="AS163">
            <v>5.25</v>
          </cell>
          <cell r="AT163">
            <v>0</v>
          </cell>
          <cell r="AX163">
            <v>22.02</v>
          </cell>
          <cell r="AY163" t="str">
            <v>01.02.2015</v>
          </cell>
          <cell r="AZ163">
            <v>0</v>
          </cell>
          <cell r="BA163" t="str">
            <v>00.00.0000</v>
          </cell>
          <cell r="BB163" t="str">
            <v>ST</v>
          </cell>
          <cell r="BC163" t="str">
            <v>******</v>
          </cell>
          <cell r="BD163" t="str">
            <v>S</v>
          </cell>
          <cell r="BE163">
            <v>5413218561631</v>
          </cell>
        </row>
        <row r="164">
          <cell r="A164" t="str">
            <v>G109386</v>
          </cell>
          <cell r="B164" t="str">
            <v>G109386</v>
          </cell>
          <cell r="C164" t="str">
            <v>D5DAD01D005D006</v>
          </cell>
          <cell r="D164" t="str">
            <v>DIY - Plamuur Mix KG</v>
          </cell>
          <cell r="E164" t="str">
            <v>D5DA</v>
          </cell>
          <cell r="F164" t="str">
            <v>Voegproducten KG</v>
          </cell>
          <cell r="G164" t="str">
            <v>G109386</v>
          </cell>
          <cell r="H164" t="str">
            <v>bestaand</v>
          </cell>
          <cell r="I164" t="str">
            <v>01.01.2013</v>
          </cell>
          <cell r="J164" t="str">
            <v>Yes</v>
          </cell>
          <cell r="K164" t="str">
            <v>Doe-Het-Zelver</v>
          </cell>
          <cell r="L164" t="str">
            <v>Gyproc</v>
          </cell>
          <cell r="M164" t="str">
            <v>PLAMUUR MIX</v>
          </cell>
          <cell r="N164" t="str">
            <v>DIY - Plamuur Mix 1.5 KG EP/256</v>
          </cell>
          <cell r="O164" t="str">
            <v>Enduit Mix 1.5 KG EP/256</v>
          </cell>
          <cell r="P164" t="str">
            <v>(blanco)</v>
          </cell>
          <cell r="Q164" t="str">
            <v>(blanco)</v>
          </cell>
          <cell r="R164" t="str">
            <v>(blanco)</v>
          </cell>
          <cell r="S164" t="str">
            <v>(blanco)</v>
          </cell>
          <cell r="T164" t="str">
            <v>NBN EN 13963:2014</v>
          </cell>
          <cell r="U164" t="str">
            <v>3A</v>
          </cell>
          <cell r="V164" t="str">
            <v>--</v>
          </cell>
          <cell r="AA164" t="str">
            <v>A1</v>
          </cell>
          <cell r="AC164" t="str">
            <v>(blanco)</v>
          </cell>
          <cell r="AD164" t="str">
            <v>(blanco)</v>
          </cell>
          <cell r="AH164" t="str">
            <v>(blanco)</v>
          </cell>
          <cell r="AI164" t="str">
            <v>(blanco)</v>
          </cell>
          <cell r="AJ164" t="str">
            <v>(blanco)</v>
          </cell>
          <cell r="AL164" t="str">
            <v>(blanco)</v>
          </cell>
          <cell r="AM164" t="str">
            <v>(blanco)</v>
          </cell>
          <cell r="AN164" t="str">
            <v>(blanco)</v>
          </cell>
          <cell r="AP164">
            <v>0.25</v>
          </cell>
          <cell r="AR164">
            <v>1.5</v>
          </cell>
          <cell r="AS164">
            <v>1.575</v>
          </cell>
          <cell r="AT164">
            <v>0</v>
          </cell>
          <cell r="AX164">
            <v>13.42</v>
          </cell>
          <cell r="AY164" t="str">
            <v>01.02.2015</v>
          </cell>
          <cell r="AZ164">
            <v>0</v>
          </cell>
          <cell r="BA164" t="str">
            <v>00.00.0000</v>
          </cell>
          <cell r="BB164" t="str">
            <v>ST</v>
          </cell>
          <cell r="BC164" t="str">
            <v>******</v>
          </cell>
          <cell r="BD164" t="str">
            <v>S</v>
          </cell>
          <cell r="BE164">
            <v>5413218561662</v>
          </cell>
        </row>
        <row r="165">
          <cell r="A165" t="str">
            <v>G109387</v>
          </cell>
          <cell r="B165" t="str">
            <v>G109387</v>
          </cell>
          <cell r="C165" t="str">
            <v>D5DAD01D005D006</v>
          </cell>
          <cell r="D165" t="str">
            <v>DIY - Plamuur Mix KG</v>
          </cell>
          <cell r="E165" t="str">
            <v>D5DA</v>
          </cell>
          <cell r="F165" t="str">
            <v>Voegproducten KG</v>
          </cell>
          <cell r="G165" t="str">
            <v>G109387</v>
          </cell>
          <cell r="H165" t="str">
            <v>bestaand</v>
          </cell>
          <cell r="I165" t="str">
            <v>01.01.2013</v>
          </cell>
          <cell r="J165" t="str">
            <v>Yes</v>
          </cell>
          <cell r="K165" t="str">
            <v>Doe-Het-Zelver</v>
          </cell>
          <cell r="L165" t="str">
            <v>Gyproc</v>
          </cell>
          <cell r="M165" t="str">
            <v>PLAMUUR MIX</v>
          </cell>
          <cell r="N165" t="str">
            <v>DIY - Plamuur Mix 5 KG EP/80</v>
          </cell>
          <cell r="O165" t="str">
            <v>Enduit Mix 5 KG EP/80</v>
          </cell>
          <cell r="P165" t="str">
            <v>(blanco)</v>
          </cell>
          <cell r="Q165" t="str">
            <v>(blanco)</v>
          </cell>
          <cell r="R165" t="str">
            <v>(blanco)</v>
          </cell>
          <cell r="S165" t="str">
            <v>(blanco)</v>
          </cell>
          <cell r="T165" t="str">
            <v>NBN EN 13963:2014</v>
          </cell>
          <cell r="U165" t="str">
            <v>3A</v>
          </cell>
          <cell r="V165" t="str">
            <v>--</v>
          </cell>
          <cell r="AA165" t="str">
            <v>A1</v>
          </cell>
          <cell r="AC165" t="str">
            <v>(blanco)</v>
          </cell>
          <cell r="AD165" t="str">
            <v>(blanco)</v>
          </cell>
          <cell r="AH165" t="str">
            <v>(blanco)</v>
          </cell>
          <cell r="AI165" t="str">
            <v>(blanco)</v>
          </cell>
          <cell r="AJ165" t="str">
            <v>(blanco)</v>
          </cell>
          <cell r="AL165" t="str">
            <v>(blanco)</v>
          </cell>
          <cell r="AM165" t="str">
            <v>(blanco)</v>
          </cell>
          <cell r="AN165" t="str">
            <v>(blanco)</v>
          </cell>
          <cell r="AP165">
            <v>0.25</v>
          </cell>
          <cell r="AR165">
            <v>5</v>
          </cell>
          <cell r="AS165">
            <v>5.25</v>
          </cell>
          <cell r="AT165">
            <v>0</v>
          </cell>
          <cell r="AX165">
            <v>22.7</v>
          </cell>
          <cell r="AY165" t="str">
            <v>01.02.2015</v>
          </cell>
          <cell r="AZ165">
            <v>0</v>
          </cell>
          <cell r="BA165" t="str">
            <v>00.00.0000</v>
          </cell>
          <cell r="BB165" t="str">
            <v>ST</v>
          </cell>
          <cell r="BC165" t="str">
            <v>******</v>
          </cell>
          <cell r="BD165" t="str">
            <v>S</v>
          </cell>
          <cell r="BE165">
            <v>5413218561679</v>
          </cell>
        </row>
        <row r="166">
          <cell r="A166" t="str">
            <v>G109388</v>
          </cell>
          <cell r="B166" t="str">
            <v>G109388</v>
          </cell>
          <cell r="C166" t="str">
            <v>D5DAD01D005D007</v>
          </cell>
          <cell r="D166" t="str">
            <v>DIY - Renov All L</v>
          </cell>
          <cell r="E166" t="str">
            <v>D5DA</v>
          </cell>
          <cell r="F166" t="str">
            <v>Voegproducten KG</v>
          </cell>
          <cell r="G166" t="str">
            <v>G109388</v>
          </cell>
          <cell r="H166" t="str">
            <v>bestaand</v>
          </cell>
          <cell r="I166" t="str">
            <v>01.01.2013</v>
          </cell>
          <cell r="J166" t="str">
            <v>Yes</v>
          </cell>
          <cell r="K166" t="str">
            <v>Doe-Het-Zelver</v>
          </cell>
          <cell r="L166" t="str">
            <v>Gyproc</v>
          </cell>
          <cell r="M166" t="str">
            <v>RENOVALL</v>
          </cell>
          <cell r="N166" t="str">
            <v>DIY - RenovAll 2.5L EP/80</v>
          </cell>
          <cell r="O166" t="str">
            <v>RENOV ALL 2.5 L EP/80</v>
          </cell>
          <cell r="P166" t="str">
            <v>(blanco)</v>
          </cell>
          <cell r="Q166" t="str">
            <v>(blanco)</v>
          </cell>
          <cell r="R166" t="str">
            <v>(blanco)</v>
          </cell>
          <cell r="S166" t="str">
            <v>(blanco)</v>
          </cell>
          <cell r="T166" t="str">
            <v>NBN EN 13963:2014</v>
          </cell>
          <cell r="U166" t="str">
            <v>3A</v>
          </cell>
          <cell r="V166" t="str">
            <v>--</v>
          </cell>
          <cell r="AA166" t="str">
            <v>A1</v>
          </cell>
          <cell r="AC166" t="str">
            <v>(blanco)</v>
          </cell>
          <cell r="AD166" t="str">
            <v>(blanco)</v>
          </cell>
          <cell r="AH166" t="str">
            <v>(blanco)</v>
          </cell>
          <cell r="AI166" t="str">
            <v>(blanco)</v>
          </cell>
          <cell r="AJ166" t="str">
            <v>(blanco)</v>
          </cell>
          <cell r="AL166" t="str">
            <v>(blanco)</v>
          </cell>
          <cell r="AM166" t="str">
            <v>(blanco)</v>
          </cell>
          <cell r="AN166" t="str">
            <v>(blanco)</v>
          </cell>
          <cell r="AP166">
            <v>0.25</v>
          </cell>
          <cell r="AR166">
            <v>2.5</v>
          </cell>
          <cell r="AS166">
            <v>2.625</v>
          </cell>
          <cell r="AT166">
            <v>0</v>
          </cell>
          <cell r="AX166">
            <v>18.399999999999999</v>
          </cell>
          <cell r="AY166" t="str">
            <v>01.02.2015</v>
          </cell>
          <cell r="AZ166">
            <v>0</v>
          </cell>
          <cell r="BA166" t="str">
            <v>00.00.0000</v>
          </cell>
          <cell r="BB166" t="str">
            <v>ST</v>
          </cell>
          <cell r="BC166" t="str">
            <v>******</v>
          </cell>
          <cell r="BD166" t="str">
            <v>S</v>
          </cell>
          <cell r="BE166">
            <v>5413218561686</v>
          </cell>
        </row>
        <row r="167">
          <cell r="A167" t="str">
            <v>G109390</v>
          </cell>
          <cell r="B167" t="str">
            <v>G109390</v>
          </cell>
          <cell r="C167" t="str">
            <v>D1DBD01D007D003</v>
          </cell>
          <cell r="D167" t="str">
            <v>Ruban Résilient 45 *</v>
          </cell>
          <cell r="E167" t="str">
            <v>D1DB</v>
          </cell>
          <cell r="F167" t="str">
            <v>Toebehoren Platen *</v>
          </cell>
          <cell r="G167" t="str">
            <v>G109390</v>
          </cell>
          <cell r="H167" t="str">
            <v>bestaand</v>
          </cell>
          <cell r="I167" t="str">
            <v>01.01.2013</v>
          </cell>
          <cell r="J167" t="str">
            <v>Yes</v>
          </cell>
          <cell r="K167" t="str">
            <v>Doe-Het-Zelver</v>
          </cell>
          <cell r="L167" t="str">
            <v>Gyproc</v>
          </cell>
          <cell r="M167" t="str">
            <v>AKOESTISCHE TAPE</v>
          </cell>
          <cell r="N167" t="str">
            <v>DIY - Akoestische Tape 5.2 M</v>
          </cell>
          <cell r="O167" t="str">
            <v>Bande acoustique 5.2 M</v>
          </cell>
          <cell r="P167" t="str">
            <v>(blanco)</v>
          </cell>
          <cell r="Q167" t="str">
            <v>(blanco)</v>
          </cell>
          <cell r="R167" t="str">
            <v>(blanco)</v>
          </cell>
          <cell r="S167" t="str">
            <v>(blanco)</v>
          </cell>
          <cell r="T167" t="str">
            <v>--</v>
          </cell>
          <cell r="AA167" t="str">
            <v>(blanco)</v>
          </cell>
          <cell r="AC167" t="str">
            <v>(blanco)</v>
          </cell>
          <cell r="AD167" t="str">
            <v>(blanco)</v>
          </cell>
          <cell r="AE167">
            <v>0</v>
          </cell>
          <cell r="AL167" t="str">
            <v>(blanco)</v>
          </cell>
          <cell r="AM167" t="str">
            <v>(blanco)</v>
          </cell>
          <cell r="AN167" t="str">
            <v>(blanco)</v>
          </cell>
          <cell r="AP167">
            <v>0</v>
          </cell>
          <cell r="AR167">
            <v>0.5</v>
          </cell>
          <cell r="AS167">
            <v>0.52500000000000002</v>
          </cell>
          <cell r="AT167">
            <v>0</v>
          </cell>
          <cell r="AX167">
            <v>4.29</v>
          </cell>
          <cell r="AY167" t="str">
            <v>01.02.2015</v>
          </cell>
          <cell r="AZ167">
            <v>0</v>
          </cell>
          <cell r="BA167" t="str">
            <v>00.00.0000</v>
          </cell>
          <cell r="BB167" t="str">
            <v>ST</v>
          </cell>
          <cell r="BC167" t="str">
            <v>******</v>
          </cell>
          <cell r="BD167" t="str">
            <v>S</v>
          </cell>
          <cell r="BE167">
            <v>5413218562256</v>
          </cell>
        </row>
        <row r="168">
          <cell r="A168" t="str">
            <v>G109391</v>
          </cell>
          <cell r="B168" t="str">
            <v>G109391</v>
          </cell>
          <cell r="C168" t="str">
            <v>D1DCD01D005D032</v>
          </cell>
          <cell r="D168" t="str">
            <v>DIY - Schroeven KAR</v>
          </cell>
          <cell r="E168" t="str">
            <v>D1DC</v>
          </cell>
          <cell r="F168" t="str">
            <v>Toebehoren Bevestigingen *</v>
          </cell>
          <cell r="G168" t="str">
            <v>G109391</v>
          </cell>
          <cell r="H168" t="str">
            <v>bestaand</v>
          </cell>
          <cell r="I168" t="str">
            <v>01.01.2013</v>
          </cell>
          <cell r="J168" t="str">
            <v>Yes</v>
          </cell>
          <cell r="K168" t="str">
            <v>Doe-Het-Zelver</v>
          </cell>
          <cell r="L168" t="str">
            <v>Gyproc</v>
          </cell>
          <cell r="M168" t="str">
            <v>DIY SNELBOUWSCHROEVEN</v>
          </cell>
          <cell r="N168" t="str">
            <v>DIY - GYPROC Schroeven 25 MM / 400 ST</v>
          </cell>
          <cell r="O168" t="str">
            <v>Vis Gyproc 25 MM / 400 pcs</v>
          </cell>
          <cell r="P168" t="str">
            <v>(blanco)</v>
          </cell>
          <cell r="Q168" t="str">
            <v>(blanco)</v>
          </cell>
          <cell r="R168" t="str">
            <v>(blanco)</v>
          </cell>
          <cell r="S168" t="str">
            <v>(blanco)</v>
          </cell>
          <cell r="T168" t="str">
            <v>NBN EN 14566+A1:2009</v>
          </cell>
          <cell r="U168" t="str">
            <v>TMN</v>
          </cell>
          <cell r="V168" t="str">
            <v>--</v>
          </cell>
          <cell r="AA168" t="str">
            <v>A1</v>
          </cell>
          <cell r="AC168" t="str">
            <v>(blanco)</v>
          </cell>
          <cell r="AD168" t="str">
            <v>(blanco)</v>
          </cell>
          <cell r="AL168" t="str">
            <v>(blanco)</v>
          </cell>
          <cell r="AM168" t="str">
            <v>(blanco)</v>
          </cell>
          <cell r="AN168" t="str">
            <v>(blanco)</v>
          </cell>
          <cell r="AP168">
            <v>50</v>
          </cell>
          <cell r="AR168">
            <v>0.1</v>
          </cell>
          <cell r="AS168">
            <v>0.105</v>
          </cell>
          <cell r="AT168">
            <v>0</v>
          </cell>
          <cell r="AX168">
            <v>10.88</v>
          </cell>
          <cell r="AY168" t="str">
            <v>01.02.2015</v>
          </cell>
          <cell r="AZ168">
            <v>0</v>
          </cell>
          <cell r="BA168" t="str">
            <v>00.00.0000</v>
          </cell>
          <cell r="BB168" t="str">
            <v>KAR</v>
          </cell>
          <cell r="BC168" t="str">
            <v>******</v>
          </cell>
          <cell r="BD168" t="str">
            <v>S</v>
          </cell>
          <cell r="BE168">
            <v>5413218561693</v>
          </cell>
        </row>
        <row r="169">
          <cell r="A169" t="str">
            <v>G109392</v>
          </cell>
          <cell r="B169" t="str">
            <v>G109392</v>
          </cell>
          <cell r="C169" t="str">
            <v>D1DCD01D005D032</v>
          </cell>
          <cell r="D169" t="str">
            <v>DIY - Schroeven KAR</v>
          </cell>
          <cell r="E169" t="str">
            <v>D1DC</v>
          </cell>
          <cell r="F169" t="str">
            <v>Toebehoren Bevestigingen *</v>
          </cell>
          <cell r="G169" t="str">
            <v>G109392</v>
          </cell>
          <cell r="H169" t="str">
            <v>bestaand</v>
          </cell>
          <cell r="I169" t="str">
            <v>01.01.2013</v>
          </cell>
          <cell r="J169" t="str">
            <v>Yes</v>
          </cell>
          <cell r="K169" t="str">
            <v>Doe-Het-Zelver</v>
          </cell>
          <cell r="L169" t="str">
            <v>Gyproc</v>
          </cell>
          <cell r="M169" t="str">
            <v>DIY SNELBOUWSCHROEVEN</v>
          </cell>
          <cell r="N169" t="str">
            <v>DIY - GYPROC Schroeven 35 MM / 300 ST</v>
          </cell>
          <cell r="O169" t="str">
            <v>Vis Gyproc 35 MM / 300 pcs</v>
          </cell>
          <cell r="P169" t="str">
            <v>(blanco)</v>
          </cell>
          <cell r="Q169" t="str">
            <v>(blanco)</v>
          </cell>
          <cell r="R169" t="str">
            <v>(blanco)</v>
          </cell>
          <cell r="S169" t="str">
            <v>(blanco)</v>
          </cell>
          <cell r="T169" t="str">
            <v>NBN EN 14566+A1:2009</v>
          </cell>
          <cell r="U169" t="str">
            <v>TMN</v>
          </cell>
          <cell r="V169" t="str">
            <v>--</v>
          </cell>
          <cell r="AA169" t="str">
            <v>A1</v>
          </cell>
          <cell r="AC169" t="str">
            <v>(blanco)</v>
          </cell>
          <cell r="AD169" t="str">
            <v>(blanco)</v>
          </cell>
          <cell r="AL169" t="str">
            <v>(blanco)</v>
          </cell>
          <cell r="AM169" t="str">
            <v>(blanco)</v>
          </cell>
          <cell r="AN169" t="str">
            <v>(blanco)</v>
          </cell>
          <cell r="AP169">
            <v>50</v>
          </cell>
          <cell r="AR169">
            <v>0.1</v>
          </cell>
          <cell r="AS169">
            <v>0.105</v>
          </cell>
          <cell r="AT169">
            <v>0</v>
          </cell>
          <cell r="AX169">
            <v>10.88</v>
          </cell>
          <cell r="AY169" t="str">
            <v>01.02.2015</v>
          </cell>
          <cell r="AZ169">
            <v>0</v>
          </cell>
          <cell r="BA169" t="str">
            <v>00.00.0000</v>
          </cell>
          <cell r="BB169" t="str">
            <v>KAR</v>
          </cell>
          <cell r="BC169" t="str">
            <v>******</v>
          </cell>
          <cell r="BD169" t="str">
            <v>S</v>
          </cell>
          <cell r="BE169">
            <v>5413218561709</v>
          </cell>
        </row>
        <row r="170">
          <cell r="A170" t="str">
            <v>G109393</v>
          </cell>
          <cell r="B170" t="str">
            <v>G109393</v>
          </cell>
          <cell r="C170" t="str">
            <v>D1DFD05D003D001</v>
          </cell>
          <cell r="D170" t="str">
            <v>Bandes *</v>
          </cell>
          <cell r="E170" t="str">
            <v>D1DF</v>
          </cell>
          <cell r="F170" t="str">
            <v>Andere Toebehoren *</v>
          </cell>
          <cell r="G170" t="str">
            <v>G109393</v>
          </cell>
          <cell r="H170" t="str">
            <v>bestaand</v>
          </cell>
          <cell r="I170" t="str">
            <v>01.01.2013</v>
          </cell>
          <cell r="J170" t="str">
            <v>Yes</v>
          </cell>
          <cell r="K170" t="str">
            <v>Doe-Het-Zelver</v>
          </cell>
          <cell r="L170" t="str">
            <v>Gyproc</v>
          </cell>
          <cell r="M170" t="str">
            <v>ZELFKLEVENDE VOEGBAND</v>
          </cell>
          <cell r="N170" t="str">
            <v>DIY - Zelfklevende Voegband 30 M</v>
          </cell>
          <cell r="O170" t="str">
            <v>Bande d'armature autocollant 30 M</v>
          </cell>
          <cell r="P170" t="str">
            <v>(blanco)</v>
          </cell>
          <cell r="Q170" t="str">
            <v>(blanco)</v>
          </cell>
          <cell r="R170" t="str">
            <v>(blanco)</v>
          </cell>
          <cell r="S170" t="str">
            <v>(blanco)</v>
          </cell>
          <cell r="T170" t="str">
            <v>NBN EN 13963:2014</v>
          </cell>
          <cell r="U170" t="str">
            <v>--</v>
          </cell>
          <cell r="V170" t="str">
            <v>--</v>
          </cell>
          <cell r="AC170" t="str">
            <v>(blanco)</v>
          </cell>
          <cell r="AD170" t="str">
            <v>(blanco)</v>
          </cell>
          <cell r="AE170">
            <v>0</v>
          </cell>
          <cell r="AL170" t="str">
            <v>(blanco)</v>
          </cell>
          <cell r="AM170" t="str">
            <v>(blanco)</v>
          </cell>
          <cell r="AN170" t="str">
            <v>(blanco)</v>
          </cell>
          <cell r="AP170">
            <v>0</v>
          </cell>
          <cell r="AR170">
            <v>0.5</v>
          </cell>
          <cell r="AS170">
            <v>0.52500000000000002</v>
          </cell>
          <cell r="AT170">
            <v>0</v>
          </cell>
          <cell r="AX170">
            <v>5.81</v>
          </cell>
          <cell r="AY170" t="str">
            <v>01.02.2015</v>
          </cell>
          <cell r="AZ170">
            <v>0</v>
          </cell>
          <cell r="BA170" t="str">
            <v>00.00.0000</v>
          </cell>
          <cell r="BB170" t="str">
            <v>ST</v>
          </cell>
          <cell r="BC170" t="str">
            <v>******</v>
          </cell>
          <cell r="BD170" t="str">
            <v>S</v>
          </cell>
          <cell r="BE170">
            <v>5413218562225</v>
          </cell>
        </row>
        <row r="171">
          <cell r="A171" t="str">
            <v>G109395</v>
          </cell>
          <cell r="B171" t="str">
            <v>G109395</v>
          </cell>
          <cell r="C171" t="str">
            <v>D1DFD05D003D001</v>
          </cell>
          <cell r="D171" t="str">
            <v>Bandes *</v>
          </cell>
          <cell r="E171" t="str">
            <v>D1DF</v>
          </cell>
          <cell r="F171" t="str">
            <v>Andere Toebehoren *</v>
          </cell>
          <cell r="G171" t="str">
            <v>G109395</v>
          </cell>
          <cell r="H171" t="str">
            <v>bestaand</v>
          </cell>
          <cell r="I171" t="str">
            <v>01.01.2013</v>
          </cell>
          <cell r="J171" t="str">
            <v>Yes</v>
          </cell>
          <cell r="K171" t="str">
            <v>Doe-Het-Zelver</v>
          </cell>
          <cell r="L171" t="str">
            <v>Gyproc</v>
          </cell>
          <cell r="M171" t="str">
            <v>VOEGBAND VOOR BUITENHOEKEN</v>
          </cell>
          <cell r="N171" t="str">
            <v>DIY - Voegband voor Buitenhoeken 2.6 M</v>
          </cell>
          <cell r="O171" t="str">
            <v>Bande d'armature angles saillants 2.6 M</v>
          </cell>
          <cell r="P171" t="str">
            <v>(blanco)</v>
          </cell>
          <cell r="Q171" t="str">
            <v>(blanco)</v>
          </cell>
          <cell r="R171" t="str">
            <v>(blanco)</v>
          </cell>
          <cell r="S171" t="str">
            <v>(blanco)</v>
          </cell>
          <cell r="T171" t="str">
            <v>NBN EN 13963:2014</v>
          </cell>
          <cell r="U171" t="str">
            <v>--</v>
          </cell>
          <cell r="V171" t="str">
            <v>--</v>
          </cell>
          <cell r="AC171" t="str">
            <v>(blanco)</v>
          </cell>
          <cell r="AD171" t="str">
            <v>(blanco)</v>
          </cell>
          <cell r="AE171">
            <v>0</v>
          </cell>
          <cell r="AL171" t="str">
            <v>(blanco)</v>
          </cell>
          <cell r="AM171" t="str">
            <v>(blanco)</v>
          </cell>
          <cell r="AN171" t="str">
            <v>(blanco)</v>
          </cell>
          <cell r="AP171">
            <v>0</v>
          </cell>
          <cell r="AR171">
            <v>0.4</v>
          </cell>
          <cell r="AS171">
            <v>0.45200000000000001</v>
          </cell>
          <cell r="AT171">
            <v>0</v>
          </cell>
          <cell r="AX171">
            <v>5.77</v>
          </cell>
          <cell r="AY171" t="str">
            <v>01.02.2015</v>
          </cell>
          <cell r="AZ171">
            <v>0</v>
          </cell>
          <cell r="BA171" t="str">
            <v>00.00.0000</v>
          </cell>
          <cell r="BB171" t="str">
            <v>ST</v>
          </cell>
          <cell r="BC171" t="str">
            <v>******</v>
          </cell>
          <cell r="BD171" t="str">
            <v>S</v>
          </cell>
          <cell r="BE171">
            <v>5413218562249</v>
          </cell>
        </row>
        <row r="172">
          <cell r="A172" t="str">
            <v>G109398</v>
          </cell>
          <cell r="B172" t="str">
            <v>G109398</v>
          </cell>
          <cell r="C172" t="str">
            <v>F5FAF01F002F002</v>
          </cell>
          <cell r="D172" t="str">
            <v>DIY - Gyproc gereedschappen ST</v>
          </cell>
          <cell r="E172" t="str">
            <v>F5FA</v>
          </cell>
          <cell r="F172" t="str">
            <v>Gereedschap bevestigingen *</v>
          </cell>
          <cell r="G172" t="str">
            <v>G109398</v>
          </cell>
          <cell r="H172" t="str">
            <v>bestaand</v>
          </cell>
          <cell r="I172" t="str">
            <v>01.01.2013</v>
          </cell>
          <cell r="J172" t="str">
            <v>Yes</v>
          </cell>
          <cell r="K172" t="str">
            <v>Doe-Het-Zelver</v>
          </cell>
          <cell r="L172" t="str">
            <v>Gyproc</v>
          </cell>
          <cell r="M172" t="str">
            <v>SCHROEFKOPPELING</v>
          </cell>
          <cell r="N172" t="str">
            <v>DIY - Schroefkoppeling</v>
          </cell>
          <cell r="O172" t="str">
            <v>Adapteur de vissage</v>
          </cell>
          <cell r="P172" t="str">
            <v>(blanco)</v>
          </cell>
          <cell r="Q172" t="str">
            <v>(blanco)</v>
          </cell>
          <cell r="R172" t="str">
            <v>(blanco)</v>
          </cell>
          <cell r="S172" t="str">
            <v>(blanco)</v>
          </cell>
          <cell r="T172" t="str">
            <v>--</v>
          </cell>
          <cell r="AA172" t="str">
            <v>(blanco)</v>
          </cell>
          <cell r="AC172" t="str">
            <v>(blanco)</v>
          </cell>
          <cell r="AD172" t="str">
            <v>(blanco)</v>
          </cell>
          <cell r="AH172" t="str">
            <v>(blanco)</v>
          </cell>
          <cell r="AI172" t="str">
            <v>(blanco)</v>
          </cell>
          <cell r="AJ172" t="str">
            <v>(blanco)</v>
          </cell>
          <cell r="AL172" t="str">
            <v>(blanco)</v>
          </cell>
          <cell r="AM172" t="str">
            <v>(blanco)</v>
          </cell>
          <cell r="AN172" t="str">
            <v>(blanco)</v>
          </cell>
          <cell r="AR172">
            <v>0.1</v>
          </cell>
          <cell r="AS172">
            <v>0.105</v>
          </cell>
          <cell r="AT172">
            <v>0</v>
          </cell>
          <cell r="AX172">
            <v>19.16</v>
          </cell>
          <cell r="AY172" t="str">
            <v>01.02.2015</v>
          </cell>
          <cell r="AZ172">
            <v>0</v>
          </cell>
          <cell r="BA172" t="str">
            <v>00.00.0000</v>
          </cell>
          <cell r="BB172" t="str">
            <v>ST</v>
          </cell>
          <cell r="BC172" t="str">
            <v>******</v>
          </cell>
          <cell r="BD172" t="str">
            <v>S</v>
          </cell>
          <cell r="BE172">
            <v>5413218562263</v>
          </cell>
        </row>
        <row r="173">
          <cell r="A173" t="str">
            <v>G109399</v>
          </cell>
          <cell r="B173" t="str">
            <v>G109399</v>
          </cell>
          <cell r="C173" t="str">
            <v>F5FAF01F002F002</v>
          </cell>
          <cell r="D173" t="str">
            <v>DIY - Gyproc gereedschappen ST</v>
          </cell>
          <cell r="E173" t="str">
            <v>F5FA</v>
          </cell>
          <cell r="F173" t="str">
            <v>Gereedschap bevestigingen *</v>
          </cell>
          <cell r="G173" t="str">
            <v>G109399</v>
          </cell>
          <cell r="H173" t="str">
            <v>bestaand</v>
          </cell>
          <cell r="I173" t="str">
            <v>01.01.2013</v>
          </cell>
          <cell r="J173" t="str">
            <v>Yes</v>
          </cell>
          <cell r="K173" t="str">
            <v>Doe-Het-Zelver</v>
          </cell>
          <cell r="L173" t="str">
            <v>Gyproc</v>
          </cell>
          <cell r="M173" t="str">
            <v>SCHUURGAAS</v>
          </cell>
          <cell r="N173" t="str">
            <v>DIY - Schuurgaas</v>
          </cell>
          <cell r="O173" t="str">
            <v>Gaze à poncer</v>
          </cell>
          <cell r="P173" t="str">
            <v>(blanco)</v>
          </cell>
          <cell r="Q173" t="str">
            <v>(blanco)</v>
          </cell>
          <cell r="R173" t="str">
            <v>(blanco)</v>
          </cell>
          <cell r="S173" t="str">
            <v>(blanco)</v>
          </cell>
          <cell r="T173" t="str">
            <v>--</v>
          </cell>
          <cell r="AA173" t="str">
            <v>(blanco)</v>
          </cell>
          <cell r="AC173" t="str">
            <v>(blanco)</v>
          </cell>
          <cell r="AD173" t="str">
            <v>(blanco)</v>
          </cell>
          <cell r="AH173" t="str">
            <v>(blanco)</v>
          </cell>
          <cell r="AI173" t="str">
            <v>(blanco)</v>
          </cell>
          <cell r="AJ173" t="str">
            <v>(blanco)</v>
          </cell>
          <cell r="AL173" t="str">
            <v>(blanco)</v>
          </cell>
          <cell r="AM173" t="str">
            <v>(blanco)</v>
          </cell>
          <cell r="AN173" t="str">
            <v>(blanco)</v>
          </cell>
          <cell r="AR173">
            <v>0.3</v>
          </cell>
          <cell r="AS173">
            <v>0.315</v>
          </cell>
          <cell r="AT173">
            <v>0</v>
          </cell>
          <cell r="AX173">
            <v>5.37</v>
          </cell>
          <cell r="AY173" t="str">
            <v>01.02.2015</v>
          </cell>
          <cell r="AZ173">
            <v>0</v>
          </cell>
          <cell r="BA173" t="str">
            <v>00.00.0000</v>
          </cell>
          <cell r="BB173" t="str">
            <v>ST</v>
          </cell>
          <cell r="BC173" t="str">
            <v>******</v>
          </cell>
          <cell r="BD173" t="str">
            <v>S</v>
          </cell>
          <cell r="BE173">
            <v>5413218562270</v>
          </cell>
        </row>
        <row r="174">
          <cell r="A174" t="str">
            <v>G110847</v>
          </cell>
          <cell r="B174" t="str">
            <v>G110847</v>
          </cell>
          <cell r="C174" t="str">
            <v>D1DCD01D005D032</v>
          </cell>
          <cell r="D174" t="str">
            <v>DIY - Schroeven KAR</v>
          </cell>
          <cell r="E174" t="str">
            <v>D1DC</v>
          </cell>
          <cell r="F174" t="str">
            <v>Toebehoren Bevestigingen *</v>
          </cell>
          <cell r="G174" t="str">
            <v>G110847</v>
          </cell>
          <cell r="H174" t="str">
            <v>bestaand</v>
          </cell>
          <cell r="I174" t="str">
            <v>01.01.2013</v>
          </cell>
          <cell r="J174" t="str">
            <v>Yes</v>
          </cell>
          <cell r="K174" t="str">
            <v>Professional</v>
          </cell>
          <cell r="L174" t="str">
            <v>Gyproc</v>
          </cell>
          <cell r="M174" t="str">
            <v>TEKSSCHROEVEN</v>
          </cell>
          <cell r="N174" t="str">
            <v>Teksschroef 4.2 13 MM/1000 ST</v>
          </cell>
          <cell r="O174" t="str">
            <v>Vis Teks 4.2 13 MM/1000pcs</v>
          </cell>
          <cell r="P174" t="str">
            <v>(blanco)</v>
          </cell>
          <cell r="Q174" t="str">
            <v>(blanco)</v>
          </cell>
          <cell r="R174" t="str">
            <v>(blanco)</v>
          </cell>
          <cell r="S174" t="str">
            <v>(blanco)</v>
          </cell>
          <cell r="T174" t="str">
            <v>NBN EN 14566+A1:2009</v>
          </cell>
          <cell r="U174" t="str">
            <v>WSD</v>
          </cell>
          <cell r="V174" t="str">
            <v>--</v>
          </cell>
          <cell r="AA174" t="str">
            <v>A1</v>
          </cell>
          <cell r="AC174" t="str">
            <v>(blanco)</v>
          </cell>
          <cell r="AD174" t="str">
            <v>(blanco)</v>
          </cell>
          <cell r="AE174" t="str">
            <v>4,2</v>
          </cell>
          <cell r="AL174" t="str">
            <v>(blanco)</v>
          </cell>
          <cell r="AM174" t="str">
            <v>(blanco)</v>
          </cell>
          <cell r="AN174" t="str">
            <v>(blanco)</v>
          </cell>
          <cell r="AP174">
            <v>50</v>
          </cell>
          <cell r="AR174">
            <v>1</v>
          </cell>
          <cell r="AS174">
            <v>1.05</v>
          </cell>
          <cell r="AT174">
            <v>0</v>
          </cell>
          <cell r="AX174">
            <v>28.94</v>
          </cell>
          <cell r="AY174" t="str">
            <v>01.02.2015</v>
          </cell>
          <cell r="AZ174">
            <v>0</v>
          </cell>
          <cell r="BA174" t="str">
            <v>00.00.0000</v>
          </cell>
          <cell r="BB174" t="str">
            <v>KAR</v>
          </cell>
          <cell r="BC174" t="str">
            <v>******</v>
          </cell>
          <cell r="BD174" t="str">
            <v>S</v>
          </cell>
          <cell r="BE174">
            <v>5413218565639</v>
          </cell>
        </row>
        <row r="175">
          <cell r="A175" t="str">
            <v>G111229</v>
          </cell>
          <cell r="C175" t="str">
            <v>D1DFD05D003D001</v>
          </cell>
          <cell r="D175" t="str">
            <v>Bandes *</v>
          </cell>
          <cell r="E175" t="str">
            <v>D1DF</v>
          </cell>
          <cell r="F175" t="str">
            <v>Andere Toebehoren *</v>
          </cell>
          <cell r="G175" t="str">
            <v>G111229</v>
          </cell>
          <cell r="H175" t="str">
            <v>bestaand</v>
          </cell>
          <cell r="I175" t="str">
            <v>01.01.2013</v>
          </cell>
          <cell r="J175" t="str">
            <v>Yes</v>
          </cell>
          <cell r="K175" t="str">
            <v>Doe-Het-Zelver</v>
          </cell>
          <cell r="L175" t="str">
            <v>Gyproc</v>
          </cell>
          <cell r="M175" t="str">
            <v>VOEGBAND VOOR BINNENHOEKEN</v>
          </cell>
          <cell r="N175" t="str">
            <v>DIY - Voegband voor Binnenhoeken 22 M</v>
          </cell>
          <cell r="O175" t="str">
            <v>Bande d'armature angles rentrants 22 M</v>
          </cell>
          <cell r="P175" t="str">
            <v>(blanco)</v>
          </cell>
          <cell r="Q175" t="str">
            <v>(blanco)</v>
          </cell>
          <cell r="R175" t="str">
            <v>(blanco)</v>
          </cell>
          <cell r="S175" t="str">
            <v>(blanco)</v>
          </cell>
          <cell r="T175" t="str">
            <v>NBN EN 13963:2014</v>
          </cell>
          <cell r="U175" t="str">
            <v>--</v>
          </cell>
          <cell r="V175" t="str">
            <v>--</v>
          </cell>
          <cell r="AC175" t="str">
            <v>(blanco)</v>
          </cell>
          <cell r="AD175" t="str">
            <v>(blanco)</v>
          </cell>
          <cell r="AE175">
            <v>0</v>
          </cell>
          <cell r="AL175" t="str">
            <v>(blanco)</v>
          </cell>
          <cell r="AM175" t="str">
            <v>(blanco)</v>
          </cell>
          <cell r="AN175" t="str">
            <v>(blanco)</v>
          </cell>
          <cell r="AP175">
            <v>0</v>
          </cell>
          <cell r="AR175">
            <v>0.185</v>
          </cell>
          <cell r="AS175">
            <v>0.2</v>
          </cell>
          <cell r="AT175">
            <v>0</v>
          </cell>
          <cell r="AX175">
            <v>3.51</v>
          </cell>
          <cell r="AY175" t="str">
            <v>01.02.2015</v>
          </cell>
          <cell r="AZ175">
            <v>0</v>
          </cell>
          <cell r="BA175" t="str">
            <v>00.00.0000</v>
          </cell>
          <cell r="BB175" t="str">
            <v>ST</v>
          </cell>
          <cell r="BC175" t="str">
            <v>******</v>
          </cell>
          <cell r="BD175" t="str">
            <v>S</v>
          </cell>
          <cell r="BE175">
            <v>5413218562232</v>
          </cell>
        </row>
        <row r="176">
          <cell r="A176" t="str">
            <v>G111530</v>
          </cell>
          <cell r="B176" t="str">
            <v>G111530</v>
          </cell>
          <cell r="C176" t="str">
            <v>D5DAD01D005D007</v>
          </cell>
          <cell r="D176" t="str">
            <v>DIY - Renov All L</v>
          </cell>
          <cell r="E176" t="str">
            <v>D5DA</v>
          </cell>
          <cell r="F176" t="str">
            <v>Voegproducten KG</v>
          </cell>
          <cell r="G176" t="str">
            <v>G111530</v>
          </cell>
          <cell r="H176" t="str">
            <v>bestaand</v>
          </cell>
          <cell r="I176" t="str">
            <v>01.01.2013</v>
          </cell>
          <cell r="J176" t="str">
            <v>Yes</v>
          </cell>
          <cell r="K176" t="str">
            <v>Doe-Het-Zelver</v>
          </cell>
          <cell r="L176" t="str">
            <v>Gyproc</v>
          </cell>
          <cell r="M176" t="str">
            <v>RENOVALL</v>
          </cell>
          <cell r="N176" t="str">
            <v>DIY - RenovAll 1L EP/256</v>
          </cell>
          <cell r="O176" t="str">
            <v>RENOV ALL 1 L EP/256</v>
          </cell>
          <cell r="P176" t="str">
            <v>(blanco)</v>
          </cell>
          <cell r="Q176" t="str">
            <v>(blanco)</v>
          </cell>
          <cell r="R176" t="str">
            <v>(blanco)</v>
          </cell>
          <cell r="S176" t="str">
            <v>(blanco)</v>
          </cell>
          <cell r="T176" t="str">
            <v>NBN EN 13963:2014</v>
          </cell>
          <cell r="U176" t="str">
            <v>3A</v>
          </cell>
          <cell r="V176" t="str">
            <v>--</v>
          </cell>
          <cell r="AA176" t="str">
            <v>A1</v>
          </cell>
          <cell r="AC176" t="str">
            <v>(blanco)</v>
          </cell>
          <cell r="AD176" t="str">
            <v>(blanco)</v>
          </cell>
          <cell r="AH176" t="str">
            <v>(blanco)</v>
          </cell>
          <cell r="AI176" t="str">
            <v>(blanco)</v>
          </cell>
          <cell r="AJ176" t="str">
            <v>(blanco)</v>
          </cell>
          <cell r="AL176" t="str">
            <v>(blanco)</v>
          </cell>
          <cell r="AM176" t="str">
            <v>(blanco)</v>
          </cell>
          <cell r="AN176" t="str">
            <v>(blanco)</v>
          </cell>
          <cell r="AP176">
            <v>0.25</v>
          </cell>
          <cell r="AR176">
            <v>1</v>
          </cell>
          <cell r="AS176">
            <v>1.05</v>
          </cell>
          <cell r="AT176">
            <v>0</v>
          </cell>
          <cell r="AX176">
            <v>9.1300000000000008</v>
          </cell>
          <cell r="AY176" t="str">
            <v>01.02.2015</v>
          </cell>
          <cell r="AZ176">
            <v>0</v>
          </cell>
          <cell r="BA176" t="str">
            <v>00.00.0000</v>
          </cell>
          <cell r="BB176" t="str">
            <v>ST</v>
          </cell>
          <cell r="BC176" t="str">
            <v>******</v>
          </cell>
          <cell r="BD176" t="str">
            <v>S</v>
          </cell>
          <cell r="BE176">
            <v>5413218567787</v>
          </cell>
        </row>
        <row r="177">
          <cell r="A177" t="str">
            <v>G114018</v>
          </cell>
          <cell r="B177" t="str">
            <v>G114018</v>
          </cell>
          <cell r="C177" t="str">
            <v>D1DFD05D003D004</v>
          </cell>
          <cell r="D177" t="str">
            <v>Afwerkingsprofielen M</v>
          </cell>
          <cell r="E177" t="str">
            <v>D1DF</v>
          </cell>
          <cell r="F177" t="str">
            <v>Andere Toebehoren *</v>
          </cell>
          <cell r="G177" t="str">
            <v>G114018</v>
          </cell>
          <cell r="H177" t="str">
            <v>bestaand</v>
          </cell>
          <cell r="I177" t="str">
            <v>01.01.2013</v>
          </cell>
          <cell r="J177" t="str">
            <v>Yes</v>
          </cell>
          <cell r="K177" t="str">
            <v>Professional</v>
          </cell>
          <cell r="L177" t="str">
            <v>Gyproc</v>
          </cell>
          <cell r="M177" t="str">
            <v>CORNER BEAD</v>
          </cell>
          <cell r="N177" t="str">
            <v>CORNER BEAD 3.000 M STAAL</v>
          </cell>
          <cell r="O177" t="str">
            <v>CORNER BEAD 3.000 M</v>
          </cell>
          <cell r="P177" t="str">
            <v>(blanco)</v>
          </cell>
          <cell r="Q177" t="str">
            <v>(blanco)</v>
          </cell>
          <cell r="R177" t="str">
            <v>(blanco)</v>
          </cell>
          <cell r="S177" t="str">
            <v>(blanco)</v>
          </cell>
          <cell r="T177" t="str">
            <v>NBN EN 14353+A1:2010</v>
          </cell>
          <cell r="U177" t="str">
            <v>PB - AB</v>
          </cell>
          <cell r="V177" t="str">
            <v>--</v>
          </cell>
          <cell r="W177" t="str">
            <v>metalen hoekprofiel voor gebruik met gipsplaten</v>
          </cell>
          <cell r="Y177" t="str">
            <v>metalen hoekprofiel voor gebruik met gipsplaten</v>
          </cell>
          <cell r="AC177" t="str">
            <v>(blanco)</v>
          </cell>
          <cell r="AD177" t="str">
            <v>(blanco)</v>
          </cell>
          <cell r="AE177">
            <v>0</v>
          </cell>
          <cell r="AL177" t="str">
            <v>(blanco)</v>
          </cell>
          <cell r="AM177" t="str">
            <v>(blanco)</v>
          </cell>
          <cell r="AN177" t="str">
            <v>(blanco)</v>
          </cell>
          <cell r="AP177">
            <v>50</v>
          </cell>
          <cell r="AR177">
            <v>0.3</v>
          </cell>
          <cell r="AS177">
            <v>0.315</v>
          </cell>
          <cell r="AT177">
            <v>0</v>
          </cell>
          <cell r="AX177">
            <v>1.57</v>
          </cell>
          <cell r="AY177" t="str">
            <v>01.02.2015</v>
          </cell>
          <cell r="AZ177">
            <v>0</v>
          </cell>
          <cell r="BA177" t="str">
            <v>00.00.0000</v>
          </cell>
          <cell r="BB177" t="str">
            <v>M</v>
          </cell>
          <cell r="BC177" t="str">
            <v>M</v>
          </cell>
          <cell r="BD177" t="str">
            <v>S</v>
          </cell>
          <cell r="BE177">
            <v>5413218566940</v>
          </cell>
        </row>
        <row r="178">
          <cell r="A178" t="str">
            <v>G115809</v>
          </cell>
          <cell r="B178" t="str">
            <v>G115809</v>
          </cell>
          <cell r="C178" t="str">
            <v>D1DBD01D012D001</v>
          </cell>
          <cell r="D178" t="str">
            <v>ACC PLAGYP *</v>
          </cell>
          <cell r="E178" t="str">
            <v>D1DB</v>
          </cell>
          <cell r="F178" t="str">
            <v>Toebehoren Platen *</v>
          </cell>
          <cell r="G178" t="str">
            <v>G115809</v>
          </cell>
          <cell r="H178" t="str">
            <v>bestaand</v>
          </cell>
          <cell r="I178" t="str">
            <v>01.01.2013</v>
          </cell>
          <cell r="J178" t="str">
            <v>Yes</v>
          </cell>
          <cell r="K178" t="str">
            <v>Professional</v>
          </cell>
          <cell r="L178" t="str">
            <v>PLAGYP</v>
          </cell>
          <cell r="M178" t="str">
            <v>NH</v>
          </cell>
          <cell r="N178" t="str">
            <v>PLAGYP NH NONIUS PLAFONDHANGER</v>
          </cell>
          <cell r="O178" t="str">
            <v>Suspente Nonius PlaGyp NH</v>
          </cell>
          <cell r="P178" t="str">
            <v>(blanco)</v>
          </cell>
          <cell r="Q178" t="str">
            <v>(blanco)</v>
          </cell>
          <cell r="R178" t="str">
            <v>(blanco)</v>
          </cell>
          <cell r="S178" t="str">
            <v>(blanco)</v>
          </cell>
          <cell r="T178" t="str">
            <v>NBN EN 14195:2015</v>
          </cell>
          <cell r="U178" t="str">
            <v>--</v>
          </cell>
          <cell r="V178" t="str">
            <v>--</v>
          </cell>
          <cell r="AA178" t="str">
            <v>A1</v>
          </cell>
          <cell r="AC178" t="str">
            <v>(blanco)</v>
          </cell>
          <cell r="AD178" t="str">
            <v>(blanco)</v>
          </cell>
          <cell r="AE178">
            <v>1</v>
          </cell>
          <cell r="AL178" t="str">
            <v>(blanco)</v>
          </cell>
          <cell r="AM178" t="str">
            <v>(blanco)</v>
          </cell>
          <cell r="AN178" t="str">
            <v>(blanco)</v>
          </cell>
          <cell r="AP178">
            <v>50</v>
          </cell>
          <cell r="AR178">
            <v>4.9169999999999998</v>
          </cell>
          <cell r="AS178">
            <v>4.9169999999999998</v>
          </cell>
          <cell r="AT178">
            <v>0</v>
          </cell>
          <cell r="AX178">
            <v>0.51</v>
          </cell>
          <cell r="AY178" t="str">
            <v>01.02.2015</v>
          </cell>
          <cell r="AZ178">
            <v>0</v>
          </cell>
          <cell r="BA178" t="str">
            <v>00.00.0000</v>
          </cell>
          <cell r="BB178" t="str">
            <v>ST</v>
          </cell>
          <cell r="BC178" t="str">
            <v>******</v>
          </cell>
          <cell r="BD178" t="str">
            <v>S</v>
          </cell>
          <cell r="BE178">
            <v>5413218562652</v>
          </cell>
        </row>
        <row r="179">
          <cell r="A179" t="str">
            <v>G115810</v>
          </cell>
          <cell r="B179" t="str">
            <v>G115810</v>
          </cell>
          <cell r="C179" t="str">
            <v>D1DBD01D012D001</v>
          </cell>
          <cell r="D179" t="str">
            <v>ACC PLAGYP *</v>
          </cell>
          <cell r="E179" t="str">
            <v>D1DB</v>
          </cell>
          <cell r="F179" t="str">
            <v>Toebehoren Platen *</v>
          </cell>
          <cell r="G179" t="str">
            <v>G115810</v>
          </cell>
          <cell r="H179" t="str">
            <v>bestaand</v>
          </cell>
          <cell r="I179" t="str">
            <v>01.01.2013</v>
          </cell>
          <cell r="J179" t="str">
            <v>Yes</v>
          </cell>
          <cell r="K179" t="str">
            <v>Professional</v>
          </cell>
          <cell r="L179" t="str">
            <v>PLAGYP</v>
          </cell>
          <cell r="M179" t="str">
            <v>NL 200</v>
          </cell>
          <cell r="N179" t="str">
            <v>PLAGYP NL200 NONIUS BOVENDEEL</v>
          </cell>
          <cell r="O179" t="str">
            <v>Nonius partie supérieure PlaGyp NL200</v>
          </cell>
          <cell r="P179" t="str">
            <v>(blanco)</v>
          </cell>
          <cell r="Q179" t="str">
            <v>(blanco)</v>
          </cell>
          <cell r="R179" t="str">
            <v>(blanco)</v>
          </cell>
          <cell r="S179" t="str">
            <v>(blanco)</v>
          </cell>
          <cell r="T179" t="str">
            <v>NBN EN 14195:2015</v>
          </cell>
          <cell r="U179" t="str">
            <v>--</v>
          </cell>
          <cell r="V179" t="str">
            <v>--</v>
          </cell>
          <cell r="AA179" t="str">
            <v>A1</v>
          </cell>
          <cell r="AC179" t="str">
            <v>(blanco)</v>
          </cell>
          <cell r="AD179" t="str">
            <v>(blanco)</v>
          </cell>
          <cell r="AE179">
            <v>1</v>
          </cell>
          <cell r="AL179" t="str">
            <v>(blanco)</v>
          </cell>
          <cell r="AM179" t="str">
            <v>(blanco)</v>
          </cell>
          <cell r="AN179" t="str">
            <v>(blanco)</v>
          </cell>
          <cell r="AP179">
            <v>50</v>
          </cell>
          <cell r="AR179">
            <v>3.6</v>
          </cell>
          <cell r="AS179">
            <v>3.8</v>
          </cell>
          <cell r="AT179">
            <v>0</v>
          </cell>
          <cell r="AX179">
            <v>0.28000000000000003</v>
          </cell>
          <cell r="AY179" t="str">
            <v>01.02.2015</v>
          </cell>
          <cell r="AZ179">
            <v>0</v>
          </cell>
          <cell r="BA179" t="str">
            <v>00.00.0000</v>
          </cell>
          <cell r="BB179" t="str">
            <v>ST</v>
          </cell>
          <cell r="BC179" t="str">
            <v>******</v>
          </cell>
          <cell r="BD179" t="str">
            <v>S</v>
          </cell>
          <cell r="BE179">
            <v>5413218562669</v>
          </cell>
        </row>
        <row r="180">
          <cell r="A180" t="str">
            <v>G115811</v>
          </cell>
          <cell r="B180" t="str">
            <v>G115811</v>
          </cell>
          <cell r="C180" t="str">
            <v>D1DBD01D012D001</v>
          </cell>
          <cell r="D180" t="str">
            <v>ACC PLAGYP *</v>
          </cell>
          <cell r="E180" t="str">
            <v>D1DB</v>
          </cell>
          <cell r="F180" t="str">
            <v>Toebehoren Platen *</v>
          </cell>
          <cell r="G180" t="str">
            <v>G115811</v>
          </cell>
          <cell r="H180" t="str">
            <v>bestaand</v>
          </cell>
          <cell r="I180" t="str">
            <v>01.01.2013</v>
          </cell>
          <cell r="J180" t="str">
            <v>Yes</v>
          </cell>
          <cell r="K180" t="str">
            <v>Professional</v>
          </cell>
          <cell r="L180" t="str">
            <v>PLAGYP</v>
          </cell>
          <cell r="M180" t="str">
            <v>NL 300</v>
          </cell>
          <cell r="N180" t="str">
            <v>PLAGYP NL300 NONIUS BOVENDEEL</v>
          </cell>
          <cell r="O180" t="str">
            <v>Nonius partie supérieure PlaGyp NL300</v>
          </cell>
          <cell r="P180" t="str">
            <v>(blanco)</v>
          </cell>
          <cell r="Q180" t="str">
            <v>(blanco)</v>
          </cell>
          <cell r="R180" t="str">
            <v>(blanco)</v>
          </cell>
          <cell r="S180" t="str">
            <v>(blanco)</v>
          </cell>
          <cell r="T180" t="str">
            <v>NBN EN 14195:2015</v>
          </cell>
          <cell r="U180" t="str">
            <v>--</v>
          </cell>
          <cell r="V180" t="str">
            <v>--</v>
          </cell>
          <cell r="AA180" t="str">
            <v>A1</v>
          </cell>
          <cell r="AC180" t="str">
            <v>(blanco)</v>
          </cell>
          <cell r="AD180" t="str">
            <v>(blanco)</v>
          </cell>
          <cell r="AE180">
            <v>1</v>
          </cell>
          <cell r="AL180" t="str">
            <v>(blanco)</v>
          </cell>
          <cell r="AM180" t="str">
            <v>(blanco)</v>
          </cell>
          <cell r="AN180" t="str">
            <v>(blanco)</v>
          </cell>
          <cell r="AP180">
            <v>50</v>
          </cell>
          <cell r="AR180">
            <v>5.5</v>
          </cell>
          <cell r="AS180">
            <v>5.7</v>
          </cell>
          <cell r="AT180">
            <v>0</v>
          </cell>
          <cell r="AX180">
            <v>0.35</v>
          </cell>
          <cell r="AY180" t="str">
            <v>01.02.2015</v>
          </cell>
          <cell r="AZ180">
            <v>0</v>
          </cell>
          <cell r="BA180" t="str">
            <v>00.00.0000</v>
          </cell>
          <cell r="BB180" t="str">
            <v>ST</v>
          </cell>
          <cell r="BC180" t="str">
            <v>******</v>
          </cell>
          <cell r="BD180" t="str">
            <v>S</v>
          </cell>
          <cell r="BE180">
            <v>5413218562676</v>
          </cell>
        </row>
        <row r="181">
          <cell r="A181" t="str">
            <v>G115812</v>
          </cell>
          <cell r="B181" t="str">
            <v>G115812</v>
          </cell>
          <cell r="C181" t="str">
            <v>D1DBD01D012D001</v>
          </cell>
          <cell r="D181" t="str">
            <v>ACC PLAGYP *</v>
          </cell>
          <cell r="E181" t="str">
            <v>D1DB</v>
          </cell>
          <cell r="F181" t="str">
            <v>Toebehoren Platen *</v>
          </cell>
          <cell r="G181" t="str">
            <v>G115812</v>
          </cell>
          <cell r="H181" t="str">
            <v>bestaand</v>
          </cell>
          <cell r="I181" t="str">
            <v>01.01.2013</v>
          </cell>
          <cell r="J181" t="str">
            <v>Yes</v>
          </cell>
          <cell r="K181" t="str">
            <v>Professional</v>
          </cell>
          <cell r="L181" t="str">
            <v>PLAGYP</v>
          </cell>
          <cell r="M181" t="str">
            <v>NL 400</v>
          </cell>
          <cell r="N181" t="str">
            <v>PLAGYP NL400 NONIUS BOVENDEEL</v>
          </cell>
          <cell r="O181" t="str">
            <v>Nonius partie supérieure PlaGyp NL400</v>
          </cell>
          <cell r="P181" t="str">
            <v>(blanco)</v>
          </cell>
          <cell r="Q181" t="str">
            <v>(blanco)</v>
          </cell>
          <cell r="R181" t="str">
            <v>(blanco)</v>
          </cell>
          <cell r="S181" t="str">
            <v>(blanco)</v>
          </cell>
          <cell r="T181" t="str">
            <v>NBN EN 14195:2015</v>
          </cell>
          <cell r="U181" t="str">
            <v>--</v>
          </cell>
          <cell r="V181" t="str">
            <v>--</v>
          </cell>
          <cell r="AA181" t="str">
            <v>A1</v>
          </cell>
          <cell r="AC181" t="str">
            <v>(blanco)</v>
          </cell>
          <cell r="AD181" t="str">
            <v>(blanco)</v>
          </cell>
          <cell r="AE181">
            <v>1</v>
          </cell>
          <cell r="AL181" t="str">
            <v>(blanco)</v>
          </cell>
          <cell r="AM181" t="str">
            <v>(blanco)</v>
          </cell>
          <cell r="AN181" t="str">
            <v>(blanco)</v>
          </cell>
          <cell r="AP181">
            <v>50</v>
          </cell>
          <cell r="AR181">
            <v>7.4</v>
          </cell>
          <cell r="AS181">
            <v>7.6</v>
          </cell>
          <cell r="AT181">
            <v>0</v>
          </cell>
          <cell r="AX181">
            <v>0.44</v>
          </cell>
          <cell r="AY181" t="str">
            <v>01.02.2015</v>
          </cell>
          <cell r="AZ181">
            <v>0</v>
          </cell>
          <cell r="BA181" t="str">
            <v>00.00.0000</v>
          </cell>
          <cell r="BB181" t="str">
            <v>ST</v>
          </cell>
          <cell r="BC181" t="str">
            <v>******</v>
          </cell>
          <cell r="BD181" t="str">
            <v>S</v>
          </cell>
          <cell r="BE181">
            <v>5413218562683</v>
          </cell>
        </row>
        <row r="182">
          <cell r="A182" t="str">
            <v>G115813</v>
          </cell>
          <cell r="B182" t="str">
            <v>G115813</v>
          </cell>
          <cell r="C182" t="str">
            <v>D1DBD01D012D001</v>
          </cell>
          <cell r="D182" t="str">
            <v>ACC PLAGYP *</v>
          </cell>
          <cell r="E182" t="str">
            <v>D1DB</v>
          </cell>
          <cell r="F182" t="str">
            <v>Toebehoren Platen *</v>
          </cell>
          <cell r="G182" t="str">
            <v>G115813</v>
          </cell>
          <cell r="H182" t="str">
            <v>bestaand</v>
          </cell>
          <cell r="I182" t="str">
            <v>01.01.2013</v>
          </cell>
          <cell r="J182" t="str">
            <v>Yes</v>
          </cell>
          <cell r="K182" t="str">
            <v>Professional</v>
          </cell>
          <cell r="L182" t="str">
            <v>PLAGYP</v>
          </cell>
          <cell r="M182" t="str">
            <v>NL 600</v>
          </cell>
          <cell r="N182" t="str">
            <v>PLAGYP NL600 NONIUS BOVENDEEL</v>
          </cell>
          <cell r="O182" t="str">
            <v>Nonius partie supérieure PlaGyp NL600</v>
          </cell>
          <cell r="P182" t="str">
            <v>(blanco)</v>
          </cell>
          <cell r="Q182" t="str">
            <v>(blanco)</v>
          </cell>
          <cell r="R182" t="str">
            <v>(blanco)</v>
          </cell>
          <cell r="S182" t="str">
            <v>(blanco)</v>
          </cell>
          <cell r="T182" t="str">
            <v>NBN EN 14195:2015</v>
          </cell>
          <cell r="U182" t="str">
            <v>--</v>
          </cell>
          <cell r="V182" t="str">
            <v>--</v>
          </cell>
          <cell r="AA182" t="str">
            <v>A1</v>
          </cell>
          <cell r="AC182" t="str">
            <v>(blanco)</v>
          </cell>
          <cell r="AD182" t="str">
            <v>(blanco)</v>
          </cell>
          <cell r="AE182">
            <v>1</v>
          </cell>
          <cell r="AL182" t="str">
            <v>(blanco)</v>
          </cell>
          <cell r="AM182" t="str">
            <v>(blanco)</v>
          </cell>
          <cell r="AN182" t="str">
            <v>(blanco)</v>
          </cell>
          <cell r="AP182">
            <v>50</v>
          </cell>
          <cell r="AR182">
            <v>11.06</v>
          </cell>
          <cell r="AS182">
            <v>11.2</v>
          </cell>
          <cell r="AT182">
            <v>0</v>
          </cell>
          <cell r="AX182">
            <v>0.65</v>
          </cell>
          <cell r="AY182" t="str">
            <v>01.02.2015</v>
          </cell>
          <cell r="AZ182">
            <v>0</v>
          </cell>
          <cell r="BA182" t="str">
            <v>00.00.0000</v>
          </cell>
          <cell r="BB182" t="str">
            <v>ST</v>
          </cell>
          <cell r="BC182" t="str">
            <v>******</v>
          </cell>
          <cell r="BD182" t="str">
            <v>S</v>
          </cell>
          <cell r="BE182">
            <v>5413218562690</v>
          </cell>
        </row>
        <row r="183">
          <cell r="A183" t="str">
            <v>G115814</v>
          </cell>
          <cell r="B183" t="str">
            <v>G115814</v>
          </cell>
          <cell r="C183" t="str">
            <v>D1DBD01D012D001</v>
          </cell>
          <cell r="D183" t="str">
            <v>ACC PLAGYP *</v>
          </cell>
          <cell r="E183" t="str">
            <v>D1DB</v>
          </cell>
          <cell r="F183" t="str">
            <v>Toebehoren Platen *</v>
          </cell>
          <cell r="G183" t="str">
            <v>G115814</v>
          </cell>
          <cell r="H183" t="str">
            <v>bestaand</v>
          </cell>
          <cell r="I183" t="str">
            <v>01.01.2013</v>
          </cell>
          <cell r="J183" t="str">
            <v>Yes</v>
          </cell>
          <cell r="K183" t="str">
            <v>Professional</v>
          </cell>
          <cell r="L183" t="str">
            <v>PLAGYP</v>
          </cell>
          <cell r="M183" t="str">
            <v>NL 800</v>
          </cell>
          <cell r="N183" t="str">
            <v>PLAGYP NL800 NONIUS BOVENDEEL</v>
          </cell>
          <cell r="O183" t="str">
            <v>Nonius partie supérieure PlaGyp NL800</v>
          </cell>
          <cell r="P183" t="str">
            <v>(blanco)</v>
          </cell>
          <cell r="Q183" t="str">
            <v>(blanco)</v>
          </cell>
          <cell r="R183" t="str">
            <v>(blanco)</v>
          </cell>
          <cell r="S183" t="str">
            <v>(blanco)</v>
          </cell>
          <cell r="T183" t="str">
            <v>NBN EN 14195:2015</v>
          </cell>
          <cell r="U183" t="str">
            <v>--</v>
          </cell>
          <cell r="V183" t="str">
            <v>--</v>
          </cell>
          <cell r="AA183" t="str">
            <v>A1</v>
          </cell>
          <cell r="AC183" t="str">
            <v>(blanco)</v>
          </cell>
          <cell r="AD183" t="str">
            <v>(blanco)</v>
          </cell>
          <cell r="AE183">
            <v>1</v>
          </cell>
          <cell r="AL183" t="str">
            <v>(blanco)</v>
          </cell>
          <cell r="AM183" t="str">
            <v>(blanco)</v>
          </cell>
          <cell r="AN183" t="str">
            <v>(blanco)</v>
          </cell>
          <cell r="AP183">
            <v>50</v>
          </cell>
          <cell r="AR183">
            <v>15.04</v>
          </cell>
          <cell r="AS183">
            <v>15.2</v>
          </cell>
          <cell r="AT183">
            <v>0</v>
          </cell>
          <cell r="AX183">
            <v>0.89</v>
          </cell>
          <cell r="AY183" t="str">
            <v>01.02.2015</v>
          </cell>
          <cell r="AZ183">
            <v>0</v>
          </cell>
          <cell r="BA183" t="str">
            <v>00.00.0000</v>
          </cell>
          <cell r="BB183" t="str">
            <v>ST</v>
          </cell>
          <cell r="BC183" t="str">
            <v>******</v>
          </cell>
          <cell r="BD183" t="str">
            <v>S</v>
          </cell>
          <cell r="BE183">
            <v>5413218562706</v>
          </cell>
        </row>
        <row r="184">
          <cell r="A184" t="str">
            <v>G115815</v>
          </cell>
          <cell r="B184" t="str">
            <v>G115815</v>
          </cell>
          <cell r="C184" t="str">
            <v>D1DBD01D012D001</v>
          </cell>
          <cell r="D184" t="str">
            <v>ACC PLAGYP *</v>
          </cell>
          <cell r="E184" t="str">
            <v>D1DB</v>
          </cell>
          <cell r="F184" t="str">
            <v>Toebehoren Platen *</v>
          </cell>
          <cell r="G184" t="str">
            <v>G115815</v>
          </cell>
          <cell r="H184" t="str">
            <v>bestaand</v>
          </cell>
          <cell r="I184" t="str">
            <v>01.01.2013</v>
          </cell>
          <cell r="J184" t="str">
            <v>Yes</v>
          </cell>
          <cell r="K184" t="str">
            <v>Professional</v>
          </cell>
          <cell r="L184" t="str">
            <v>PLAGYP</v>
          </cell>
          <cell r="M184" t="str">
            <v>NL 1000</v>
          </cell>
          <cell r="N184" t="str">
            <v>PLAGYP NL1000 NONIUS BOVENDEEL</v>
          </cell>
          <cell r="O184" t="str">
            <v>Nonius partie supérieure PlaGyp NL1000</v>
          </cell>
          <cell r="P184" t="str">
            <v>(blanco)</v>
          </cell>
          <cell r="Q184" t="str">
            <v>(blanco)</v>
          </cell>
          <cell r="R184" t="str">
            <v>(blanco)</v>
          </cell>
          <cell r="S184" t="str">
            <v>(blanco)</v>
          </cell>
          <cell r="T184" t="str">
            <v>NBN EN 14195:2015</v>
          </cell>
          <cell r="U184" t="str">
            <v>--</v>
          </cell>
          <cell r="V184" t="str">
            <v>--</v>
          </cell>
          <cell r="AA184" t="str">
            <v>A1</v>
          </cell>
          <cell r="AC184" t="str">
            <v>(blanco)</v>
          </cell>
          <cell r="AD184" t="str">
            <v>(blanco)</v>
          </cell>
          <cell r="AE184">
            <v>1</v>
          </cell>
          <cell r="AL184" t="str">
            <v>(blanco)</v>
          </cell>
          <cell r="AM184" t="str">
            <v>(blanco)</v>
          </cell>
          <cell r="AN184" t="str">
            <v>(blanco)</v>
          </cell>
          <cell r="AP184">
            <v>50</v>
          </cell>
          <cell r="AR184">
            <v>19</v>
          </cell>
          <cell r="AS184">
            <v>19.2</v>
          </cell>
          <cell r="AT184">
            <v>0</v>
          </cell>
          <cell r="AX184">
            <v>1.1100000000000001</v>
          </cell>
          <cell r="AY184" t="str">
            <v>01.02.2015</v>
          </cell>
          <cell r="AZ184">
            <v>0</v>
          </cell>
          <cell r="BA184" t="str">
            <v>00.00.0000</v>
          </cell>
          <cell r="BB184" t="str">
            <v>ST</v>
          </cell>
          <cell r="BC184" t="str">
            <v>******</v>
          </cell>
          <cell r="BD184" t="str">
            <v>S</v>
          </cell>
          <cell r="BE184">
            <v>5413218562713</v>
          </cell>
        </row>
        <row r="185">
          <cell r="A185" t="str">
            <v>G115816</v>
          </cell>
          <cell r="B185" t="str">
            <v>G115816</v>
          </cell>
          <cell r="C185" t="str">
            <v>D1DBD01D012D001</v>
          </cell>
          <cell r="D185" t="str">
            <v>ACC PLAGYP *</v>
          </cell>
          <cell r="E185" t="str">
            <v>D1DB</v>
          </cell>
          <cell r="F185" t="str">
            <v>Toebehoren Platen *</v>
          </cell>
          <cell r="G185" t="str">
            <v>G115816</v>
          </cell>
          <cell r="H185" t="str">
            <v>bestaand</v>
          </cell>
          <cell r="I185" t="str">
            <v>01.01.2013</v>
          </cell>
          <cell r="J185" t="str">
            <v>Yes</v>
          </cell>
          <cell r="K185" t="str">
            <v>Professional</v>
          </cell>
          <cell r="L185" t="str">
            <v>PLAGYP</v>
          </cell>
          <cell r="M185" t="str">
            <v>NB</v>
          </cell>
          <cell r="N185" t="str">
            <v>PLAGYP NB NONIUS BORGPEN</v>
          </cell>
          <cell r="O185" t="str">
            <v>Goupille Nonius PlaGyp NB</v>
          </cell>
          <cell r="P185" t="str">
            <v>(blanco)</v>
          </cell>
          <cell r="Q185" t="str">
            <v>(blanco)</v>
          </cell>
          <cell r="R185" t="str">
            <v>(blanco)</v>
          </cell>
          <cell r="S185" t="str">
            <v>(blanco)</v>
          </cell>
          <cell r="T185" t="str">
            <v>NBN EN 14195:2015</v>
          </cell>
          <cell r="U185" t="str">
            <v>--</v>
          </cell>
          <cell r="V185" t="str">
            <v>--</v>
          </cell>
          <cell r="AA185" t="str">
            <v>A1</v>
          </cell>
          <cell r="AC185" t="str">
            <v>(blanco)</v>
          </cell>
          <cell r="AD185" t="str">
            <v>(blanco)</v>
          </cell>
          <cell r="AL185" t="str">
            <v>(blanco)</v>
          </cell>
          <cell r="AM185" t="str">
            <v>(blanco)</v>
          </cell>
          <cell r="AN185" t="str">
            <v>(blanco)</v>
          </cell>
          <cell r="AP185">
            <v>50</v>
          </cell>
          <cell r="AR185">
            <v>20.6</v>
          </cell>
          <cell r="AS185">
            <v>20.8</v>
          </cell>
          <cell r="AT185">
            <v>0</v>
          </cell>
          <cell r="AX185">
            <v>0.1</v>
          </cell>
          <cell r="AY185" t="str">
            <v>01.02.2015</v>
          </cell>
          <cell r="AZ185">
            <v>0</v>
          </cell>
          <cell r="BA185" t="str">
            <v>00.00.0000</v>
          </cell>
          <cell r="BB185" t="str">
            <v>ST</v>
          </cell>
          <cell r="BC185" t="str">
            <v>******</v>
          </cell>
          <cell r="BD185" t="str">
            <v>S</v>
          </cell>
          <cell r="BE185">
            <v>5413218562720</v>
          </cell>
        </row>
        <row r="186">
          <cell r="A186" t="str">
            <v>G116024</v>
          </cell>
          <cell r="B186" t="str">
            <v>G116024</v>
          </cell>
          <cell r="C186" t="str">
            <v>D1DBD01D012D001</v>
          </cell>
          <cell r="D186" t="str">
            <v>ACC PLAGYP *</v>
          </cell>
          <cell r="E186" t="str">
            <v>D1DB</v>
          </cell>
          <cell r="F186" t="str">
            <v>Toebehoren Platen *</v>
          </cell>
          <cell r="G186" t="str">
            <v>G116024</v>
          </cell>
          <cell r="H186" t="str">
            <v>bestaand</v>
          </cell>
          <cell r="I186" t="str">
            <v>01.01.2013</v>
          </cell>
          <cell r="J186" t="str">
            <v>Yes</v>
          </cell>
          <cell r="K186" t="str">
            <v>Professional</v>
          </cell>
          <cell r="L186" t="str">
            <v>PLAGYP</v>
          </cell>
          <cell r="M186" t="str">
            <v>PX60/60</v>
          </cell>
          <cell r="N186" t="str">
            <v>PLAGYP PX 60/60 KRUISVERBINDER</v>
          </cell>
          <cell r="O186" t="str">
            <v>Raccord en croix PlaGyp PX 60/60</v>
          </cell>
          <cell r="P186" t="str">
            <v>(blanco)</v>
          </cell>
          <cell r="Q186" t="str">
            <v>(blanco)</v>
          </cell>
          <cell r="R186" t="str">
            <v>(blanco)</v>
          </cell>
          <cell r="S186" t="str">
            <v>(blanco)</v>
          </cell>
          <cell r="T186" t="str">
            <v>NBN EN 14195:2015</v>
          </cell>
          <cell r="U186" t="str">
            <v>--</v>
          </cell>
          <cell r="V186" t="str">
            <v>--</v>
          </cell>
          <cell r="AA186" t="str">
            <v>A1</v>
          </cell>
          <cell r="AC186" t="str">
            <v>(blanco)</v>
          </cell>
          <cell r="AD186" t="str">
            <v>(blanco)</v>
          </cell>
          <cell r="AE186">
            <v>1</v>
          </cell>
          <cell r="AL186" t="str">
            <v>(blanco)</v>
          </cell>
          <cell r="AM186" t="str">
            <v>(blanco)</v>
          </cell>
          <cell r="AN186" t="str">
            <v>(blanco)</v>
          </cell>
          <cell r="AP186">
            <v>50</v>
          </cell>
          <cell r="AR186">
            <v>14</v>
          </cell>
          <cell r="AS186">
            <v>14.2</v>
          </cell>
          <cell r="AT186">
            <v>0</v>
          </cell>
          <cell r="AX186">
            <v>1.4</v>
          </cell>
          <cell r="AY186" t="str">
            <v>01.02.2015</v>
          </cell>
          <cell r="AZ186">
            <v>0</v>
          </cell>
          <cell r="BA186" t="str">
            <v>00.00.0000</v>
          </cell>
          <cell r="BB186" t="str">
            <v>ST</v>
          </cell>
          <cell r="BC186" t="str">
            <v>******</v>
          </cell>
          <cell r="BD186" t="str">
            <v>S</v>
          </cell>
          <cell r="BE186">
            <v>5413218562737</v>
          </cell>
        </row>
        <row r="187">
          <cell r="A187" t="str">
            <v>G116899</v>
          </cell>
          <cell r="B187" t="str">
            <v>G116899</v>
          </cell>
          <cell r="C187" t="str">
            <v>D1DFD05D003D004</v>
          </cell>
          <cell r="D187" t="str">
            <v>Afwerkingsprofielen M</v>
          </cell>
          <cell r="E187" t="str">
            <v>D1DF</v>
          </cell>
          <cell r="F187" t="str">
            <v>Andere Toebehoren *</v>
          </cell>
          <cell r="G187" t="str">
            <v>G116899</v>
          </cell>
          <cell r="H187" t="str">
            <v>bestaand</v>
          </cell>
          <cell r="I187" t="str">
            <v>01.01.2013</v>
          </cell>
          <cell r="J187" t="str">
            <v>Yes</v>
          </cell>
          <cell r="K187" t="str">
            <v>Professional</v>
          </cell>
          <cell r="L187" t="str">
            <v>Gyproc</v>
          </cell>
          <cell r="M187" t="str">
            <v>BOARD STOP 12,5 MM</v>
          </cell>
          <cell r="N187" t="str">
            <v>BOARD STOP STOPPROFIEL 12.5 MM / 3 M</v>
          </cell>
          <cell r="O187" t="str">
            <v>BOARD STOP STOPPROFIEL 12.5 MM 3-M</v>
          </cell>
          <cell r="P187" t="str">
            <v>(blanco)</v>
          </cell>
          <cell r="Q187" t="str">
            <v>(blanco)</v>
          </cell>
          <cell r="R187" t="str">
            <v>(blanco)</v>
          </cell>
          <cell r="S187" t="str">
            <v>(blanco)</v>
          </cell>
          <cell r="T187" t="str">
            <v>--</v>
          </cell>
          <cell r="AC187" t="str">
            <v>(blanco)</v>
          </cell>
          <cell r="AD187" t="str">
            <v>(blanco)</v>
          </cell>
          <cell r="AE187">
            <v>1</v>
          </cell>
          <cell r="AL187" t="str">
            <v>(blanco)</v>
          </cell>
          <cell r="AM187" t="str">
            <v>(blanco)</v>
          </cell>
          <cell r="AN187" t="str">
            <v>(blanco)</v>
          </cell>
          <cell r="AP187">
            <v>50</v>
          </cell>
          <cell r="AR187">
            <v>0.73499999999999999</v>
          </cell>
          <cell r="AS187">
            <v>0.73799999999999999</v>
          </cell>
          <cell r="AT187">
            <v>0</v>
          </cell>
          <cell r="AX187">
            <v>1.64</v>
          </cell>
          <cell r="AY187" t="str">
            <v>01.02.2015</v>
          </cell>
          <cell r="AZ187">
            <v>0</v>
          </cell>
          <cell r="BA187" t="str">
            <v>00.00.0000</v>
          </cell>
          <cell r="BB187" t="str">
            <v>M</v>
          </cell>
          <cell r="BC187" t="str">
            <v>M</v>
          </cell>
          <cell r="BD187" t="str">
            <v>S</v>
          </cell>
          <cell r="BE187">
            <v>5413218562836</v>
          </cell>
        </row>
        <row r="188">
          <cell r="A188" t="str">
            <v>G118856</v>
          </cell>
          <cell r="B188" t="str">
            <v>G118856</v>
          </cell>
          <cell r="C188" t="str">
            <v>A1ABA01A001A002</v>
          </cell>
          <cell r="D188" t="str">
            <v>GY A ABA 6,5 / 900 M2</v>
          </cell>
          <cell r="E188" t="str">
            <v>A1AB</v>
          </cell>
          <cell r="F188" t="str">
            <v>Technische platen M2</v>
          </cell>
          <cell r="G188" t="str">
            <v>ZIB00001</v>
          </cell>
          <cell r="H188" t="str">
            <v>bestaand</v>
          </cell>
          <cell r="I188" t="str">
            <v>01.01.2013</v>
          </cell>
          <cell r="J188" t="str">
            <v>Yes</v>
          </cell>
          <cell r="K188" t="str">
            <v>Professional</v>
          </cell>
          <cell r="L188" t="str">
            <v>Gyproc</v>
          </cell>
          <cell r="M188" t="str">
            <v>Gyproc A</v>
          </cell>
          <cell r="N188" t="str">
            <v>GY ABA A 6.5 X 3000 X 900 WP/60 ZZB</v>
          </cell>
          <cell r="O188" t="str">
            <v>GY ABA A 6.5 X 3000 X 900 WP/60 ZZB</v>
          </cell>
          <cell r="P188" t="str">
            <v>ivoor</v>
          </cell>
          <cell r="Q188" t="str">
            <v>ivoire</v>
          </cell>
          <cell r="R188" t="str">
            <v>grijs</v>
          </cell>
          <cell r="S188" t="str">
            <v>gris</v>
          </cell>
          <cell r="T188" t="str">
            <v>NBN EN 520:2009</v>
          </cell>
          <cell r="U188" t="str">
            <v>A</v>
          </cell>
          <cell r="V188" t="str">
            <v>A</v>
          </cell>
          <cell r="Y188" t="str">
            <v>gipsplaat voor droge binnenafbouw</v>
          </cell>
          <cell r="AA188" t="str">
            <v>A2-s1, d0 (B)</v>
          </cell>
          <cell r="AB188" t="str">
            <v>SG_GY_2013_A1ABA01A001</v>
          </cell>
          <cell r="AC188" t="str">
            <v>ABA</v>
          </cell>
          <cell r="AD188" t="str">
            <v>ZZB: zichtzijde boven</v>
          </cell>
          <cell r="AE188">
            <v>6.5</v>
          </cell>
          <cell r="AH188" t="str">
            <v>+/-0.5</v>
          </cell>
          <cell r="AI188">
            <v>0</v>
          </cell>
          <cell r="AJ188">
            <v>0</v>
          </cell>
          <cell r="AL188" t="str">
            <v>Geen eisen gesteld</v>
          </cell>
          <cell r="AM188" t="str">
            <v>Pas de exigences</v>
          </cell>
          <cell r="AN188" t="str">
            <v>kg/m³</v>
          </cell>
          <cell r="AP188">
            <v>0.25</v>
          </cell>
          <cell r="AQ188">
            <v>0.03</v>
          </cell>
          <cell r="AR188">
            <v>13.904999999999999</v>
          </cell>
          <cell r="AS188">
            <v>14.606999999999999</v>
          </cell>
          <cell r="AT188">
            <v>22.05</v>
          </cell>
          <cell r="AU188" t="str">
            <v>CD3</v>
          </cell>
          <cell r="AV188" t="str">
            <v>WP : Wegwerppallet</v>
          </cell>
          <cell r="AW188">
            <v>7</v>
          </cell>
          <cell r="AX188">
            <v>6.87</v>
          </cell>
          <cell r="AY188" t="str">
            <v>01.02.2015</v>
          </cell>
          <cell r="AZ188">
            <v>0</v>
          </cell>
          <cell r="BA188" t="str">
            <v>00.00.0000</v>
          </cell>
          <cell r="BB188" t="str">
            <v>M2</v>
          </cell>
          <cell r="BC188" t="str">
            <v>M2</v>
          </cell>
          <cell r="BD188" t="str">
            <v>S</v>
          </cell>
          <cell r="BE188">
            <v>5413218002196</v>
          </cell>
        </row>
        <row r="189">
          <cell r="A189" t="str">
            <v>G118933</v>
          </cell>
          <cell r="B189" t="str">
            <v>G118933</v>
          </cell>
          <cell r="C189" t="str">
            <v>D1DBD01D012D001</v>
          </cell>
          <cell r="D189" t="str">
            <v>ACC PLAGYP *</v>
          </cell>
          <cell r="E189" t="str">
            <v>D1DB</v>
          </cell>
          <cell r="F189" t="str">
            <v>Toebehoren Platen *</v>
          </cell>
          <cell r="G189" t="str">
            <v>G118933</v>
          </cell>
          <cell r="H189" t="str">
            <v>bestaand</v>
          </cell>
          <cell r="I189" t="str">
            <v>01.01.2013</v>
          </cell>
          <cell r="J189" t="str">
            <v>Yes</v>
          </cell>
          <cell r="K189" t="str">
            <v>Professional</v>
          </cell>
          <cell r="L189" t="str">
            <v>PLAGYP</v>
          </cell>
          <cell r="M189" t="str">
            <v>PF/60</v>
          </cell>
          <cell r="N189" t="str">
            <v>PLAGYP PF/60</v>
          </cell>
          <cell r="O189" t="str">
            <v>PLAGYP PF/60</v>
          </cell>
          <cell r="P189" t="str">
            <v>(blanco)</v>
          </cell>
          <cell r="Q189" t="str">
            <v>(blanco)</v>
          </cell>
          <cell r="R189" t="str">
            <v>(blanco)</v>
          </cell>
          <cell r="S189" t="str">
            <v>(blanco)</v>
          </cell>
          <cell r="T189" t="str">
            <v>NBN EN 14195:2015</v>
          </cell>
          <cell r="U189" t="str">
            <v>--</v>
          </cell>
          <cell r="V189" t="str">
            <v>--</v>
          </cell>
          <cell r="AA189" t="str">
            <v>A1</v>
          </cell>
          <cell r="AC189" t="str">
            <v>(blanco)</v>
          </cell>
          <cell r="AD189" t="str">
            <v>(blanco)</v>
          </cell>
          <cell r="AL189" t="str">
            <v>(blanco)</v>
          </cell>
          <cell r="AM189" t="str">
            <v>(blanco)</v>
          </cell>
          <cell r="AN189" t="str">
            <v>(blanco)</v>
          </cell>
          <cell r="AP189">
            <v>50</v>
          </cell>
          <cell r="AR189">
            <v>3.9</v>
          </cell>
          <cell r="AS189">
            <v>4.0999999999999996</v>
          </cell>
          <cell r="AT189">
            <v>0</v>
          </cell>
          <cell r="AX189">
            <v>2.46</v>
          </cell>
          <cell r="AY189" t="str">
            <v>01.02.2015</v>
          </cell>
          <cell r="AZ189">
            <v>0</v>
          </cell>
          <cell r="BA189" t="str">
            <v>00.00.0000</v>
          </cell>
          <cell r="BB189" t="str">
            <v>ST</v>
          </cell>
          <cell r="BC189" t="str">
            <v>******</v>
          </cell>
          <cell r="BD189" t="str">
            <v>S</v>
          </cell>
          <cell r="BE189">
            <v>5413218563208</v>
          </cell>
        </row>
        <row r="190">
          <cell r="A190" t="str">
            <v>G119602</v>
          </cell>
          <cell r="B190" t="str">
            <v>G119602</v>
          </cell>
          <cell r="C190" t="str">
            <v>D1DCD01D005D032</v>
          </cell>
          <cell r="D190" t="str">
            <v>DIY - Schroeven KAR</v>
          </cell>
          <cell r="E190" t="str">
            <v>D1DC</v>
          </cell>
          <cell r="F190" t="str">
            <v>Toebehoren Bevestigingen *</v>
          </cell>
          <cell r="G190" t="str">
            <v>G119602</v>
          </cell>
          <cell r="H190" t="str">
            <v>bestaand</v>
          </cell>
          <cell r="I190" t="str">
            <v>01.01.2013</v>
          </cell>
          <cell r="J190" t="str">
            <v>Yes</v>
          </cell>
          <cell r="K190" t="str">
            <v>Doe-Het-Zelver</v>
          </cell>
          <cell r="L190" t="str">
            <v>Gyproc</v>
          </cell>
          <cell r="M190" t="str">
            <v>DIY TEKSSCHROEVEN</v>
          </cell>
          <cell r="N190" t="str">
            <v>DIY - Teksschroeven 13 MM / 100 ST</v>
          </cell>
          <cell r="O190" t="str">
            <v>Vis teks 13 MM (car/100pcs)</v>
          </cell>
          <cell r="P190" t="str">
            <v>(blanco)</v>
          </cell>
          <cell r="Q190" t="str">
            <v>(blanco)</v>
          </cell>
          <cell r="R190" t="str">
            <v>(blanco)</v>
          </cell>
          <cell r="S190" t="str">
            <v>(blanco)</v>
          </cell>
          <cell r="T190" t="str">
            <v>NBN EN 14566+A1:2009</v>
          </cell>
          <cell r="U190" t="str">
            <v>WSD</v>
          </cell>
          <cell r="V190" t="str">
            <v>--</v>
          </cell>
          <cell r="AA190" t="str">
            <v>A1</v>
          </cell>
          <cell r="AC190" t="str">
            <v>(blanco)</v>
          </cell>
          <cell r="AD190" t="str">
            <v>(blanco)</v>
          </cell>
          <cell r="AE190" t="str">
            <v>4,2</v>
          </cell>
          <cell r="AL190" t="str">
            <v>(blanco)</v>
          </cell>
          <cell r="AM190" t="str">
            <v>(blanco)</v>
          </cell>
          <cell r="AN190" t="str">
            <v>(blanco)</v>
          </cell>
          <cell r="AP190">
            <v>50</v>
          </cell>
          <cell r="AR190">
            <v>0.1</v>
          </cell>
          <cell r="AS190">
            <v>0.105</v>
          </cell>
          <cell r="AT190">
            <v>0</v>
          </cell>
          <cell r="AX190">
            <v>5.66</v>
          </cell>
          <cell r="AY190" t="str">
            <v>01.02.2015</v>
          </cell>
          <cell r="AZ190">
            <v>0</v>
          </cell>
          <cell r="BA190" t="str">
            <v>00.00.0000</v>
          </cell>
          <cell r="BB190" t="str">
            <v>KAR</v>
          </cell>
          <cell r="BC190" t="str">
            <v>******</v>
          </cell>
          <cell r="BD190" t="str">
            <v>S</v>
          </cell>
          <cell r="BE190">
            <v>5413218563093</v>
          </cell>
        </row>
        <row r="191">
          <cell r="A191" t="str">
            <v>G120993</v>
          </cell>
          <cell r="B191" t="str">
            <v>G120993</v>
          </cell>
          <cell r="C191" t="str">
            <v>D1DCD01D005D036</v>
          </cell>
          <cell r="D191" t="str">
            <v>DIY - Pluggen KAR</v>
          </cell>
          <cell r="E191" t="str">
            <v>D1DC</v>
          </cell>
          <cell r="F191" t="str">
            <v>Toebehoren Bevestigingen *</v>
          </cell>
          <cell r="G191" t="str">
            <v>G120993</v>
          </cell>
          <cell r="H191" t="str">
            <v>bestaand</v>
          </cell>
          <cell r="I191" t="str">
            <v>01.01.2013</v>
          </cell>
          <cell r="J191" t="str">
            <v>Yes</v>
          </cell>
          <cell r="K191" t="str">
            <v>Doe-Het-Zelver</v>
          </cell>
          <cell r="L191" t="str">
            <v>Gyproc</v>
          </cell>
          <cell r="M191" t="str">
            <v>DIY WANDPLUGGEN ENKELE BEPLATI</v>
          </cell>
          <cell r="N191" t="str">
            <v>DIY - Wandpluggen Enkele Beplating</v>
          </cell>
          <cell r="O191" t="str">
            <v>Chevilles cloison revêtement simple</v>
          </cell>
          <cell r="P191" t="str">
            <v>(blanco)</v>
          </cell>
          <cell r="Q191" t="str">
            <v>(blanco)</v>
          </cell>
          <cell r="R191" t="str">
            <v>(blanco)</v>
          </cell>
          <cell r="S191" t="str">
            <v>(blanco)</v>
          </cell>
          <cell r="T191" t="str">
            <v>--</v>
          </cell>
          <cell r="AA191" t="str">
            <v>(blanco)</v>
          </cell>
          <cell r="AC191" t="str">
            <v>(blanco)</v>
          </cell>
          <cell r="AD191" t="str">
            <v>(blanco)</v>
          </cell>
          <cell r="AE191">
            <v>0</v>
          </cell>
          <cell r="AL191" t="str">
            <v>(blanco)</v>
          </cell>
          <cell r="AM191" t="str">
            <v>(blanco)</v>
          </cell>
          <cell r="AN191" t="str">
            <v>(blanco)</v>
          </cell>
          <cell r="AR191">
            <v>1.2</v>
          </cell>
          <cell r="AS191">
            <v>1.2</v>
          </cell>
          <cell r="AT191">
            <v>0</v>
          </cell>
          <cell r="AX191">
            <v>5.0599999999999996</v>
          </cell>
          <cell r="AY191" t="str">
            <v>01.02.2015</v>
          </cell>
          <cell r="AZ191">
            <v>0</v>
          </cell>
          <cell r="BA191" t="str">
            <v>00.00.0000</v>
          </cell>
          <cell r="BB191" t="str">
            <v>KAR</v>
          </cell>
          <cell r="BC191" t="str">
            <v>******</v>
          </cell>
          <cell r="BD191" t="str">
            <v>S</v>
          </cell>
          <cell r="BE191">
            <v>5413218563123</v>
          </cell>
        </row>
        <row r="192">
          <cell r="A192" t="str">
            <v>G120994</v>
          </cell>
          <cell r="B192" t="str">
            <v>G120994</v>
          </cell>
          <cell r="C192" t="str">
            <v>D1DCD01D005D036</v>
          </cell>
          <cell r="D192" t="str">
            <v>DIY - Pluggen KAR</v>
          </cell>
          <cell r="E192" t="str">
            <v>D1DC</v>
          </cell>
          <cell r="F192" t="str">
            <v>Toebehoren Bevestigingen *</v>
          </cell>
          <cell r="G192" t="str">
            <v>G120994</v>
          </cell>
          <cell r="H192" t="str">
            <v>bestaand</v>
          </cell>
          <cell r="I192" t="str">
            <v>01.01.2013</v>
          </cell>
          <cell r="J192" t="str">
            <v>Yes</v>
          </cell>
          <cell r="K192" t="str">
            <v>Doe-Het-Zelver</v>
          </cell>
          <cell r="L192" t="str">
            <v>Gyproc</v>
          </cell>
          <cell r="M192" t="str">
            <v>DIY WANDPLUGGEN DUBBELE BEPLAT</v>
          </cell>
          <cell r="N192" t="str">
            <v>DIY - Wandpluggen Dubbele Beplating</v>
          </cell>
          <cell r="O192" t="str">
            <v>Chevilles cloison revêtement double</v>
          </cell>
          <cell r="P192" t="str">
            <v>(blanco)</v>
          </cell>
          <cell r="Q192" t="str">
            <v>(blanco)</v>
          </cell>
          <cell r="R192" t="str">
            <v>(blanco)</v>
          </cell>
          <cell r="S192" t="str">
            <v>(blanco)</v>
          </cell>
          <cell r="T192" t="str">
            <v>--</v>
          </cell>
          <cell r="AA192" t="str">
            <v>(blanco)</v>
          </cell>
          <cell r="AC192" t="str">
            <v>(blanco)</v>
          </cell>
          <cell r="AD192" t="str">
            <v>(blanco)</v>
          </cell>
          <cell r="AE192">
            <v>0</v>
          </cell>
          <cell r="AL192" t="str">
            <v>(blanco)</v>
          </cell>
          <cell r="AM192" t="str">
            <v>(blanco)</v>
          </cell>
          <cell r="AN192" t="str">
            <v>(blanco)</v>
          </cell>
          <cell r="AR192">
            <v>1.7</v>
          </cell>
          <cell r="AS192">
            <v>1.7</v>
          </cell>
          <cell r="AT192">
            <v>0</v>
          </cell>
          <cell r="AX192">
            <v>5.63</v>
          </cell>
          <cell r="AY192" t="str">
            <v>01.02.2015</v>
          </cell>
          <cell r="AZ192">
            <v>0</v>
          </cell>
          <cell r="BA192" t="str">
            <v>00.00.0000</v>
          </cell>
          <cell r="BB192" t="str">
            <v>KAR</v>
          </cell>
          <cell r="BC192" t="str">
            <v>******</v>
          </cell>
          <cell r="BD192" t="str">
            <v>S</v>
          </cell>
          <cell r="BE192">
            <v>5413218567794</v>
          </cell>
        </row>
        <row r="193">
          <cell r="A193" t="str">
            <v>G120995</v>
          </cell>
          <cell r="B193" t="str">
            <v>G120995</v>
          </cell>
          <cell r="C193" t="str">
            <v>D1DCD01D005D036</v>
          </cell>
          <cell r="D193" t="str">
            <v>DIY - Pluggen KAR</v>
          </cell>
          <cell r="E193" t="str">
            <v>D1DC</v>
          </cell>
          <cell r="F193" t="str">
            <v>Toebehoren Bevestigingen *</v>
          </cell>
          <cell r="G193" t="str">
            <v>G120995</v>
          </cell>
          <cell r="H193" t="str">
            <v>bestaand</v>
          </cell>
          <cell r="I193" t="str">
            <v>01.01.2013</v>
          </cell>
          <cell r="J193" t="str">
            <v>Yes</v>
          </cell>
          <cell r="K193" t="str">
            <v>Doe-Het-Zelver</v>
          </cell>
          <cell r="L193" t="str">
            <v>Gyproc</v>
          </cell>
          <cell r="M193" t="str">
            <v>DIY SCHROEFPLUGGEN</v>
          </cell>
          <cell r="N193" t="str">
            <v>DIY - Schroefpluggen</v>
          </cell>
          <cell r="O193" t="str">
            <v>Chevilles (12 car)</v>
          </cell>
          <cell r="P193" t="str">
            <v>(blanco)</v>
          </cell>
          <cell r="Q193" t="str">
            <v>(blanco)</v>
          </cell>
          <cell r="R193" t="str">
            <v>(blanco)</v>
          </cell>
          <cell r="S193" t="str">
            <v>(blanco)</v>
          </cell>
          <cell r="T193" t="str">
            <v>--</v>
          </cell>
          <cell r="AA193" t="str">
            <v>(blanco)</v>
          </cell>
          <cell r="AC193" t="str">
            <v>(blanco)</v>
          </cell>
          <cell r="AD193" t="str">
            <v>(blanco)</v>
          </cell>
          <cell r="AE193">
            <v>0</v>
          </cell>
          <cell r="AL193" t="str">
            <v>(blanco)</v>
          </cell>
          <cell r="AM193" t="str">
            <v>(blanco)</v>
          </cell>
          <cell r="AN193" t="str">
            <v>(blanco)</v>
          </cell>
          <cell r="AR193">
            <v>1.2</v>
          </cell>
          <cell r="AS193">
            <v>1.2</v>
          </cell>
          <cell r="AT193">
            <v>0</v>
          </cell>
          <cell r="AX193">
            <v>5.81</v>
          </cell>
          <cell r="AY193" t="str">
            <v>01.02.2015</v>
          </cell>
          <cell r="AZ193">
            <v>0</v>
          </cell>
          <cell r="BA193" t="str">
            <v>00.00.0000</v>
          </cell>
          <cell r="BB193" t="str">
            <v>KAR</v>
          </cell>
          <cell r="BC193" t="str">
            <v>******</v>
          </cell>
          <cell r="BD193" t="str">
            <v>S</v>
          </cell>
          <cell r="BE193">
            <v>5413218563109</v>
          </cell>
        </row>
        <row r="194">
          <cell r="A194" t="str">
            <v>G120996</v>
          </cell>
          <cell r="B194" t="str">
            <v>G120996</v>
          </cell>
          <cell r="C194" t="str">
            <v>D1DCD01D005D036</v>
          </cell>
          <cell r="D194" t="str">
            <v>DIY - Pluggen KAR</v>
          </cell>
          <cell r="E194" t="str">
            <v>D1DC</v>
          </cell>
          <cell r="F194" t="str">
            <v>Toebehoren Bevestigingen *</v>
          </cell>
          <cell r="G194" t="str">
            <v>G120996</v>
          </cell>
          <cell r="H194" t="str">
            <v>bestaand</v>
          </cell>
          <cell r="I194" t="str">
            <v>01.01.2013</v>
          </cell>
          <cell r="J194" t="str">
            <v>Yes</v>
          </cell>
          <cell r="K194" t="str">
            <v>Doe-Het-Zelver</v>
          </cell>
          <cell r="L194" t="str">
            <v>Gyproc</v>
          </cell>
          <cell r="M194" t="str">
            <v>DIY PLAFONDPLUGGEN</v>
          </cell>
          <cell r="N194" t="str">
            <v>DIY - Plafondpluggen</v>
          </cell>
          <cell r="O194" t="str">
            <v>Chevilles pour plafond (12 car)</v>
          </cell>
          <cell r="P194" t="str">
            <v>(blanco)</v>
          </cell>
          <cell r="Q194" t="str">
            <v>(blanco)</v>
          </cell>
          <cell r="R194" t="str">
            <v>(blanco)</v>
          </cell>
          <cell r="S194" t="str">
            <v>(blanco)</v>
          </cell>
          <cell r="T194" t="str">
            <v>--</v>
          </cell>
          <cell r="AA194" t="str">
            <v>(blanco)</v>
          </cell>
          <cell r="AC194" t="str">
            <v>(blanco)</v>
          </cell>
          <cell r="AD194" t="str">
            <v>(blanco)</v>
          </cell>
          <cell r="AE194">
            <v>0</v>
          </cell>
          <cell r="AL194" t="str">
            <v>(blanco)</v>
          </cell>
          <cell r="AM194" t="str">
            <v>(blanco)</v>
          </cell>
          <cell r="AN194" t="str">
            <v>(blanco)</v>
          </cell>
          <cell r="AR194">
            <v>0.7</v>
          </cell>
          <cell r="AS194">
            <v>0.7</v>
          </cell>
          <cell r="AT194">
            <v>0</v>
          </cell>
          <cell r="AX194">
            <v>3.23</v>
          </cell>
          <cell r="AY194" t="str">
            <v>01.02.2015</v>
          </cell>
          <cell r="AZ194">
            <v>0</v>
          </cell>
          <cell r="BA194" t="str">
            <v>00.00.0000</v>
          </cell>
          <cell r="BB194" t="str">
            <v>KAR</v>
          </cell>
          <cell r="BC194" t="str">
            <v>******</v>
          </cell>
          <cell r="BD194" t="str">
            <v>S</v>
          </cell>
          <cell r="BE194">
            <v>5413218563116</v>
          </cell>
        </row>
        <row r="195">
          <cell r="A195" t="str">
            <v>G121316</v>
          </cell>
          <cell r="B195" t="str">
            <v>G121316</v>
          </cell>
          <cell r="C195" t="str">
            <v>D1DBD08D001D002</v>
          </cell>
          <cell r="D195" t="str">
            <v>Egalisatiekorrels *</v>
          </cell>
          <cell r="E195" t="str">
            <v>D1DB</v>
          </cell>
          <cell r="F195" t="str">
            <v>Toebehoren Platen *</v>
          </cell>
          <cell r="G195" t="str">
            <v>G121316</v>
          </cell>
          <cell r="H195" t="str">
            <v>bestaand</v>
          </cell>
          <cell r="I195" t="str">
            <v>01.01.2013</v>
          </cell>
          <cell r="J195" t="str">
            <v>Yes</v>
          </cell>
          <cell r="K195" t="str">
            <v>Professional</v>
          </cell>
          <cell r="L195" t="str">
            <v>Rigidur</v>
          </cell>
          <cell r="M195" t="str">
            <v>RIGIDUR EGALISATIEKORRELS</v>
          </cell>
          <cell r="N195" t="str">
            <v>EGALISATIEKORRELS 50L EP/30</v>
          </cell>
          <cell r="O195" t="str">
            <v>Granules d'égalisations Rigidur 50 L</v>
          </cell>
          <cell r="P195" t="str">
            <v>(blanco)</v>
          </cell>
          <cell r="Q195" t="str">
            <v>(blanco)</v>
          </cell>
          <cell r="R195" t="str">
            <v>(blanco)</v>
          </cell>
          <cell r="S195" t="str">
            <v>(blanco)</v>
          </cell>
          <cell r="T195" t="str">
            <v>--</v>
          </cell>
          <cell r="AA195" t="str">
            <v>A1</v>
          </cell>
          <cell r="AC195" t="str">
            <v>(blanco)</v>
          </cell>
          <cell r="AD195" t="str">
            <v>(blanco)</v>
          </cell>
          <cell r="AH195" t="str">
            <v>(blanco)</v>
          </cell>
          <cell r="AI195" t="str">
            <v>(blanco)</v>
          </cell>
          <cell r="AJ195" t="str">
            <v>(blanco)</v>
          </cell>
          <cell r="AL195">
            <v>450</v>
          </cell>
          <cell r="AM195">
            <v>450</v>
          </cell>
          <cell r="AN195" t="str">
            <v>kg/m³</v>
          </cell>
          <cell r="AP195">
            <v>0.16</v>
          </cell>
          <cell r="AR195">
            <v>22.5</v>
          </cell>
          <cell r="AS195">
            <v>22.6</v>
          </cell>
          <cell r="AT195">
            <v>0</v>
          </cell>
          <cell r="AV195" t="str">
            <v>EP : Euro Pallet</v>
          </cell>
          <cell r="AW195">
            <v>2</v>
          </cell>
          <cell r="AX195">
            <v>13.8</v>
          </cell>
          <cell r="AY195" t="str">
            <v>01.02.2015</v>
          </cell>
          <cell r="AZ195">
            <v>0</v>
          </cell>
          <cell r="BA195" t="str">
            <v>00.00.0000</v>
          </cell>
          <cell r="BB195" t="str">
            <v>ST</v>
          </cell>
          <cell r="BC195" t="str">
            <v>******</v>
          </cell>
          <cell r="BD195" t="str">
            <v>S</v>
          </cell>
          <cell r="BE195">
            <v>5413218575416</v>
          </cell>
        </row>
        <row r="196">
          <cell r="A196" t="str">
            <v>G121399</v>
          </cell>
          <cell r="B196" t="str">
            <v>G121399</v>
          </cell>
          <cell r="C196" t="str">
            <v>A1ABA35A008A002</v>
          </cell>
          <cell r="D196" t="str">
            <v>Rigidur E25 M2</v>
          </cell>
          <cell r="E196" t="str">
            <v>A1AB</v>
          </cell>
          <cell r="F196" t="str">
            <v>Technische platen M2</v>
          </cell>
          <cell r="G196" t="str">
            <v>G121399</v>
          </cell>
          <cell r="H196" t="str">
            <v>bestaand</v>
          </cell>
          <cell r="I196" t="str">
            <v>01.01.2013</v>
          </cell>
          <cell r="J196" t="str">
            <v>Yes</v>
          </cell>
          <cell r="K196" t="str">
            <v>Professional</v>
          </cell>
          <cell r="L196" t="str">
            <v>Rigidur</v>
          </cell>
          <cell r="M196" t="str">
            <v>RIGIDUR FLOOR E 25</v>
          </cell>
          <cell r="N196" t="str">
            <v>RIGIDUR VLOERPANEEL E 25 DP/40</v>
          </cell>
          <cell r="O196" t="str">
            <v>RIGIDUR VLOERPANEEL E 25 DP/40</v>
          </cell>
          <cell r="P196" t="str">
            <v>bruin</v>
          </cell>
          <cell r="Q196" t="str">
            <v>brun</v>
          </cell>
          <cell r="R196" t="str">
            <v>bruin</v>
          </cell>
          <cell r="S196" t="str">
            <v>brun</v>
          </cell>
          <cell r="T196" t="str">
            <v>NBN EN 14190:2014</v>
          </cell>
          <cell r="U196" t="str">
            <v>GF-C1-I-W2</v>
          </cell>
          <cell r="V196" t="str">
            <v>RDE</v>
          </cell>
          <cell r="Y196" t="str">
            <v>gipsplaat voor droge binnenafbouw</v>
          </cell>
          <cell r="AA196" t="str">
            <v>A2</v>
          </cell>
          <cell r="AB196" t="str">
            <v>SG_GY_2013_A1ABA35A008</v>
          </cell>
          <cell r="AC196" t="str">
            <v>GBC</v>
          </cell>
          <cell r="AD196" t="str">
            <v>ZZB: zichtzijde boven</v>
          </cell>
          <cell r="AE196">
            <v>25</v>
          </cell>
          <cell r="AH196" t="str">
            <v>+/-1</v>
          </cell>
          <cell r="AI196">
            <v>0</v>
          </cell>
          <cell r="AJ196">
            <v>0</v>
          </cell>
          <cell r="AL196" t="str">
            <v>Geen eisen gesteld</v>
          </cell>
          <cell r="AM196" t="str">
            <v>Pas de exigences</v>
          </cell>
          <cell r="AN196" t="str">
            <v>kg/m³</v>
          </cell>
          <cell r="AP196">
            <v>0.35</v>
          </cell>
          <cell r="AQ196">
            <v>0.13</v>
          </cell>
          <cell r="AR196">
            <v>22.4</v>
          </cell>
          <cell r="AS196">
            <v>22.8</v>
          </cell>
          <cell r="AT196">
            <v>22.5</v>
          </cell>
          <cell r="AU196" t="str">
            <v>CD3</v>
          </cell>
          <cell r="AV196" t="str">
            <v>DP : Duitse Pallet</v>
          </cell>
          <cell r="AW196">
            <v>3</v>
          </cell>
          <cell r="AX196">
            <v>20.29</v>
          </cell>
          <cell r="AY196" t="str">
            <v>01.02.2015</v>
          </cell>
          <cell r="AZ196">
            <v>0</v>
          </cell>
          <cell r="BA196" t="str">
            <v>00.00.0000</v>
          </cell>
          <cell r="BB196" t="str">
            <v>M2</v>
          </cell>
          <cell r="BC196" t="str">
            <v>M2</v>
          </cell>
          <cell r="BD196" t="str">
            <v>S</v>
          </cell>
          <cell r="BE196">
            <v>8711149000388</v>
          </cell>
        </row>
        <row r="197">
          <cell r="A197" t="str">
            <v>G121426</v>
          </cell>
          <cell r="B197" t="str">
            <v>G121426</v>
          </cell>
          <cell r="C197" t="str">
            <v>D1DBD08D001D001</v>
          </cell>
          <cell r="D197" t="str">
            <v>Rigidur Randstroken *</v>
          </cell>
          <cell r="E197" t="str">
            <v>D1DB</v>
          </cell>
          <cell r="F197" t="str">
            <v>Toebehoren Platen *</v>
          </cell>
          <cell r="G197" t="str">
            <v>G121426</v>
          </cell>
          <cell r="H197" t="str">
            <v>bestaand</v>
          </cell>
          <cell r="I197" t="str">
            <v>01.01.2013</v>
          </cell>
          <cell r="J197" t="str">
            <v>Yes</v>
          </cell>
          <cell r="K197" t="str">
            <v>Professional</v>
          </cell>
          <cell r="L197" t="str">
            <v>Rigidur</v>
          </cell>
          <cell r="M197" t="str">
            <v>RIGIDUR RANDISOLATIE STROKEN</v>
          </cell>
          <cell r="N197" t="str">
            <v>RIGIDUR RANDSTROKEN MF/100 CM</v>
          </cell>
          <cell r="O197" t="str">
            <v>Bandes latérales Rigidur MF/100 cm</v>
          </cell>
          <cell r="P197" t="str">
            <v>(blanco)</v>
          </cell>
          <cell r="Q197" t="str">
            <v>(blanco)</v>
          </cell>
          <cell r="R197" t="str">
            <v>(blanco)</v>
          </cell>
          <cell r="S197" t="str">
            <v>(blanco)</v>
          </cell>
          <cell r="AC197" t="str">
            <v>(blanco)</v>
          </cell>
          <cell r="AD197" t="str">
            <v>(blanco)</v>
          </cell>
          <cell r="AE197">
            <v>10</v>
          </cell>
          <cell r="AL197" t="str">
            <v>(blanco)</v>
          </cell>
          <cell r="AM197" t="str">
            <v>(blanco)</v>
          </cell>
          <cell r="AN197" t="str">
            <v>(blanco)</v>
          </cell>
          <cell r="AR197">
            <v>0.01</v>
          </cell>
          <cell r="AS197">
            <v>1.0999999999999999E-2</v>
          </cell>
          <cell r="AT197">
            <v>0</v>
          </cell>
          <cell r="AX197">
            <v>1.0900000000000001</v>
          </cell>
          <cell r="AY197" t="str">
            <v>01.02.2015</v>
          </cell>
          <cell r="AZ197">
            <v>0</v>
          </cell>
          <cell r="BA197" t="str">
            <v>00.00.0000</v>
          </cell>
          <cell r="BB197" t="str">
            <v>ST</v>
          </cell>
          <cell r="BC197" t="str">
            <v>******</v>
          </cell>
          <cell r="BD197" t="str">
            <v>S</v>
          </cell>
          <cell r="BE197">
            <v>5413218566834</v>
          </cell>
        </row>
        <row r="198">
          <cell r="A198" t="str">
            <v>G121432</v>
          </cell>
          <cell r="B198" t="str">
            <v>G121432</v>
          </cell>
          <cell r="C198" t="str">
            <v>A1ABA35A010A001</v>
          </cell>
          <cell r="D198" t="str">
            <v>Rigidur E35 MW M2</v>
          </cell>
          <cell r="E198" t="str">
            <v>A1AB</v>
          </cell>
          <cell r="F198" t="str">
            <v>Technische platen M2</v>
          </cell>
          <cell r="G198" t="str">
            <v>G121432</v>
          </cell>
          <cell r="H198" t="str">
            <v>bestaand</v>
          </cell>
          <cell r="I198" t="str">
            <v>01.01.2013</v>
          </cell>
          <cell r="J198" t="str">
            <v>Yes</v>
          </cell>
          <cell r="K198" t="str">
            <v>Professional</v>
          </cell>
          <cell r="L198" t="str">
            <v>Rigidur</v>
          </cell>
          <cell r="M198" t="str">
            <v>RIGIDUR FLOOR E 35 MW</v>
          </cell>
          <cell r="N198" t="str">
            <v>RIGIDUR VLOERPANEEL E 35 MW DP/40</v>
          </cell>
          <cell r="O198" t="str">
            <v>RIGIDUR VLOERPANEEL E 35 MW DP/40</v>
          </cell>
          <cell r="P198" t="str">
            <v>bruin</v>
          </cell>
          <cell r="Q198" t="str">
            <v>brun</v>
          </cell>
          <cell r="R198" t="str">
            <v>bruin</v>
          </cell>
          <cell r="S198" t="str">
            <v>brun</v>
          </cell>
          <cell r="T198" t="str">
            <v>NBN EN 14190:2014</v>
          </cell>
          <cell r="U198" t="str">
            <v>GF-C1-I-W2</v>
          </cell>
          <cell r="V198" t="str">
            <v>RDE</v>
          </cell>
          <cell r="Y198" t="str">
            <v>gipsplaat voor droge binnenafbouw</v>
          </cell>
          <cell r="AA198" t="str">
            <v>A2</v>
          </cell>
          <cell r="AB198" t="str">
            <v>SG_GY_2013_A1ABA35A010</v>
          </cell>
          <cell r="AC198" t="str">
            <v>GBC</v>
          </cell>
          <cell r="AD198" t="str">
            <v>ZZB: zichtzijde boven</v>
          </cell>
          <cell r="AE198">
            <v>25</v>
          </cell>
          <cell r="AH198" t="str">
            <v>+/-1</v>
          </cell>
          <cell r="AI198">
            <v>0</v>
          </cell>
          <cell r="AJ198">
            <v>0</v>
          </cell>
          <cell r="AL198" t="str">
            <v>Geen eisen gesteld</v>
          </cell>
          <cell r="AM198" t="str">
            <v>Pas de exigences</v>
          </cell>
          <cell r="AN198" t="str">
            <v>kg/m³</v>
          </cell>
          <cell r="AP198">
            <v>0.35</v>
          </cell>
          <cell r="AQ198">
            <v>0.41</v>
          </cell>
          <cell r="AR198">
            <v>24.2</v>
          </cell>
          <cell r="AS198">
            <v>24.4</v>
          </cell>
          <cell r="AT198">
            <v>26.25</v>
          </cell>
          <cell r="AU198" t="str">
            <v>CD3</v>
          </cell>
          <cell r="AV198" t="str">
            <v>DP : Duitse Pallet</v>
          </cell>
          <cell r="AW198">
            <v>3</v>
          </cell>
          <cell r="AX198">
            <v>27.52</v>
          </cell>
          <cell r="AY198" t="str">
            <v>01.02.2015</v>
          </cell>
          <cell r="AZ198">
            <v>0</v>
          </cell>
          <cell r="BA198" t="str">
            <v>00.00.0000</v>
          </cell>
          <cell r="BB198" t="str">
            <v>M2</v>
          </cell>
          <cell r="BC198" t="str">
            <v>M2</v>
          </cell>
          <cell r="BD198" t="str">
            <v>S</v>
          </cell>
          <cell r="BE198">
            <v>5413218566773</v>
          </cell>
        </row>
        <row r="199">
          <cell r="A199" t="str">
            <v>G121616</v>
          </cell>
          <cell r="B199" t="str">
            <v>G121616</v>
          </cell>
          <cell r="C199" t="str">
            <v>C1CAC03C005C002</v>
          </cell>
          <cell r="D199" t="str">
            <v>Gyptone tegels Panel couloir M2</v>
          </cell>
          <cell r="E199" t="str">
            <v>C1CA</v>
          </cell>
          <cell r="F199" t="str">
            <v>Gyptone plafonds</v>
          </cell>
          <cell r="G199" t="str">
            <v>G121616</v>
          </cell>
          <cell r="H199" t="str">
            <v>bestaand</v>
          </cell>
          <cell r="I199" t="str">
            <v>01.01.2013</v>
          </cell>
          <cell r="J199" t="str">
            <v>Yes</v>
          </cell>
          <cell r="K199" t="str">
            <v>Professional</v>
          </cell>
          <cell r="L199" t="str">
            <v>GYPTONE</v>
          </cell>
          <cell r="M199" t="str">
            <v>GYPTONE POINT 15</v>
          </cell>
          <cell r="N199" t="str">
            <v>GYPT POINT 15 E 12.5 2100X300 WP/12DS</v>
          </cell>
          <cell r="O199" t="str">
            <v>GYPT POINT 15 E15 12.5X2100X300 WP/12DS</v>
          </cell>
          <cell r="P199" t="str">
            <v>ivoor</v>
          </cell>
          <cell r="Q199" t="str">
            <v>ivoire</v>
          </cell>
          <cell r="R199" t="str">
            <v>wit vlies</v>
          </cell>
          <cell r="S199" t="str">
            <v>voile blanc</v>
          </cell>
          <cell r="T199" t="str">
            <v>NBN EN 14190:2014</v>
          </cell>
          <cell r="U199" t="str">
            <v>A</v>
          </cell>
          <cell r="V199" t="str">
            <v>GT</v>
          </cell>
          <cell r="W199" t="str">
            <v>geperforeerd paneel uit gipskartonplaat</v>
          </cell>
          <cell r="Y199" t="str">
            <v>gipsplaat voor droge binnenafbouw</v>
          </cell>
          <cell r="AA199" t="str">
            <v>A2-s1, d0 (C.4)</v>
          </cell>
          <cell r="AB199" t="str">
            <v>DoP_GYP_14190-3-v-1</v>
          </cell>
          <cell r="AC199" t="str">
            <v>E15/A</v>
          </cell>
          <cell r="AE199">
            <v>12.5</v>
          </cell>
          <cell r="AH199" t="str">
            <v>+/-0.5</v>
          </cell>
          <cell r="AI199">
            <v>0</v>
          </cell>
          <cell r="AJ199">
            <v>0</v>
          </cell>
          <cell r="AL199" t="str">
            <v>Geen eisen gesteld</v>
          </cell>
          <cell r="AM199" t="str">
            <v>Pas de exigences</v>
          </cell>
          <cell r="AN199" t="str">
            <v>kg/m³</v>
          </cell>
          <cell r="AP199">
            <v>0.25</v>
          </cell>
          <cell r="AR199">
            <v>4.7880000000000003</v>
          </cell>
          <cell r="AS199">
            <v>5.2670000000000003</v>
          </cell>
          <cell r="AT199">
            <v>9.4499999999999993</v>
          </cell>
          <cell r="AU199" t="str">
            <v>CD3</v>
          </cell>
          <cell r="AV199" t="str">
            <v>WP : Wegwerppallet</v>
          </cell>
          <cell r="AW199">
            <v>7</v>
          </cell>
          <cell r="AX199">
            <v>30.97</v>
          </cell>
          <cell r="AY199" t="str">
            <v>01.02.2015</v>
          </cell>
          <cell r="AZ199">
            <v>0</v>
          </cell>
          <cell r="BA199" t="str">
            <v>00.00.0000</v>
          </cell>
          <cell r="BB199" t="str">
            <v>M2</v>
          </cell>
          <cell r="BC199" t="str">
            <v>M2</v>
          </cell>
          <cell r="BD199">
            <v>2</v>
          </cell>
          <cell r="BE199">
            <v>5413218566360</v>
          </cell>
        </row>
        <row r="200">
          <cell r="A200" t="str">
            <v>G121619</v>
          </cell>
          <cell r="B200" t="str">
            <v>G121619</v>
          </cell>
          <cell r="C200" t="str">
            <v>A1AAA01A001A010</v>
          </cell>
          <cell r="D200" t="str">
            <v>Gyproc® A BA 10 120 M2</v>
          </cell>
          <cell r="E200" t="str">
            <v>A1AA</v>
          </cell>
          <cell r="F200" t="str">
            <v>Platen Standaard M2</v>
          </cell>
          <cell r="G200" t="str">
            <v>ZIB00003</v>
          </cell>
          <cell r="H200" t="str">
            <v>bestaand</v>
          </cell>
          <cell r="I200" t="str">
            <v>01.01.2013</v>
          </cell>
          <cell r="J200" t="str">
            <v>Yes</v>
          </cell>
          <cell r="K200" t="str">
            <v>Prof + DIY</v>
          </cell>
          <cell r="L200" t="str">
            <v>Gyproc</v>
          </cell>
          <cell r="M200" t="str">
            <v>Gyproc A</v>
          </cell>
          <cell r="N200" t="str">
            <v>GY ABA A 9.5 X 2600 X 1200 DP/50 ZOZ</v>
          </cell>
          <cell r="O200" t="str">
            <v>GY ABA A 9.5 X 2600 X 1200 DP/50 ZOZ</v>
          </cell>
          <cell r="P200" t="str">
            <v>ivoor</v>
          </cell>
          <cell r="Q200" t="str">
            <v>ivoire</v>
          </cell>
          <cell r="R200" t="str">
            <v>grijs</v>
          </cell>
          <cell r="S200" t="str">
            <v>gris</v>
          </cell>
          <cell r="T200" t="str">
            <v>NBN EN 520:2009</v>
          </cell>
          <cell r="U200" t="str">
            <v>A</v>
          </cell>
          <cell r="V200" t="str">
            <v>A</v>
          </cell>
          <cell r="Y200" t="str">
            <v>gipsplaat voor droge binnenafbouw</v>
          </cell>
          <cell r="AA200" t="str">
            <v>A2-s1, d0 (B)</v>
          </cell>
          <cell r="AB200" t="str">
            <v>SG GY 2013 A1AAA01A001</v>
          </cell>
          <cell r="AC200" t="str">
            <v>ABA</v>
          </cell>
          <cell r="AD200" t="str">
            <v>ZOZ: zichtzijde op zichtzijde</v>
          </cell>
          <cell r="AE200">
            <v>9.5</v>
          </cell>
          <cell r="AH200" t="str">
            <v>+/-0.5</v>
          </cell>
          <cell r="AI200">
            <v>0</v>
          </cell>
          <cell r="AJ200">
            <v>0</v>
          </cell>
          <cell r="AK200">
            <v>1222</v>
          </cell>
          <cell r="AL200" t="str">
            <v>Geen eisen gesteld</v>
          </cell>
          <cell r="AM200" t="str">
            <v>Pas de exigences</v>
          </cell>
          <cell r="AN200" t="str">
            <v>kg/m³</v>
          </cell>
          <cell r="AP200">
            <v>0.25</v>
          </cell>
          <cell r="AQ200">
            <v>0.04</v>
          </cell>
          <cell r="AR200">
            <v>22.152000000000001</v>
          </cell>
          <cell r="AS200">
            <v>22.817</v>
          </cell>
          <cell r="AT200">
            <v>37.44</v>
          </cell>
          <cell r="AU200" t="str">
            <v>CD3</v>
          </cell>
          <cell r="AV200" t="str">
            <v>DP : Duitse Pallet</v>
          </cell>
          <cell r="AW200">
            <v>3</v>
          </cell>
          <cell r="AX200">
            <v>4.09</v>
          </cell>
          <cell r="AY200" t="str">
            <v>01.02.2015</v>
          </cell>
          <cell r="AZ200">
            <v>0</v>
          </cell>
          <cell r="BA200" t="str">
            <v>00.00.0000</v>
          </cell>
          <cell r="BB200" t="str">
            <v>M2</v>
          </cell>
          <cell r="BC200" t="str">
            <v>M2</v>
          </cell>
          <cell r="BD200" t="str">
            <v>S</v>
          </cell>
          <cell r="BE200">
            <v>4002806095712</v>
          </cell>
        </row>
        <row r="201">
          <cell r="A201" t="str">
            <v>G121620</v>
          </cell>
          <cell r="B201" t="str">
            <v>G121620</v>
          </cell>
          <cell r="C201" t="str">
            <v>A1AAA01A001A010</v>
          </cell>
          <cell r="D201" t="str">
            <v>Gyproc® A BA 10 120 M2</v>
          </cell>
          <cell r="E201" t="str">
            <v>A1AA</v>
          </cell>
          <cell r="F201" t="str">
            <v>Platen Standaard M2</v>
          </cell>
          <cell r="G201" t="str">
            <v>ZIB00003</v>
          </cell>
          <cell r="H201" t="str">
            <v>bestaand</v>
          </cell>
          <cell r="I201" t="str">
            <v>01.01.2013</v>
          </cell>
          <cell r="J201" t="str">
            <v>Yes</v>
          </cell>
          <cell r="K201" t="str">
            <v>Professional</v>
          </cell>
          <cell r="L201" t="str">
            <v>Gyproc</v>
          </cell>
          <cell r="M201" t="str">
            <v>Gyproc A</v>
          </cell>
          <cell r="N201" t="str">
            <v>GY ABA A 9.5 X 2800 X 1200 DP/50 ZOZ</v>
          </cell>
          <cell r="O201" t="str">
            <v>GY ABA A 9.5 X 2800 X 1200 DP/50 ZOZ</v>
          </cell>
          <cell r="P201" t="str">
            <v>ivoor</v>
          </cell>
          <cell r="Q201" t="str">
            <v>ivoire</v>
          </cell>
          <cell r="R201" t="str">
            <v>grijs</v>
          </cell>
          <cell r="S201" t="str">
            <v>gris</v>
          </cell>
          <cell r="T201" t="str">
            <v>NBN EN 520:2009</v>
          </cell>
          <cell r="U201" t="str">
            <v>A</v>
          </cell>
          <cell r="V201" t="str">
            <v>A</v>
          </cell>
          <cell r="Y201" t="str">
            <v>gipsplaat voor droge binnenafbouw</v>
          </cell>
          <cell r="AA201" t="str">
            <v>A2-s1, d0 (B)</v>
          </cell>
          <cell r="AB201" t="str">
            <v>SG GY 2013 A1AAA01A001</v>
          </cell>
          <cell r="AC201" t="str">
            <v>ABA</v>
          </cell>
          <cell r="AD201" t="str">
            <v>ZOZ: zichtzijde op zichtzijde</v>
          </cell>
          <cell r="AE201">
            <v>9.5</v>
          </cell>
          <cell r="AH201" t="str">
            <v>+/-0.5</v>
          </cell>
          <cell r="AI201">
            <v>0</v>
          </cell>
          <cell r="AJ201">
            <v>0</v>
          </cell>
          <cell r="AK201">
            <v>1222</v>
          </cell>
          <cell r="AL201" t="str">
            <v>Geen eisen gesteld</v>
          </cell>
          <cell r="AM201" t="str">
            <v>Pas de exigences</v>
          </cell>
          <cell r="AN201" t="str">
            <v>kg/m³</v>
          </cell>
          <cell r="AP201">
            <v>0.25</v>
          </cell>
          <cell r="AQ201">
            <v>0.04</v>
          </cell>
          <cell r="AR201">
            <v>23.856000000000002</v>
          </cell>
          <cell r="AS201">
            <v>24.571999999999999</v>
          </cell>
          <cell r="AT201">
            <v>33.6</v>
          </cell>
          <cell r="AU201" t="str">
            <v>CD3</v>
          </cell>
          <cell r="AV201" t="str">
            <v>DP : Duitse Pallet</v>
          </cell>
          <cell r="AW201">
            <v>3</v>
          </cell>
          <cell r="AX201">
            <v>4.09</v>
          </cell>
          <cell r="AY201" t="str">
            <v>01.02.2015</v>
          </cell>
          <cell r="AZ201">
            <v>0</v>
          </cell>
          <cell r="BA201" t="str">
            <v>00.00.0000</v>
          </cell>
          <cell r="BB201" t="str">
            <v>M2</v>
          </cell>
          <cell r="BC201" t="str">
            <v>M2</v>
          </cell>
          <cell r="BD201" t="str">
            <v>S</v>
          </cell>
          <cell r="BE201">
            <v>8711149901609</v>
          </cell>
        </row>
        <row r="202">
          <cell r="A202" t="str">
            <v>G121621</v>
          </cell>
          <cell r="B202" t="str">
            <v>G121621</v>
          </cell>
          <cell r="C202" t="str">
            <v>A1AAA01A001A010</v>
          </cell>
          <cell r="D202" t="str">
            <v>Gyproc® A BA 10 120 M2</v>
          </cell>
          <cell r="E202" t="str">
            <v>A1AA</v>
          </cell>
          <cell r="F202" t="str">
            <v>Platen Standaard M2</v>
          </cell>
          <cell r="G202" t="str">
            <v>ZIB00003</v>
          </cell>
          <cell r="H202" t="str">
            <v>bestaand</v>
          </cell>
          <cell r="I202" t="str">
            <v>01.01.2013</v>
          </cell>
          <cell r="J202" t="str">
            <v>Yes</v>
          </cell>
          <cell r="K202" t="str">
            <v>Professional</v>
          </cell>
          <cell r="L202" t="str">
            <v>Gyproc</v>
          </cell>
          <cell r="M202" t="str">
            <v>Gyproc A</v>
          </cell>
          <cell r="N202" t="str">
            <v>GY ABA A 9.5 X 3000 X 1200 DP/50 ZOZ</v>
          </cell>
          <cell r="O202" t="str">
            <v>GY ABA A 9.5 X 3000 X 1200 DP/50 ZOZ</v>
          </cell>
          <cell r="P202" t="str">
            <v>ivoor</v>
          </cell>
          <cell r="Q202" t="str">
            <v>ivoire</v>
          </cell>
          <cell r="R202" t="str">
            <v>grijs</v>
          </cell>
          <cell r="S202" t="str">
            <v>gris</v>
          </cell>
          <cell r="T202" t="str">
            <v>NBN EN 520:2009</v>
          </cell>
          <cell r="U202" t="str">
            <v>A</v>
          </cell>
          <cell r="V202" t="str">
            <v>A</v>
          </cell>
          <cell r="Y202" t="str">
            <v>gipsplaat voor droge binnenafbouw</v>
          </cell>
          <cell r="AA202" t="str">
            <v>A2-s1, d0 (B)</v>
          </cell>
          <cell r="AB202" t="str">
            <v>SG GY 2013 A1AAA01A001</v>
          </cell>
          <cell r="AC202" t="str">
            <v>ABA</v>
          </cell>
          <cell r="AD202" t="str">
            <v>ZOZ: zichtzijde op zichtzijde</v>
          </cell>
          <cell r="AE202">
            <v>9.5</v>
          </cell>
          <cell r="AH202" t="str">
            <v>+/-0.5</v>
          </cell>
          <cell r="AI202">
            <v>0</v>
          </cell>
          <cell r="AJ202">
            <v>0</v>
          </cell>
          <cell r="AK202">
            <v>1222</v>
          </cell>
          <cell r="AL202" t="str">
            <v>Geen eisen gesteld</v>
          </cell>
          <cell r="AM202" t="str">
            <v>Pas de exigences</v>
          </cell>
          <cell r="AN202" t="str">
            <v>kg/m³</v>
          </cell>
          <cell r="AP202">
            <v>0.25</v>
          </cell>
          <cell r="AQ202">
            <v>0.04</v>
          </cell>
          <cell r="AR202">
            <v>25.56</v>
          </cell>
          <cell r="AS202">
            <v>26.327000000000002</v>
          </cell>
          <cell r="AT202">
            <v>43.2</v>
          </cell>
          <cell r="AU202" t="str">
            <v>CD3</v>
          </cell>
          <cell r="AV202" t="str">
            <v>DP : Duitse Pallet</v>
          </cell>
          <cell r="AW202">
            <v>3</v>
          </cell>
          <cell r="AX202">
            <v>4.09</v>
          </cell>
          <cell r="AY202" t="str">
            <v>01.02.2015</v>
          </cell>
          <cell r="AZ202">
            <v>0</v>
          </cell>
          <cell r="BA202" t="str">
            <v>00.00.0000</v>
          </cell>
          <cell r="BB202" t="str">
            <v>M2</v>
          </cell>
          <cell r="BC202" t="str">
            <v>M2</v>
          </cell>
          <cell r="BD202" t="str">
            <v>S</v>
          </cell>
          <cell r="BE202">
            <v>4002806471530</v>
          </cell>
        </row>
        <row r="203">
          <cell r="A203" t="str">
            <v>G121624</v>
          </cell>
          <cell r="B203" t="str">
            <v>G121624</v>
          </cell>
          <cell r="C203" t="str">
            <v>A1AAA01A003A014</v>
          </cell>
          <cell r="D203" t="str">
            <v>Gyproc® A BA 13 120 M2</v>
          </cell>
          <cell r="E203" t="str">
            <v>A1AA</v>
          </cell>
          <cell r="F203" t="str">
            <v>Platen Standaard M2</v>
          </cell>
          <cell r="G203" t="str">
            <v>ZIB00031</v>
          </cell>
          <cell r="H203" t="str">
            <v>bestaand</v>
          </cell>
          <cell r="I203" t="str">
            <v>01.01.2013</v>
          </cell>
          <cell r="J203" t="str">
            <v>Yes</v>
          </cell>
          <cell r="K203" t="str">
            <v>Professional</v>
          </cell>
          <cell r="L203" t="str">
            <v>Gyproc</v>
          </cell>
          <cell r="M203" t="str">
            <v>Gyproc A</v>
          </cell>
          <cell r="N203" t="str">
            <v>GY ABA A 12.5 X 3600 X 1200 DP/40 ZOZ</v>
          </cell>
          <cell r="O203" t="str">
            <v>GY ABA A 12.5 X 3600 X 1200 DP/40 ZOZ</v>
          </cell>
          <cell r="P203" t="str">
            <v>ivoor</v>
          </cell>
          <cell r="Q203" t="str">
            <v>ivoire</v>
          </cell>
          <cell r="R203" t="str">
            <v>grijs</v>
          </cell>
          <cell r="S203" t="str">
            <v>gris</v>
          </cell>
          <cell r="T203" t="str">
            <v>NBN EN 520:2009</v>
          </cell>
          <cell r="U203" t="str">
            <v>A</v>
          </cell>
          <cell r="V203" t="str">
            <v>A</v>
          </cell>
          <cell r="Y203" t="str">
            <v>gipsplaat voor droge binnenafbouw</v>
          </cell>
          <cell r="AA203" t="str">
            <v>A2-s1, d0 (B)</v>
          </cell>
          <cell r="AB203" t="str">
            <v>SG GY 2013 A1AAA01A003</v>
          </cell>
          <cell r="AC203" t="str">
            <v>ABA</v>
          </cell>
          <cell r="AD203" t="str">
            <v>ZOZ: zichtzijde op zichtzijde</v>
          </cell>
          <cell r="AE203">
            <v>12.5</v>
          </cell>
          <cell r="AH203" t="str">
            <v>+/-0.5</v>
          </cell>
          <cell r="AI203">
            <v>0</v>
          </cell>
          <cell r="AJ203">
            <v>0</v>
          </cell>
          <cell r="AK203">
            <v>1223</v>
          </cell>
          <cell r="AL203" t="str">
            <v>Geen eisen gesteld</v>
          </cell>
          <cell r="AM203" t="str">
            <v>Pas de exigences</v>
          </cell>
          <cell r="AN203" t="str">
            <v>kg/m³</v>
          </cell>
          <cell r="AP203">
            <v>0.25</v>
          </cell>
          <cell r="AQ203">
            <v>0.05</v>
          </cell>
          <cell r="AR203">
            <v>39.311999999999998</v>
          </cell>
          <cell r="AS203">
            <v>40.491</v>
          </cell>
          <cell r="AT203">
            <v>66.959999999999994</v>
          </cell>
          <cell r="AU203" t="str">
            <v>CD3</v>
          </cell>
          <cell r="AV203" t="str">
            <v>DP : Duitse Pallet</v>
          </cell>
          <cell r="AW203">
            <v>3</v>
          </cell>
          <cell r="AX203">
            <v>4.25</v>
          </cell>
          <cell r="AY203" t="str">
            <v>01.02.2015</v>
          </cell>
          <cell r="AZ203">
            <v>0</v>
          </cell>
          <cell r="BA203" t="str">
            <v>00.00.0000</v>
          </cell>
          <cell r="BB203" t="str">
            <v>M2</v>
          </cell>
          <cell r="BC203" t="str">
            <v>M2</v>
          </cell>
          <cell r="BD203" t="str">
            <v>S</v>
          </cell>
          <cell r="BE203">
            <v>5413218000208</v>
          </cell>
        </row>
        <row r="204">
          <cell r="A204" t="str">
            <v>G121625</v>
          </cell>
          <cell r="B204" t="str">
            <v>G121625</v>
          </cell>
          <cell r="C204" t="str">
            <v>A1AAA01A005A015</v>
          </cell>
          <cell r="D204" t="str">
            <v>Gyproc® A BA 15 M2</v>
          </cell>
          <cell r="E204" t="str">
            <v>A1AA</v>
          </cell>
          <cell r="F204" t="str">
            <v>Platen Standaard M2</v>
          </cell>
          <cell r="G204" t="str">
            <v>ZIB00006</v>
          </cell>
          <cell r="H204" t="str">
            <v>bestaand</v>
          </cell>
          <cell r="I204" t="str">
            <v>01.01.2013</v>
          </cell>
          <cell r="J204" t="str">
            <v>Yes</v>
          </cell>
          <cell r="K204" t="str">
            <v>Professional</v>
          </cell>
          <cell r="L204" t="str">
            <v>Gyproc</v>
          </cell>
          <cell r="M204" t="str">
            <v>Gyproc A</v>
          </cell>
          <cell r="N204" t="str">
            <v>GY ABA A 15.0 X 3000 X 1200 DP/40 ZOZ</v>
          </cell>
          <cell r="O204" t="str">
            <v>GY ABA A 15.0 X 3000 X 1200 DP/40 ZOZ</v>
          </cell>
          <cell r="P204" t="str">
            <v>ivoor</v>
          </cell>
          <cell r="Q204" t="str">
            <v>ivoire</v>
          </cell>
          <cell r="R204" t="str">
            <v>grijs</v>
          </cell>
          <cell r="S204" t="str">
            <v>gris</v>
          </cell>
          <cell r="T204" t="str">
            <v>NBN EN 520:2009</v>
          </cell>
          <cell r="U204" t="str">
            <v>A</v>
          </cell>
          <cell r="V204" t="str">
            <v>A</v>
          </cell>
          <cell r="Y204" t="str">
            <v>gipsplaat voor droge binnenafbouw</v>
          </cell>
          <cell r="AA204" t="str">
            <v>A2-s1, d0 (B)</v>
          </cell>
          <cell r="AB204" t="str">
            <v>SG GY 2013 A1AAA01A005</v>
          </cell>
          <cell r="AC204" t="str">
            <v>ABA</v>
          </cell>
          <cell r="AD204" t="str">
            <v>ZOZ: zichtzijde op zichtzijde</v>
          </cell>
          <cell r="AE204">
            <v>15</v>
          </cell>
          <cell r="AH204" t="str">
            <v>+/-0.5</v>
          </cell>
          <cell r="AI204">
            <v>0</v>
          </cell>
          <cell r="AJ204">
            <v>0</v>
          </cell>
          <cell r="AK204">
            <v>1224</v>
          </cell>
          <cell r="AL204" t="str">
            <v>Geen eisen gesteld</v>
          </cell>
          <cell r="AM204" t="str">
            <v>Pas de exigences</v>
          </cell>
          <cell r="AN204" t="str">
            <v>kg/m³</v>
          </cell>
          <cell r="AP204">
            <v>0.25</v>
          </cell>
          <cell r="AQ204">
            <v>0.06</v>
          </cell>
          <cell r="AR204">
            <v>41.4</v>
          </cell>
          <cell r="AS204">
            <v>42.642000000000003</v>
          </cell>
          <cell r="AT204">
            <v>63</v>
          </cell>
          <cell r="AU204" t="str">
            <v>CD3</v>
          </cell>
          <cell r="AV204" t="str">
            <v>DP : Duitse Pallet</v>
          </cell>
          <cell r="AW204">
            <v>3</v>
          </cell>
          <cell r="AX204">
            <v>5.07</v>
          </cell>
          <cell r="AY204" t="str">
            <v>01.02.2015</v>
          </cell>
          <cell r="AZ204">
            <v>0</v>
          </cell>
          <cell r="BA204" t="str">
            <v>00.00.0000</v>
          </cell>
          <cell r="BB204" t="str">
            <v>M2</v>
          </cell>
          <cell r="BC204" t="str">
            <v>M2</v>
          </cell>
          <cell r="BD204" t="str">
            <v>S</v>
          </cell>
          <cell r="BE204">
            <v>8711149902019</v>
          </cell>
        </row>
        <row r="205">
          <cell r="A205" t="str">
            <v>G121634</v>
          </cell>
          <cell r="B205" t="str">
            <v>G121634</v>
          </cell>
          <cell r="C205" t="str">
            <v>A1AAA09A001A001</v>
          </cell>
          <cell r="D205" t="str">
            <v>Gyproc® A RBR 10 M2</v>
          </cell>
          <cell r="E205" t="str">
            <v>A1AA</v>
          </cell>
          <cell r="F205" t="str">
            <v>Platen Standaard M2</v>
          </cell>
          <cell r="G205" t="str">
            <v>ZIB00024</v>
          </cell>
          <cell r="H205" t="str">
            <v>bestaand</v>
          </cell>
          <cell r="I205" t="str">
            <v>01.01.2013</v>
          </cell>
          <cell r="J205" t="str">
            <v>Yes</v>
          </cell>
          <cell r="K205" t="str">
            <v>Professional</v>
          </cell>
          <cell r="L205" t="str">
            <v>Gyproc</v>
          </cell>
          <cell r="M205" t="str">
            <v>Gygant</v>
          </cell>
          <cell r="N205" t="str">
            <v>GY RBR A 9.5 X 2600 X 600 DP/104 ZOZ</v>
          </cell>
          <cell r="O205" t="str">
            <v>GY RBR A 9.5 X 2600 X 600 DP/104 ZOZ</v>
          </cell>
          <cell r="P205" t="str">
            <v>ivoor</v>
          </cell>
          <cell r="Q205" t="str">
            <v>ivoire</v>
          </cell>
          <cell r="R205" t="str">
            <v>grijs</v>
          </cell>
          <cell r="S205" t="str">
            <v>gris</v>
          </cell>
          <cell r="T205" t="str">
            <v>NBN EN 520:2009</v>
          </cell>
          <cell r="U205" t="str">
            <v>A</v>
          </cell>
          <cell r="V205" t="str">
            <v>A</v>
          </cell>
          <cell r="Y205" t="str">
            <v>gipsplaat voor droge binnenafbouw</v>
          </cell>
          <cell r="AA205" t="str">
            <v>A2-s1, d0 (B)</v>
          </cell>
          <cell r="AB205" t="str">
            <v>SG GY 2013 A1AAA09A001</v>
          </cell>
          <cell r="AC205" t="str">
            <v>RBR</v>
          </cell>
          <cell r="AD205" t="str">
            <v>ZOZ: zichtzijde op zichtzijde</v>
          </cell>
          <cell r="AE205">
            <v>9.5</v>
          </cell>
          <cell r="AH205" t="str">
            <v>+/-0.5</v>
          </cell>
          <cell r="AI205">
            <v>0</v>
          </cell>
          <cell r="AJ205">
            <v>0</v>
          </cell>
          <cell r="AK205">
            <v>1210</v>
          </cell>
          <cell r="AL205" t="str">
            <v>Geen eisen gesteld</v>
          </cell>
          <cell r="AM205" t="str">
            <v>Pas de exigences</v>
          </cell>
          <cell r="AN205" t="str">
            <v>kg/m³</v>
          </cell>
          <cell r="AP205">
            <v>0.25</v>
          </cell>
          <cell r="AQ205">
            <v>0.04</v>
          </cell>
          <cell r="AR205">
            <v>11.076000000000001</v>
          </cell>
          <cell r="AS205">
            <v>11.407999999999999</v>
          </cell>
          <cell r="AT205">
            <v>18.600000000000001</v>
          </cell>
          <cell r="AU205" t="str">
            <v>CD3</v>
          </cell>
          <cell r="AV205" t="str">
            <v>DP : Duitse Pallet</v>
          </cell>
          <cell r="AW205">
            <v>3</v>
          </cell>
          <cell r="AX205">
            <v>4.13</v>
          </cell>
          <cell r="AY205" t="str">
            <v>01.02.2015</v>
          </cell>
          <cell r="AZ205">
            <v>0</v>
          </cell>
          <cell r="BA205" t="str">
            <v>00.00.0000</v>
          </cell>
          <cell r="BB205" t="str">
            <v>M2</v>
          </cell>
          <cell r="BC205" t="str">
            <v>M2</v>
          </cell>
          <cell r="BD205" t="str">
            <v>S</v>
          </cell>
          <cell r="BE205">
            <v>5413218002004</v>
          </cell>
        </row>
        <row r="206">
          <cell r="A206" t="str">
            <v>G121635</v>
          </cell>
          <cell r="B206" t="str">
            <v>G121635</v>
          </cell>
          <cell r="C206" t="str">
            <v>A1AAA09A001A001</v>
          </cell>
          <cell r="D206" t="str">
            <v>Gyproc® A RBR 10 M2</v>
          </cell>
          <cell r="E206" t="str">
            <v>A1AA</v>
          </cell>
          <cell r="F206" t="str">
            <v>Platen Standaard M2</v>
          </cell>
          <cell r="G206" t="str">
            <v>ZIB00024</v>
          </cell>
          <cell r="H206" t="str">
            <v>bestaand</v>
          </cell>
          <cell r="I206" t="str">
            <v>01.01.2013</v>
          </cell>
          <cell r="J206" t="str">
            <v>Yes</v>
          </cell>
          <cell r="K206" t="str">
            <v>Professional</v>
          </cell>
          <cell r="L206" t="str">
            <v>Gyproc</v>
          </cell>
          <cell r="M206" t="str">
            <v>Gygant</v>
          </cell>
          <cell r="N206" t="str">
            <v>GY RBR A 9.5 X 3000 X 600 DP/104 ZOZ</v>
          </cell>
          <cell r="O206" t="str">
            <v>GY RBR A 9.5 X 3000 X 600 DP/104 ZOZ</v>
          </cell>
          <cell r="P206" t="str">
            <v>ivoor</v>
          </cell>
          <cell r="Q206" t="str">
            <v>ivoire</v>
          </cell>
          <cell r="R206" t="str">
            <v>grijs</v>
          </cell>
          <cell r="S206" t="str">
            <v>gris</v>
          </cell>
          <cell r="T206" t="str">
            <v>NBN EN 520:2009</v>
          </cell>
          <cell r="U206" t="str">
            <v>A</v>
          </cell>
          <cell r="V206" t="str">
            <v>A</v>
          </cell>
          <cell r="Y206" t="str">
            <v>gipsplaat voor droge binnenafbouw</v>
          </cell>
          <cell r="AA206" t="str">
            <v>A2-s1, d0 (B)</v>
          </cell>
          <cell r="AB206" t="str">
            <v>SG GY 2013 A1AAA09A001</v>
          </cell>
          <cell r="AC206" t="str">
            <v>RBR</v>
          </cell>
          <cell r="AD206" t="str">
            <v>ZOZ: zichtzijde op zichtzijde</v>
          </cell>
          <cell r="AE206">
            <v>9.5</v>
          </cell>
          <cell r="AH206" t="str">
            <v>+/-0.5</v>
          </cell>
          <cell r="AI206">
            <v>0</v>
          </cell>
          <cell r="AJ206">
            <v>0</v>
          </cell>
          <cell r="AK206">
            <v>1210</v>
          </cell>
          <cell r="AL206" t="str">
            <v>Geen eisen gesteld</v>
          </cell>
          <cell r="AM206" t="str">
            <v>Pas de exigences</v>
          </cell>
          <cell r="AN206" t="str">
            <v>kg/m³</v>
          </cell>
          <cell r="AP206">
            <v>0.25</v>
          </cell>
          <cell r="AQ206">
            <v>0.04</v>
          </cell>
          <cell r="AR206">
            <v>12.78</v>
          </cell>
          <cell r="AS206">
            <v>13.163</v>
          </cell>
          <cell r="AT206">
            <v>21.46</v>
          </cell>
          <cell r="AU206" t="str">
            <v>CD3</v>
          </cell>
          <cell r="AV206" t="str">
            <v>DP : Duitse Pallet</v>
          </cell>
          <cell r="AW206">
            <v>3</v>
          </cell>
          <cell r="AX206">
            <v>4.13</v>
          </cell>
          <cell r="AY206" t="str">
            <v>01.02.2015</v>
          </cell>
          <cell r="AZ206">
            <v>0</v>
          </cell>
          <cell r="BA206" t="str">
            <v>00.00.0000</v>
          </cell>
          <cell r="BB206" t="str">
            <v>M2</v>
          </cell>
          <cell r="BC206" t="str">
            <v>M2</v>
          </cell>
          <cell r="BD206" t="str">
            <v>S</v>
          </cell>
          <cell r="BE206">
            <v>5413218002011</v>
          </cell>
        </row>
        <row r="207">
          <cell r="A207" t="str">
            <v>G121636</v>
          </cell>
          <cell r="B207" t="str">
            <v>G121636</v>
          </cell>
          <cell r="C207" t="str">
            <v>A1AAA09A001A001</v>
          </cell>
          <cell r="D207" t="str">
            <v>Gyproc® A RBR 10 M2</v>
          </cell>
          <cell r="E207" t="str">
            <v>A1AA</v>
          </cell>
          <cell r="F207" t="str">
            <v>Platen Standaard M2</v>
          </cell>
          <cell r="G207" t="str">
            <v>ZIB00024</v>
          </cell>
          <cell r="H207" t="str">
            <v>bestaand</v>
          </cell>
          <cell r="I207" t="str">
            <v>01.01.2013</v>
          </cell>
          <cell r="J207" t="str">
            <v>Yes</v>
          </cell>
          <cell r="K207" t="str">
            <v>Professional</v>
          </cell>
          <cell r="L207" t="str">
            <v>Gyproc</v>
          </cell>
          <cell r="M207" t="str">
            <v>Gygant</v>
          </cell>
          <cell r="N207" t="str">
            <v>GY RBR A 9.5 X 3600 X 600 DP/104 ZOZ</v>
          </cell>
          <cell r="O207" t="str">
            <v>GY RBR A 9.5 X 3600 X 600 DP/104 ZOZ</v>
          </cell>
          <cell r="P207" t="str">
            <v>ivoor</v>
          </cell>
          <cell r="Q207" t="str">
            <v>ivoire</v>
          </cell>
          <cell r="R207" t="str">
            <v>grijs</v>
          </cell>
          <cell r="S207" t="str">
            <v>gris</v>
          </cell>
          <cell r="T207" t="str">
            <v>NBN EN 520:2009</v>
          </cell>
          <cell r="U207" t="str">
            <v>A</v>
          </cell>
          <cell r="V207" t="str">
            <v>A</v>
          </cell>
          <cell r="Y207" t="str">
            <v>gipsplaat voor droge binnenafbouw</v>
          </cell>
          <cell r="AA207" t="str">
            <v>A2-s1, d0 (B)</v>
          </cell>
          <cell r="AB207" t="str">
            <v>SG GY 2013 A1AAA09A001</v>
          </cell>
          <cell r="AC207" t="str">
            <v>RBR</v>
          </cell>
          <cell r="AD207" t="str">
            <v>ZOZ: zichtzijde op zichtzijde</v>
          </cell>
          <cell r="AE207">
            <v>9.5</v>
          </cell>
          <cell r="AH207" t="str">
            <v>+/-0.5</v>
          </cell>
          <cell r="AI207">
            <v>0</v>
          </cell>
          <cell r="AJ207">
            <v>0</v>
          </cell>
          <cell r="AK207">
            <v>1210</v>
          </cell>
          <cell r="AL207" t="str">
            <v>Geen eisen gesteld</v>
          </cell>
          <cell r="AM207" t="str">
            <v>Pas de exigences</v>
          </cell>
          <cell r="AN207" t="str">
            <v>kg/m³</v>
          </cell>
          <cell r="AP207">
            <v>0.25</v>
          </cell>
          <cell r="AQ207">
            <v>0.04</v>
          </cell>
          <cell r="AR207">
            <v>15.336</v>
          </cell>
          <cell r="AS207">
            <v>15.795999999999999</v>
          </cell>
          <cell r="AT207">
            <v>25.75</v>
          </cell>
          <cell r="AU207" t="str">
            <v>CD3</v>
          </cell>
          <cell r="AV207" t="str">
            <v>DP : Duitse Pallet</v>
          </cell>
          <cell r="AW207">
            <v>3</v>
          </cell>
          <cell r="AX207">
            <v>4.13</v>
          </cell>
          <cell r="AY207" t="str">
            <v>01.02.2015</v>
          </cell>
          <cell r="AZ207">
            <v>0</v>
          </cell>
          <cell r="BA207" t="str">
            <v>00.00.0000</v>
          </cell>
          <cell r="BB207" t="str">
            <v>M2</v>
          </cell>
          <cell r="BC207" t="str">
            <v>M2</v>
          </cell>
          <cell r="BD207" t="str">
            <v>S</v>
          </cell>
          <cell r="BE207">
            <v>5413218002028</v>
          </cell>
        </row>
        <row r="208">
          <cell r="A208" t="str">
            <v>G121637</v>
          </cell>
          <cell r="B208" t="str">
            <v>G121637</v>
          </cell>
          <cell r="C208" t="str">
            <v>A1AAA09A001A001</v>
          </cell>
          <cell r="D208" t="str">
            <v>Gyproc® A RBR 10 M2</v>
          </cell>
          <cell r="E208" t="str">
            <v>A1AA</v>
          </cell>
          <cell r="F208" t="str">
            <v>Platen Standaard M2</v>
          </cell>
          <cell r="G208" t="str">
            <v>ZIB00024</v>
          </cell>
          <cell r="H208" t="str">
            <v>bestaand</v>
          </cell>
          <cell r="I208" t="str">
            <v>01.01.2013</v>
          </cell>
          <cell r="J208" t="str">
            <v>Yes</v>
          </cell>
          <cell r="K208" t="str">
            <v>Professional</v>
          </cell>
          <cell r="L208" t="str">
            <v>Gyproc</v>
          </cell>
          <cell r="M208" t="str">
            <v>Gygant</v>
          </cell>
          <cell r="N208" t="str">
            <v>GY RBR A 9.5 X 4200 X 600 DP/104 ZOZ</v>
          </cell>
          <cell r="O208" t="str">
            <v>GY RBR A 9.5 X 4200 X 600 DP/104 ZOZ</v>
          </cell>
          <cell r="P208" t="str">
            <v>ivoor</v>
          </cell>
          <cell r="Q208" t="str">
            <v>ivoire</v>
          </cell>
          <cell r="R208" t="str">
            <v>grijs</v>
          </cell>
          <cell r="S208" t="str">
            <v>gris</v>
          </cell>
          <cell r="T208" t="str">
            <v>NBN EN 520:2009</v>
          </cell>
          <cell r="U208" t="str">
            <v>A</v>
          </cell>
          <cell r="V208" t="str">
            <v>A</v>
          </cell>
          <cell r="Y208" t="str">
            <v>gipsplaat voor droge binnenafbouw</v>
          </cell>
          <cell r="AA208" t="str">
            <v>A2-s1, d0 (B)</v>
          </cell>
          <cell r="AB208" t="str">
            <v>SG GY 2013 A1AAA09A001</v>
          </cell>
          <cell r="AC208" t="str">
            <v>RBR</v>
          </cell>
          <cell r="AD208" t="str">
            <v>ZOZ: zichtzijde op zichtzijde</v>
          </cell>
          <cell r="AE208">
            <v>9.5</v>
          </cell>
          <cell r="AH208" t="str">
            <v>+/-0.5</v>
          </cell>
          <cell r="AI208">
            <v>0</v>
          </cell>
          <cell r="AJ208">
            <v>0</v>
          </cell>
          <cell r="AK208">
            <v>1210</v>
          </cell>
          <cell r="AL208" t="str">
            <v>Geen eisen gesteld</v>
          </cell>
          <cell r="AM208" t="str">
            <v>Pas de exigences</v>
          </cell>
          <cell r="AN208" t="str">
            <v>kg/m³</v>
          </cell>
          <cell r="AP208">
            <v>0.25</v>
          </cell>
          <cell r="AQ208">
            <v>0.04</v>
          </cell>
          <cell r="AR208">
            <v>17.891999999999999</v>
          </cell>
          <cell r="AS208">
            <v>18.428999999999998</v>
          </cell>
          <cell r="AT208">
            <v>29.92</v>
          </cell>
          <cell r="AU208" t="str">
            <v>CD3</v>
          </cell>
          <cell r="AV208" t="str">
            <v>DP : Duitse Pallet</v>
          </cell>
          <cell r="AW208">
            <v>3</v>
          </cell>
          <cell r="AX208">
            <v>4.13</v>
          </cell>
          <cell r="AY208" t="str">
            <v>01.02.2015</v>
          </cell>
          <cell r="AZ208">
            <v>0</v>
          </cell>
          <cell r="BA208" t="str">
            <v>00.00.0000</v>
          </cell>
          <cell r="BB208" t="str">
            <v>M2</v>
          </cell>
          <cell r="BC208" t="str">
            <v>M2</v>
          </cell>
          <cell r="BD208" t="str">
            <v>S</v>
          </cell>
          <cell r="BE208">
            <v>5413218002035</v>
          </cell>
        </row>
        <row r="209">
          <cell r="A209" t="str">
            <v>G121638</v>
          </cell>
          <cell r="B209" t="str">
            <v>G121638</v>
          </cell>
          <cell r="C209" t="str">
            <v>A1AAA09A001A001</v>
          </cell>
          <cell r="D209" t="str">
            <v>Gyproc® A RBR 10 M2</v>
          </cell>
          <cell r="E209" t="str">
            <v>A1AA</v>
          </cell>
          <cell r="F209" t="str">
            <v>Platen Standaard M2</v>
          </cell>
          <cell r="G209" t="str">
            <v>ZIB00024</v>
          </cell>
          <cell r="H209" t="str">
            <v>bestaand</v>
          </cell>
          <cell r="I209" t="str">
            <v>01.01.2013</v>
          </cell>
          <cell r="J209" t="str">
            <v>Yes</v>
          </cell>
          <cell r="K209" t="str">
            <v>Professional</v>
          </cell>
          <cell r="L209" t="str">
            <v>Gyproc</v>
          </cell>
          <cell r="M209" t="str">
            <v>Gygant</v>
          </cell>
          <cell r="N209" t="str">
            <v>GY RBR A 9.5 X 4800 X 600 DP/104 ZOZ</v>
          </cell>
          <cell r="O209" t="str">
            <v>GY RBR A 9.5 X 4800 X 600 DP/104 ZOZ</v>
          </cell>
          <cell r="P209" t="str">
            <v>ivoor</v>
          </cell>
          <cell r="Q209" t="str">
            <v>ivoire</v>
          </cell>
          <cell r="R209" t="str">
            <v>grijs</v>
          </cell>
          <cell r="S209" t="str">
            <v>gris</v>
          </cell>
          <cell r="T209" t="str">
            <v>NBN EN 520:2009</v>
          </cell>
          <cell r="U209" t="str">
            <v>A</v>
          </cell>
          <cell r="V209" t="str">
            <v>A</v>
          </cell>
          <cell r="Y209" t="str">
            <v>gipsplaat voor droge binnenafbouw</v>
          </cell>
          <cell r="AA209" t="str">
            <v>A2-s1, d0 (B)</v>
          </cell>
          <cell r="AB209" t="str">
            <v>SG GY 2013 A1AAA09A001</v>
          </cell>
          <cell r="AC209" t="str">
            <v>RBR</v>
          </cell>
          <cell r="AD209" t="str">
            <v>ZOZ: zichtzijde op zichtzijde</v>
          </cell>
          <cell r="AE209">
            <v>9.5</v>
          </cell>
          <cell r="AH209" t="str">
            <v>+/-0.5</v>
          </cell>
          <cell r="AI209">
            <v>0</v>
          </cell>
          <cell r="AJ209">
            <v>0</v>
          </cell>
          <cell r="AK209">
            <v>1210</v>
          </cell>
          <cell r="AL209" t="str">
            <v>Geen eisen gesteld</v>
          </cell>
          <cell r="AM209" t="str">
            <v>Pas de exigences</v>
          </cell>
          <cell r="AN209" t="str">
            <v>kg/m³</v>
          </cell>
          <cell r="AP209">
            <v>0.25</v>
          </cell>
          <cell r="AQ209">
            <v>0.04</v>
          </cell>
          <cell r="AR209">
            <v>20.448</v>
          </cell>
          <cell r="AS209">
            <v>21.061</v>
          </cell>
          <cell r="AT209">
            <v>34.32</v>
          </cell>
          <cell r="AU209" t="str">
            <v>CD3</v>
          </cell>
          <cell r="AV209" t="str">
            <v>DP : Duitse Pallet</v>
          </cell>
          <cell r="AW209">
            <v>3</v>
          </cell>
          <cell r="AX209">
            <v>4.13</v>
          </cell>
          <cell r="AY209" t="str">
            <v>01.02.2015</v>
          </cell>
          <cell r="AZ209">
            <v>0</v>
          </cell>
          <cell r="BA209" t="str">
            <v>00.00.0000</v>
          </cell>
          <cell r="BB209" t="str">
            <v>M2</v>
          </cell>
          <cell r="BC209" t="str">
            <v>M2</v>
          </cell>
          <cell r="BD209" t="str">
            <v>S</v>
          </cell>
          <cell r="BE209">
            <v>5413218000352</v>
          </cell>
        </row>
        <row r="210">
          <cell r="A210" t="str">
            <v>G121647</v>
          </cell>
          <cell r="B210" t="str">
            <v>G121647</v>
          </cell>
          <cell r="C210" t="str">
            <v>A1ABA03A001A002</v>
          </cell>
          <cell r="D210" t="str">
            <v>Gyproc® 4xABA 13 / 1200 M2</v>
          </cell>
          <cell r="E210" t="str">
            <v>A1AB</v>
          </cell>
          <cell r="F210" t="str">
            <v>Technische platen M2</v>
          </cell>
          <cell r="G210" t="str">
            <v>ZIB00009</v>
          </cell>
          <cell r="H210" t="str">
            <v>bestaand</v>
          </cell>
          <cell r="I210" t="str">
            <v>01.01.2013</v>
          </cell>
          <cell r="J210" t="str">
            <v>Yes</v>
          </cell>
          <cell r="K210" t="str">
            <v>Professional</v>
          </cell>
          <cell r="L210" t="str">
            <v>Gyproc</v>
          </cell>
          <cell r="M210" t="str">
            <v>Gyproc A</v>
          </cell>
          <cell r="N210" t="str">
            <v>GY 4XABA A 12.5 X 2400 X 1200 DP/40 ZZB</v>
          </cell>
          <cell r="O210" t="str">
            <v>GY 4XABA A 12.5 X 2400 X 1200 DP/40 ZZB</v>
          </cell>
          <cell r="P210" t="str">
            <v>ivoor</v>
          </cell>
          <cell r="Q210" t="str">
            <v>ivoire</v>
          </cell>
          <cell r="R210" t="str">
            <v>grijs</v>
          </cell>
          <cell r="S210" t="str">
            <v>gris</v>
          </cell>
          <cell r="T210" t="str">
            <v>NBN EN 14190:2014</v>
          </cell>
          <cell r="U210" t="str">
            <v>A</v>
          </cell>
          <cell r="V210" t="str">
            <v>A</v>
          </cell>
          <cell r="W210" t="str">
            <v>gipskartonplaat met 4 afgeschuinde boorden</v>
          </cell>
          <cell r="Y210" t="str">
            <v>gipsplaat voor droge binnenafbouw</v>
          </cell>
          <cell r="AA210" t="str">
            <v>A2-s1, d0 (C.2)</v>
          </cell>
          <cell r="AB210" t="str">
            <v>SG GY 2013 A1ABA03A001</v>
          </cell>
          <cell r="AC210" t="str">
            <v>4xABA</v>
          </cell>
          <cell r="AD210" t="str">
            <v>ZZB: zichtzijde boven</v>
          </cell>
          <cell r="AE210">
            <v>12.5</v>
          </cell>
          <cell r="AH210" t="str">
            <v>+/-0.5</v>
          </cell>
          <cell r="AI210">
            <v>0</v>
          </cell>
          <cell r="AJ210">
            <v>0</v>
          </cell>
          <cell r="AL210" t="str">
            <v>Geen eisen gesteld</v>
          </cell>
          <cell r="AM210" t="str">
            <v>Pas de exigences</v>
          </cell>
          <cell r="AN210" t="str">
            <v>kg/m³</v>
          </cell>
          <cell r="AP210">
            <v>0.25</v>
          </cell>
          <cell r="AQ210">
            <v>0.05</v>
          </cell>
          <cell r="AR210">
            <v>26.207999999999998</v>
          </cell>
          <cell r="AS210">
            <v>26.994</v>
          </cell>
          <cell r="AT210">
            <v>44.64</v>
          </cell>
          <cell r="AU210" t="str">
            <v>CD3</v>
          </cell>
          <cell r="AV210" t="str">
            <v>DP : Duitse Pallet</v>
          </cell>
          <cell r="AW210">
            <v>3</v>
          </cell>
          <cell r="AX210">
            <v>5.72</v>
          </cell>
          <cell r="AY210" t="str">
            <v>01.02.2015</v>
          </cell>
          <cell r="AZ210">
            <v>0</v>
          </cell>
          <cell r="BA210" t="str">
            <v>00.00.0000</v>
          </cell>
          <cell r="BB210" t="str">
            <v>M2</v>
          </cell>
          <cell r="BC210" t="str">
            <v>M2</v>
          </cell>
          <cell r="BD210" t="str">
            <v>S</v>
          </cell>
          <cell r="BE210">
            <v>8711149901654</v>
          </cell>
        </row>
        <row r="211">
          <cell r="A211" t="str">
            <v>G121679</v>
          </cell>
          <cell r="B211" t="str">
            <v>G121679</v>
          </cell>
          <cell r="C211" t="str">
            <v>C1CBC01C001C021</v>
          </cell>
          <cell r="D211" t="str">
            <v>Rigitone 8/18 M2</v>
          </cell>
          <cell r="E211" t="str">
            <v>C1CB</v>
          </cell>
          <cell r="F211" t="str">
            <v>Rigitone platen</v>
          </cell>
          <cell r="G211" t="str">
            <v>ZIB00029</v>
          </cell>
          <cell r="H211" t="str">
            <v>te verwijderen</v>
          </cell>
          <cell r="I211" t="str">
            <v>01.01.2013</v>
          </cell>
          <cell r="J211" t="str">
            <v>Yes</v>
          </cell>
          <cell r="K211" t="str">
            <v>Professional</v>
          </cell>
          <cell r="L211" t="str">
            <v>RIGITONE</v>
          </cell>
          <cell r="M211" t="str">
            <v>RIGITONE 8/18 Q</v>
          </cell>
          <cell r="N211" t="str">
            <v>RIGITONE 8/18 Q BT 12.5X1998X1188 DP/40</v>
          </cell>
          <cell r="O211" t="str">
            <v>RIGITONE 8/18 Q BT 12.5X1998X1188 DP/40</v>
          </cell>
          <cell r="P211" t="str">
            <v>ivoor</v>
          </cell>
          <cell r="Q211" t="str">
            <v>ivoire</v>
          </cell>
          <cell r="R211" t="str">
            <v>zwart vlies</v>
          </cell>
          <cell r="S211" t="str">
            <v>voile noir</v>
          </cell>
          <cell r="T211" t="str">
            <v>NBN EN 14190:2014</v>
          </cell>
          <cell r="U211" t="str">
            <v>A</v>
          </cell>
          <cell r="V211" t="str">
            <v>RT</v>
          </cell>
          <cell r="W211" t="str">
            <v>geperforeerde gipskartonplaat met gesneden boorden</v>
          </cell>
          <cell r="Y211" t="str">
            <v>gipsplaat voor droge binnenafbouw</v>
          </cell>
          <cell r="AA211" t="str">
            <v>A2-s1, d0 (C.1)</v>
          </cell>
          <cell r="AB211" t="str">
            <v>Rigiton_Air_LE_0613</v>
          </cell>
          <cell r="AC211" t="str">
            <v>GBC</v>
          </cell>
          <cell r="AE211">
            <v>12.5</v>
          </cell>
          <cell r="AH211" t="str">
            <v>+/-0.5</v>
          </cell>
          <cell r="AI211">
            <v>0</v>
          </cell>
          <cell r="AJ211">
            <v>0</v>
          </cell>
          <cell r="AL211" t="str">
            <v>Geen eisen gesteld</v>
          </cell>
          <cell r="AM211" t="str">
            <v>Pas de exigences</v>
          </cell>
          <cell r="AN211" t="str">
            <v>kg/m³</v>
          </cell>
          <cell r="AP211">
            <v>0.25</v>
          </cell>
          <cell r="AR211">
            <v>23.736000000000001</v>
          </cell>
          <cell r="AS211">
            <v>26.11</v>
          </cell>
          <cell r="AT211">
            <v>30.856999999999999</v>
          </cell>
          <cell r="AU211" t="str">
            <v>CD3</v>
          </cell>
          <cell r="AV211" t="str">
            <v>DP : Duitse Pallet</v>
          </cell>
          <cell r="AW211">
            <v>3</v>
          </cell>
          <cell r="AX211">
            <v>21.89</v>
          </cell>
          <cell r="AY211" t="str">
            <v>01.02.2015</v>
          </cell>
          <cell r="AZ211">
            <v>0</v>
          </cell>
          <cell r="BA211" t="str">
            <v>00.00.0000</v>
          </cell>
          <cell r="BB211" t="str">
            <v>M2</v>
          </cell>
          <cell r="BC211" t="str">
            <v>M2</v>
          </cell>
          <cell r="BD211" t="str">
            <v>S</v>
          </cell>
          <cell r="BE211">
            <v>5413218566476</v>
          </cell>
        </row>
        <row r="212">
          <cell r="A212" t="str">
            <v>G121680</v>
          </cell>
          <cell r="B212" t="str">
            <v>G121680</v>
          </cell>
          <cell r="C212" t="str">
            <v>F5FAF01F002F004</v>
          </cell>
          <cell r="D212" t="str">
            <v>Rigitone Montagehulp *</v>
          </cell>
          <cell r="E212" t="str">
            <v>F5FA</v>
          </cell>
          <cell r="F212" t="str">
            <v>Gereedschap bevestigingen *</v>
          </cell>
          <cell r="G212" t="str">
            <v>G121680</v>
          </cell>
          <cell r="H212" t="str">
            <v>bestaand</v>
          </cell>
          <cell r="I212" t="str">
            <v>01.01.2013</v>
          </cell>
          <cell r="J212" t="str">
            <v>Yes</v>
          </cell>
          <cell r="K212" t="str">
            <v>Professional</v>
          </cell>
          <cell r="L212" t="str">
            <v>RIGITONE</v>
          </cell>
          <cell r="M212" t="str">
            <v>AFSTANDSHOUDER RIGITONE</v>
          </cell>
          <cell r="N212" t="str">
            <v>MONTAGEHULP RIGITONE 15/30</v>
          </cell>
          <cell r="O212" t="str">
            <v>Ecarteur Rigitone 15/30</v>
          </cell>
          <cell r="P212" t="str">
            <v>(blanco)</v>
          </cell>
          <cell r="Q212" t="str">
            <v>(blanco)</v>
          </cell>
          <cell r="R212" t="str">
            <v>(blanco)</v>
          </cell>
          <cell r="S212" t="str">
            <v>(blanco)</v>
          </cell>
          <cell r="T212" t="str">
            <v>--</v>
          </cell>
          <cell r="AA212" t="str">
            <v>(blanco)</v>
          </cell>
          <cell r="AC212" t="str">
            <v>(blanco)</v>
          </cell>
          <cell r="AD212" t="str">
            <v>(blanco)</v>
          </cell>
          <cell r="AH212" t="str">
            <v>(blanco)</v>
          </cell>
          <cell r="AI212" t="str">
            <v>(blanco)</v>
          </cell>
          <cell r="AJ212" t="str">
            <v>(blanco)</v>
          </cell>
          <cell r="AL212" t="str">
            <v>(blanco)</v>
          </cell>
          <cell r="AM212" t="str">
            <v>(blanco)</v>
          </cell>
          <cell r="AN212" t="str">
            <v>(blanco)</v>
          </cell>
          <cell r="AR212">
            <v>0.27</v>
          </cell>
          <cell r="AS212">
            <v>0.27200000000000002</v>
          </cell>
          <cell r="AT212">
            <v>0</v>
          </cell>
          <cell r="AX212">
            <v>29.2</v>
          </cell>
          <cell r="AY212" t="str">
            <v>01.02.2015</v>
          </cell>
          <cell r="AZ212">
            <v>0</v>
          </cell>
          <cell r="BA212" t="str">
            <v>00.00.0000</v>
          </cell>
          <cell r="BB212" t="str">
            <v>******</v>
          </cell>
          <cell r="BC212" t="str">
            <v>DS</v>
          </cell>
          <cell r="BD212" t="str">
            <v>S</v>
          </cell>
          <cell r="BE212">
            <v>5413218566681</v>
          </cell>
        </row>
        <row r="213">
          <cell r="A213" t="str">
            <v>G121681</v>
          </cell>
          <cell r="B213" t="str">
            <v>G121681</v>
          </cell>
          <cell r="C213" t="str">
            <v>F5FAF01F002F004</v>
          </cell>
          <cell r="D213" t="str">
            <v>Rigitone Montagehulp *</v>
          </cell>
          <cell r="E213" t="str">
            <v>F5FA</v>
          </cell>
          <cell r="F213" t="str">
            <v>Gereedschap bevestigingen *</v>
          </cell>
          <cell r="G213" t="str">
            <v>G121681</v>
          </cell>
          <cell r="H213" t="str">
            <v>bestaand</v>
          </cell>
          <cell r="I213" t="str">
            <v>01.01.2013</v>
          </cell>
          <cell r="J213" t="str">
            <v>Yes</v>
          </cell>
          <cell r="K213" t="str">
            <v>Professional</v>
          </cell>
          <cell r="L213" t="str">
            <v>RIGITONE</v>
          </cell>
          <cell r="M213" t="str">
            <v>AFSTANDSHOUDER RIGITONE</v>
          </cell>
          <cell r="N213" t="str">
            <v>MONTAGEHULP RIGITONE 6/18</v>
          </cell>
          <cell r="O213" t="str">
            <v>Ecarteur Rigitone 6/18</v>
          </cell>
          <cell r="P213" t="str">
            <v>(blanco)</v>
          </cell>
          <cell r="Q213" t="str">
            <v>(blanco)</v>
          </cell>
          <cell r="R213" t="str">
            <v>(blanco)</v>
          </cell>
          <cell r="S213" t="str">
            <v>(blanco)</v>
          </cell>
          <cell r="T213" t="str">
            <v>--</v>
          </cell>
          <cell r="AA213" t="str">
            <v>(blanco)</v>
          </cell>
          <cell r="AC213" t="str">
            <v>(blanco)</v>
          </cell>
          <cell r="AD213" t="str">
            <v>(blanco)</v>
          </cell>
          <cell r="AH213" t="str">
            <v>(blanco)</v>
          </cell>
          <cell r="AI213" t="str">
            <v>(blanco)</v>
          </cell>
          <cell r="AJ213" t="str">
            <v>(blanco)</v>
          </cell>
          <cell r="AL213" t="str">
            <v>(blanco)</v>
          </cell>
          <cell r="AM213" t="str">
            <v>(blanco)</v>
          </cell>
          <cell r="AN213" t="str">
            <v>(blanco)</v>
          </cell>
          <cell r="AR213">
            <v>0.24</v>
          </cell>
          <cell r="AS213">
            <v>0.24299999999999999</v>
          </cell>
          <cell r="AT213">
            <v>0</v>
          </cell>
          <cell r="AX213">
            <v>29.2</v>
          </cell>
          <cell r="AY213" t="str">
            <v>01.02.2015</v>
          </cell>
          <cell r="AZ213">
            <v>0</v>
          </cell>
          <cell r="BA213" t="str">
            <v>00.00.0000</v>
          </cell>
          <cell r="BB213" t="str">
            <v>KAR</v>
          </cell>
          <cell r="BC213" t="str">
            <v>******</v>
          </cell>
          <cell r="BD213" t="str">
            <v>S</v>
          </cell>
          <cell r="BE213">
            <v>5413218566667</v>
          </cell>
        </row>
        <row r="214">
          <cell r="A214" t="str">
            <v>G121682</v>
          </cell>
          <cell r="B214" t="str">
            <v>G121682</v>
          </cell>
          <cell r="C214" t="str">
            <v>F5FAF01F002F004</v>
          </cell>
          <cell r="D214" t="str">
            <v>Rigitone Montagehulp *</v>
          </cell>
          <cell r="E214" t="str">
            <v>F5FA</v>
          </cell>
          <cell r="F214" t="str">
            <v>Gereedschap bevestigingen *</v>
          </cell>
          <cell r="G214" t="str">
            <v>G121682</v>
          </cell>
          <cell r="H214" t="str">
            <v>bestaand</v>
          </cell>
          <cell r="I214" t="str">
            <v>01.01.2013</v>
          </cell>
          <cell r="J214" t="str">
            <v>Yes</v>
          </cell>
          <cell r="K214" t="str">
            <v>Professional</v>
          </cell>
          <cell r="L214" t="str">
            <v>RIGITONE</v>
          </cell>
          <cell r="M214" t="str">
            <v>AFSTANDSHOUDER RIGITONE</v>
          </cell>
          <cell r="N214" t="str">
            <v>MONTAGEHULP RIGITONE 10/23</v>
          </cell>
          <cell r="O214" t="str">
            <v>Ecarteur Rigitone 10/23</v>
          </cell>
          <cell r="P214" t="str">
            <v>(blanco)</v>
          </cell>
          <cell r="Q214" t="str">
            <v>(blanco)</v>
          </cell>
          <cell r="R214" t="str">
            <v>(blanco)</v>
          </cell>
          <cell r="S214" t="str">
            <v>(blanco)</v>
          </cell>
          <cell r="T214" t="str">
            <v>--</v>
          </cell>
          <cell r="AA214" t="str">
            <v>(blanco)</v>
          </cell>
          <cell r="AC214" t="str">
            <v>(blanco)</v>
          </cell>
          <cell r="AD214" t="str">
            <v>(blanco)</v>
          </cell>
          <cell r="AH214" t="str">
            <v>(blanco)</v>
          </cell>
          <cell r="AI214" t="str">
            <v>(blanco)</v>
          </cell>
          <cell r="AJ214" t="str">
            <v>(blanco)</v>
          </cell>
          <cell r="AL214" t="str">
            <v>(blanco)</v>
          </cell>
          <cell r="AM214" t="str">
            <v>(blanco)</v>
          </cell>
          <cell r="AN214" t="str">
            <v>(blanco)</v>
          </cell>
          <cell r="AR214">
            <v>0.26</v>
          </cell>
          <cell r="AS214">
            <v>0.26600000000000001</v>
          </cell>
          <cell r="AT214">
            <v>0</v>
          </cell>
          <cell r="AX214">
            <v>29.2</v>
          </cell>
          <cell r="AY214" t="str">
            <v>01.02.2015</v>
          </cell>
          <cell r="AZ214">
            <v>0</v>
          </cell>
          <cell r="BA214" t="str">
            <v>00.00.0000</v>
          </cell>
          <cell r="BB214" t="str">
            <v>******</v>
          </cell>
          <cell r="BC214" t="str">
            <v>DS</v>
          </cell>
          <cell r="BD214" t="str">
            <v>S</v>
          </cell>
          <cell r="BE214">
            <v>8711149902194</v>
          </cell>
        </row>
        <row r="215">
          <cell r="A215" t="str">
            <v>G122014</v>
          </cell>
          <cell r="B215" t="str">
            <v>G122014</v>
          </cell>
          <cell r="C215" t="str">
            <v>C1CAC01C003C002</v>
          </cell>
          <cell r="D215" t="str">
            <v>Line D1 M2</v>
          </cell>
          <cell r="E215" t="str">
            <v>C1CA</v>
          </cell>
          <cell r="F215" t="str">
            <v>Gyptone plafonds</v>
          </cell>
          <cell r="G215" t="str">
            <v>G122014</v>
          </cell>
          <cell r="H215" t="str">
            <v>te verwijderen</v>
          </cell>
          <cell r="I215" t="str">
            <v>01.01.2013</v>
          </cell>
          <cell r="J215" t="str">
            <v>Yes</v>
          </cell>
          <cell r="K215" t="str">
            <v>Professional</v>
          </cell>
          <cell r="L215" t="str">
            <v>GYPTONE</v>
          </cell>
          <cell r="M215" t="str">
            <v>GYPTONE LINE 4</v>
          </cell>
          <cell r="N215" t="str">
            <v>GYPT LINE 4 D1 12.5 600X600 WP/14DS</v>
          </cell>
          <cell r="O215" t="str">
            <v>GYPT LINE 4 D1 12.5 X 600 X 600 WP/14DS</v>
          </cell>
          <cell r="P215" t="str">
            <v>ivoor</v>
          </cell>
          <cell r="Q215" t="str">
            <v>ivoire</v>
          </cell>
          <cell r="R215" t="str">
            <v>wit vlies</v>
          </cell>
          <cell r="S215" t="str">
            <v>voile blanc</v>
          </cell>
          <cell r="T215" t="str">
            <v>NBN EN 14190:2014</v>
          </cell>
          <cell r="U215" t="str">
            <v>A</v>
          </cell>
          <cell r="V215" t="str">
            <v>GT</v>
          </cell>
          <cell r="W215" t="str">
            <v>geperforeerde tegel uit gipskartonplaat</v>
          </cell>
          <cell r="Y215" t="str">
            <v>gipsplaat voor droge binnenafbouw</v>
          </cell>
          <cell r="AA215" t="str">
            <v>A2-s1, d0 (C.4)</v>
          </cell>
          <cell r="AB215" t="str">
            <v>DoP_GYP_14190-1-v-1</v>
          </cell>
          <cell r="AC215" t="str">
            <v>D1</v>
          </cell>
          <cell r="AE215">
            <v>12.5</v>
          </cell>
          <cell r="AH215" t="str">
            <v>+/-0.5</v>
          </cell>
          <cell r="AI215">
            <v>0</v>
          </cell>
          <cell r="AJ215">
            <v>0</v>
          </cell>
          <cell r="AL215" t="str">
            <v>Geen eisen gesteld</v>
          </cell>
          <cell r="AM215" t="str">
            <v>Pas de exigences</v>
          </cell>
          <cell r="AN215" t="str">
            <v>kg/m³</v>
          </cell>
          <cell r="AP215">
            <v>0.25</v>
          </cell>
          <cell r="AR215">
            <v>3</v>
          </cell>
          <cell r="AS215">
            <v>3.02</v>
          </cell>
          <cell r="AT215">
            <v>4.68</v>
          </cell>
          <cell r="AU215" t="str">
            <v>CD3</v>
          </cell>
          <cell r="AV215" t="str">
            <v>WP : Wegwerppallet</v>
          </cell>
          <cell r="AW215">
            <v>7</v>
          </cell>
          <cell r="AX215">
            <v>35.93</v>
          </cell>
          <cell r="AY215" t="str">
            <v>01.02.2015</v>
          </cell>
          <cell r="AZ215">
            <v>0</v>
          </cell>
          <cell r="BA215" t="str">
            <v>00.00.0000</v>
          </cell>
          <cell r="BB215" t="str">
            <v>M2</v>
          </cell>
          <cell r="BC215" t="str">
            <v>M2</v>
          </cell>
          <cell r="BD215">
            <v>2</v>
          </cell>
          <cell r="BE215">
            <v>5413218566285</v>
          </cell>
        </row>
        <row r="216">
          <cell r="A216" t="str">
            <v>G122181</v>
          </cell>
          <cell r="B216" t="str">
            <v>G122181</v>
          </cell>
          <cell r="C216" t="str">
            <v>D1DFD05D003D002</v>
          </cell>
          <cell r="D216" t="str">
            <v>DIY - Coves M</v>
          </cell>
          <cell r="E216" t="str">
            <v>D1DF</v>
          </cell>
          <cell r="F216" t="str">
            <v>Andere Toebehoren *</v>
          </cell>
          <cell r="G216" t="str">
            <v>G122181</v>
          </cell>
          <cell r="H216" t="str">
            <v>bestaand</v>
          </cell>
          <cell r="I216" t="str">
            <v>01.02.2014</v>
          </cell>
          <cell r="J216" t="str">
            <v>Yes</v>
          </cell>
          <cell r="K216" t="str">
            <v>Professional</v>
          </cell>
          <cell r="L216" t="str">
            <v>Gyproc</v>
          </cell>
          <cell r="M216" t="str">
            <v>COVE</v>
          </cell>
          <cell r="N216" t="str">
            <v>COVES 127 GYPROC 3000 WP/378</v>
          </cell>
          <cell r="O216" t="str">
            <v>COVES 127 GYPROC 3000 WP/378</v>
          </cell>
          <cell r="P216" t="str">
            <v>wit</v>
          </cell>
          <cell r="Q216" t="str">
            <v>blanc</v>
          </cell>
          <cell r="R216" t="str">
            <v>wit</v>
          </cell>
          <cell r="S216" t="str">
            <v>blanc</v>
          </cell>
          <cell r="T216" t="str">
            <v>NBN EN 14209:2006</v>
          </cell>
          <cell r="U216" t="str">
            <v>--</v>
          </cell>
          <cell r="V216" t="str">
            <v>--</v>
          </cell>
          <cell r="W216" t="str">
            <v>voorgevormde kroonlijst van gipsplaten</v>
          </cell>
          <cell r="Y216" t="str">
            <v>voorgevormde kroonlijsten van gipsplaten voor droge binnenafbouw</v>
          </cell>
          <cell r="AC216" t="str">
            <v>(blanco)</v>
          </cell>
          <cell r="AD216" t="str">
            <v>(blanco)</v>
          </cell>
          <cell r="AH216" t="str">
            <v>(blanco)</v>
          </cell>
          <cell r="AL216" t="str">
            <v>Geen eisen gesteld</v>
          </cell>
          <cell r="AM216" t="str">
            <v>Pas de exigences</v>
          </cell>
          <cell r="AN216" t="str">
            <v>kg/m³</v>
          </cell>
          <cell r="AP216">
            <v>0</v>
          </cell>
          <cell r="AR216">
            <v>3.6</v>
          </cell>
          <cell r="AS216">
            <v>3.78</v>
          </cell>
          <cell r="AT216">
            <v>0</v>
          </cell>
          <cell r="AV216" t="str">
            <v>WP : Wegwerppallet</v>
          </cell>
          <cell r="AW216">
            <v>7</v>
          </cell>
          <cell r="AX216">
            <v>3</v>
          </cell>
          <cell r="AY216" t="str">
            <v>01.02.2015</v>
          </cell>
          <cell r="AZ216">
            <v>0</v>
          </cell>
          <cell r="BA216" t="str">
            <v>00.00.0000</v>
          </cell>
          <cell r="BB216" t="str">
            <v>M</v>
          </cell>
          <cell r="BC216" t="str">
            <v>M</v>
          </cell>
          <cell r="BD216" t="str">
            <v>S</v>
          </cell>
          <cell r="BE216">
            <v>5413218565721</v>
          </cell>
        </row>
        <row r="217">
          <cell r="A217" t="str">
            <v>G122183</v>
          </cell>
          <cell r="B217" t="str">
            <v>G122183</v>
          </cell>
          <cell r="C217" t="str">
            <v>D1DFD05D003D002</v>
          </cell>
          <cell r="D217" t="str">
            <v>DIY - Coves M</v>
          </cell>
          <cell r="E217" t="str">
            <v>D1DF</v>
          </cell>
          <cell r="F217" t="str">
            <v>Andere Toebehoren *</v>
          </cell>
          <cell r="G217" t="str">
            <v>G122183</v>
          </cell>
          <cell r="H217" t="str">
            <v>bestaand</v>
          </cell>
          <cell r="I217" t="str">
            <v>01.02.2014</v>
          </cell>
          <cell r="J217" t="str">
            <v>Yes</v>
          </cell>
          <cell r="K217" t="str">
            <v>Professional</v>
          </cell>
          <cell r="L217" t="str">
            <v>Gyproc</v>
          </cell>
          <cell r="M217" t="str">
            <v>COVE</v>
          </cell>
          <cell r="N217" t="str">
            <v>COVES 100 GYPROC 3000 WP/528</v>
          </cell>
          <cell r="O217" t="str">
            <v>COVES 100 GYPROC 3000 WP/528</v>
          </cell>
          <cell r="P217" t="str">
            <v>wit</v>
          </cell>
          <cell r="Q217" t="str">
            <v>blanc</v>
          </cell>
          <cell r="R217" t="str">
            <v>wit</v>
          </cell>
          <cell r="S217" t="str">
            <v>blanc</v>
          </cell>
          <cell r="T217" t="str">
            <v>NBN EN 14209:2006</v>
          </cell>
          <cell r="U217" t="str">
            <v>--</v>
          </cell>
          <cell r="V217" t="str">
            <v>--</v>
          </cell>
          <cell r="W217" t="str">
            <v>voorgevormde kroonlijst van gipsplaten</v>
          </cell>
          <cell r="Y217" t="str">
            <v>voorgevormde kroonlijsten van gipsplaten voor droge binnenafbouw</v>
          </cell>
          <cell r="AC217" t="str">
            <v>(blanco)</v>
          </cell>
          <cell r="AD217" t="str">
            <v>(blanco)</v>
          </cell>
          <cell r="AH217" t="str">
            <v>(blanco)</v>
          </cell>
          <cell r="AL217" t="str">
            <v>Geen eisen gesteld</v>
          </cell>
          <cell r="AM217" t="str">
            <v>Pas de exigences</v>
          </cell>
          <cell r="AN217" t="str">
            <v>kg/m³</v>
          </cell>
          <cell r="AP217">
            <v>0</v>
          </cell>
          <cell r="AR217">
            <v>3.6</v>
          </cell>
          <cell r="AS217">
            <v>3.78</v>
          </cell>
          <cell r="AT217">
            <v>0</v>
          </cell>
          <cell r="AV217" t="str">
            <v>WP : Wegwerppallet</v>
          </cell>
          <cell r="AW217">
            <v>7</v>
          </cell>
          <cell r="AX217">
            <v>3</v>
          </cell>
          <cell r="AY217" t="str">
            <v>01.02.2015</v>
          </cell>
          <cell r="AZ217">
            <v>0</v>
          </cell>
          <cell r="BA217" t="str">
            <v>00.00.0000</v>
          </cell>
          <cell r="BB217" t="str">
            <v>M</v>
          </cell>
          <cell r="BC217" t="str">
            <v>M</v>
          </cell>
          <cell r="BD217" t="str">
            <v>S</v>
          </cell>
          <cell r="BE217">
            <v>5413218565714</v>
          </cell>
        </row>
        <row r="218">
          <cell r="A218" t="str">
            <v>G122194</v>
          </cell>
          <cell r="B218" t="str">
            <v>G122194</v>
          </cell>
          <cell r="C218" t="str">
            <v>C1CBC01C001C024</v>
          </cell>
          <cell r="D218" t="str">
            <v>Rigitone 15/30 M2</v>
          </cell>
          <cell r="E218" t="str">
            <v>C1CB</v>
          </cell>
          <cell r="F218" t="str">
            <v>Rigitone platen</v>
          </cell>
          <cell r="G218" t="str">
            <v>ZIB00028</v>
          </cell>
          <cell r="H218" t="str">
            <v>te verwijderen</v>
          </cell>
          <cell r="I218" t="str">
            <v>01.01.2013</v>
          </cell>
          <cell r="J218" t="str">
            <v>Yes</v>
          </cell>
          <cell r="K218" t="str">
            <v>Professional</v>
          </cell>
          <cell r="L218" t="str">
            <v>RIGITONE</v>
          </cell>
          <cell r="M218" t="str">
            <v>RIGITONE 15/30</v>
          </cell>
          <cell r="N218" t="str">
            <v>RIGITONE 15/30 BT 12.5X2010X1200 DP/40</v>
          </cell>
          <cell r="O218" t="str">
            <v>RIGITONE 15/30 BT 12.5X2010X1200 DP/40</v>
          </cell>
          <cell r="P218" t="str">
            <v>ivoor</v>
          </cell>
          <cell r="Q218" t="str">
            <v>ivoire</v>
          </cell>
          <cell r="R218" t="str">
            <v>zwart vlies</v>
          </cell>
          <cell r="S218" t="str">
            <v>voile noir</v>
          </cell>
          <cell r="T218" t="str">
            <v>NBN EN 14190:2014</v>
          </cell>
          <cell r="U218" t="str">
            <v>A</v>
          </cell>
          <cell r="V218" t="str">
            <v>RT</v>
          </cell>
          <cell r="W218" t="str">
            <v>geperforeerde gipskartonplaat met gesneden boorden</v>
          </cell>
          <cell r="Y218" t="str">
            <v>gipsplaat voor droge binnenafbouw</v>
          </cell>
          <cell r="AA218" t="str">
            <v>A2-s1, d0 (C.1)</v>
          </cell>
          <cell r="AB218" t="str">
            <v>Rigiton_Air_LE_0613</v>
          </cell>
          <cell r="AC218" t="str">
            <v>GBC</v>
          </cell>
          <cell r="AE218">
            <v>12.5</v>
          </cell>
          <cell r="AH218" t="str">
            <v>+/-0.5</v>
          </cell>
          <cell r="AI218">
            <v>0</v>
          </cell>
          <cell r="AJ218">
            <v>0</v>
          </cell>
          <cell r="AL218" t="str">
            <v>Geen eisen gesteld</v>
          </cell>
          <cell r="AM218" t="str">
            <v>Pas de exigences</v>
          </cell>
          <cell r="AN218" t="str">
            <v>kg/m³</v>
          </cell>
          <cell r="AP218">
            <v>0.25</v>
          </cell>
          <cell r="AR218">
            <v>23.44</v>
          </cell>
          <cell r="AS218">
            <v>23.52</v>
          </cell>
          <cell r="AT218">
            <v>31.356000000000002</v>
          </cell>
          <cell r="AU218" t="str">
            <v>CD3</v>
          </cell>
          <cell r="AV218" t="str">
            <v>DP : Duitse Pallet</v>
          </cell>
          <cell r="AW218">
            <v>3</v>
          </cell>
          <cell r="AX218">
            <v>18.54</v>
          </cell>
          <cell r="AY218" t="str">
            <v>01.02.2015</v>
          </cell>
          <cell r="AZ218">
            <v>0</v>
          </cell>
          <cell r="BA218" t="str">
            <v>00.00.0000</v>
          </cell>
          <cell r="BB218" t="str">
            <v>M2</v>
          </cell>
          <cell r="BC218" t="str">
            <v>M2</v>
          </cell>
          <cell r="BD218" t="str">
            <v>S</v>
          </cell>
          <cell r="BE218">
            <v>5413218566537</v>
          </cell>
        </row>
        <row r="219">
          <cell r="A219" t="str">
            <v>G122641</v>
          </cell>
          <cell r="B219" t="str">
            <v>G122641</v>
          </cell>
          <cell r="C219" t="str">
            <v>C1CDC01C012C001</v>
          </cell>
          <cell r="D219" t="str">
            <v>Dalles Gyprex M2</v>
          </cell>
          <cell r="E219" t="str">
            <v>C1CD</v>
          </cell>
          <cell r="F219" t="str">
            <v>Gyprex tgels M</v>
          </cell>
          <cell r="G219" t="str">
            <v>G122641</v>
          </cell>
          <cell r="H219" t="str">
            <v>bestaand</v>
          </cell>
          <cell r="I219" t="str">
            <v>01.01.2013</v>
          </cell>
          <cell r="J219" t="str">
            <v>Yes</v>
          </cell>
          <cell r="K219" t="str">
            <v>Professional</v>
          </cell>
          <cell r="L219" t="str">
            <v>GYPREX</v>
          </cell>
          <cell r="M219" t="str">
            <v>GYPREX ATENEA + ALU</v>
          </cell>
          <cell r="N219" t="str">
            <v>GYPREX A 9.5 595X595 ATENEA ALU WP/288</v>
          </cell>
          <cell r="O219" t="str">
            <v>GYPREX A 9.5 595x595 ATENEA ALU WP/288</v>
          </cell>
          <cell r="P219" t="str">
            <v>vinyl</v>
          </cell>
          <cell r="Q219" t="str">
            <v>vinyle</v>
          </cell>
          <cell r="R219" t="str">
            <v>alu</v>
          </cell>
          <cell r="S219" t="str">
            <v>alu</v>
          </cell>
          <cell r="T219" t="str">
            <v>NBN EN 14190:2014</v>
          </cell>
          <cell r="U219" t="str">
            <v>A</v>
          </cell>
          <cell r="V219" t="str">
            <v>GR</v>
          </cell>
          <cell r="W219" t="str">
            <v>tegel uit gipskartonplaat bekleed met vinyl en alu folie</v>
          </cell>
          <cell r="Y219" t="str">
            <v>gipsplaat voor droge binnenafbouw</v>
          </cell>
          <cell r="AA219" t="str">
            <v>B-s2, d0</v>
          </cell>
          <cell r="AB219" t="str">
            <v>SG_GY_2013_C1CDC01C012</v>
          </cell>
          <cell r="AC219" t="str">
            <v>A</v>
          </cell>
          <cell r="AD219" t="str">
            <v>ZOZ: zichtzijde op zichtzijde</v>
          </cell>
          <cell r="AE219">
            <v>9.5</v>
          </cell>
          <cell r="AH219" t="str">
            <v>+/-0.5</v>
          </cell>
          <cell r="AI219">
            <v>0</v>
          </cell>
          <cell r="AJ219">
            <v>0</v>
          </cell>
          <cell r="AL219" t="str">
            <v>Geen eisen gesteld</v>
          </cell>
          <cell r="AM219" t="str">
            <v>Pas de exigences</v>
          </cell>
          <cell r="AN219" t="str">
            <v>kg/m³</v>
          </cell>
          <cell r="AP219">
            <v>0.25</v>
          </cell>
          <cell r="AR219">
            <v>2.7970000000000002</v>
          </cell>
          <cell r="AS219">
            <v>2.8319999999999999</v>
          </cell>
          <cell r="AT219">
            <v>4.0999999999999996</v>
          </cell>
          <cell r="AU219" t="str">
            <v>CD3</v>
          </cell>
          <cell r="AV219" t="str">
            <v>WP : Wegwerppallet</v>
          </cell>
          <cell r="AW219">
            <v>7</v>
          </cell>
          <cell r="AX219">
            <v>11.07</v>
          </cell>
          <cell r="AY219" t="str">
            <v>01.02.2015</v>
          </cell>
          <cell r="AZ219">
            <v>0</v>
          </cell>
          <cell r="BA219" t="str">
            <v>00.00.0000</v>
          </cell>
          <cell r="BB219" t="str">
            <v>M2</v>
          </cell>
          <cell r="BC219" t="str">
            <v>M2</v>
          </cell>
          <cell r="BD219" t="str">
            <v>S</v>
          </cell>
          <cell r="BE219">
            <v>8711149902446</v>
          </cell>
        </row>
        <row r="220">
          <cell r="A220" t="str">
            <v>G122642</v>
          </cell>
          <cell r="B220" t="str">
            <v>G122642</v>
          </cell>
          <cell r="C220" t="str">
            <v>C1CDC01C012C001</v>
          </cell>
          <cell r="D220" t="str">
            <v>Dalles Gyprex M2</v>
          </cell>
          <cell r="E220" t="str">
            <v>C1CD</v>
          </cell>
          <cell r="F220" t="str">
            <v>Gyprex tgels M</v>
          </cell>
          <cell r="G220" t="str">
            <v>G122642</v>
          </cell>
          <cell r="H220" t="str">
            <v>bestaand</v>
          </cell>
          <cell r="I220" t="str">
            <v>01.01.2013</v>
          </cell>
          <cell r="J220" t="str">
            <v>Yes</v>
          </cell>
          <cell r="K220" t="str">
            <v>Professional</v>
          </cell>
          <cell r="L220" t="str">
            <v>GYPREX</v>
          </cell>
          <cell r="M220" t="str">
            <v>GYPREX ATENEA + ALU</v>
          </cell>
          <cell r="N220" t="str">
            <v>GYPREX A 9.5 1195X595 ATENEA ALU WP/144</v>
          </cell>
          <cell r="O220" t="str">
            <v>GYPREX A 9.5 1195X595 ATENEA ALU WP/144</v>
          </cell>
          <cell r="P220" t="str">
            <v>vinyl</v>
          </cell>
          <cell r="Q220" t="str">
            <v>vinyle</v>
          </cell>
          <cell r="R220" t="str">
            <v>alu</v>
          </cell>
          <cell r="S220" t="str">
            <v>alu</v>
          </cell>
          <cell r="T220" t="str">
            <v>NBN EN 14190:2014</v>
          </cell>
          <cell r="U220" t="str">
            <v>A</v>
          </cell>
          <cell r="V220" t="str">
            <v>GR</v>
          </cell>
          <cell r="W220" t="str">
            <v>tegel uit gipskartonplaat bekleed met vinyl en alu folie</v>
          </cell>
          <cell r="Y220" t="str">
            <v>gipsplaat voor droge binnenafbouw</v>
          </cell>
          <cell r="AA220" t="str">
            <v>B-s2, d0</v>
          </cell>
          <cell r="AB220" t="str">
            <v>SG_GY_2013_C1CDC01C012</v>
          </cell>
          <cell r="AC220" t="str">
            <v>A</v>
          </cell>
          <cell r="AD220" t="str">
            <v>ZOZ: zichtzijde op zichtzijde</v>
          </cell>
          <cell r="AE220">
            <v>9.5</v>
          </cell>
          <cell r="AH220" t="str">
            <v>+/-0.5</v>
          </cell>
          <cell r="AI220">
            <v>0</v>
          </cell>
          <cell r="AJ220">
            <v>0</v>
          </cell>
          <cell r="AL220" t="str">
            <v>Geen eisen gesteld</v>
          </cell>
          <cell r="AM220" t="str">
            <v>Pas de exigences</v>
          </cell>
          <cell r="AN220" t="str">
            <v>kg/m³</v>
          </cell>
          <cell r="AP220">
            <v>0.25</v>
          </cell>
          <cell r="AR220">
            <v>5.617</v>
          </cell>
          <cell r="AS220">
            <v>5.6879999999999997</v>
          </cell>
          <cell r="AT220">
            <v>8.1999999999999993</v>
          </cell>
          <cell r="AU220" t="str">
            <v>CD3</v>
          </cell>
          <cell r="AV220" t="str">
            <v>WP : Wegwerppallet</v>
          </cell>
          <cell r="AW220">
            <v>7</v>
          </cell>
          <cell r="AX220">
            <v>10.35</v>
          </cell>
          <cell r="AY220" t="str">
            <v>01.02.2015</v>
          </cell>
          <cell r="AZ220">
            <v>0</v>
          </cell>
          <cell r="BA220" t="str">
            <v>00.00.0000</v>
          </cell>
          <cell r="BB220" t="str">
            <v>M2</v>
          </cell>
          <cell r="BC220" t="str">
            <v>M2</v>
          </cell>
          <cell r="BD220" t="str">
            <v>S</v>
          </cell>
          <cell r="BE220">
            <v>8711149901708</v>
          </cell>
        </row>
        <row r="221">
          <cell r="A221" t="str">
            <v>G122944</v>
          </cell>
          <cell r="B221" t="str">
            <v>G122944</v>
          </cell>
          <cell r="C221" t="str">
            <v>D1DCD01D005D032</v>
          </cell>
          <cell r="D221" t="str">
            <v>DIY - Schroeven KAR</v>
          </cell>
          <cell r="E221" t="str">
            <v>D1DC</v>
          </cell>
          <cell r="F221" t="str">
            <v>Toebehoren Bevestigingen *</v>
          </cell>
          <cell r="G221" t="str">
            <v>G122944</v>
          </cell>
          <cell r="H221" t="str">
            <v>bestaand</v>
          </cell>
          <cell r="I221" t="str">
            <v>01.01.2013</v>
          </cell>
          <cell r="J221" t="str">
            <v>Yes</v>
          </cell>
          <cell r="K221" t="str">
            <v>Professional</v>
          </cell>
          <cell r="L221" t="str">
            <v>RIGITONE</v>
          </cell>
          <cell r="M221" t="str">
            <v>RIGITONE SNELBOUWSCHROEVEN</v>
          </cell>
          <cell r="N221" t="str">
            <v>Rigitone schroeven 30 MM / 500 ST</v>
          </cell>
          <cell r="O221" t="str">
            <v>Vis Rigitone 30MM/500pcs</v>
          </cell>
          <cell r="P221" t="str">
            <v>(blanco)</v>
          </cell>
          <cell r="Q221" t="str">
            <v>(blanco)</v>
          </cell>
          <cell r="R221" t="str">
            <v>(blanco)</v>
          </cell>
          <cell r="S221" t="str">
            <v>(blanco)</v>
          </cell>
          <cell r="T221" t="str">
            <v>NBN EN 14566+A1:2009</v>
          </cell>
          <cell r="U221" t="str">
            <v>UMD</v>
          </cell>
          <cell r="V221" t="str">
            <v>--</v>
          </cell>
          <cell r="AA221" t="str">
            <v>A1</v>
          </cell>
          <cell r="AC221" t="str">
            <v>(blanco)</v>
          </cell>
          <cell r="AD221" t="str">
            <v>(blanco)</v>
          </cell>
          <cell r="AE221">
            <v>0</v>
          </cell>
          <cell r="AL221" t="str">
            <v>(blanco)</v>
          </cell>
          <cell r="AM221" t="str">
            <v>(blanco)</v>
          </cell>
          <cell r="AN221" t="str">
            <v>(blanco)</v>
          </cell>
          <cell r="AP221">
            <v>50</v>
          </cell>
          <cell r="AR221">
            <v>0.6</v>
          </cell>
          <cell r="AS221">
            <v>0.61799999999999999</v>
          </cell>
          <cell r="AT221">
            <v>0</v>
          </cell>
          <cell r="AX221">
            <v>31.38</v>
          </cell>
          <cell r="AY221" t="str">
            <v>01.02.2015</v>
          </cell>
          <cell r="AZ221">
            <v>0</v>
          </cell>
          <cell r="BA221" t="str">
            <v>00.00.0000</v>
          </cell>
          <cell r="BB221" t="str">
            <v>KAR</v>
          </cell>
          <cell r="BC221" t="str">
            <v>******</v>
          </cell>
          <cell r="BD221" t="str">
            <v>S</v>
          </cell>
          <cell r="BE221">
            <v>4002806056072</v>
          </cell>
        </row>
        <row r="222">
          <cell r="A222" t="str">
            <v>G123100N</v>
          </cell>
          <cell r="B222" t="str">
            <v>G123100</v>
          </cell>
          <cell r="C222" t="str">
            <v>C5CBC18C006C002</v>
          </cell>
          <cell r="D222" t="str">
            <v>MSH 50 M</v>
          </cell>
          <cell r="E222" t="str">
            <v>C5CB</v>
          </cell>
          <cell r="F222" t="str">
            <v>Profielen Platen en Wanden M</v>
          </cell>
          <cell r="G222" t="str">
            <v>ZIB00113</v>
          </cell>
          <cell r="H222" t="str">
            <v>bestaand</v>
          </cell>
          <cell r="I222" t="str">
            <v>01.01.2013</v>
          </cell>
          <cell r="J222" t="str">
            <v>Yes</v>
          </cell>
          <cell r="K222" t="str">
            <v>Professional</v>
          </cell>
          <cell r="L222" t="str">
            <v>METAL STUD</v>
          </cell>
          <cell r="M222" t="str">
            <v>MSH50</v>
          </cell>
          <cell r="N222" t="str">
            <v>M.S.HORZ.50 MM 2.50 M</v>
          </cell>
          <cell r="O222" t="str">
            <v>M.S.HORZ.50 MM 2.50 M</v>
          </cell>
          <cell r="P222" t="str">
            <v>(blanco)</v>
          </cell>
          <cell r="Q222" t="str">
            <v>(blanco)</v>
          </cell>
          <cell r="R222" t="str">
            <v>(blanco)</v>
          </cell>
          <cell r="S222" t="str">
            <v>(blanco)</v>
          </cell>
          <cell r="T222" t="str">
            <v>NBN EN 14195:2015</v>
          </cell>
          <cell r="U222" t="str">
            <v>U</v>
          </cell>
          <cell r="V222" t="str">
            <v>--</v>
          </cell>
          <cell r="AA222" t="str">
            <v>A1</v>
          </cell>
          <cell r="AC222" t="str">
            <v>(blanco)</v>
          </cell>
          <cell r="AD222" t="str">
            <v>(blanco)</v>
          </cell>
          <cell r="AH222">
            <v>-0.5</v>
          </cell>
          <cell r="AI222" t="e">
            <v>#DIV/0!</v>
          </cell>
          <cell r="AJ222">
            <v>0</v>
          </cell>
          <cell r="AL222" t="str">
            <v>(blanco)</v>
          </cell>
          <cell r="AM222" t="str">
            <v>(blanco)</v>
          </cell>
          <cell r="AN222" t="str">
            <v>(blanco)</v>
          </cell>
          <cell r="AP222">
            <v>50</v>
          </cell>
          <cell r="AR222">
            <v>1.5129999999999999</v>
          </cell>
          <cell r="AS222">
            <v>1.5149999999999999</v>
          </cell>
          <cell r="AT222">
            <v>0</v>
          </cell>
          <cell r="AX222">
            <v>2.21</v>
          </cell>
          <cell r="AY222" t="str">
            <v>01.02.2015</v>
          </cell>
          <cell r="AZ222">
            <v>0</v>
          </cell>
          <cell r="BA222" t="str">
            <v>00.00.0000</v>
          </cell>
          <cell r="BB222" t="str">
            <v>M</v>
          </cell>
          <cell r="BC222" t="str">
            <v>M</v>
          </cell>
          <cell r="BD222" t="str">
            <v>S</v>
          </cell>
          <cell r="BE222">
            <v>5413218573962</v>
          </cell>
        </row>
        <row r="223">
          <cell r="A223" t="str">
            <v>G123340</v>
          </cell>
          <cell r="B223" t="str">
            <v>G123340</v>
          </cell>
          <cell r="C223" t="str">
            <v>C1CBC01C001C020</v>
          </cell>
          <cell r="D223" t="str">
            <v>Rigitone 8/15/20 Super M2</v>
          </cell>
          <cell r="E223" t="str">
            <v>C1CB</v>
          </cell>
          <cell r="F223" t="str">
            <v>Rigitone platen</v>
          </cell>
          <cell r="G223" t="str">
            <v>ZIB00028</v>
          </cell>
          <cell r="H223" t="str">
            <v>te verwijderen</v>
          </cell>
          <cell r="I223" t="str">
            <v>01.01.2013</v>
          </cell>
          <cell r="J223" t="str">
            <v>Yes</v>
          </cell>
          <cell r="K223" t="str">
            <v>Professional</v>
          </cell>
          <cell r="L223" t="str">
            <v>RIGITONE</v>
          </cell>
          <cell r="M223" t="str">
            <v>RIGITONE 8-15-20 SUPER</v>
          </cell>
          <cell r="N223" t="str">
            <v>RIGITON 8-15-20 S BT12.5X1960X1200 DP/40</v>
          </cell>
          <cell r="O223" t="str">
            <v>RIGITON 8-15-20 S BT12.5x1960x1200 DP/40</v>
          </cell>
          <cell r="P223" t="str">
            <v>ivoor</v>
          </cell>
          <cell r="Q223" t="str">
            <v>ivoire</v>
          </cell>
          <cell r="R223" t="str">
            <v>zwart vlies</v>
          </cell>
          <cell r="S223" t="str">
            <v>voile noir</v>
          </cell>
          <cell r="T223" t="str">
            <v>NBN EN 14190:2014</v>
          </cell>
          <cell r="U223" t="str">
            <v>A</v>
          </cell>
          <cell r="V223" t="str">
            <v>RT</v>
          </cell>
          <cell r="W223" t="str">
            <v>geperforeerde gipskartonplaat met gesneden boorden</v>
          </cell>
          <cell r="Y223" t="str">
            <v>gipsplaat voor droge binnenafbouw</v>
          </cell>
          <cell r="AA223" t="str">
            <v>A2-s1, d0 (C.1)</v>
          </cell>
          <cell r="AB223" t="str">
            <v>Rigiton_Air_LE_0613</v>
          </cell>
          <cell r="AC223" t="str">
            <v>GBC</v>
          </cell>
          <cell r="AE223">
            <v>12.5</v>
          </cell>
          <cell r="AH223" t="str">
            <v>+/-0.5</v>
          </cell>
          <cell r="AI223">
            <v>0</v>
          </cell>
          <cell r="AJ223">
            <v>0</v>
          </cell>
          <cell r="AL223" t="str">
            <v>Geen eisen gesteld</v>
          </cell>
          <cell r="AM223" t="str">
            <v>Pas de exigences</v>
          </cell>
          <cell r="AN223" t="str">
            <v>kg/m³</v>
          </cell>
          <cell r="AP223">
            <v>0.25</v>
          </cell>
          <cell r="AR223">
            <v>23.52</v>
          </cell>
          <cell r="AS223">
            <v>25.872</v>
          </cell>
          <cell r="AT223">
            <v>30.576000000000001</v>
          </cell>
          <cell r="AU223" t="str">
            <v>CD3</v>
          </cell>
          <cell r="AV223" t="str">
            <v>DP : Duitse Pallet</v>
          </cell>
          <cell r="AW223">
            <v>3</v>
          </cell>
          <cell r="AX223">
            <v>18.54</v>
          </cell>
          <cell r="AY223" t="str">
            <v>01.02.2015</v>
          </cell>
          <cell r="AZ223">
            <v>0</v>
          </cell>
          <cell r="BA223" t="str">
            <v>00.00.0000</v>
          </cell>
          <cell r="BB223" t="str">
            <v>M2</v>
          </cell>
          <cell r="BC223" t="str">
            <v>M2</v>
          </cell>
          <cell r="BD223" t="str">
            <v>S</v>
          </cell>
          <cell r="BE223">
            <v>5413218566605</v>
          </cell>
        </row>
        <row r="224">
          <cell r="A224" t="str">
            <v>G123402</v>
          </cell>
          <cell r="B224" t="str">
            <v>G123402</v>
          </cell>
          <cell r="C224" t="str">
            <v>C1CBC01C001C017</v>
          </cell>
          <cell r="D224" t="str">
            <v>Rigitone 12/25 Q M2</v>
          </cell>
          <cell r="E224" t="str">
            <v>C1CB</v>
          </cell>
          <cell r="F224" t="str">
            <v>Rigitone platen</v>
          </cell>
          <cell r="G224" t="str">
            <v>ZIB00030</v>
          </cell>
          <cell r="H224" t="str">
            <v>te verwijderen</v>
          </cell>
          <cell r="I224" t="str">
            <v>01.01.2013</v>
          </cell>
          <cell r="J224" t="str">
            <v>Yes</v>
          </cell>
          <cell r="K224" t="str">
            <v>Professional</v>
          </cell>
          <cell r="L224" t="str">
            <v>RIGITONE</v>
          </cell>
          <cell r="M224" t="str">
            <v>RIGITONE 12/25 Q</v>
          </cell>
          <cell r="N224" t="str">
            <v>RIGITONE 12/25 Q WT 12.5X2000X1200 DP/40</v>
          </cell>
          <cell r="O224" t="str">
            <v>RIGITONE 12/25 Q WT 12.5x2000X1200 DP/40</v>
          </cell>
          <cell r="P224" t="str">
            <v>ivoor</v>
          </cell>
          <cell r="Q224" t="str">
            <v>ivoire</v>
          </cell>
          <cell r="R224" t="str">
            <v>wit vlies</v>
          </cell>
          <cell r="S224" t="str">
            <v>voile blanc</v>
          </cell>
          <cell r="T224" t="str">
            <v>NBN EN 14190:2014</v>
          </cell>
          <cell r="U224" t="str">
            <v>A</v>
          </cell>
          <cell r="V224" t="str">
            <v>RT</v>
          </cell>
          <cell r="W224" t="str">
            <v>geperforeerde gipskartonplaat met gesneden boorden</v>
          </cell>
          <cell r="Y224" t="str">
            <v>gipsplaat voor droge binnenafbouw</v>
          </cell>
          <cell r="AA224" t="str">
            <v>A2-s1, d0 (C.1)</v>
          </cell>
          <cell r="AB224" t="str">
            <v>Rigiton_Air_LE_0613</v>
          </cell>
          <cell r="AC224" t="str">
            <v>GBC</v>
          </cell>
          <cell r="AE224">
            <v>12.5</v>
          </cell>
          <cell r="AH224" t="str">
            <v>+/-0.5</v>
          </cell>
          <cell r="AI224">
            <v>0</v>
          </cell>
          <cell r="AJ224">
            <v>0</v>
          </cell>
          <cell r="AL224" t="str">
            <v>Geen eisen gesteld</v>
          </cell>
          <cell r="AM224" t="str">
            <v>Pas de exigences</v>
          </cell>
          <cell r="AN224" t="str">
            <v>kg/m³</v>
          </cell>
          <cell r="AP224">
            <v>0.25</v>
          </cell>
          <cell r="AR224">
            <v>22.8</v>
          </cell>
          <cell r="AS224">
            <v>24</v>
          </cell>
          <cell r="AT224">
            <v>31.2</v>
          </cell>
          <cell r="AU224" t="str">
            <v>CD3</v>
          </cell>
          <cell r="AV224" t="str">
            <v>DP : Duitse Pallet</v>
          </cell>
          <cell r="AW224">
            <v>3</v>
          </cell>
          <cell r="AX224">
            <v>24.6</v>
          </cell>
          <cell r="AY224" t="str">
            <v>01.02.2015</v>
          </cell>
          <cell r="AZ224">
            <v>0</v>
          </cell>
          <cell r="BA224" t="str">
            <v>00.00.0000</v>
          </cell>
          <cell r="BB224" t="str">
            <v>M2</v>
          </cell>
          <cell r="BC224" t="str">
            <v>M2</v>
          </cell>
          <cell r="BD224" t="str">
            <v>S</v>
          </cell>
          <cell r="BE224">
            <v>5413218566650</v>
          </cell>
        </row>
        <row r="225">
          <cell r="A225" t="str">
            <v>G123414</v>
          </cell>
          <cell r="C225" t="str">
            <v>A1ACA01A001A002</v>
          </cell>
          <cell r="D225" t="str">
            <v>GypDekor RBD 13 / 1185 M2</v>
          </cell>
          <cell r="E225" t="str">
            <v>A1AC</v>
          </cell>
          <cell r="F225" t="str">
            <v>Platen Andere M2</v>
          </cell>
          <cell r="G225" t="str">
            <v>G123414</v>
          </cell>
          <cell r="H225" t="str">
            <v>nieuw</v>
          </cell>
          <cell r="I225" t="str">
            <v>01.02.2015</v>
          </cell>
          <cell r="J225" t="str">
            <v>Yes</v>
          </cell>
          <cell r="K225" t="str">
            <v>Professional</v>
          </cell>
          <cell r="L225" t="str">
            <v>GYPDEKOR</v>
          </cell>
          <cell r="M225" t="str">
            <v>GYPDEKOR</v>
          </cell>
          <cell r="N225" t="str">
            <v>GypDekor 12,5mm 2600x1185 2013</v>
          </cell>
          <cell r="O225" t="str">
            <v>GypDekor 12,5mm 2600x1185 2013</v>
          </cell>
          <cell r="P225" t="str">
            <v>vinyl</v>
          </cell>
          <cell r="Q225" t="str">
            <v>vinyle</v>
          </cell>
          <cell r="R225" t="str">
            <v>grijs</v>
          </cell>
          <cell r="S225" t="str">
            <v>gris</v>
          </cell>
          <cell r="T225" t="str">
            <v>NBN EN 14190:2014</v>
          </cell>
          <cell r="U225" t="str">
            <v>A</v>
          </cell>
          <cell r="V225" t="str">
            <v>GD</v>
          </cell>
          <cell r="W225" t="str">
            <v>gipskartonplaat bekleed met vinyl</v>
          </cell>
          <cell r="Y225" t="str">
            <v>gipsplaat voor droge binnenafbouw</v>
          </cell>
          <cell r="AC225" t="str">
            <v>RBD</v>
          </cell>
          <cell r="AE225">
            <v>12.5</v>
          </cell>
          <cell r="AH225" t="str">
            <v>+/-0.5</v>
          </cell>
          <cell r="AI225">
            <v>0</v>
          </cell>
          <cell r="AJ225">
            <v>0</v>
          </cell>
          <cell r="AL225" t="str">
            <v>Geen eisen gesteld</v>
          </cell>
          <cell r="AM225" t="str">
            <v>Pas de exigences</v>
          </cell>
          <cell r="AN225" t="str">
            <v>kg/m³</v>
          </cell>
          <cell r="AP225">
            <v>0.25</v>
          </cell>
          <cell r="AQ225">
            <v>0</v>
          </cell>
          <cell r="AR225">
            <v>33.890999999999998</v>
          </cell>
          <cell r="AS225">
            <v>34.908000000000001</v>
          </cell>
          <cell r="AT225">
            <v>48.36</v>
          </cell>
          <cell r="AU225" t="str">
            <v>CD3</v>
          </cell>
          <cell r="AX225">
            <v>0</v>
          </cell>
          <cell r="AY225" t="str">
            <v>00.00.0000</v>
          </cell>
          <cell r="AZ225">
            <v>0</v>
          </cell>
          <cell r="BA225" t="str">
            <v>00.00.0000</v>
          </cell>
          <cell r="BD225">
            <v>5</v>
          </cell>
          <cell r="BE225">
            <v>0</v>
          </cell>
        </row>
        <row r="226">
          <cell r="A226" t="str">
            <v>G123419</v>
          </cell>
          <cell r="B226" t="str">
            <v>G123419</v>
          </cell>
          <cell r="C226" t="str">
            <v>A1ACA01A001A002</v>
          </cell>
          <cell r="D226" t="str">
            <v>GypDekor RBD 13 / 1185 M2</v>
          </cell>
          <cell r="E226" t="str">
            <v>A1AC</v>
          </cell>
          <cell r="F226" t="str">
            <v>Platen Andere M2</v>
          </cell>
          <cell r="G226" t="str">
            <v>G123419</v>
          </cell>
          <cell r="H226" t="str">
            <v>nieuw</v>
          </cell>
          <cell r="I226" t="str">
            <v>01.02.2015</v>
          </cell>
          <cell r="J226" t="str">
            <v>Yes</v>
          </cell>
          <cell r="K226" t="str">
            <v>Professional</v>
          </cell>
          <cell r="L226" t="str">
            <v>GYPDEKOR</v>
          </cell>
          <cell r="M226" t="str">
            <v>GYPDEKOR</v>
          </cell>
          <cell r="N226" t="str">
            <v>GypDekor 12,5mm 2800x1185 2013</v>
          </cell>
          <cell r="O226" t="str">
            <v>GypDekor 12,5mm 2800x1185 2013</v>
          </cell>
          <cell r="P226" t="str">
            <v>vinyl</v>
          </cell>
          <cell r="Q226" t="str">
            <v>vinyle</v>
          </cell>
          <cell r="R226" t="str">
            <v>grijs</v>
          </cell>
          <cell r="S226" t="str">
            <v>gris</v>
          </cell>
          <cell r="T226" t="str">
            <v>NBN EN 14190:2014</v>
          </cell>
          <cell r="U226" t="str">
            <v>A</v>
          </cell>
          <cell r="V226" t="str">
            <v>GD</v>
          </cell>
          <cell r="W226" t="str">
            <v>gipskartonplaat bekleed met vinyl</v>
          </cell>
          <cell r="Y226" t="str">
            <v>gipsplaat voor droge binnenafbouw</v>
          </cell>
          <cell r="AC226" t="str">
            <v>RBD</v>
          </cell>
          <cell r="AE226">
            <v>12.5</v>
          </cell>
          <cell r="AH226" t="str">
            <v>+/-0.5</v>
          </cell>
          <cell r="AI226">
            <v>0</v>
          </cell>
          <cell r="AJ226">
            <v>0</v>
          </cell>
          <cell r="AL226" t="str">
            <v>Geen eisen gesteld</v>
          </cell>
          <cell r="AM226" t="str">
            <v>Pas de exigences</v>
          </cell>
          <cell r="AN226" t="str">
            <v>kg/m³</v>
          </cell>
          <cell r="AP226">
            <v>0.25</v>
          </cell>
          <cell r="AQ226">
            <v>0</v>
          </cell>
          <cell r="AR226">
            <v>36.500999999999998</v>
          </cell>
          <cell r="AS226">
            <v>37.595999999999997</v>
          </cell>
          <cell r="AT226">
            <v>51.38</v>
          </cell>
          <cell r="AU226" t="str">
            <v>CD3</v>
          </cell>
          <cell r="AX226">
            <v>0</v>
          </cell>
          <cell r="AY226" t="str">
            <v>00.00.0000</v>
          </cell>
          <cell r="AZ226">
            <v>0</v>
          </cell>
          <cell r="BA226" t="str">
            <v>00.00.0000</v>
          </cell>
          <cell r="BD226">
            <v>5</v>
          </cell>
          <cell r="BE226">
            <v>0</v>
          </cell>
        </row>
        <row r="227">
          <cell r="A227" t="str">
            <v>G123480</v>
          </cell>
          <cell r="B227" t="str">
            <v>G123480</v>
          </cell>
          <cell r="C227" t="str">
            <v>A1ACA01A001A002</v>
          </cell>
          <cell r="D227" t="str">
            <v>GypDekor RBD 13 / 1185 M2</v>
          </cell>
          <cell r="E227" t="str">
            <v>A1AC</v>
          </cell>
          <cell r="F227" t="str">
            <v>Platen Andere M2</v>
          </cell>
          <cell r="G227" t="str">
            <v>G123480</v>
          </cell>
          <cell r="H227" t="str">
            <v>nieuw</v>
          </cell>
          <cell r="I227" t="str">
            <v>01.02.2015</v>
          </cell>
          <cell r="J227" t="str">
            <v>Yes</v>
          </cell>
          <cell r="K227" t="str">
            <v>Professional</v>
          </cell>
          <cell r="L227" t="str">
            <v>GYPDEKOR</v>
          </cell>
          <cell r="M227" t="str">
            <v>GYPDEKOR</v>
          </cell>
          <cell r="N227" t="str">
            <v>GypDekor 12,5mm 3000x1185 2013</v>
          </cell>
          <cell r="O227" t="str">
            <v>GypDekor 12,5mm 3000x1185 2013</v>
          </cell>
          <cell r="P227" t="str">
            <v>vinyl</v>
          </cell>
          <cell r="Q227" t="str">
            <v>vinyle</v>
          </cell>
          <cell r="R227" t="str">
            <v>grijs</v>
          </cell>
          <cell r="S227" t="str">
            <v>gris</v>
          </cell>
          <cell r="T227" t="str">
            <v>NBN EN 14190:2014</v>
          </cell>
          <cell r="U227" t="str">
            <v>A</v>
          </cell>
          <cell r="V227" t="str">
            <v>GD</v>
          </cell>
          <cell r="W227" t="str">
            <v>gipskartonplaat bekleed met vinyl</v>
          </cell>
          <cell r="Y227" t="str">
            <v>gipsplaat voor droge binnenafbouw</v>
          </cell>
          <cell r="AC227" t="str">
            <v>RBD</v>
          </cell>
          <cell r="AE227">
            <v>12.5</v>
          </cell>
          <cell r="AH227" t="str">
            <v>+/-0.5</v>
          </cell>
          <cell r="AI227">
            <v>0</v>
          </cell>
          <cell r="AJ227">
            <v>0</v>
          </cell>
          <cell r="AL227" t="str">
            <v>Geen eisen gesteld</v>
          </cell>
          <cell r="AM227" t="str">
            <v>Pas de exigences</v>
          </cell>
          <cell r="AN227" t="str">
            <v>kg/m³</v>
          </cell>
          <cell r="AP227">
            <v>0.25</v>
          </cell>
          <cell r="AQ227">
            <v>0</v>
          </cell>
          <cell r="AR227">
            <v>39.104999999999997</v>
          </cell>
          <cell r="AS227">
            <v>40.277999999999999</v>
          </cell>
          <cell r="AT227">
            <v>46.215000000000003</v>
          </cell>
          <cell r="AU227" t="str">
            <v>CD3</v>
          </cell>
          <cell r="AX227">
            <v>0</v>
          </cell>
          <cell r="AY227" t="str">
            <v>00.00.0000</v>
          </cell>
          <cell r="AZ227">
            <v>0</v>
          </cell>
          <cell r="BA227" t="str">
            <v>00.00.0000</v>
          </cell>
          <cell r="BD227">
            <v>5</v>
          </cell>
          <cell r="BE227">
            <v>0</v>
          </cell>
        </row>
        <row r="228">
          <cell r="A228" t="str">
            <v>G123589</v>
          </cell>
          <cell r="B228" t="str">
            <v>G123589</v>
          </cell>
          <cell r="C228" t="str">
            <v>C1CAC01C005C003</v>
          </cell>
          <cell r="D228" t="str">
            <v>Point D1 M2</v>
          </cell>
          <cell r="E228" t="str">
            <v>C1CA</v>
          </cell>
          <cell r="F228" t="str">
            <v>Gyptone plafonds</v>
          </cell>
          <cell r="G228" t="str">
            <v>G123589</v>
          </cell>
          <cell r="H228" t="str">
            <v>te verwijderen</v>
          </cell>
          <cell r="I228" t="str">
            <v>01.01.2013</v>
          </cell>
          <cell r="J228" t="str">
            <v>Yes</v>
          </cell>
          <cell r="K228" t="str">
            <v>Professional</v>
          </cell>
          <cell r="L228" t="str">
            <v>GYPTONE</v>
          </cell>
          <cell r="M228" t="str">
            <v>GYPTONE POINT 12</v>
          </cell>
          <cell r="N228" t="str">
            <v>GYPT POINT 12 D1 12.5X600X600 WP/14DS</v>
          </cell>
          <cell r="O228" t="str">
            <v>GYPT POINT 12 D1 12.5X600X600 WP/14DS</v>
          </cell>
          <cell r="P228" t="str">
            <v>ivoor</v>
          </cell>
          <cell r="Q228" t="str">
            <v>ivoire</v>
          </cell>
          <cell r="R228" t="str">
            <v>wit vlies</v>
          </cell>
          <cell r="S228" t="str">
            <v>voile blanc</v>
          </cell>
          <cell r="T228" t="str">
            <v>NBN EN 14190:2014</v>
          </cell>
          <cell r="U228" t="str">
            <v>A</v>
          </cell>
          <cell r="V228" t="str">
            <v>GT</v>
          </cell>
          <cell r="W228" t="str">
            <v>geperforeerde tegel uit gipskartonplaat</v>
          </cell>
          <cell r="Y228" t="str">
            <v>gipsplaat voor droge binnenafbouw</v>
          </cell>
          <cell r="AA228" t="str">
            <v>A2-s1, d0 (C.4)</v>
          </cell>
          <cell r="AB228" t="str">
            <v>DoP_GYP_14190-1-v-1</v>
          </cell>
          <cell r="AC228" t="str">
            <v>D1</v>
          </cell>
          <cell r="AE228">
            <v>12.5</v>
          </cell>
          <cell r="AH228" t="str">
            <v>+/-0.5</v>
          </cell>
          <cell r="AI228">
            <v>0</v>
          </cell>
          <cell r="AJ228">
            <v>0</v>
          </cell>
          <cell r="AL228" t="str">
            <v>Geen eisen gesteld</v>
          </cell>
          <cell r="AM228" t="str">
            <v>Pas de exigences</v>
          </cell>
          <cell r="AN228" t="str">
            <v>kg/m³</v>
          </cell>
          <cell r="AP228">
            <v>0.25</v>
          </cell>
          <cell r="AR228">
            <v>3</v>
          </cell>
          <cell r="AS228">
            <v>3.0030000000000001</v>
          </cell>
          <cell r="AT228">
            <v>5.5369999999999999</v>
          </cell>
          <cell r="AU228" t="str">
            <v>CD3</v>
          </cell>
          <cell r="AV228" t="str">
            <v>WP : Wegwerppallet</v>
          </cell>
          <cell r="AW228">
            <v>7</v>
          </cell>
          <cell r="AX228">
            <v>35.299999999999997</v>
          </cell>
          <cell r="AY228" t="str">
            <v>01.02.2015</v>
          </cell>
          <cell r="AZ228">
            <v>0</v>
          </cell>
          <cell r="BA228" t="str">
            <v>00.00.0000</v>
          </cell>
          <cell r="BB228" t="str">
            <v>M2</v>
          </cell>
          <cell r="BC228" t="str">
            <v>M2</v>
          </cell>
          <cell r="BD228">
            <v>3</v>
          </cell>
          <cell r="BE228">
            <v>5413218566315</v>
          </cell>
        </row>
        <row r="229">
          <cell r="A229" t="str">
            <v>G123731</v>
          </cell>
          <cell r="B229" t="str">
            <v>G123731</v>
          </cell>
          <cell r="C229" t="str">
            <v>A1AAA01A001A010</v>
          </cell>
          <cell r="D229" t="str">
            <v>Gyproc® A BA 10 120 M2</v>
          </cell>
          <cell r="E229" t="str">
            <v>A1AA</v>
          </cell>
          <cell r="F229" t="str">
            <v>Platen Standaard M2</v>
          </cell>
          <cell r="G229" t="str">
            <v>ZIB00003</v>
          </cell>
          <cell r="H229" t="str">
            <v>bestaand</v>
          </cell>
          <cell r="I229" t="str">
            <v>01.01.2013</v>
          </cell>
          <cell r="J229" t="str">
            <v>Yes</v>
          </cell>
          <cell r="K229" t="str">
            <v>Professional</v>
          </cell>
          <cell r="L229" t="str">
            <v>Gyproc</v>
          </cell>
          <cell r="M229" t="str">
            <v>Gyproc A</v>
          </cell>
          <cell r="N229" t="str">
            <v>GY ABA A 9.5 X 3600 X 1200 DP/30 ZOZ</v>
          </cell>
          <cell r="O229" t="str">
            <v>GY ABA A 9.5 X 3600 X 1200 DP/30 ZOZ</v>
          </cell>
          <cell r="P229" t="str">
            <v>ivoor</v>
          </cell>
          <cell r="Q229" t="str">
            <v>ivoire</v>
          </cell>
          <cell r="R229" t="str">
            <v>grijs</v>
          </cell>
          <cell r="S229" t="str">
            <v>gris</v>
          </cell>
          <cell r="T229" t="str">
            <v>NBN EN 520:2009</v>
          </cell>
          <cell r="U229" t="str">
            <v>A</v>
          </cell>
          <cell r="V229" t="str">
            <v>A</v>
          </cell>
          <cell r="Y229" t="str">
            <v>gipsplaat voor droge binnenafbouw</v>
          </cell>
          <cell r="AA229" t="str">
            <v>A2-s1, d0 (B)</v>
          </cell>
          <cell r="AB229" t="str">
            <v>SG GY 2013 A1AAA01A001</v>
          </cell>
          <cell r="AC229" t="str">
            <v>ABA</v>
          </cell>
          <cell r="AD229" t="str">
            <v>ZOZ: zichtzijde op zichtzijde</v>
          </cell>
          <cell r="AE229">
            <v>9.5</v>
          </cell>
          <cell r="AH229" t="str">
            <v>+/-0.5</v>
          </cell>
          <cell r="AI229">
            <v>0</v>
          </cell>
          <cell r="AJ229">
            <v>0</v>
          </cell>
          <cell r="AK229">
            <v>1222</v>
          </cell>
          <cell r="AL229" t="str">
            <v>Geen eisen gesteld</v>
          </cell>
          <cell r="AM229" t="str">
            <v>Pas de exigences</v>
          </cell>
          <cell r="AN229" t="str">
            <v>kg/m³</v>
          </cell>
          <cell r="AP229">
            <v>0.25</v>
          </cell>
          <cell r="AQ229">
            <v>0.04</v>
          </cell>
          <cell r="AR229">
            <v>30.672000000000001</v>
          </cell>
          <cell r="AS229">
            <v>31.591999999999999</v>
          </cell>
          <cell r="AT229">
            <v>43.2</v>
          </cell>
          <cell r="AU229" t="str">
            <v>CD3</v>
          </cell>
          <cell r="AV229" t="str">
            <v>DP : Duitse Pallet</v>
          </cell>
          <cell r="AW229">
            <v>3</v>
          </cell>
          <cell r="AX229">
            <v>4.09</v>
          </cell>
          <cell r="AY229" t="str">
            <v>01.02.2015</v>
          </cell>
          <cell r="AZ229">
            <v>0</v>
          </cell>
          <cell r="BA229" t="str">
            <v>00.00.0000</v>
          </cell>
          <cell r="BB229" t="str">
            <v>M2</v>
          </cell>
          <cell r="BC229" t="str">
            <v>M2</v>
          </cell>
          <cell r="BD229" t="str">
            <v>S</v>
          </cell>
          <cell r="BE229">
            <v>5413218001878</v>
          </cell>
        </row>
        <row r="230">
          <cell r="A230" t="str">
            <v>G123735</v>
          </cell>
          <cell r="B230" t="str">
            <v>G123735</v>
          </cell>
          <cell r="C230" t="str">
            <v>A1ABA15A001A009</v>
          </cell>
          <cell r="D230" t="str">
            <v>Gyproc® RF BA 13 M2</v>
          </cell>
          <cell r="E230" t="str">
            <v>A1AB</v>
          </cell>
          <cell r="F230" t="str">
            <v>Technische platen M2</v>
          </cell>
          <cell r="G230" t="str">
            <v>ZIB00013</v>
          </cell>
          <cell r="H230" t="str">
            <v>bestaand</v>
          </cell>
          <cell r="I230" t="str">
            <v>01.01.2013</v>
          </cell>
          <cell r="J230" t="str">
            <v>Yes</v>
          </cell>
          <cell r="K230" t="str">
            <v>Professional</v>
          </cell>
          <cell r="L230" t="str">
            <v>Gyproc</v>
          </cell>
          <cell r="M230" t="str">
            <v>Gyproc RF</v>
          </cell>
          <cell r="N230" t="str">
            <v>GY ABA RF 12.5 X 2600 X 1200 DP/50 ZOZ</v>
          </cell>
          <cell r="O230" t="str">
            <v>GY ABA RF 12.5 X 2600 X 1200 DP/50 ZOZ</v>
          </cell>
          <cell r="P230" t="str">
            <v>roze</v>
          </cell>
          <cell r="Q230" t="str">
            <v>rose</v>
          </cell>
          <cell r="R230" t="str">
            <v>grijs</v>
          </cell>
          <cell r="S230" t="str">
            <v>gris</v>
          </cell>
          <cell r="T230" t="str">
            <v>NBN EN 520:2009</v>
          </cell>
          <cell r="U230" t="str">
            <v>DF</v>
          </cell>
          <cell r="V230" t="str">
            <v>Rf</v>
          </cell>
          <cell r="Y230" t="str">
            <v>gipsplaat voor droge binnenafbouw</v>
          </cell>
          <cell r="AA230" t="str">
            <v>A2-s1, d0 (B)</v>
          </cell>
          <cell r="AB230" t="str">
            <v>SG GY 2013 A1ABA15A001</v>
          </cell>
          <cell r="AC230" t="str">
            <v>ABA</v>
          </cell>
          <cell r="AD230" t="str">
            <v>ZOZ: zichtzijde op zichtzijde</v>
          </cell>
          <cell r="AE230">
            <v>12.5</v>
          </cell>
          <cell r="AH230" t="str">
            <v>+/-0.5</v>
          </cell>
          <cell r="AI230">
            <v>0</v>
          </cell>
          <cell r="AJ230">
            <v>0</v>
          </cell>
          <cell r="AK230">
            <v>1256</v>
          </cell>
          <cell r="AL230" t="str">
            <v>&gt; 800</v>
          </cell>
          <cell r="AM230" t="str">
            <v>&gt; 800</v>
          </cell>
          <cell r="AN230" t="str">
            <v>kg/m³</v>
          </cell>
          <cell r="AP230">
            <v>0.25</v>
          </cell>
          <cell r="AQ230">
            <v>0.05</v>
          </cell>
          <cell r="AR230">
            <v>33.072000000000003</v>
          </cell>
          <cell r="AS230">
            <v>34.064</v>
          </cell>
          <cell r="AT230">
            <v>40.56</v>
          </cell>
          <cell r="AU230" t="str">
            <v>CD3</v>
          </cell>
          <cell r="AV230" t="str">
            <v>DP : Duitse Pallet</v>
          </cell>
          <cell r="AW230">
            <v>3</v>
          </cell>
          <cell r="AX230">
            <v>5.39</v>
          </cell>
          <cell r="AY230" t="str">
            <v>01.02.2015</v>
          </cell>
          <cell r="AZ230">
            <v>0</v>
          </cell>
          <cell r="BA230" t="str">
            <v>00.00.0000</v>
          </cell>
          <cell r="BB230" t="str">
            <v>M2</v>
          </cell>
          <cell r="BC230" t="str">
            <v>M2</v>
          </cell>
          <cell r="BD230" t="str">
            <v>S</v>
          </cell>
          <cell r="BE230">
            <v>5413218000406</v>
          </cell>
        </row>
        <row r="231">
          <cell r="A231" t="str">
            <v>G123736</v>
          </cell>
          <cell r="B231" t="str">
            <v>G123736</v>
          </cell>
          <cell r="C231" t="str">
            <v>A1ABA15A003A005</v>
          </cell>
          <cell r="D231" t="str">
            <v>Gyproc® RF BA 15 M2</v>
          </cell>
          <cell r="E231" t="str">
            <v>A1AB</v>
          </cell>
          <cell r="F231" t="str">
            <v>Technische platen M2</v>
          </cell>
          <cell r="G231" t="str">
            <v>ZIB00014</v>
          </cell>
          <cell r="H231" t="str">
            <v>bestaand</v>
          </cell>
          <cell r="I231" t="str">
            <v>01.01.2013</v>
          </cell>
          <cell r="J231" t="str">
            <v>Yes</v>
          </cell>
          <cell r="K231" t="str">
            <v>Professional</v>
          </cell>
          <cell r="L231" t="str">
            <v>Gyproc</v>
          </cell>
          <cell r="M231" t="str">
            <v>Gyproc RF</v>
          </cell>
          <cell r="N231" t="str">
            <v>GY ABA RF 15.0 X 3000 X 1200 DP/30 ZOZ</v>
          </cell>
          <cell r="O231" t="str">
            <v>GY ABA RF 15.0 X 3000 X 1200 DP/30 ZOZ</v>
          </cell>
          <cell r="P231" t="str">
            <v>roze</v>
          </cell>
          <cell r="Q231" t="str">
            <v>rose</v>
          </cell>
          <cell r="R231" t="str">
            <v>grijs</v>
          </cell>
          <cell r="S231" t="str">
            <v>gris</v>
          </cell>
          <cell r="T231" t="str">
            <v>NBN EN 520:2009</v>
          </cell>
          <cell r="U231" t="str">
            <v>DF</v>
          </cell>
          <cell r="V231" t="str">
            <v>Rf</v>
          </cell>
          <cell r="Y231" t="str">
            <v>gipsplaat voor droge binnenafbouw</v>
          </cell>
          <cell r="AA231" t="str">
            <v>A2-s1, d0 (B)</v>
          </cell>
          <cell r="AB231" t="str">
            <v>SG GY 2013 A1ABA15A003A005</v>
          </cell>
          <cell r="AC231" t="str">
            <v>ABA</v>
          </cell>
          <cell r="AD231" t="str">
            <v>ZOZ: zichtzijde op zichtzijde</v>
          </cell>
          <cell r="AE231">
            <v>15</v>
          </cell>
          <cell r="AH231" t="str">
            <v>+/-0.5</v>
          </cell>
          <cell r="AI231">
            <v>0</v>
          </cell>
          <cell r="AJ231">
            <v>0</v>
          </cell>
          <cell r="AK231">
            <v>1257</v>
          </cell>
          <cell r="AL231" t="str">
            <v>&gt; 800</v>
          </cell>
          <cell r="AM231" t="str">
            <v>&gt; 800</v>
          </cell>
          <cell r="AN231" t="str">
            <v>kg/m³</v>
          </cell>
          <cell r="AP231">
            <v>0.25</v>
          </cell>
          <cell r="AQ231">
            <v>0.06</v>
          </cell>
          <cell r="AR231">
            <v>48.96</v>
          </cell>
          <cell r="AS231">
            <v>50.429000000000002</v>
          </cell>
          <cell r="AT231">
            <v>54</v>
          </cell>
          <cell r="AU231" t="str">
            <v>CD3</v>
          </cell>
          <cell r="AV231" t="str">
            <v>DP : Duitse Pallet</v>
          </cell>
          <cell r="AW231">
            <v>3</v>
          </cell>
          <cell r="AX231">
            <v>5.89</v>
          </cell>
          <cell r="AY231" t="str">
            <v>01.02.2015</v>
          </cell>
          <cell r="AZ231">
            <v>0</v>
          </cell>
          <cell r="BA231" t="str">
            <v>00.00.0000</v>
          </cell>
          <cell r="BB231" t="str">
            <v>M2</v>
          </cell>
          <cell r="BC231" t="str">
            <v>M2</v>
          </cell>
          <cell r="BD231" t="str">
            <v>S</v>
          </cell>
          <cell r="BE231">
            <v>5413218000437</v>
          </cell>
        </row>
        <row r="232">
          <cell r="A232" t="str">
            <v>G123737</v>
          </cell>
          <cell r="B232" t="str">
            <v>G123737</v>
          </cell>
          <cell r="C232" t="str">
            <v>A1ABA15A004A003</v>
          </cell>
          <cell r="D232" t="str">
            <v>Gyproc® ABA RF 18 M2</v>
          </cell>
          <cell r="E232" t="str">
            <v>A1AB</v>
          </cell>
          <cell r="F232" t="str">
            <v>Technische platen M2</v>
          </cell>
          <cell r="G232" t="str">
            <v>ZIB00015</v>
          </cell>
          <cell r="H232" t="str">
            <v>bestaand</v>
          </cell>
          <cell r="I232" t="str">
            <v>01.01.2013</v>
          </cell>
          <cell r="J232" t="str">
            <v>Yes</v>
          </cell>
          <cell r="K232" t="str">
            <v>Professional</v>
          </cell>
          <cell r="L232" t="str">
            <v>Gyproc</v>
          </cell>
          <cell r="M232" t="str">
            <v>Gyproc RF</v>
          </cell>
          <cell r="N232" t="str">
            <v>GY ABA RF 18.0 X 2600 X 1200 DP/30 ZOZ</v>
          </cell>
          <cell r="O232" t="str">
            <v>GY ABA RF 18.0 X 2600 X 1200 DP/30 ZOZ</v>
          </cell>
          <cell r="P232" t="str">
            <v>roze</v>
          </cell>
          <cell r="Q232" t="str">
            <v>rose</v>
          </cell>
          <cell r="R232" t="str">
            <v>grijs</v>
          </cell>
          <cell r="S232" t="str">
            <v>gris</v>
          </cell>
          <cell r="T232" t="str">
            <v>NBN EN 520:2009</v>
          </cell>
          <cell r="U232" t="str">
            <v>DF</v>
          </cell>
          <cell r="V232" t="str">
            <v>Rf</v>
          </cell>
          <cell r="Y232" t="str">
            <v>gipsplaat voor droge binnenafbouw</v>
          </cell>
          <cell r="AA232" t="str">
            <v>A2-s1, d0 (B)</v>
          </cell>
          <cell r="AB232" t="str">
            <v>SG GY 2013 A1ABA15A004A001</v>
          </cell>
          <cell r="AC232" t="str">
            <v>ABA</v>
          </cell>
          <cell r="AD232" t="str">
            <v>ZOZ: zichtzijde op zichtzijde</v>
          </cell>
          <cell r="AE232">
            <v>18</v>
          </cell>
          <cell r="AH232" t="str">
            <v>+/-0.5</v>
          </cell>
          <cell r="AI232">
            <v>0</v>
          </cell>
          <cell r="AJ232">
            <v>0</v>
          </cell>
          <cell r="AK232">
            <v>1258</v>
          </cell>
          <cell r="AL232" t="str">
            <v>&gt; 800</v>
          </cell>
          <cell r="AM232" t="str">
            <v>&gt; 800</v>
          </cell>
          <cell r="AN232" t="str">
            <v>kg/m³</v>
          </cell>
          <cell r="AP232">
            <v>0.25</v>
          </cell>
          <cell r="AQ232">
            <v>7.0000000000000007E-2</v>
          </cell>
          <cell r="AR232">
            <v>46.332000000000001</v>
          </cell>
          <cell r="AS232">
            <v>48.640999999999998</v>
          </cell>
          <cell r="AT232">
            <v>56.16</v>
          </cell>
          <cell r="AU232" t="str">
            <v>CD3</v>
          </cell>
          <cell r="AV232" t="str">
            <v>DP : Duitse Pallet</v>
          </cell>
          <cell r="AW232">
            <v>3</v>
          </cell>
          <cell r="AX232">
            <v>6.73</v>
          </cell>
          <cell r="AY232" t="str">
            <v>01.02.2015</v>
          </cell>
          <cell r="AZ232">
            <v>0</v>
          </cell>
          <cell r="BA232" t="str">
            <v>00.00.0000</v>
          </cell>
          <cell r="BB232" t="str">
            <v>M2</v>
          </cell>
          <cell r="BC232" t="str">
            <v>M2</v>
          </cell>
          <cell r="BD232" t="str">
            <v>S</v>
          </cell>
          <cell r="BE232">
            <v>5413218000444</v>
          </cell>
        </row>
        <row r="233">
          <cell r="A233" t="str">
            <v>G123739</v>
          </cell>
          <cell r="B233" t="str">
            <v>G123739</v>
          </cell>
          <cell r="C233" t="str">
            <v>A1ABA07A003A019</v>
          </cell>
          <cell r="D233" t="str">
            <v>Gyproc® WR BA 13 120 M2</v>
          </cell>
          <cell r="E233" t="str">
            <v>A1AB</v>
          </cell>
          <cell r="F233" t="str">
            <v>Technische platen M2</v>
          </cell>
          <cell r="G233" t="str">
            <v>ZIB00020</v>
          </cell>
          <cell r="H233" t="str">
            <v>bestaand</v>
          </cell>
          <cell r="I233" t="str">
            <v>01.01.2013</v>
          </cell>
          <cell r="J233" t="str">
            <v>Yes</v>
          </cell>
          <cell r="K233" t="str">
            <v>Professional</v>
          </cell>
          <cell r="L233" t="str">
            <v>Gyproc</v>
          </cell>
          <cell r="M233" t="str">
            <v>Gyproc WR</v>
          </cell>
          <cell r="N233" t="str">
            <v>GY ABA WR 12.5 X 2600 X 1200 DP/50 ZOZ</v>
          </cell>
          <cell r="O233" t="str">
            <v>GY ABA WR 12.5 X 2600 X 1200 DP/50 ZOZ</v>
          </cell>
          <cell r="P233" t="str">
            <v>groen</v>
          </cell>
          <cell r="Q233" t="str">
            <v>vert</v>
          </cell>
          <cell r="R233" t="str">
            <v>grijs</v>
          </cell>
          <cell r="S233" t="str">
            <v>gris</v>
          </cell>
          <cell r="T233" t="str">
            <v>NBN EN 520:2009</v>
          </cell>
          <cell r="U233" t="str">
            <v>DFH2</v>
          </cell>
          <cell r="V233" t="str">
            <v>WR</v>
          </cell>
          <cell r="Y233" t="str">
            <v>gipsplaat voor droge binnenafbouw</v>
          </cell>
          <cell r="AA233" t="str">
            <v>A2-s1, d0 (B)</v>
          </cell>
          <cell r="AB233" t="str">
            <v>SG GY 2013 A1ABA07A003A019</v>
          </cell>
          <cell r="AC233" t="str">
            <v>ABA</v>
          </cell>
          <cell r="AD233" t="str">
            <v>ZOZ: zichtzijde op zichtzijde</v>
          </cell>
          <cell r="AE233">
            <v>12.5</v>
          </cell>
          <cell r="AH233" t="str">
            <v>+/-0.5</v>
          </cell>
          <cell r="AI233">
            <v>0</v>
          </cell>
          <cell r="AJ233">
            <v>0</v>
          </cell>
          <cell r="AK233">
            <v>1252</v>
          </cell>
          <cell r="AL233" t="str">
            <v>&gt; 800</v>
          </cell>
          <cell r="AM233" t="str">
            <v>&gt; 800</v>
          </cell>
          <cell r="AN233" t="str">
            <v>kg/m³</v>
          </cell>
          <cell r="AP233">
            <v>0.25</v>
          </cell>
          <cell r="AQ233">
            <v>0.05</v>
          </cell>
          <cell r="AR233">
            <v>33.072000000000003</v>
          </cell>
          <cell r="AS233">
            <v>34.064</v>
          </cell>
          <cell r="AT233">
            <v>40.56</v>
          </cell>
          <cell r="AU233" t="str">
            <v>CD3</v>
          </cell>
          <cell r="AV233" t="str">
            <v>DP : Duitse Pallet</v>
          </cell>
          <cell r="AW233">
            <v>3</v>
          </cell>
          <cell r="AX233">
            <v>7.12</v>
          </cell>
          <cell r="AY233" t="str">
            <v>01.02.2015</v>
          </cell>
          <cell r="AZ233">
            <v>0</v>
          </cell>
          <cell r="BA233" t="str">
            <v>00.00.0000</v>
          </cell>
          <cell r="BB233" t="str">
            <v>M2</v>
          </cell>
          <cell r="BC233" t="str">
            <v>M2</v>
          </cell>
          <cell r="BD233" t="str">
            <v>S</v>
          </cell>
          <cell r="BE233">
            <v>5413218000451</v>
          </cell>
        </row>
        <row r="234">
          <cell r="A234" t="str">
            <v>G123924</v>
          </cell>
          <cell r="B234" t="str">
            <v>G123924</v>
          </cell>
          <cell r="C234" t="str">
            <v>A1AAA01A003A014</v>
          </cell>
          <cell r="D234" t="str">
            <v>Gyproc® A BA 13 120 M2</v>
          </cell>
          <cell r="E234" t="str">
            <v>A1AA</v>
          </cell>
          <cell r="F234" t="str">
            <v>Platen Standaard M2</v>
          </cell>
          <cell r="G234" t="str">
            <v>ZIB00031</v>
          </cell>
          <cell r="H234" t="str">
            <v>bestaand</v>
          </cell>
          <cell r="I234" t="str">
            <v>01.01.2013</v>
          </cell>
          <cell r="J234" t="str">
            <v>Yes</v>
          </cell>
          <cell r="K234" t="str">
            <v>Professional</v>
          </cell>
          <cell r="L234" t="str">
            <v>Gyproc</v>
          </cell>
          <cell r="M234" t="str">
            <v>Gyproc A</v>
          </cell>
          <cell r="N234" t="str">
            <v>GY ABA A 12.5 X 2400 X 1200 DP/50 ZOZ</v>
          </cell>
          <cell r="O234" t="str">
            <v>GY ABA A 12.5 X 2400 X 1200 DP/50 ZOZ</v>
          </cell>
          <cell r="P234" t="str">
            <v>ivoor</v>
          </cell>
          <cell r="Q234" t="str">
            <v>ivoire</v>
          </cell>
          <cell r="R234" t="str">
            <v>grijs</v>
          </cell>
          <cell r="S234" t="str">
            <v>gris</v>
          </cell>
          <cell r="T234" t="str">
            <v>NBN EN 520:2009</v>
          </cell>
          <cell r="U234" t="str">
            <v>A</v>
          </cell>
          <cell r="V234" t="str">
            <v>A</v>
          </cell>
          <cell r="Y234" t="str">
            <v>gipsplaat voor droge binnenafbouw</v>
          </cell>
          <cell r="AA234" t="str">
            <v>A2-s1, d0 (B)</v>
          </cell>
          <cell r="AB234" t="str">
            <v>SG GY 2013 A1AAA01A003</v>
          </cell>
          <cell r="AC234" t="str">
            <v>ABA</v>
          </cell>
          <cell r="AD234" t="str">
            <v>ZOZ: zichtzijde op zichtzijde</v>
          </cell>
          <cell r="AE234">
            <v>12.5</v>
          </cell>
          <cell r="AH234" t="str">
            <v>+/-0.5</v>
          </cell>
          <cell r="AI234">
            <v>0</v>
          </cell>
          <cell r="AJ234">
            <v>0</v>
          </cell>
          <cell r="AK234">
            <v>1223</v>
          </cell>
          <cell r="AL234" t="str">
            <v>Geen eisen gesteld</v>
          </cell>
          <cell r="AM234" t="str">
            <v>Pas de exigences</v>
          </cell>
          <cell r="AN234" t="str">
            <v>kg/m³</v>
          </cell>
          <cell r="AP234">
            <v>0.25</v>
          </cell>
          <cell r="AQ234">
            <v>0.05</v>
          </cell>
          <cell r="AR234">
            <v>26.207999999999998</v>
          </cell>
          <cell r="AS234">
            <v>26.994</v>
          </cell>
          <cell r="AT234">
            <v>37.44</v>
          </cell>
          <cell r="AU234" t="str">
            <v>CD3</v>
          </cell>
          <cell r="AV234" t="str">
            <v>DP : Duitse Pallet</v>
          </cell>
          <cell r="AW234">
            <v>3</v>
          </cell>
          <cell r="AX234">
            <v>4.25</v>
          </cell>
          <cell r="AY234" t="str">
            <v>01.02.2015</v>
          </cell>
          <cell r="AZ234">
            <v>0</v>
          </cell>
          <cell r="BA234" t="str">
            <v>00.00.0000</v>
          </cell>
          <cell r="BB234" t="str">
            <v>M2</v>
          </cell>
          <cell r="BC234" t="str">
            <v>M2</v>
          </cell>
          <cell r="BD234" t="str">
            <v>S</v>
          </cell>
          <cell r="BE234">
            <v>5413218000147</v>
          </cell>
        </row>
        <row r="235">
          <cell r="A235" t="str">
            <v>G123927</v>
          </cell>
          <cell r="B235" t="str">
            <v>G123927</v>
          </cell>
          <cell r="C235" t="str">
            <v>A1ABA03A001A002</v>
          </cell>
          <cell r="D235" t="str">
            <v>Gyproc® 4xABA 13 / 1200 M2</v>
          </cell>
          <cell r="E235" t="str">
            <v>A1AB</v>
          </cell>
          <cell r="F235" t="str">
            <v>Technische platen M2</v>
          </cell>
          <cell r="G235" t="str">
            <v>ZIB00009</v>
          </cell>
          <cell r="H235" t="str">
            <v>bestaand</v>
          </cell>
          <cell r="I235" t="str">
            <v>01.01.2013</v>
          </cell>
          <cell r="J235" t="str">
            <v>Yes</v>
          </cell>
          <cell r="K235" t="str">
            <v>Professional</v>
          </cell>
          <cell r="L235" t="str">
            <v>Gyproc</v>
          </cell>
          <cell r="M235" t="str">
            <v>Gyproc A</v>
          </cell>
          <cell r="N235" t="str">
            <v>GY 4XABA A 12.5 X 2600 X 1200 DP/50 ZZB</v>
          </cell>
          <cell r="O235" t="str">
            <v>GY 4XABA A 12.5 X 2600 X 1200 DP/50 ZZB</v>
          </cell>
          <cell r="P235" t="str">
            <v>ivoor</v>
          </cell>
          <cell r="Q235" t="str">
            <v>ivoire</v>
          </cell>
          <cell r="R235" t="str">
            <v>grijs</v>
          </cell>
          <cell r="S235" t="str">
            <v>gris</v>
          </cell>
          <cell r="T235" t="str">
            <v>NBN EN 14190:2014</v>
          </cell>
          <cell r="U235" t="str">
            <v>A</v>
          </cell>
          <cell r="V235" t="str">
            <v>A</v>
          </cell>
          <cell r="W235" t="str">
            <v>gipskartonplaat met 4 afgeschuinde boorden</v>
          </cell>
          <cell r="Y235" t="str">
            <v>gipsplaat voor droge binnenafbouw</v>
          </cell>
          <cell r="AA235" t="str">
            <v>A2-s1, d0 (C.2)</v>
          </cell>
          <cell r="AB235" t="str">
            <v>SG GY 2013 A1ABA03A001</v>
          </cell>
          <cell r="AC235" t="str">
            <v>4xABA</v>
          </cell>
          <cell r="AD235" t="str">
            <v>ZZB: zichtzijde boven</v>
          </cell>
          <cell r="AE235">
            <v>12.5</v>
          </cell>
          <cell r="AH235" t="str">
            <v>+/-0.5</v>
          </cell>
          <cell r="AI235">
            <v>0</v>
          </cell>
          <cell r="AJ235">
            <v>0</v>
          </cell>
          <cell r="AL235" t="str">
            <v>Geen eisen gesteld</v>
          </cell>
          <cell r="AM235" t="str">
            <v>Pas de exigences</v>
          </cell>
          <cell r="AN235" t="str">
            <v>kg/m³</v>
          </cell>
          <cell r="AP235">
            <v>0.25</v>
          </cell>
          <cell r="AQ235">
            <v>0.05</v>
          </cell>
          <cell r="AR235">
            <v>28.391999999999999</v>
          </cell>
          <cell r="AS235">
            <v>29.244</v>
          </cell>
          <cell r="AT235">
            <v>40.56</v>
          </cell>
          <cell r="AU235" t="str">
            <v>CD3</v>
          </cell>
          <cell r="AV235" t="str">
            <v>DP : Duitse Pallet</v>
          </cell>
          <cell r="AW235">
            <v>3</v>
          </cell>
          <cell r="AX235">
            <v>5.72</v>
          </cell>
          <cell r="AY235" t="str">
            <v>01.02.2015</v>
          </cell>
          <cell r="AZ235">
            <v>0</v>
          </cell>
          <cell r="BA235" t="str">
            <v>00.00.0000</v>
          </cell>
          <cell r="BB235" t="str">
            <v>M2</v>
          </cell>
          <cell r="BC235" t="str">
            <v>M2</v>
          </cell>
          <cell r="BD235" t="str">
            <v>S</v>
          </cell>
          <cell r="BE235">
            <v>5413218000512</v>
          </cell>
        </row>
        <row r="236">
          <cell r="A236" t="str">
            <v>G124015</v>
          </cell>
          <cell r="B236" t="str">
            <v>G124015</v>
          </cell>
          <cell r="C236" t="str">
            <v>A1ABA19A007A001</v>
          </cell>
          <cell r="D236" t="str">
            <v>Glasroc® F 15 M2</v>
          </cell>
          <cell r="E236" t="str">
            <v>A1AB</v>
          </cell>
          <cell r="F236" t="str">
            <v>Technische platen M2</v>
          </cell>
          <cell r="G236" t="str">
            <v>G124015</v>
          </cell>
          <cell r="H236" t="str">
            <v>bestaand</v>
          </cell>
          <cell r="I236" t="str">
            <v>01.01.2013</v>
          </cell>
          <cell r="J236" t="str">
            <v>Yes</v>
          </cell>
          <cell r="K236" t="str">
            <v>Professional</v>
          </cell>
          <cell r="L236" t="str">
            <v>GLASROC F</v>
          </cell>
          <cell r="M236" t="str">
            <v>GLASROC F</v>
          </cell>
          <cell r="N236" t="str">
            <v>GLASROC F GBC 15 X 2400 X 1200 DP/32 ZOZ</v>
          </cell>
          <cell r="O236" t="str">
            <v>GLASROC F GBC 15 X 2400 X 1200 DP/32 ZOZ</v>
          </cell>
          <cell r="P236" t="str">
            <v>wit</v>
          </cell>
          <cell r="Q236" t="str">
            <v>blanc</v>
          </cell>
          <cell r="R236" t="str">
            <v>wit</v>
          </cell>
          <cell r="S236" t="str">
            <v>blanc</v>
          </cell>
          <cell r="T236" t="str">
            <v>NBN EN 15283-1:2009</v>
          </cell>
          <cell r="U236" t="str">
            <v>GM-F-H2</v>
          </cell>
          <cell r="V236" t="str">
            <v>GF</v>
          </cell>
          <cell r="W236" t="str">
            <v>verzaagde en ingefreesde gipskartonplaat</v>
          </cell>
          <cell r="Y236" t="str">
            <v>gipsvezelplaat voor droge binnenafbouw</v>
          </cell>
          <cell r="AA236" t="str">
            <v>A1</v>
          </cell>
          <cell r="AB236" t="str">
            <v>SG_GY_2013_A1ABA19A007</v>
          </cell>
          <cell r="AC236" t="str">
            <v>GBC</v>
          </cell>
          <cell r="AD236" t="str">
            <v>ZZO: zichtzijde onder</v>
          </cell>
          <cell r="AE236">
            <v>15</v>
          </cell>
          <cell r="AH236" t="str">
            <v>+/-0.7</v>
          </cell>
          <cell r="AI236">
            <v>0</v>
          </cell>
          <cell r="AJ236">
            <v>0</v>
          </cell>
          <cell r="AL236" t="str">
            <v>Geen eisen gesteld</v>
          </cell>
          <cell r="AM236" t="str">
            <v>Pas de exigences</v>
          </cell>
          <cell r="AN236" t="str">
            <v>kg/m³</v>
          </cell>
          <cell r="AP236">
            <v>0.3</v>
          </cell>
          <cell r="AQ236">
            <v>0.05</v>
          </cell>
          <cell r="AR236">
            <v>33.408000000000001</v>
          </cell>
          <cell r="AS236">
            <v>35.078000000000003</v>
          </cell>
          <cell r="AT236">
            <v>43.2</v>
          </cell>
          <cell r="AU236" t="str">
            <v>CD3</v>
          </cell>
          <cell r="AV236" t="str">
            <v>DP : Duitse Pallet</v>
          </cell>
          <cell r="AW236">
            <v>3</v>
          </cell>
          <cell r="AX236">
            <v>21.04</v>
          </cell>
          <cell r="AY236" t="str">
            <v>01.02.2015</v>
          </cell>
          <cell r="AZ236">
            <v>0</v>
          </cell>
          <cell r="BA236" t="str">
            <v>00.00.0000</v>
          </cell>
          <cell r="BB236" t="str">
            <v>M2</v>
          </cell>
          <cell r="BC236" t="str">
            <v>M2</v>
          </cell>
          <cell r="BD236" t="str">
            <v>S</v>
          </cell>
          <cell r="BE236">
            <v>5413218566841</v>
          </cell>
        </row>
        <row r="237">
          <cell r="A237" t="str">
            <v>G124016</v>
          </cell>
          <cell r="B237" t="str">
            <v>G124016</v>
          </cell>
          <cell r="C237" t="str">
            <v>A1ABA19A007A001</v>
          </cell>
          <cell r="D237" t="str">
            <v>Glasroc® F 15 M2</v>
          </cell>
          <cell r="E237" t="str">
            <v>A1AB</v>
          </cell>
          <cell r="F237" t="str">
            <v>Technische platen M2</v>
          </cell>
          <cell r="G237" t="str">
            <v>G124016</v>
          </cell>
          <cell r="H237" t="str">
            <v>bestaand</v>
          </cell>
          <cell r="I237" t="str">
            <v>01.01.2013</v>
          </cell>
          <cell r="J237" t="str">
            <v>Yes</v>
          </cell>
          <cell r="K237" t="str">
            <v>Professional</v>
          </cell>
          <cell r="L237" t="str">
            <v>GLASROC F</v>
          </cell>
          <cell r="M237" t="str">
            <v>GLASROC F</v>
          </cell>
          <cell r="N237" t="str">
            <v>GLASROC F GBC 15 X 3000 X 1200 DP/32</v>
          </cell>
          <cell r="O237" t="str">
            <v>GLASROC F GBC 15 X 3000 X 1200 DP/32</v>
          </cell>
          <cell r="P237" t="str">
            <v>wit</v>
          </cell>
          <cell r="Q237" t="str">
            <v>blanc</v>
          </cell>
          <cell r="R237" t="str">
            <v>wit</v>
          </cell>
          <cell r="S237" t="str">
            <v>blanc</v>
          </cell>
          <cell r="T237" t="str">
            <v>NBN EN 15283-1:2009</v>
          </cell>
          <cell r="U237" t="str">
            <v>GM-F-H2</v>
          </cell>
          <cell r="V237" t="str">
            <v>GF</v>
          </cell>
          <cell r="W237" t="str">
            <v>verzaagde en ingefreesde gipskartonplaat</v>
          </cell>
          <cell r="Y237" t="str">
            <v>gipsvezelplaat voor droge binnenafbouw</v>
          </cell>
          <cell r="AA237" t="str">
            <v>A1</v>
          </cell>
          <cell r="AB237" t="str">
            <v>SG_GY_2013_A1ABA19A007</v>
          </cell>
          <cell r="AC237" t="str">
            <v>GBC</v>
          </cell>
          <cell r="AD237" t="str">
            <v>ZZO: zichtzijde onder</v>
          </cell>
          <cell r="AE237">
            <v>15</v>
          </cell>
          <cell r="AH237" t="str">
            <v>+/-0.7</v>
          </cell>
          <cell r="AI237">
            <v>0</v>
          </cell>
          <cell r="AJ237">
            <v>0</v>
          </cell>
          <cell r="AL237" t="str">
            <v>Geen eisen gesteld</v>
          </cell>
          <cell r="AM237" t="str">
            <v>Pas de exigences</v>
          </cell>
          <cell r="AN237" t="str">
            <v>kg/m³</v>
          </cell>
          <cell r="AP237">
            <v>0.3</v>
          </cell>
          <cell r="AQ237">
            <v>0.05</v>
          </cell>
          <cell r="AR237">
            <v>41.76</v>
          </cell>
          <cell r="AS237">
            <v>43.847999999999999</v>
          </cell>
          <cell r="AT237">
            <v>54</v>
          </cell>
          <cell r="AU237" t="str">
            <v>CD3</v>
          </cell>
          <cell r="AV237" t="str">
            <v>DP : Duitse Pallet</v>
          </cell>
          <cell r="AW237">
            <v>3</v>
          </cell>
          <cell r="AX237">
            <v>21.04</v>
          </cell>
          <cell r="AY237" t="str">
            <v>01.02.2015</v>
          </cell>
          <cell r="AZ237">
            <v>0</v>
          </cell>
          <cell r="BA237" t="str">
            <v>00.00.0000</v>
          </cell>
          <cell r="BB237" t="str">
            <v>M2</v>
          </cell>
          <cell r="BC237" t="str">
            <v>M2</v>
          </cell>
          <cell r="BD237">
            <v>3</v>
          </cell>
          <cell r="BE237">
            <v>5413218566858</v>
          </cell>
        </row>
        <row r="238">
          <cell r="A238" t="str">
            <v>G124017</v>
          </cell>
          <cell r="B238" t="str">
            <v>G124017</v>
          </cell>
          <cell r="C238" t="str">
            <v>A1ABA19A009A001</v>
          </cell>
          <cell r="D238" t="str">
            <v>Glasroc® F 20 M2</v>
          </cell>
          <cell r="E238" t="str">
            <v>A1AB</v>
          </cell>
          <cell r="F238" t="str">
            <v>Technische platen M2</v>
          </cell>
          <cell r="G238" t="str">
            <v>G124017</v>
          </cell>
          <cell r="H238" t="str">
            <v>bestaand</v>
          </cell>
          <cell r="I238" t="str">
            <v>01.01.2013</v>
          </cell>
          <cell r="J238" t="str">
            <v>Yes</v>
          </cell>
          <cell r="K238" t="str">
            <v>Professional</v>
          </cell>
          <cell r="L238" t="str">
            <v>GLASROC F</v>
          </cell>
          <cell r="M238" t="str">
            <v>GLASROC F</v>
          </cell>
          <cell r="N238" t="str">
            <v>GLASROC F GBC 20 X 2000 X 1200 DP/24</v>
          </cell>
          <cell r="O238" t="str">
            <v>GLASROC F GBC 20 X 2000 X 1200 DP/24</v>
          </cell>
          <cell r="P238" t="str">
            <v>wit</v>
          </cell>
          <cell r="Q238" t="str">
            <v>blanc</v>
          </cell>
          <cell r="R238" t="str">
            <v>wit</v>
          </cell>
          <cell r="S238" t="str">
            <v>blanc</v>
          </cell>
          <cell r="T238" t="str">
            <v>NBN EN 15283-1:2009</v>
          </cell>
          <cell r="U238" t="str">
            <v>GM-F-H2</v>
          </cell>
          <cell r="V238" t="str">
            <v>GF</v>
          </cell>
          <cell r="W238" t="str">
            <v>verzaagde en ingefreesde gipskartonplaat</v>
          </cell>
          <cell r="Y238" t="str">
            <v>gipsvezelplaat voor droge binnenafbouw</v>
          </cell>
          <cell r="AA238" t="str">
            <v>A1</v>
          </cell>
          <cell r="AB238" t="str">
            <v>SG_GY_2013_A1ABA19A009</v>
          </cell>
          <cell r="AC238" t="str">
            <v>GBC</v>
          </cell>
          <cell r="AD238" t="str">
            <v>ZZO: zichtzijde onder</v>
          </cell>
          <cell r="AE238">
            <v>20</v>
          </cell>
          <cell r="AH238" t="str">
            <v>+/-0.8</v>
          </cell>
          <cell r="AI238">
            <v>0</v>
          </cell>
          <cell r="AJ238">
            <v>0</v>
          </cell>
          <cell r="AL238" t="str">
            <v>Geen eisen gesteld</v>
          </cell>
          <cell r="AM238" t="str">
            <v>Pas de exigences</v>
          </cell>
          <cell r="AN238" t="str">
            <v>kg/m³</v>
          </cell>
          <cell r="AP238">
            <v>0.3</v>
          </cell>
          <cell r="AQ238">
            <v>7.0000000000000007E-2</v>
          </cell>
          <cell r="AR238">
            <v>43.375</v>
          </cell>
          <cell r="AS238">
            <v>45.375</v>
          </cell>
          <cell r="AT238">
            <v>48</v>
          </cell>
          <cell r="AU238" t="str">
            <v>CD3</v>
          </cell>
          <cell r="AV238" t="str">
            <v>DP : Duitse Pallet</v>
          </cell>
          <cell r="AW238">
            <v>3</v>
          </cell>
          <cell r="AX238">
            <v>25.25</v>
          </cell>
          <cell r="AY238" t="str">
            <v>01.02.2015</v>
          </cell>
          <cell r="AZ238">
            <v>0</v>
          </cell>
          <cell r="BA238" t="str">
            <v>00.00.0000</v>
          </cell>
          <cell r="BB238" t="str">
            <v>M2</v>
          </cell>
          <cell r="BC238" t="str">
            <v>M2</v>
          </cell>
          <cell r="BD238" t="str">
            <v>S</v>
          </cell>
          <cell r="BE238">
            <v>5413218566865</v>
          </cell>
        </row>
        <row r="239">
          <cell r="A239" t="str">
            <v>G124018</v>
          </cell>
          <cell r="B239" t="str">
            <v>G124018</v>
          </cell>
          <cell r="C239" t="str">
            <v>A1ABA19A009A001</v>
          </cell>
          <cell r="D239" t="str">
            <v>Glasroc® F 20 M2</v>
          </cell>
          <cell r="E239" t="str">
            <v>A1AB</v>
          </cell>
          <cell r="F239" t="str">
            <v>Technische platen M2</v>
          </cell>
          <cell r="G239" t="str">
            <v>G124018</v>
          </cell>
          <cell r="H239" t="str">
            <v>bestaand</v>
          </cell>
          <cell r="I239" t="str">
            <v>01.01.2013</v>
          </cell>
          <cell r="J239" t="str">
            <v>Yes</v>
          </cell>
          <cell r="K239" t="str">
            <v>Professional</v>
          </cell>
          <cell r="L239" t="str">
            <v>GLASROC F</v>
          </cell>
          <cell r="M239" t="str">
            <v>GLASROC F</v>
          </cell>
          <cell r="N239" t="str">
            <v>GLASROC F GBC 20 X 3000 X 1200 DP/24</v>
          </cell>
          <cell r="O239" t="str">
            <v>GLASROC F GBC 20 X 3000 X 1200 DP/24</v>
          </cell>
          <cell r="P239" t="str">
            <v>wit</v>
          </cell>
          <cell r="Q239" t="str">
            <v>blanc</v>
          </cell>
          <cell r="R239" t="str">
            <v>wit</v>
          </cell>
          <cell r="S239" t="str">
            <v>blanc</v>
          </cell>
          <cell r="T239" t="str">
            <v>NBN EN 15283-1:2009</v>
          </cell>
          <cell r="U239" t="str">
            <v>GM-F-H2</v>
          </cell>
          <cell r="V239" t="str">
            <v>GF</v>
          </cell>
          <cell r="W239" t="str">
            <v>verzaagde en ingefreesde gipskartonplaat</v>
          </cell>
          <cell r="Y239" t="str">
            <v>gipsvezelplaat voor droge binnenafbouw</v>
          </cell>
          <cell r="AA239" t="str">
            <v>A1</v>
          </cell>
          <cell r="AB239" t="str">
            <v>SG_GY_2013_A1ABA19A009</v>
          </cell>
          <cell r="AC239" t="str">
            <v>GBC</v>
          </cell>
          <cell r="AD239" t="str">
            <v>ZZO: zichtzijde onder</v>
          </cell>
          <cell r="AE239">
            <v>20</v>
          </cell>
          <cell r="AH239" t="str">
            <v>+/-0.8</v>
          </cell>
          <cell r="AI239">
            <v>0</v>
          </cell>
          <cell r="AJ239">
            <v>0</v>
          </cell>
          <cell r="AL239" t="str">
            <v>Geen eisen gesteld</v>
          </cell>
          <cell r="AM239" t="str">
            <v>Pas de exigences</v>
          </cell>
          <cell r="AN239" t="str">
            <v>kg/m³</v>
          </cell>
          <cell r="AP239">
            <v>0.3</v>
          </cell>
          <cell r="AQ239">
            <v>7.0000000000000007E-2</v>
          </cell>
          <cell r="AR239">
            <v>58.32</v>
          </cell>
          <cell r="AS239">
            <v>61.2</v>
          </cell>
          <cell r="AT239">
            <v>72</v>
          </cell>
          <cell r="AU239" t="str">
            <v>CD3</v>
          </cell>
          <cell r="AV239" t="str">
            <v>DP : Duitse Pallet</v>
          </cell>
          <cell r="AW239">
            <v>3</v>
          </cell>
          <cell r="AX239">
            <v>25.25</v>
          </cell>
          <cell r="AY239" t="str">
            <v>01.02.2015</v>
          </cell>
          <cell r="AZ239">
            <v>0</v>
          </cell>
          <cell r="BA239" t="str">
            <v>00.00.0000</v>
          </cell>
          <cell r="BB239" t="str">
            <v>M2</v>
          </cell>
          <cell r="BC239" t="str">
            <v>M2</v>
          </cell>
          <cell r="BD239">
            <v>3</v>
          </cell>
          <cell r="BE239">
            <v>5413218566872</v>
          </cell>
        </row>
        <row r="240">
          <cell r="A240" t="str">
            <v>G124019</v>
          </cell>
          <cell r="B240" t="str">
            <v>G124019</v>
          </cell>
          <cell r="C240" t="str">
            <v>A1ABA19A011A001</v>
          </cell>
          <cell r="D240" t="str">
            <v>Glasroc® F 25 M2</v>
          </cell>
          <cell r="E240" t="str">
            <v>A1AB</v>
          </cell>
          <cell r="F240" t="str">
            <v>Technische platen M2</v>
          </cell>
          <cell r="G240" t="str">
            <v>G124019</v>
          </cell>
          <cell r="H240" t="str">
            <v>bestaand</v>
          </cell>
          <cell r="I240" t="str">
            <v>01.01.2013</v>
          </cell>
          <cell r="J240" t="str">
            <v>Yes</v>
          </cell>
          <cell r="K240" t="str">
            <v>Professional</v>
          </cell>
          <cell r="L240" t="str">
            <v>GLASROC F</v>
          </cell>
          <cell r="M240" t="str">
            <v>GLASROC F</v>
          </cell>
          <cell r="N240" t="str">
            <v>GLASROC F GBC 25 X 2000 X 1200 DP/20</v>
          </cell>
          <cell r="O240" t="str">
            <v>GLASROC F GBC 25 X 2000 X 1200 DP/20</v>
          </cell>
          <cell r="P240" t="str">
            <v>wit</v>
          </cell>
          <cell r="Q240" t="str">
            <v>blanc</v>
          </cell>
          <cell r="R240" t="str">
            <v>wit</v>
          </cell>
          <cell r="S240" t="str">
            <v>blanc</v>
          </cell>
          <cell r="T240" t="str">
            <v>NBN EN 15283-1:2009</v>
          </cell>
          <cell r="U240" t="str">
            <v>GM-F-H2</v>
          </cell>
          <cell r="V240" t="str">
            <v>GF</v>
          </cell>
          <cell r="W240" t="str">
            <v>verzaagde en ingefreesde gipskartonplaat</v>
          </cell>
          <cell r="Y240" t="str">
            <v>gipsvezelplaat voor droge binnenafbouw</v>
          </cell>
          <cell r="AA240" t="str">
            <v>A1</v>
          </cell>
          <cell r="AB240" t="str">
            <v>SG_GY_2013_A1ABA19A011</v>
          </cell>
          <cell r="AC240" t="str">
            <v>GBC</v>
          </cell>
          <cell r="AD240" t="str">
            <v>ZZO: zichtzijde onder</v>
          </cell>
          <cell r="AE240">
            <v>25</v>
          </cell>
          <cell r="AH240" t="str">
            <v>+/-1</v>
          </cell>
          <cell r="AI240">
            <v>0</v>
          </cell>
          <cell r="AJ240">
            <v>0</v>
          </cell>
          <cell r="AL240" t="str">
            <v>Geen eisen gesteld</v>
          </cell>
          <cell r="AM240" t="str">
            <v>Pas de exigences</v>
          </cell>
          <cell r="AN240" t="str">
            <v>kg/m³</v>
          </cell>
          <cell r="AP240">
            <v>0.3</v>
          </cell>
          <cell r="AQ240">
            <v>0.08</v>
          </cell>
          <cell r="AR240">
            <v>48.576000000000001</v>
          </cell>
          <cell r="AS240">
            <v>51</v>
          </cell>
          <cell r="AT240">
            <v>60</v>
          </cell>
          <cell r="AU240" t="str">
            <v>CD3</v>
          </cell>
          <cell r="AV240" t="str">
            <v>DP : Duitse Pallet</v>
          </cell>
          <cell r="AW240">
            <v>3</v>
          </cell>
          <cell r="AX240">
            <v>28.01</v>
          </cell>
          <cell r="AY240" t="str">
            <v>01.02.2015</v>
          </cell>
          <cell r="AZ240">
            <v>0</v>
          </cell>
          <cell r="BA240" t="str">
            <v>00.00.0000</v>
          </cell>
          <cell r="BB240" t="str">
            <v>M2</v>
          </cell>
          <cell r="BC240" t="str">
            <v>M2</v>
          </cell>
          <cell r="BD240" t="str">
            <v>S</v>
          </cell>
          <cell r="BE240">
            <v>5413218566889</v>
          </cell>
        </row>
        <row r="241">
          <cell r="A241" t="str">
            <v>G124020</v>
          </cell>
          <cell r="B241" t="str">
            <v>G124020</v>
          </cell>
          <cell r="C241" t="str">
            <v>A1ABA19A012A001</v>
          </cell>
          <cell r="D241" t="str">
            <v>Rinoflam 30 M2</v>
          </cell>
          <cell r="E241" t="str">
            <v>A1AB</v>
          </cell>
          <cell r="F241" t="str">
            <v>Technische platen M2</v>
          </cell>
          <cell r="G241" t="str">
            <v>G124020</v>
          </cell>
          <cell r="H241" t="str">
            <v>bestaand</v>
          </cell>
          <cell r="I241" t="str">
            <v>01.01.2013</v>
          </cell>
          <cell r="J241" t="str">
            <v>Yes</v>
          </cell>
          <cell r="K241" t="str">
            <v>Professional</v>
          </cell>
          <cell r="L241" t="str">
            <v>GLASROC F</v>
          </cell>
          <cell r="M241" t="str">
            <v>GLASROC F</v>
          </cell>
          <cell r="N241" t="str">
            <v>GLASROC F GBC 30 X 2000 X 1200 DP/20</v>
          </cell>
          <cell r="O241" t="str">
            <v>GLASROC F GBC 30 X 2000 X 1200 DP/20</v>
          </cell>
          <cell r="P241" t="str">
            <v>wit</v>
          </cell>
          <cell r="Q241" t="str">
            <v>blanc</v>
          </cell>
          <cell r="R241" t="str">
            <v>wit</v>
          </cell>
          <cell r="S241" t="str">
            <v>blanc</v>
          </cell>
          <cell r="T241" t="str">
            <v>NBN EN 15283-1:2009</v>
          </cell>
          <cell r="U241" t="str">
            <v>GM-F-H2</v>
          </cell>
          <cell r="V241" t="str">
            <v>GF</v>
          </cell>
          <cell r="W241" t="str">
            <v>verzaagde en ingefreesde gipskartonplaat</v>
          </cell>
          <cell r="Y241" t="str">
            <v>gipsvezelplaat voor droge binnenafbouw</v>
          </cell>
          <cell r="AA241" t="str">
            <v>A1</v>
          </cell>
          <cell r="AB241" t="str">
            <v>SG_GY_2013_A1ABA19A012</v>
          </cell>
          <cell r="AC241" t="str">
            <v>GBC</v>
          </cell>
          <cell r="AD241" t="str">
            <v>ZZO: zichtzijde onder</v>
          </cell>
          <cell r="AE241">
            <v>30</v>
          </cell>
          <cell r="AH241" t="str">
            <v>+/-1.2</v>
          </cell>
          <cell r="AI241">
            <v>0</v>
          </cell>
          <cell r="AJ241">
            <v>0</v>
          </cell>
          <cell r="AL241" t="str">
            <v>Geen eisen gesteld</v>
          </cell>
          <cell r="AM241" t="str">
            <v>Pas de exigences</v>
          </cell>
          <cell r="AN241" t="str">
            <v>kg/m³</v>
          </cell>
          <cell r="AP241">
            <v>0.3</v>
          </cell>
          <cell r="AQ241">
            <v>0.1</v>
          </cell>
          <cell r="AR241">
            <v>72</v>
          </cell>
          <cell r="AS241">
            <v>72</v>
          </cell>
          <cell r="AT241">
            <v>72</v>
          </cell>
          <cell r="AU241" t="str">
            <v>CD3</v>
          </cell>
          <cell r="AV241" t="str">
            <v>DP : Duitse Pallet</v>
          </cell>
          <cell r="AW241">
            <v>3</v>
          </cell>
          <cell r="AX241">
            <v>32.18</v>
          </cell>
          <cell r="AY241" t="str">
            <v>01.02.2015</v>
          </cell>
          <cell r="AZ241">
            <v>0</v>
          </cell>
          <cell r="BA241" t="str">
            <v>00.00.0000</v>
          </cell>
          <cell r="BB241" t="str">
            <v>M2</v>
          </cell>
          <cell r="BC241" t="str">
            <v>M2</v>
          </cell>
          <cell r="BD241">
            <v>3</v>
          </cell>
          <cell r="BE241">
            <v>5413218566896</v>
          </cell>
        </row>
        <row r="242">
          <cell r="A242" t="str">
            <v>G124054</v>
          </cell>
          <cell r="B242" t="str">
            <v>G124054</v>
          </cell>
          <cell r="C242" t="str">
            <v>C1CAC01C001C005</v>
          </cell>
          <cell r="D242" t="str">
            <v>Quattro D1 M2</v>
          </cell>
          <cell r="E242" t="str">
            <v>C1CA</v>
          </cell>
          <cell r="F242" t="str">
            <v>Gyptone plafonds</v>
          </cell>
          <cell r="G242" t="str">
            <v>G124054</v>
          </cell>
          <cell r="H242" t="str">
            <v>te verwijderen</v>
          </cell>
          <cell r="I242" t="str">
            <v>01.01.2013</v>
          </cell>
          <cell r="J242" t="str">
            <v>Yes</v>
          </cell>
          <cell r="K242" t="str">
            <v>Professional</v>
          </cell>
          <cell r="L242" t="str">
            <v>GYPTONE</v>
          </cell>
          <cell r="M242" t="str">
            <v>GYPTONE QUATTRO 22</v>
          </cell>
          <cell r="N242" t="str">
            <v>GYPT QUATTRO 22 D1 12.5 600X600 WP/6DS</v>
          </cell>
          <cell r="O242" t="str">
            <v>GYPT QUATTRO 22 D1 12.5X600X600 WP/6DS</v>
          </cell>
          <cell r="P242" t="str">
            <v>ivoor</v>
          </cell>
          <cell r="Q242" t="str">
            <v>ivoire</v>
          </cell>
          <cell r="R242" t="str">
            <v>wit vlies</v>
          </cell>
          <cell r="S242" t="str">
            <v>voile blanc</v>
          </cell>
          <cell r="T242" t="str">
            <v>NBN EN 14190:2014</v>
          </cell>
          <cell r="U242" t="str">
            <v>A</v>
          </cell>
          <cell r="V242" t="str">
            <v>GT</v>
          </cell>
          <cell r="W242" t="str">
            <v>geperforeerde tegel uit gipskartonplaat</v>
          </cell>
          <cell r="Y242" t="str">
            <v>gipsplaat voor droge binnenafbouw</v>
          </cell>
          <cell r="AA242" t="str">
            <v>A2-s1, d0 (C.4)</v>
          </cell>
          <cell r="AB242" t="str">
            <v>DoP_GYP_14190-1-v-1</v>
          </cell>
          <cell r="AC242" t="str">
            <v>D1</v>
          </cell>
          <cell r="AE242">
            <v>12.5</v>
          </cell>
          <cell r="AH242" t="str">
            <v>+/-0.5</v>
          </cell>
          <cell r="AI242">
            <v>0</v>
          </cell>
          <cell r="AJ242">
            <v>0</v>
          </cell>
          <cell r="AL242" t="str">
            <v>Geen eisen gesteld</v>
          </cell>
          <cell r="AM242" t="str">
            <v>Pas de exigences</v>
          </cell>
          <cell r="AN242" t="str">
            <v>kg/m³</v>
          </cell>
          <cell r="AP242">
            <v>0.25</v>
          </cell>
          <cell r="AR242">
            <v>2.56</v>
          </cell>
          <cell r="AS242">
            <v>2.65</v>
          </cell>
          <cell r="AT242">
            <v>4.68</v>
          </cell>
          <cell r="AU242" t="str">
            <v>CD3</v>
          </cell>
          <cell r="AV242" t="str">
            <v>WP : Wegwerppallet</v>
          </cell>
          <cell r="AW242">
            <v>7</v>
          </cell>
          <cell r="AX242">
            <v>35.299999999999997</v>
          </cell>
          <cell r="AY242" t="str">
            <v>01.02.2015</v>
          </cell>
          <cell r="AZ242">
            <v>0</v>
          </cell>
          <cell r="BA242" t="str">
            <v>00.00.0000</v>
          </cell>
          <cell r="BB242" t="str">
            <v>M2</v>
          </cell>
          <cell r="BC242" t="str">
            <v>M2</v>
          </cell>
          <cell r="BD242">
            <v>3</v>
          </cell>
          <cell r="BE242">
            <v>5413218566322</v>
          </cell>
        </row>
        <row r="243">
          <cell r="A243" t="str">
            <v>G124128</v>
          </cell>
          <cell r="B243" t="str">
            <v>G124128</v>
          </cell>
          <cell r="C243" t="str">
            <v>C1CBC01C001C021</v>
          </cell>
          <cell r="D243" t="str">
            <v>Rigitone 8/18 M2</v>
          </cell>
          <cell r="E243" t="str">
            <v>C1CB</v>
          </cell>
          <cell r="F243" t="str">
            <v>Rigitone platen</v>
          </cell>
          <cell r="G243" t="str">
            <v>ZIB00028</v>
          </cell>
          <cell r="H243" t="str">
            <v>te verwijderen</v>
          </cell>
          <cell r="I243" t="str">
            <v>01.01.2013</v>
          </cell>
          <cell r="J243" t="str">
            <v>Yes</v>
          </cell>
          <cell r="K243" t="str">
            <v>Professional</v>
          </cell>
          <cell r="L243" t="str">
            <v>RIGITONE</v>
          </cell>
          <cell r="M243" t="str">
            <v>RIGITONE 8/18</v>
          </cell>
          <cell r="N243" t="str">
            <v>RIGITONE 8/18 WT 12.5X1998X1188 DP/40</v>
          </cell>
          <cell r="O243" t="str">
            <v>RIGITONE 8/18 WT 12.5 X1998 X 1188 DP/40</v>
          </cell>
          <cell r="P243" t="str">
            <v>ivoor</v>
          </cell>
          <cell r="Q243" t="str">
            <v>ivoire</v>
          </cell>
          <cell r="R243" t="str">
            <v>wit vlies</v>
          </cell>
          <cell r="S243" t="str">
            <v>voile blanc</v>
          </cell>
          <cell r="T243" t="str">
            <v>NBN EN 14190:2014</v>
          </cell>
          <cell r="U243" t="str">
            <v>A</v>
          </cell>
          <cell r="V243" t="str">
            <v>RT</v>
          </cell>
          <cell r="W243" t="str">
            <v>geperforeerde gipskartonplaat met gesneden boorden</v>
          </cell>
          <cell r="Y243" t="str">
            <v>gipsplaat voor droge binnenafbouw</v>
          </cell>
          <cell r="AA243" t="str">
            <v>A2-s1, d0 (C.1)</v>
          </cell>
          <cell r="AB243" t="str">
            <v>Rigiton_Air_LE_0613</v>
          </cell>
          <cell r="AC243" t="str">
            <v>GBC</v>
          </cell>
          <cell r="AE243">
            <v>12.5</v>
          </cell>
          <cell r="AH243" t="str">
            <v>+/-0.5</v>
          </cell>
          <cell r="AI243">
            <v>0</v>
          </cell>
          <cell r="AJ243">
            <v>0</v>
          </cell>
          <cell r="AL243" t="str">
            <v>Geen eisen gesteld</v>
          </cell>
          <cell r="AM243" t="str">
            <v>Pas de exigences</v>
          </cell>
          <cell r="AN243" t="str">
            <v>kg/m³</v>
          </cell>
          <cell r="AP243">
            <v>0.25</v>
          </cell>
          <cell r="AR243">
            <v>23.736000000000001</v>
          </cell>
          <cell r="AS243">
            <v>26.11</v>
          </cell>
          <cell r="AT243">
            <v>30.856999999999999</v>
          </cell>
          <cell r="AU243" t="str">
            <v>CD3</v>
          </cell>
          <cell r="AV243" t="str">
            <v>DP : Duitse Pallet</v>
          </cell>
          <cell r="AW243">
            <v>3</v>
          </cell>
          <cell r="AX243">
            <v>18.54</v>
          </cell>
          <cell r="AY243" t="str">
            <v>01.02.2015</v>
          </cell>
          <cell r="AZ243">
            <v>0</v>
          </cell>
          <cell r="BA243" t="str">
            <v>00.00.0000</v>
          </cell>
          <cell r="BB243" t="str">
            <v>M2</v>
          </cell>
          <cell r="BC243" t="str">
            <v>M2</v>
          </cell>
          <cell r="BD243" t="str">
            <v>S</v>
          </cell>
          <cell r="BE243">
            <v>5413218566483</v>
          </cell>
        </row>
        <row r="244">
          <cell r="A244" t="str">
            <v>G124132</v>
          </cell>
          <cell r="C244" t="str">
            <v>C1CAC03C003C003</v>
          </cell>
          <cell r="D244" t="str">
            <v>Dalles Gyptone Panel Coul BaseE M2</v>
          </cell>
          <cell r="E244" t="str">
            <v>C1CA</v>
          </cell>
          <cell r="F244" t="str">
            <v>Gyptone plafonds</v>
          </cell>
          <cell r="G244" t="str">
            <v>G124132</v>
          </cell>
          <cell r="H244" t="str">
            <v>bestaand</v>
          </cell>
          <cell r="I244" t="str">
            <v>01.01.2013</v>
          </cell>
          <cell r="J244" t="str">
            <v>Yes</v>
          </cell>
          <cell r="K244" t="str">
            <v>Professional</v>
          </cell>
          <cell r="L244" t="str">
            <v>GYPTONE</v>
          </cell>
          <cell r="M244" t="str">
            <v>GYPTONE BASE 33</v>
          </cell>
          <cell r="N244" t="str">
            <v>GYPT BASE 33 E 12.5 2100X300 WP/12DS</v>
          </cell>
          <cell r="O244" t="str">
            <v>GYPT BASE 33 E 12.5 2100X300 WP/12DS</v>
          </cell>
          <cell r="P244" t="str">
            <v>ivoor</v>
          </cell>
          <cell r="Q244" t="str">
            <v>ivoire</v>
          </cell>
          <cell r="R244" t="str">
            <v>grijs</v>
          </cell>
          <cell r="S244" t="str">
            <v>gris</v>
          </cell>
          <cell r="T244" t="str">
            <v>NBN EN 14190:2014</v>
          </cell>
          <cell r="U244" t="str">
            <v>A</v>
          </cell>
          <cell r="V244" t="str">
            <v>GT</v>
          </cell>
          <cell r="Y244" t="str">
            <v>gipsplaat voor droge binnenafbouw</v>
          </cell>
          <cell r="AA244" t="str">
            <v>A2-s1, d0 (C.4)</v>
          </cell>
          <cell r="AB244" t="str">
            <v>DoP_GYP_14190-3-v-1</v>
          </cell>
          <cell r="AC244" t="str">
            <v>E15/A</v>
          </cell>
          <cell r="AE244">
            <v>12.5</v>
          </cell>
          <cell r="AH244" t="str">
            <v>+/-0.5</v>
          </cell>
          <cell r="AI244">
            <v>0</v>
          </cell>
          <cell r="AJ244">
            <v>0</v>
          </cell>
          <cell r="AL244" t="str">
            <v>Geen eisen gesteld</v>
          </cell>
          <cell r="AM244" t="str">
            <v>Pas de exigences</v>
          </cell>
          <cell r="AN244" t="str">
            <v>kg/m³</v>
          </cell>
          <cell r="AP244">
            <v>0.25</v>
          </cell>
          <cell r="AR244">
            <v>5.7960000000000003</v>
          </cell>
          <cell r="AS244">
            <v>6.0860000000000003</v>
          </cell>
          <cell r="AT244">
            <v>10.494999999999999</v>
          </cell>
          <cell r="AU244" t="str">
            <v>CD3</v>
          </cell>
          <cell r="AV244" t="str">
            <v>WP : Wegwerppallet</v>
          </cell>
          <cell r="AW244">
            <v>7</v>
          </cell>
          <cell r="AX244">
            <v>24.31</v>
          </cell>
          <cell r="AY244" t="str">
            <v>01.02.2015</v>
          </cell>
          <cell r="AZ244">
            <v>0</v>
          </cell>
          <cell r="BA244" t="str">
            <v>00.00.0000</v>
          </cell>
          <cell r="BB244" t="str">
            <v>M2</v>
          </cell>
          <cell r="BC244" t="str">
            <v>M2</v>
          </cell>
          <cell r="BD244">
            <v>2</v>
          </cell>
          <cell r="BE244">
            <v>0</v>
          </cell>
        </row>
        <row r="245">
          <cell r="A245" t="str">
            <v>G124133</v>
          </cell>
          <cell r="B245" t="str">
            <v>G124133</v>
          </cell>
          <cell r="C245" t="str">
            <v>C1CAC03C005C002</v>
          </cell>
          <cell r="D245" t="str">
            <v>Gyptone tegels Panel couloir M2</v>
          </cell>
          <cell r="E245" t="str">
            <v>C1CA</v>
          </cell>
          <cell r="F245" t="str">
            <v>Gyptone plafonds</v>
          </cell>
          <cell r="G245" t="str">
            <v>G124133</v>
          </cell>
          <cell r="H245" t="str">
            <v>bestaand</v>
          </cell>
          <cell r="I245" t="str">
            <v>01.01.2013</v>
          </cell>
          <cell r="J245" t="str">
            <v>Yes</v>
          </cell>
          <cell r="K245" t="str">
            <v>Professional</v>
          </cell>
          <cell r="L245" t="str">
            <v>GYPTONE</v>
          </cell>
          <cell r="M245" t="str">
            <v>GYPTONE POINT 15</v>
          </cell>
          <cell r="N245" t="str">
            <v>GYPT POINT 15 E 12.5 1800X300 WP/12DS</v>
          </cell>
          <cell r="O245" t="str">
            <v>GYPT POINT 15 E 12.5X1800X300 WP/12DS</v>
          </cell>
          <cell r="P245" t="str">
            <v>ivoor</v>
          </cell>
          <cell r="Q245" t="str">
            <v>ivoire</v>
          </cell>
          <cell r="R245" t="str">
            <v>wit vlies</v>
          </cell>
          <cell r="S245" t="str">
            <v>voile blanc</v>
          </cell>
          <cell r="T245" t="str">
            <v>NBN EN 14190:2014</v>
          </cell>
          <cell r="U245" t="str">
            <v>A</v>
          </cell>
          <cell r="V245" t="str">
            <v>GT</v>
          </cell>
          <cell r="W245" t="str">
            <v>geperforeerd paneel uit gipskartonplaat</v>
          </cell>
          <cell r="Y245" t="str">
            <v>gipsplaat voor droge binnenafbouw</v>
          </cell>
          <cell r="AA245" t="str">
            <v>A2-s1, d0 (C.4)</v>
          </cell>
          <cell r="AB245" t="str">
            <v>DoP_GYP_14190-3-v-1</v>
          </cell>
          <cell r="AC245" t="str">
            <v>E15/A</v>
          </cell>
          <cell r="AE245">
            <v>12.5</v>
          </cell>
          <cell r="AH245" t="str">
            <v>+/-0.5</v>
          </cell>
          <cell r="AI245">
            <v>0</v>
          </cell>
          <cell r="AJ245">
            <v>0</v>
          </cell>
          <cell r="AL245" t="str">
            <v>Geen eisen gesteld</v>
          </cell>
          <cell r="AM245" t="str">
            <v>Pas de exigences</v>
          </cell>
          <cell r="AN245" t="str">
            <v>kg/m³</v>
          </cell>
          <cell r="AP245">
            <v>0.25</v>
          </cell>
          <cell r="AR245">
            <v>4.1040000000000001</v>
          </cell>
          <cell r="AS245">
            <v>4.5140000000000002</v>
          </cell>
          <cell r="AT245">
            <v>7.02</v>
          </cell>
          <cell r="AU245" t="str">
            <v>CD3</v>
          </cell>
          <cell r="AV245" t="str">
            <v>WP : Wegwerppallet</v>
          </cell>
          <cell r="AW245">
            <v>7</v>
          </cell>
          <cell r="AX245">
            <v>30.97</v>
          </cell>
          <cell r="AY245" t="str">
            <v>01.02.2015</v>
          </cell>
          <cell r="AZ245">
            <v>0</v>
          </cell>
          <cell r="BA245" t="str">
            <v>00.00.0000</v>
          </cell>
          <cell r="BB245" t="str">
            <v>M2</v>
          </cell>
          <cell r="BC245" t="str">
            <v>M2</v>
          </cell>
          <cell r="BD245">
            <v>2</v>
          </cell>
          <cell r="BE245">
            <v>5413218566353</v>
          </cell>
        </row>
        <row r="246">
          <cell r="A246" t="str">
            <v>G124154</v>
          </cell>
          <cell r="B246" t="str">
            <v>G124154</v>
          </cell>
          <cell r="C246" t="str">
            <v>D5DAD01D007D004</v>
          </cell>
          <cell r="D246" t="str">
            <v>Jointfiller 45 KG</v>
          </cell>
          <cell r="E246" t="str">
            <v>D5DA</v>
          </cell>
          <cell r="F246" t="str">
            <v>Voegproducten KG</v>
          </cell>
          <cell r="G246" t="str">
            <v>G124154</v>
          </cell>
          <cell r="H246" t="str">
            <v>bestaand</v>
          </cell>
          <cell r="I246" t="str">
            <v>01.01.2013</v>
          </cell>
          <cell r="J246" t="str">
            <v>Yes</v>
          </cell>
          <cell r="K246" t="str">
            <v>Professional</v>
          </cell>
          <cell r="L246" t="str">
            <v>Gyproc</v>
          </cell>
          <cell r="M246" t="str">
            <v>JOINTFILLER 45</v>
          </cell>
          <cell r="N246" t="str">
            <v>JOINTFILLER 45 5 KG EP/105</v>
          </cell>
          <cell r="O246" t="str">
            <v>JOINTFILLER 45 5 KG EP/105</v>
          </cell>
          <cell r="P246" t="str">
            <v>(blanco)</v>
          </cell>
          <cell r="Q246" t="str">
            <v>(blanco)</v>
          </cell>
          <cell r="R246" t="str">
            <v>(blanco)</v>
          </cell>
          <cell r="S246" t="str">
            <v>(blanco)</v>
          </cell>
          <cell r="T246" t="str">
            <v>NBN EN 13963:2014</v>
          </cell>
          <cell r="U246" t="str">
            <v>3B</v>
          </cell>
          <cell r="V246" t="str">
            <v>--</v>
          </cell>
          <cell r="AA246" t="str">
            <v>A1</v>
          </cell>
          <cell r="AC246" t="str">
            <v>(blanco)</v>
          </cell>
          <cell r="AD246" t="str">
            <v>(blanco)</v>
          </cell>
          <cell r="AH246" t="str">
            <v>(blanco)</v>
          </cell>
          <cell r="AI246" t="str">
            <v>(blanco)</v>
          </cell>
          <cell r="AJ246" t="str">
            <v>(blanco)</v>
          </cell>
          <cell r="AP246">
            <v>0.25</v>
          </cell>
          <cell r="AR246">
            <v>5</v>
          </cell>
          <cell r="AS246">
            <v>5</v>
          </cell>
          <cell r="AT246">
            <v>7.4969999999999999</v>
          </cell>
          <cell r="AU246" t="str">
            <v>CD3</v>
          </cell>
          <cell r="AV246" t="str">
            <v>EP : Euro Pallet</v>
          </cell>
          <cell r="AW246">
            <v>2</v>
          </cell>
          <cell r="AX246">
            <v>0.95</v>
          </cell>
          <cell r="AY246" t="str">
            <v>01.02.2015</v>
          </cell>
          <cell r="AZ246">
            <v>0</v>
          </cell>
          <cell r="BA246" t="str">
            <v>00.00.0000</v>
          </cell>
          <cell r="BB246" t="str">
            <v>KG</v>
          </cell>
          <cell r="BC246" t="str">
            <v>KG</v>
          </cell>
          <cell r="BD246" t="str">
            <v>S</v>
          </cell>
          <cell r="BE246">
            <v>8711149900619</v>
          </cell>
        </row>
        <row r="247">
          <cell r="A247" t="str">
            <v>G124175</v>
          </cell>
          <cell r="B247" t="str">
            <v>G124175</v>
          </cell>
          <cell r="C247" t="str">
            <v>C1CDC01C012C001</v>
          </cell>
          <cell r="D247" t="str">
            <v>Dalles Gyprex M2</v>
          </cell>
          <cell r="E247" t="str">
            <v>C1CD</v>
          </cell>
          <cell r="F247" t="str">
            <v>Gyprex tgels M</v>
          </cell>
          <cell r="G247" t="str">
            <v>G124175</v>
          </cell>
          <cell r="H247" t="str">
            <v>bestaand</v>
          </cell>
          <cell r="I247" t="str">
            <v>01.01.2013</v>
          </cell>
          <cell r="J247" t="str">
            <v>Yes</v>
          </cell>
          <cell r="K247" t="str">
            <v>Professional</v>
          </cell>
          <cell r="L247" t="str">
            <v>GYPREX</v>
          </cell>
          <cell r="M247" t="str">
            <v>GYPREX S + ALU</v>
          </cell>
          <cell r="N247" t="str">
            <v>GYPREX STD 9.5 1195X595 ALU WP/144</v>
          </cell>
          <cell r="O247" t="str">
            <v>GYPREX STD 9.5 1195X595 ALU WP/144</v>
          </cell>
          <cell r="P247" t="str">
            <v>vinyl</v>
          </cell>
          <cell r="Q247" t="str">
            <v>vinyle</v>
          </cell>
          <cell r="R247" t="str">
            <v>alu</v>
          </cell>
          <cell r="S247" t="str">
            <v>alu</v>
          </cell>
          <cell r="T247" t="str">
            <v>NBN EN 14190:2014</v>
          </cell>
          <cell r="U247" t="str">
            <v>A</v>
          </cell>
          <cell r="V247" t="str">
            <v>GR</v>
          </cell>
          <cell r="W247" t="str">
            <v>tegel uit gipskartonplaat bekleed met vinyl en alu folie</v>
          </cell>
          <cell r="Y247" t="str">
            <v>gipsplaat voor droge binnenafbouw</v>
          </cell>
          <cell r="AA247" t="str">
            <v>B-s2, d0</v>
          </cell>
          <cell r="AB247" t="str">
            <v>SG_GY_2013_C1CDC01C012</v>
          </cell>
          <cell r="AC247" t="str">
            <v>A</v>
          </cell>
          <cell r="AD247" t="str">
            <v>ZOZ: zichtzijde op zichtzijde</v>
          </cell>
          <cell r="AE247">
            <v>9.5</v>
          </cell>
          <cell r="AH247" t="str">
            <v>+/-0.5</v>
          </cell>
          <cell r="AI247">
            <v>0</v>
          </cell>
          <cell r="AJ247">
            <v>0</v>
          </cell>
          <cell r="AL247" t="str">
            <v>Geen eisen gesteld</v>
          </cell>
          <cell r="AM247" t="str">
            <v>Pas de exigences</v>
          </cell>
          <cell r="AN247" t="str">
            <v>kg/m³</v>
          </cell>
          <cell r="AP247">
            <v>0.25</v>
          </cell>
          <cell r="AR247">
            <v>5.617</v>
          </cell>
          <cell r="AS247">
            <v>5.6879999999999997</v>
          </cell>
          <cell r="AT247">
            <v>0</v>
          </cell>
          <cell r="AV247" t="str">
            <v>WP : Wegwerppallet</v>
          </cell>
          <cell r="AW247">
            <v>7</v>
          </cell>
          <cell r="AX247">
            <v>10.35</v>
          </cell>
          <cell r="AY247" t="str">
            <v>01.02.2015</v>
          </cell>
          <cell r="AZ247">
            <v>0</v>
          </cell>
          <cell r="BA247" t="str">
            <v>00.00.0000</v>
          </cell>
          <cell r="BB247" t="str">
            <v>M2</v>
          </cell>
          <cell r="BC247" t="str">
            <v>M2</v>
          </cell>
          <cell r="BD247" t="str">
            <v>S</v>
          </cell>
          <cell r="BE247">
            <v>5413218566384</v>
          </cell>
        </row>
        <row r="248">
          <cell r="A248" t="str">
            <v>G124176</v>
          </cell>
          <cell r="B248" t="str">
            <v>G124176</v>
          </cell>
          <cell r="C248" t="str">
            <v>C1CDC01C012C001</v>
          </cell>
          <cell r="D248" t="str">
            <v>Dalles Gyprex M2</v>
          </cell>
          <cell r="E248" t="str">
            <v>C1CD</v>
          </cell>
          <cell r="F248" t="str">
            <v>Gyprex tgels M</v>
          </cell>
          <cell r="G248" t="str">
            <v>G124176</v>
          </cell>
          <cell r="H248" t="str">
            <v>bestaand</v>
          </cell>
          <cell r="I248" t="str">
            <v>01.01.2013</v>
          </cell>
          <cell r="J248" t="str">
            <v>Yes</v>
          </cell>
          <cell r="K248" t="str">
            <v>Professional</v>
          </cell>
          <cell r="L248" t="str">
            <v>GYPREX</v>
          </cell>
          <cell r="M248" t="str">
            <v>GYPREX S + ALU</v>
          </cell>
          <cell r="N248" t="str">
            <v>GYPREX STD 9.5 595X595 ALU WP/288</v>
          </cell>
          <cell r="O248" t="str">
            <v>GYPREX STD 9.5 595X595 ALU WP/288</v>
          </cell>
          <cell r="P248" t="str">
            <v>vinyl</v>
          </cell>
          <cell r="Q248" t="str">
            <v>vinyle</v>
          </cell>
          <cell r="R248" t="str">
            <v>alu</v>
          </cell>
          <cell r="S248" t="str">
            <v>alu</v>
          </cell>
          <cell r="T248" t="str">
            <v>NBN EN 14190:2014</v>
          </cell>
          <cell r="U248" t="str">
            <v>A</v>
          </cell>
          <cell r="V248" t="str">
            <v>GR</v>
          </cell>
          <cell r="W248" t="str">
            <v>tegel uit gipskartonplaat bekleed met vinyl en alu folie</v>
          </cell>
          <cell r="Y248" t="str">
            <v>gipsplaat voor droge binnenafbouw</v>
          </cell>
          <cell r="AA248" t="str">
            <v>B-s2, d0</v>
          </cell>
          <cell r="AB248" t="str">
            <v>SG_GY_2013_C1CDC01C012</v>
          </cell>
          <cell r="AC248" t="str">
            <v>A</v>
          </cell>
          <cell r="AD248" t="str">
            <v>ZOZ: zichtzijde op zichtzijde</v>
          </cell>
          <cell r="AE248">
            <v>9.5</v>
          </cell>
          <cell r="AH248" t="str">
            <v>+/-0.5</v>
          </cell>
          <cell r="AI248">
            <v>0</v>
          </cell>
          <cell r="AJ248">
            <v>0</v>
          </cell>
          <cell r="AL248" t="str">
            <v>Geen eisen gesteld</v>
          </cell>
          <cell r="AM248" t="str">
            <v>Pas de exigences</v>
          </cell>
          <cell r="AN248" t="str">
            <v>kg/m³</v>
          </cell>
          <cell r="AP248">
            <v>0.25</v>
          </cell>
          <cell r="AR248">
            <v>2.7970000000000002</v>
          </cell>
          <cell r="AS248">
            <v>2.8319999999999999</v>
          </cell>
          <cell r="AT248">
            <v>0</v>
          </cell>
          <cell r="AV248" t="str">
            <v>WP : Wegwerppallet</v>
          </cell>
          <cell r="AW248">
            <v>7</v>
          </cell>
          <cell r="AX248">
            <v>11.07</v>
          </cell>
          <cell r="AY248" t="str">
            <v>01.02.2015</v>
          </cell>
          <cell r="AZ248">
            <v>0</v>
          </cell>
          <cell r="BA248" t="str">
            <v>00.00.0000</v>
          </cell>
          <cell r="BB248" t="str">
            <v>M2</v>
          </cell>
          <cell r="BC248" t="str">
            <v>M2</v>
          </cell>
          <cell r="BD248" t="str">
            <v>S</v>
          </cell>
          <cell r="BE248">
            <v>5413218566377</v>
          </cell>
        </row>
        <row r="249">
          <cell r="A249" t="str">
            <v>G124180</v>
          </cell>
          <cell r="B249" t="str">
            <v>G124180</v>
          </cell>
          <cell r="C249" t="str">
            <v>D5DAD01D007D005</v>
          </cell>
          <cell r="D249" t="str">
            <v>Jointfiller Vario KG</v>
          </cell>
          <cell r="E249" t="str">
            <v>D5DA</v>
          </cell>
          <cell r="F249" t="str">
            <v>Voegproducten KG</v>
          </cell>
          <cell r="G249" t="str">
            <v>G124180</v>
          </cell>
          <cell r="H249" t="str">
            <v>bestaand</v>
          </cell>
          <cell r="I249" t="str">
            <v>01.01.2013</v>
          </cell>
          <cell r="J249" t="str">
            <v>Yes</v>
          </cell>
          <cell r="K249" t="str">
            <v>Professional</v>
          </cell>
          <cell r="L249" t="str">
            <v>Gyproc</v>
          </cell>
          <cell r="M249" t="str">
            <v>JOINTFILLER VARIO</v>
          </cell>
          <cell r="N249" t="str">
            <v>GYPROC JOINTFILLER VARIO 5 KG EP/108</v>
          </cell>
          <cell r="O249" t="str">
            <v>GYPROC JOINTFILLER VARIO 5 KG EP/108</v>
          </cell>
          <cell r="P249" t="str">
            <v>(blanco)</v>
          </cell>
          <cell r="Q249" t="str">
            <v>(blanco)</v>
          </cell>
          <cell r="R249" t="str">
            <v>(blanco)</v>
          </cell>
          <cell r="S249" t="str">
            <v>(blanco)</v>
          </cell>
          <cell r="T249" t="str">
            <v>NBN EN 13963:2014</v>
          </cell>
          <cell r="U249" t="str">
            <v>4B</v>
          </cell>
          <cell r="V249" t="str">
            <v>--</v>
          </cell>
          <cell r="AA249" t="str">
            <v>A1</v>
          </cell>
          <cell r="AC249" t="str">
            <v>(blanco)</v>
          </cell>
          <cell r="AD249" t="str">
            <v>(blanco)</v>
          </cell>
          <cell r="AH249" t="str">
            <v>(blanco)</v>
          </cell>
          <cell r="AI249" t="str">
            <v>(blanco)</v>
          </cell>
          <cell r="AJ249" t="str">
            <v>(blanco)</v>
          </cell>
          <cell r="AP249">
            <v>0.25</v>
          </cell>
          <cell r="AR249">
            <v>5</v>
          </cell>
          <cell r="AS249">
            <v>5.25</v>
          </cell>
          <cell r="AT249">
            <v>5.9560000000000004</v>
          </cell>
          <cell r="AU249" t="str">
            <v>CD3</v>
          </cell>
          <cell r="AV249" t="str">
            <v>EP : Euro Pallet</v>
          </cell>
          <cell r="AW249">
            <v>2</v>
          </cell>
          <cell r="AX249">
            <v>2.54</v>
          </cell>
          <cell r="AY249" t="str">
            <v>01.02.2015</v>
          </cell>
          <cell r="AZ249">
            <v>0</v>
          </cell>
          <cell r="BA249" t="str">
            <v>00.00.0000</v>
          </cell>
          <cell r="BB249" t="str">
            <v>KG</v>
          </cell>
          <cell r="BC249" t="str">
            <v>KG</v>
          </cell>
          <cell r="BD249" t="str">
            <v>S</v>
          </cell>
          <cell r="BE249">
            <v>8711149901067</v>
          </cell>
        </row>
        <row r="250">
          <cell r="A250" t="str">
            <v>G124192</v>
          </cell>
          <cell r="B250" t="str">
            <v>G124192</v>
          </cell>
          <cell r="C250" t="str">
            <v>C1CBC01C001C019</v>
          </cell>
          <cell r="D250" t="str">
            <v>Rigitone 8/15/20 M2</v>
          </cell>
          <cell r="E250" t="str">
            <v>C1CB</v>
          </cell>
          <cell r="F250" t="str">
            <v>Rigitone platen</v>
          </cell>
          <cell r="G250" t="str">
            <v>ZIB00028</v>
          </cell>
          <cell r="H250" t="str">
            <v>te verwijderen</v>
          </cell>
          <cell r="I250" t="str">
            <v>01.01.2013</v>
          </cell>
          <cell r="J250" t="str">
            <v>Yes</v>
          </cell>
          <cell r="K250" t="str">
            <v>Professional</v>
          </cell>
          <cell r="L250" t="str">
            <v>RIGITONE</v>
          </cell>
          <cell r="M250" t="str">
            <v>RIGITONE 8-15-20</v>
          </cell>
          <cell r="N250" t="str">
            <v>RIGITONE 8-15-20 BT 12.5X2000X1200 DP/40</v>
          </cell>
          <cell r="O250" t="str">
            <v>RIGITONE 8-15-20 BT12.5X2000x1200 DP/40</v>
          </cell>
          <cell r="P250" t="str">
            <v>ivoor</v>
          </cell>
          <cell r="Q250" t="str">
            <v>ivoire</v>
          </cell>
          <cell r="R250" t="str">
            <v>zwart vlies</v>
          </cell>
          <cell r="S250" t="str">
            <v>voile noir</v>
          </cell>
          <cell r="T250" t="str">
            <v>NBN EN 14190:2014</v>
          </cell>
          <cell r="U250" t="str">
            <v>A</v>
          </cell>
          <cell r="V250" t="str">
            <v>RT</v>
          </cell>
          <cell r="W250" t="str">
            <v>geperforeerde gipskartonplaat met gesneden boorden</v>
          </cell>
          <cell r="Y250" t="str">
            <v>gipsplaat voor droge binnenafbouw</v>
          </cell>
          <cell r="AA250" t="str">
            <v>A2-s1, d0 (C.1)</v>
          </cell>
          <cell r="AB250" t="str">
            <v>Rigiton_Air_LE_0613</v>
          </cell>
          <cell r="AC250" t="str">
            <v>GBC</v>
          </cell>
          <cell r="AE250">
            <v>12.5</v>
          </cell>
          <cell r="AH250" t="str">
            <v>+/-0.5</v>
          </cell>
          <cell r="AI250">
            <v>0</v>
          </cell>
          <cell r="AJ250">
            <v>0</v>
          </cell>
          <cell r="AL250" t="str">
            <v>Geen eisen gesteld</v>
          </cell>
          <cell r="AM250" t="str">
            <v>Pas de exigences</v>
          </cell>
          <cell r="AN250" t="str">
            <v>kg/m³</v>
          </cell>
          <cell r="AP250">
            <v>0.25</v>
          </cell>
          <cell r="AR250">
            <v>24</v>
          </cell>
          <cell r="AS250">
            <v>26.4</v>
          </cell>
          <cell r="AT250">
            <v>31.2</v>
          </cell>
          <cell r="AU250" t="str">
            <v>CD3</v>
          </cell>
          <cell r="AV250" t="str">
            <v>DP : Duitse Pallet</v>
          </cell>
          <cell r="AW250">
            <v>3</v>
          </cell>
          <cell r="AX250">
            <v>18.54</v>
          </cell>
          <cell r="AY250" t="str">
            <v>01.02.2015</v>
          </cell>
          <cell r="AZ250">
            <v>0</v>
          </cell>
          <cell r="BA250" t="str">
            <v>00.00.0000</v>
          </cell>
          <cell r="BB250" t="str">
            <v>M2</v>
          </cell>
          <cell r="BC250" t="str">
            <v>M2</v>
          </cell>
          <cell r="BD250">
            <v>3</v>
          </cell>
          <cell r="BE250">
            <v>5413218566582</v>
          </cell>
        </row>
        <row r="251">
          <cell r="A251" t="str">
            <v>G124205</v>
          </cell>
          <cell r="B251" t="str">
            <v>G124205</v>
          </cell>
          <cell r="C251" t="str">
            <v>C1CAC01C007C001</v>
          </cell>
          <cell r="D251" t="str">
            <v>Base A M2</v>
          </cell>
          <cell r="E251" t="str">
            <v>C1CA</v>
          </cell>
          <cell r="F251" t="str">
            <v>Gyptone plafonds</v>
          </cell>
          <cell r="G251" t="str">
            <v>G124205</v>
          </cell>
          <cell r="H251" t="str">
            <v>bestaand</v>
          </cell>
          <cell r="I251" t="str">
            <v>01.01.2013</v>
          </cell>
          <cell r="J251" t="str">
            <v>Yes</v>
          </cell>
          <cell r="K251" t="str">
            <v>Professional</v>
          </cell>
          <cell r="L251" t="str">
            <v>GYPTONE</v>
          </cell>
          <cell r="M251" t="str">
            <v>GYPTONE BASE 31</v>
          </cell>
          <cell r="N251" t="str">
            <v>GYPT BASE 31 A 12.5 1200X600 WP/8DS</v>
          </cell>
          <cell r="O251" t="str">
            <v>GYPT BASE 31 A 12.5 1200X600 WP/8DS</v>
          </cell>
          <cell r="P251" t="str">
            <v>ivoor</v>
          </cell>
          <cell r="Q251" t="str">
            <v>ivoire</v>
          </cell>
          <cell r="R251" t="str">
            <v>grijs</v>
          </cell>
          <cell r="S251" t="str">
            <v>gris</v>
          </cell>
          <cell r="T251" t="str">
            <v>NBN EN 14190:2014</v>
          </cell>
          <cell r="U251" t="str">
            <v>A</v>
          </cell>
          <cell r="V251" t="str">
            <v>GT</v>
          </cell>
          <cell r="Y251" t="str">
            <v>gipsplaat voor droge binnenafbouw</v>
          </cell>
          <cell r="AA251" t="str">
            <v>A2-s1, d0 (C.4)</v>
          </cell>
          <cell r="AB251" t="str">
            <v>DoP_GYP_14190-1-v-1</v>
          </cell>
          <cell r="AC251" t="str">
            <v>A</v>
          </cell>
          <cell r="AE251">
            <v>12.5</v>
          </cell>
          <cell r="AH251" t="str">
            <v>+/-0.5</v>
          </cell>
          <cell r="AI251">
            <v>0</v>
          </cell>
          <cell r="AJ251">
            <v>0</v>
          </cell>
          <cell r="AL251" t="str">
            <v>Geen eisen gesteld</v>
          </cell>
          <cell r="AM251" t="str">
            <v>Pas de exigences</v>
          </cell>
          <cell r="AN251" t="str">
            <v>kg/m³</v>
          </cell>
          <cell r="AP251">
            <v>0.25</v>
          </cell>
          <cell r="AR251">
            <v>5.82</v>
          </cell>
          <cell r="AS251">
            <v>5.84</v>
          </cell>
          <cell r="AT251">
            <v>0</v>
          </cell>
          <cell r="AV251" t="str">
            <v>WP : Wegwerppallet</v>
          </cell>
          <cell r="AW251">
            <v>7</v>
          </cell>
          <cell r="AX251">
            <v>18.489999999999998</v>
          </cell>
          <cell r="AY251" t="str">
            <v>01.02.2015</v>
          </cell>
          <cell r="AZ251">
            <v>0</v>
          </cell>
          <cell r="BA251" t="str">
            <v>00.00.0000</v>
          </cell>
          <cell r="BB251" t="str">
            <v>M2</v>
          </cell>
          <cell r="BC251" t="str">
            <v>M2</v>
          </cell>
          <cell r="BD251">
            <v>2</v>
          </cell>
          <cell r="BE251">
            <v>5413218566261</v>
          </cell>
        </row>
        <row r="252">
          <cell r="A252" t="str">
            <v>G124206</v>
          </cell>
          <cell r="B252" t="str">
            <v>G124206</v>
          </cell>
          <cell r="C252" t="str">
            <v>C1CAC01C003C001</v>
          </cell>
          <cell r="D252" t="str">
            <v>Line A M2</v>
          </cell>
          <cell r="E252" t="str">
            <v>C1CA</v>
          </cell>
          <cell r="F252" t="str">
            <v>Gyptone plafonds</v>
          </cell>
          <cell r="G252" t="str">
            <v>G124206</v>
          </cell>
          <cell r="H252" t="str">
            <v>bestaand</v>
          </cell>
          <cell r="I252" t="str">
            <v>01.01.2013</v>
          </cell>
          <cell r="J252" t="str">
            <v>Yes</v>
          </cell>
          <cell r="K252" t="str">
            <v>Professional</v>
          </cell>
          <cell r="L252" t="str">
            <v>GYPTONE</v>
          </cell>
          <cell r="M252" t="str">
            <v>GYPTONE LINE 4</v>
          </cell>
          <cell r="N252" t="str">
            <v>GYPT LINE 4 A 12.5 1200X600 WP/8DS</v>
          </cell>
          <cell r="O252" t="str">
            <v>GYPT LINE 4 A 12.5X1200X600 WP/8DS</v>
          </cell>
          <cell r="P252" t="str">
            <v>ivoor</v>
          </cell>
          <cell r="Q252" t="str">
            <v>ivoire</v>
          </cell>
          <cell r="R252" t="str">
            <v>wit vlies</v>
          </cell>
          <cell r="S252" t="str">
            <v>voile blanc</v>
          </cell>
          <cell r="T252" t="str">
            <v>NBN EN 14190:2014</v>
          </cell>
          <cell r="U252" t="str">
            <v>A</v>
          </cell>
          <cell r="V252" t="str">
            <v>GT</v>
          </cell>
          <cell r="W252" t="str">
            <v>geperforeerde tegel uit gipskartonplaat</v>
          </cell>
          <cell r="Y252" t="str">
            <v>gipsplaat voor droge binnenafbouw</v>
          </cell>
          <cell r="AA252" t="str">
            <v>A2-s1, d0 (C.4)</v>
          </cell>
          <cell r="AB252" t="str">
            <v>DoP_GYP_14190-1-v-1</v>
          </cell>
          <cell r="AC252" t="str">
            <v>A</v>
          </cell>
          <cell r="AE252">
            <v>12.5</v>
          </cell>
          <cell r="AH252" t="str">
            <v>+/-0.5</v>
          </cell>
          <cell r="AI252">
            <v>0</v>
          </cell>
          <cell r="AJ252">
            <v>0</v>
          </cell>
          <cell r="AL252" t="str">
            <v>Geen eisen gesteld</v>
          </cell>
          <cell r="AM252" t="str">
            <v>Pas de exigences</v>
          </cell>
          <cell r="AN252" t="str">
            <v>kg/m³</v>
          </cell>
          <cell r="AP252">
            <v>0.25</v>
          </cell>
          <cell r="AR252">
            <v>5.82</v>
          </cell>
          <cell r="AS252">
            <v>5.84</v>
          </cell>
          <cell r="AT252">
            <v>0</v>
          </cell>
          <cell r="AV252" t="str">
            <v>WP : Wegwerppallet</v>
          </cell>
          <cell r="AW252">
            <v>7</v>
          </cell>
          <cell r="AX252">
            <v>23.12</v>
          </cell>
          <cell r="AY252" t="str">
            <v>01.02.2015</v>
          </cell>
          <cell r="AZ252">
            <v>0</v>
          </cell>
          <cell r="BA252" t="str">
            <v>00.00.0000</v>
          </cell>
          <cell r="BB252" t="str">
            <v>M2</v>
          </cell>
          <cell r="BC252" t="str">
            <v>M2</v>
          </cell>
          <cell r="BD252">
            <v>2</v>
          </cell>
          <cell r="BE252">
            <v>5413218566278</v>
          </cell>
        </row>
        <row r="253">
          <cell r="A253" t="str">
            <v>G124207</v>
          </cell>
          <cell r="B253" t="str">
            <v>G124207</v>
          </cell>
          <cell r="C253" t="str">
            <v>C1CAC01C005C001</v>
          </cell>
          <cell r="D253" t="str">
            <v>Point A M2</v>
          </cell>
          <cell r="E253" t="str">
            <v>C1CA</v>
          </cell>
          <cell r="F253" t="str">
            <v>Gyptone plafonds</v>
          </cell>
          <cell r="G253" t="str">
            <v>G124207</v>
          </cell>
          <cell r="H253" t="str">
            <v>bestaand</v>
          </cell>
          <cell r="I253" t="str">
            <v>01.01.2013</v>
          </cell>
          <cell r="J253" t="str">
            <v>Yes</v>
          </cell>
          <cell r="K253" t="str">
            <v>Professional</v>
          </cell>
          <cell r="L253" t="str">
            <v>GYPTONE</v>
          </cell>
          <cell r="M253" t="str">
            <v>GYPTONE POINT 11</v>
          </cell>
          <cell r="N253" t="str">
            <v>GYPT POINT 11 A 12.5 1200X600 WP/8DS</v>
          </cell>
          <cell r="O253" t="str">
            <v>GYPT POINT 11 A 12.5 1200X600 WP/8DS</v>
          </cell>
          <cell r="P253" t="str">
            <v>ivoor</v>
          </cell>
          <cell r="Q253" t="str">
            <v>ivoire</v>
          </cell>
          <cell r="R253" t="str">
            <v>wit vlies</v>
          </cell>
          <cell r="S253" t="str">
            <v>voile blanc</v>
          </cell>
          <cell r="T253" t="str">
            <v>NBN EN 14190:2014</v>
          </cell>
          <cell r="U253" t="str">
            <v>A</v>
          </cell>
          <cell r="V253" t="str">
            <v>GT</v>
          </cell>
          <cell r="W253" t="str">
            <v>geperforeerde tegel uit gipskartonplaat</v>
          </cell>
          <cell r="Y253" t="str">
            <v>gipsplaat voor droge binnenafbouw</v>
          </cell>
          <cell r="AA253" t="str">
            <v>A2-s1, d0 (C.4)</v>
          </cell>
          <cell r="AB253" t="str">
            <v>DoP_GYP_14190-1-v-1</v>
          </cell>
          <cell r="AC253" t="str">
            <v>A</v>
          </cell>
          <cell r="AE253">
            <v>12.5</v>
          </cell>
          <cell r="AH253" t="str">
            <v>+/-0.5</v>
          </cell>
          <cell r="AI253">
            <v>0</v>
          </cell>
          <cell r="AJ253">
            <v>0</v>
          </cell>
          <cell r="AL253" t="str">
            <v>Geen eisen gesteld</v>
          </cell>
          <cell r="AM253" t="str">
            <v>Pas de exigences</v>
          </cell>
          <cell r="AN253" t="str">
            <v>kg/m³</v>
          </cell>
          <cell r="AP253">
            <v>0.25</v>
          </cell>
          <cell r="AR253">
            <v>5.82</v>
          </cell>
          <cell r="AS253">
            <v>5.84</v>
          </cell>
          <cell r="AT253">
            <v>9.36</v>
          </cell>
          <cell r="AU253" t="str">
            <v>CD3</v>
          </cell>
          <cell r="AV253" t="str">
            <v>WP : Wegwerppallet</v>
          </cell>
          <cell r="AW253">
            <v>7</v>
          </cell>
          <cell r="AX253">
            <v>23.22</v>
          </cell>
          <cell r="AY253" t="str">
            <v>01.02.2015</v>
          </cell>
          <cell r="AZ253">
            <v>0</v>
          </cell>
          <cell r="BA253" t="str">
            <v>00.00.0000</v>
          </cell>
          <cell r="BB253" t="str">
            <v>M2</v>
          </cell>
          <cell r="BC253" t="str">
            <v>M2</v>
          </cell>
          <cell r="BD253">
            <v>2</v>
          </cell>
          <cell r="BE253">
            <v>5413218566292</v>
          </cell>
        </row>
        <row r="254">
          <cell r="A254" t="str">
            <v>G124211</v>
          </cell>
          <cell r="B254" t="str">
            <v>G124211</v>
          </cell>
          <cell r="C254" t="str">
            <v>D1DBD15D002D002</v>
          </cell>
          <cell r="D254" t="str">
            <v>Prlock ALU STD 12,5 ST</v>
          </cell>
          <cell r="E254" t="str">
            <v>D1DB</v>
          </cell>
          <cell r="F254" t="str">
            <v>Toebehoren Platen *</v>
          </cell>
          <cell r="G254" t="str">
            <v>G124211</v>
          </cell>
          <cell r="H254" t="str">
            <v>bestaand</v>
          </cell>
          <cell r="I254" t="str">
            <v>01.01.2013</v>
          </cell>
          <cell r="J254" t="str">
            <v>Yes</v>
          </cell>
          <cell r="K254" t="str">
            <v>Professional</v>
          </cell>
          <cell r="L254" t="str">
            <v>PROLOCK</v>
          </cell>
          <cell r="M254" t="str">
            <v>PROLOCK ALU STANDAARD ENKEL</v>
          </cell>
          <cell r="N254" t="str">
            <v>ProLock Alu Std enkel/simple 200x200</v>
          </cell>
          <cell r="O254" t="str">
            <v>ProLock Alu Std enkel/simple 200x200</v>
          </cell>
          <cell r="P254" t="str">
            <v>(blanco)</v>
          </cell>
          <cell r="Q254" t="str">
            <v>(blanco)</v>
          </cell>
          <cell r="R254" t="str">
            <v>(blanco)</v>
          </cell>
          <cell r="S254" t="str">
            <v>(blanco)</v>
          </cell>
          <cell r="T254" t="str">
            <v>--</v>
          </cell>
          <cell r="AA254" t="str">
            <v>(blanco)</v>
          </cell>
          <cell r="AC254" t="str">
            <v>(blanco)</v>
          </cell>
          <cell r="AD254" t="str">
            <v>(blanco)</v>
          </cell>
          <cell r="AE254">
            <v>0</v>
          </cell>
          <cell r="AH254" t="str">
            <v>(blanco)</v>
          </cell>
          <cell r="AI254" t="str">
            <v>(blanco)</v>
          </cell>
          <cell r="AJ254" t="str">
            <v>(blanco)</v>
          </cell>
          <cell r="AL254" t="str">
            <v>(blanco)</v>
          </cell>
          <cell r="AM254" t="str">
            <v>(blanco)</v>
          </cell>
          <cell r="AN254" t="str">
            <v>(blanco)</v>
          </cell>
          <cell r="AR254">
            <v>3</v>
          </cell>
          <cell r="AS254">
            <v>3.43</v>
          </cell>
          <cell r="AT254">
            <v>0</v>
          </cell>
          <cell r="AX254">
            <v>52.51</v>
          </cell>
          <cell r="AY254" t="str">
            <v>01.02.2015</v>
          </cell>
          <cell r="AZ254">
            <v>0</v>
          </cell>
          <cell r="BA254" t="str">
            <v>00.00.0000</v>
          </cell>
          <cell r="BB254" t="str">
            <v>ST</v>
          </cell>
          <cell r="BC254" t="str">
            <v>******</v>
          </cell>
          <cell r="BD254" t="str">
            <v>S</v>
          </cell>
          <cell r="BE254">
            <v>5413218565745</v>
          </cell>
        </row>
        <row r="255">
          <cell r="A255" t="str">
            <v>G124214</v>
          </cell>
          <cell r="B255" t="str">
            <v>G124214</v>
          </cell>
          <cell r="C255" t="str">
            <v>C1CBC01C001C018</v>
          </cell>
          <cell r="D255" t="str">
            <v>Rigitone 6/18 M2</v>
          </cell>
          <cell r="E255" t="str">
            <v>C1CB</v>
          </cell>
          <cell r="F255" t="str">
            <v>Rigitone platen</v>
          </cell>
          <cell r="G255" t="str">
            <v>ZIB00028</v>
          </cell>
          <cell r="H255" t="str">
            <v>te verwijderen</v>
          </cell>
          <cell r="I255" t="str">
            <v>01.01.2013</v>
          </cell>
          <cell r="J255" t="str">
            <v>Yes</v>
          </cell>
          <cell r="K255" t="str">
            <v>Professional</v>
          </cell>
          <cell r="L255" t="str">
            <v>RIGITONE</v>
          </cell>
          <cell r="M255" t="str">
            <v>RIGITONE 6/18</v>
          </cell>
          <cell r="N255" t="str">
            <v>RIGITONE 6/18 BT 12.5X1998X1188 DP/40</v>
          </cell>
          <cell r="O255" t="str">
            <v>RIGITONE 6/18 BT 12.5 x 1998X1188 DP/40</v>
          </cell>
          <cell r="P255" t="str">
            <v>ivoor</v>
          </cell>
          <cell r="Q255" t="str">
            <v>ivoire</v>
          </cell>
          <cell r="R255" t="str">
            <v>zwart vlies</v>
          </cell>
          <cell r="S255" t="str">
            <v>voile noir</v>
          </cell>
          <cell r="T255" t="str">
            <v>NBN EN 14190:2014</v>
          </cell>
          <cell r="U255" t="str">
            <v>A</v>
          </cell>
          <cell r="V255" t="str">
            <v>RT</v>
          </cell>
          <cell r="W255" t="str">
            <v>geperforeerde gipskartonplaat met gesneden boorden</v>
          </cell>
          <cell r="Y255" t="str">
            <v>gipsplaat voor droge binnenafbouw</v>
          </cell>
          <cell r="AA255" t="str">
            <v>A2-s1, d0 (C.1)</v>
          </cell>
          <cell r="AB255" t="str">
            <v>Rigiton_Air_LE_0613</v>
          </cell>
          <cell r="AC255" t="str">
            <v>GBC</v>
          </cell>
          <cell r="AE255">
            <v>12.5</v>
          </cell>
          <cell r="AH255" t="str">
            <v>+/-0.5</v>
          </cell>
          <cell r="AI255">
            <v>0</v>
          </cell>
          <cell r="AJ255">
            <v>0</v>
          </cell>
          <cell r="AL255" t="str">
            <v>Geen eisen gesteld</v>
          </cell>
          <cell r="AM255" t="str">
            <v>Pas de exigences</v>
          </cell>
          <cell r="AN255" t="str">
            <v>kg/m³</v>
          </cell>
          <cell r="AP255">
            <v>0.25</v>
          </cell>
          <cell r="AR255">
            <v>23.736000000000001</v>
          </cell>
          <cell r="AS255">
            <v>26.11</v>
          </cell>
          <cell r="AT255">
            <v>30.856999999999999</v>
          </cell>
          <cell r="AU255" t="str">
            <v>CD3</v>
          </cell>
          <cell r="AV255" t="str">
            <v>DP : Duitse Pallet</v>
          </cell>
          <cell r="AW255">
            <v>3</v>
          </cell>
          <cell r="AX255">
            <v>18.54</v>
          </cell>
          <cell r="AY255" t="str">
            <v>01.02.2015</v>
          </cell>
          <cell r="AZ255">
            <v>0</v>
          </cell>
          <cell r="BA255" t="str">
            <v>00.00.0000</v>
          </cell>
          <cell r="BB255" t="str">
            <v>M2</v>
          </cell>
          <cell r="BC255" t="str">
            <v>M2</v>
          </cell>
          <cell r="BD255">
            <v>3</v>
          </cell>
          <cell r="BE255">
            <v>5413218566452</v>
          </cell>
        </row>
        <row r="256">
          <cell r="A256" t="str">
            <v>G124215</v>
          </cell>
          <cell r="B256" t="str">
            <v>G124215</v>
          </cell>
          <cell r="C256" t="str">
            <v>C1CBC01C001C018</v>
          </cell>
          <cell r="D256" t="str">
            <v>Rigitone 6/18 M2</v>
          </cell>
          <cell r="E256" t="str">
            <v>C1CB</v>
          </cell>
          <cell r="F256" t="str">
            <v>Rigitone platen</v>
          </cell>
          <cell r="G256" t="str">
            <v>ZIB00028</v>
          </cell>
          <cell r="H256" t="str">
            <v>te verwijderen</v>
          </cell>
          <cell r="I256" t="str">
            <v>01.01.2013</v>
          </cell>
          <cell r="J256" t="str">
            <v>Yes</v>
          </cell>
          <cell r="K256" t="str">
            <v>Professional</v>
          </cell>
          <cell r="L256" t="str">
            <v>RIGITONE</v>
          </cell>
          <cell r="M256" t="str">
            <v>RIGITONE 6/18</v>
          </cell>
          <cell r="N256" t="str">
            <v>RIGITONE 6/18 WT 12.5X1998X1188 DP/40</v>
          </cell>
          <cell r="O256" t="str">
            <v>RIGITONE 6/18 WT 12.5 x1998 X 1188 DP/40</v>
          </cell>
          <cell r="P256" t="str">
            <v>ivoor</v>
          </cell>
          <cell r="Q256" t="str">
            <v>ivoire</v>
          </cell>
          <cell r="R256" t="str">
            <v>wit vlies</v>
          </cell>
          <cell r="S256" t="str">
            <v>voile blanc</v>
          </cell>
          <cell r="T256" t="str">
            <v>NBN EN 14190:2014</v>
          </cell>
          <cell r="U256" t="str">
            <v>A</v>
          </cell>
          <cell r="V256" t="str">
            <v>RT</v>
          </cell>
          <cell r="W256" t="str">
            <v>geperforeerde gipskartonplaat met gesneden boorden</v>
          </cell>
          <cell r="Y256" t="str">
            <v>gipsplaat voor droge binnenafbouw</v>
          </cell>
          <cell r="AA256" t="str">
            <v>A2-s1, d0 (C.1)</v>
          </cell>
          <cell r="AB256" t="str">
            <v>Rigiton_Air_LE_0613</v>
          </cell>
          <cell r="AC256" t="str">
            <v>GBC</v>
          </cell>
          <cell r="AE256">
            <v>12.5</v>
          </cell>
          <cell r="AH256" t="str">
            <v>+/-0.5</v>
          </cell>
          <cell r="AI256">
            <v>0</v>
          </cell>
          <cell r="AJ256">
            <v>0</v>
          </cell>
          <cell r="AL256" t="str">
            <v>Geen eisen gesteld</v>
          </cell>
          <cell r="AM256" t="str">
            <v>Pas de exigences</v>
          </cell>
          <cell r="AN256" t="str">
            <v>kg/m³</v>
          </cell>
          <cell r="AP256">
            <v>0.25</v>
          </cell>
          <cell r="AR256">
            <v>23.736000000000001</v>
          </cell>
          <cell r="AS256">
            <v>26.11</v>
          </cell>
          <cell r="AT256">
            <v>30.856999999999999</v>
          </cell>
          <cell r="AU256" t="str">
            <v>CD3</v>
          </cell>
          <cell r="AV256" t="str">
            <v>DP : Duitse Pallet</v>
          </cell>
          <cell r="AW256">
            <v>3</v>
          </cell>
          <cell r="AX256">
            <v>18.54</v>
          </cell>
          <cell r="AY256" t="str">
            <v>01.02.2015</v>
          </cell>
          <cell r="AZ256">
            <v>0</v>
          </cell>
          <cell r="BA256" t="str">
            <v>00.00.0000</v>
          </cell>
          <cell r="BB256" t="str">
            <v>M2</v>
          </cell>
          <cell r="BC256" t="str">
            <v>M2</v>
          </cell>
          <cell r="BD256">
            <v>3</v>
          </cell>
          <cell r="BE256">
            <v>5413218566469</v>
          </cell>
        </row>
        <row r="257">
          <cell r="A257" t="str">
            <v>G124216</v>
          </cell>
          <cell r="B257" t="str">
            <v>G124216</v>
          </cell>
          <cell r="C257" t="str">
            <v>C1CBC01C001C013</v>
          </cell>
          <cell r="D257" t="str">
            <v>Rigitone 10/23 M2</v>
          </cell>
          <cell r="E257" t="str">
            <v>C1CB</v>
          </cell>
          <cell r="F257" t="str">
            <v>Rigitone platen</v>
          </cell>
          <cell r="G257" t="str">
            <v>ZIB00028</v>
          </cell>
          <cell r="H257" t="str">
            <v>te verwijderen</v>
          </cell>
          <cell r="I257" t="str">
            <v>01.01.2013</v>
          </cell>
          <cell r="J257" t="str">
            <v>Yes</v>
          </cell>
          <cell r="K257" t="str">
            <v>Professional</v>
          </cell>
          <cell r="L257" t="str">
            <v>RIGITONE</v>
          </cell>
          <cell r="M257" t="str">
            <v>RIGITONE 10/23</v>
          </cell>
          <cell r="N257" t="str">
            <v>RIGITONE 10/23 BT 12.5X2001X1196 DP/40</v>
          </cell>
          <cell r="O257" t="str">
            <v>RIGITONE 10/23 BT 12.5 x 2001X1196 DP/40</v>
          </cell>
          <cell r="P257" t="str">
            <v>ivoor</v>
          </cell>
          <cell r="Q257" t="str">
            <v>ivoire</v>
          </cell>
          <cell r="R257" t="str">
            <v>zwart vlies</v>
          </cell>
          <cell r="S257" t="str">
            <v>voile noir</v>
          </cell>
          <cell r="T257" t="str">
            <v>NBN EN 14190:2014</v>
          </cell>
          <cell r="U257" t="str">
            <v>A</v>
          </cell>
          <cell r="V257" t="str">
            <v>RT</v>
          </cell>
          <cell r="W257" t="str">
            <v>geperforeerde gipskartonplaat met gesneden boorden</v>
          </cell>
          <cell r="Y257" t="str">
            <v>gipsplaat voor droge binnenafbouw</v>
          </cell>
          <cell r="AA257" t="str">
            <v>A2-s1, d0 (C.1)</v>
          </cell>
          <cell r="AB257" t="str">
            <v>Rigiton_Air_LE_0613</v>
          </cell>
          <cell r="AC257" t="str">
            <v>GBC</v>
          </cell>
          <cell r="AE257">
            <v>12.5</v>
          </cell>
          <cell r="AH257" t="str">
            <v>+/-0.5</v>
          </cell>
          <cell r="AI257">
            <v>0</v>
          </cell>
          <cell r="AJ257">
            <v>0</v>
          </cell>
          <cell r="AL257" t="str">
            <v>Geen eisen gesteld</v>
          </cell>
          <cell r="AM257" t="str">
            <v>Pas de exigences</v>
          </cell>
          <cell r="AN257" t="str">
            <v>kg/m³</v>
          </cell>
          <cell r="AP257">
            <v>0.25</v>
          </cell>
          <cell r="AR257">
            <v>24</v>
          </cell>
          <cell r="AS257">
            <v>26.4</v>
          </cell>
          <cell r="AT257">
            <v>31.2</v>
          </cell>
          <cell r="AU257" t="str">
            <v>CD3</v>
          </cell>
          <cell r="AV257" t="str">
            <v>DP : Duitse Pallet</v>
          </cell>
          <cell r="AW257">
            <v>3</v>
          </cell>
          <cell r="AX257">
            <v>18.54</v>
          </cell>
          <cell r="AY257" t="str">
            <v>01.02.2015</v>
          </cell>
          <cell r="AZ257">
            <v>0</v>
          </cell>
          <cell r="BA257" t="str">
            <v>00.00.0000</v>
          </cell>
          <cell r="BB257" t="str">
            <v>M2</v>
          </cell>
          <cell r="BC257" t="str">
            <v>M2</v>
          </cell>
          <cell r="BD257">
            <v>3</v>
          </cell>
          <cell r="BE257">
            <v>5413218566490</v>
          </cell>
        </row>
        <row r="258">
          <cell r="A258" t="str">
            <v>G124217</v>
          </cell>
          <cell r="B258" t="str">
            <v>G124217</v>
          </cell>
          <cell r="C258" t="str">
            <v>C1CBC01C001C013</v>
          </cell>
          <cell r="D258" t="str">
            <v>Rigitone 10/23 M2</v>
          </cell>
          <cell r="E258" t="str">
            <v>C1CB</v>
          </cell>
          <cell r="F258" t="str">
            <v>Rigitone platen</v>
          </cell>
          <cell r="G258" t="str">
            <v>ZIB00028</v>
          </cell>
          <cell r="H258" t="str">
            <v>te verwijderen</v>
          </cell>
          <cell r="I258" t="str">
            <v>01.01.2013</v>
          </cell>
          <cell r="J258" t="str">
            <v>Yes</v>
          </cell>
          <cell r="K258" t="str">
            <v>Professional</v>
          </cell>
          <cell r="L258" t="str">
            <v>RIGITONE</v>
          </cell>
          <cell r="M258" t="str">
            <v>RIGITONE 10/23</v>
          </cell>
          <cell r="N258" t="str">
            <v>RIGITONE 10/23 WT 12.5X2001X1196 DP/40</v>
          </cell>
          <cell r="O258" t="str">
            <v>RIGITONE 10/23 WT 12.5 X 2001X1196 DP/40</v>
          </cell>
          <cell r="P258" t="str">
            <v>ivoor</v>
          </cell>
          <cell r="Q258" t="str">
            <v>ivoire</v>
          </cell>
          <cell r="R258" t="str">
            <v>wit vlies</v>
          </cell>
          <cell r="S258" t="str">
            <v>voile blanc</v>
          </cell>
          <cell r="T258" t="str">
            <v>NBN EN 14190:2014</v>
          </cell>
          <cell r="U258" t="str">
            <v>A</v>
          </cell>
          <cell r="V258" t="str">
            <v>RT</v>
          </cell>
          <cell r="W258" t="str">
            <v>geperforeerde gipskartonplaat met gesneden boorden</v>
          </cell>
          <cell r="Y258" t="str">
            <v>gipsplaat voor droge binnenafbouw</v>
          </cell>
          <cell r="AA258" t="str">
            <v>A2-s1, d0 (C.1)</v>
          </cell>
          <cell r="AB258" t="str">
            <v>Rigiton_Air_LE_0613</v>
          </cell>
          <cell r="AC258" t="str">
            <v>GBC</v>
          </cell>
          <cell r="AE258">
            <v>12.5</v>
          </cell>
          <cell r="AH258" t="str">
            <v>+/-0.5</v>
          </cell>
          <cell r="AI258">
            <v>0</v>
          </cell>
          <cell r="AJ258">
            <v>0</v>
          </cell>
          <cell r="AL258" t="str">
            <v>Geen eisen gesteld</v>
          </cell>
          <cell r="AM258" t="str">
            <v>Pas de exigences</v>
          </cell>
          <cell r="AN258" t="str">
            <v>kg/m³</v>
          </cell>
          <cell r="AP258">
            <v>0.25</v>
          </cell>
          <cell r="AR258">
            <v>23.931999999999999</v>
          </cell>
          <cell r="AS258">
            <v>26.324999999999999</v>
          </cell>
          <cell r="AT258">
            <v>31.111999999999998</v>
          </cell>
          <cell r="AU258" t="str">
            <v>CD3</v>
          </cell>
          <cell r="AV258" t="str">
            <v>DP : Duitse Pallet</v>
          </cell>
          <cell r="AW258">
            <v>3</v>
          </cell>
          <cell r="AX258">
            <v>18.54</v>
          </cell>
          <cell r="AY258" t="str">
            <v>01.02.2015</v>
          </cell>
          <cell r="AZ258">
            <v>0</v>
          </cell>
          <cell r="BA258" t="str">
            <v>00.00.0000</v>
          </cell>
          <cell r="BB258" t="str">
            <v>M2</v>
          </cell>
          <cell r="BC258" t="str">
            <v>M2</v>
          </cell>
          <cell r="BD258">
            <v>3</v>
          </cell>
          <cell r="BE258">
            <v>5413218566506</v>
          </cell>
        </row>
        <row r="259">
          <cell r="A259" t="str">
            <v>G124218</v>
          </cell>
          <cell r="B259" t="str">
            <v>G124218</v>
          </cell>
          <cell r="C259" t="str">
            <v>C1CBC01C001C016</v>
          </cell>
          <cell r="D259" t="str">
            <v>Rigitone 12/25 M2</v>
          </cell>
          <cell r="E259" t="str">
            <v>C1CB</v>
          </cell>
          <cell r="F259" t="str">
            <v>Rigitone platen</v>
          </cell>
          <cell r="G259" t="str">
            <v>ZIB00028</v>
          </cell>
          <cell r="H259" t="str">
            <v>te verwijderen</v>
          </cell>
          <cell r="I259" t="str">
            <v>01.01.2013</v>
          </cell>
          <cell r="J259" t="str">
            <v>Yes</v>
          </cell>
          <cell r="K259" t="str">
            <v>Professional</v>
          </cell>
          <cell r="L259" t="str">
            <v>RIGITONE</v>
          </cell>
          <cell r="M259" t="str">
            <v>RIGITONE 12/25</v>
          </cell>
          <cell r="N259" t="str">
            <v>RIGITONE 12/25 BT 12.5X2000X1200 DP/40</v>
          </cell>
          <cell r="O259" t="str">
            <v>RIGITONE 12/25 BT 12.5 X 2000X1200 DP/40</v>
          </cell>
          <cell r="P259" t="str">
            <v>ivoor</v>
          </cell>
          <cell r="Q259" t="str">
            <v>ivoire</v>
          </cell>
          <cell r="R259" t="str">
            <v>zwart vlies</v>
          </cell>
          <cell r="S259" t="str">
            <v>voile noir</v>
          </cell>
          <cell r="T259" t="str">
            <v>NBN EN 14190:2014</v>
          </cell>
          <cell r="U259" t="str">
            <v>A</v>
          </cell>
          <cell r="V259" t="str">
            <v>RT</v>
          </cell>
          <cell r="W259" t="str">
            <v>geperforeerde gipskartonplaat met gesneden boorden</v>
          </cell>
          <cell r="Y259" t="str">
            <v>gipsplaat voor droge binnenafbouw</v>
          </cell>
          <cell r="AA259" t="str">
            <v>A2-s1, d0 (C.1)</v>
          </cell>
          <cell r="AB259" t="str">
            <v>Rigiton_Air_LE_0613</v>
          </cell>
          <cell r="AC259" t="str">
            <v>GBC</v>
          </cell>
          <cell r="AE259">
            <v>12.5</v>
          </cell>
          <cell r="AH259" t="str">
            <v>+/-0.5</v>
          </cell>
          <cell r="AI259">
            <v>0</v>
          </cell>
          <cell r="AJ259">
            <v>0</v>
          </cell>
          <cell r="AL259" t="str">
            <v>Geen eisen gesteld</v>
          </cell>
          <cell r="AM259" t="str">
            <v>Pas de exigences</v>
          </cell>
          <cell r="AN259" t="str">
            <v>kg/m³</v>
          </cell>
          <cell r="AP259">
            <v>0.25</v>
          </cell>
          <cell r="AR259">
            <v>24</v>
          </cell>
          <cell r="AS259">
            <v>26.4</v>
          </cell>
          <cell r="AT259">
            <v>31.2</v>
          </cell>
          <cell r="AU259" t="str">
            <v>CD3</v>
          </cell>
          <cell r="AV259" t="str">
            <v>DP : Duitse Pallet</v>
          </cell>
          <cell r="AW259">
            <v>3</v>
          </cell>
          <cell r="AX259">
            <v>18.54</v>
          </cell>
          <cell r="AY259" t="str">
            <v>01.02.2015</v>
          </cell>
          <cell r="AZ259">
            <v>0</v>
          </cell>
          <cell r="BA259" t="str">
            <v>00.00.0000</v>
          </cell>
          <cell r="BB259" t="str">
            <v>M2</v>
          </cell>
          <cell r="BC259" t="str">
            <v>M2</v>
          </cell>
          <cell r="BD259">
            <v>3</v>
          </cell>
          <cell r="BE259">
            <v>5413218566513</v>
          </cell>
        </row>
        <row r="260">
          <cell r="A260" t="str">
            <v>G124219</v>
          </cell>
          <cell r="B260" t="str">
            <v>G124219</v>
          </cell>
          <cell r="C260" t="str">
            <v>C1CBC01C001C016</v>
          </cell>
          <cell r="D260" t="str">
            <v>Rigitone 12/25 M2</v>
          </cell>
          <cell r="E260" t="str">
            <v>C1CB</v>
          </cell>
          <cell r="F260" t="str">
            <v>Rigitone platen</v>
          </cell>
          <cell r="G260" t="str">
            <v>ZIB00028</v>
          </cell>
          <cell r="H260" t="str">
            <v>te verwijderen</v>
          </cell>
          <cell r="I260" t="str">
            <v>01.01.2013</v>
          </cell>
          <cell r="J260" t="str">
            <v>Yes</v>
          </cell>
          <cell r="K260" t="str">
            <v>Professional</v>
          </cell>
          <cell r="L260" t="str">
            <v>RIGITONE</v>
          </cell>
          <cell r="M260" t="str">
            <v>RIGITONE 12/25</v>
          </cell>
          <cell r="N260" t="str">
            <v>RIGITONE 12/25 WT 12.5X2000X1200 DP/40</v>
          </cell>
          <cell r="O260" t="str">
            <v>RIGITONE 12/25 WT 12.5X2000 X 1200 DP/40</v>
          </cell>
          <cell r="P260" t="str">
            <v>ivoor</v>
          </cell>
          <cell r="Q260" t="str">
            <v>ivoire</v>
          </cell>
          <cell r="R260" t="str">
            <v>wit vlies</v>
          </cell>
          <cell r="S260" t="str">
            <v>voile blanc</v>
          </cell>
          <cell r="T260" t="str">
            <v>NBN EN 14190:2014</v>
          </cell>
          <cell r="U260" t="str">
            <v>A</v>
          </cell>
          <cell r="V260" t="str">
            <v>RT</v>
          </cell>
          <cell r="W260" t="str">
            <v>geperforeerde gipskartonplaat met gesneden boorden</v>
          </cell>
          <cell r="Y260" t="str">
            <v>gipsplaat voor droge binnenafbouw</v>
          </cell>
          <cell r="AA260" t="str">
            <v>A2-s1, d0 (C.1)</v>
          </cell>
          <cell r="AB260" t="str">
            <v>Rigiton_Air_LE_0613</v>
          </cell>
          <cell r="AC260" t="str">
            <v>GBC</v>
          </cell>
          <cell r="AE260">
            <v>12.5</v>
          </cell>
          <cell r="AH260" t="str">
            <v>+/-0.5</v>
          </cell>
          <cell r="AI260">
            <v>0</v>
          </cell>
          <cell r="AJ260">
            <v>0</v>
          </cell>
          <cell r="AL260" t="str">
            <v>Geen eisen gesteld</v>
          </cell>
          <cell r="AM260" t="str">
            <v>Pas de exigences</v>
          </cell>
          <cell r="AN260" t="str">
            <v>kg/m³</v>
          </cell>
          <cell r="AP260">
            <v>0.25</v>
          </cell>
          <cell r="AR260">
            <v>24</v>
          </cell>
          <cell r="AS260">
            <v>26.4</v>
          </cell>
          <cell r="AT260">
            <v>31.2</v>
          </cell>
          <cell r="AU260" t="str">
            <v>CD3</v>
          </cell>
          <cell r="AV260" t="str">
            <v>DP : Duitse Pallet</v>
          </cell>
          <cell r="AW260">
            <v>3</v>
          </cell>
          <cell r="AX260">
            <v>18.54</v>
          </cell>
          <cell r="AY260" t="str">
            <v>01.02.2015</v>
          </cell>
          <cell r="AZ260">
            <v>0</v>
          </cell>
          <cell r="BA260" t="str">
            <v>00.00.0000</v>
          </cell>
          <cell r="BB260" t="str">
            <v>M2</v>
          </cell>
          <cell r="BC260" t="str">
            <v>M2</v>
          </cell>
          <cell r="BD260">
            <v>3</v>
          </cell>
          <cell r="BE260">
            <v>5413218566520</v>
          </cell>
        </row>
        <row r="261">
          <cell r="A261" t="str">
            <v>G124220</v>
          </cell>
          <cell r="B261" t="str">
            <v>G124220</v>
          </cell>
          <cell r="C261" t="str">
            <v>C1CBC01C001C023</v>
          </cell>
          <cell r="D261" t="str">
            <v>Rigitone 8-12/50 M2</v>
          </cell>
          <cell r="E261" t="str">
            <v>C1CB</v>
          </cell>
          <cell r="F261" t="str">
            <v>Rigitone platen</v>
          </cell>
          <cell r="G261" t="str">
            <v>ZIB00028</v>
          </cell>
          <cell r="H261" t="str">
            <v>te verwijderen</v>
          </cell>
          <cell r="I261" t="str">
            <v>01.01.2013</v>
          </cell>
          <cell r="J261" t="str">
            <v>Yes</v>
          </cell>
          <cell r="K261" t="str">
            <v>Professional</v>
          </cell>
          <cell r="L261" t="str">
            <v>RIGITONE</v>
          </cell>
          <cell r="M261" t="str">
            <v>RIGITONE 8-12/50</v>
          </cell>
          <cell r="N261" t="str">
            <v>RIGITONE 8-12/50 BT 12.5X2000X1200 DP/40</v>
          </cell>
          <cell r="O261" t="str">
            <v>RIGITONE 8-12/50BT 12.5X2000X1200 DP/40</v>
          </cell>
          <cell r="P261" t="str">
            <v>ivoor</v>
          </cell>
          <cell r="Q261" t="str">
            <v>ivoire</v>
          </cell>
          <cell r="R261" t="str">
            <v>zwart vlies</v>
          </cell>
          <cell r="S261" t="str">
            <v>voile noir</v>
          </cell>
          <cell r="T261" t="str">
            <v>NBN EN 14190:2014</v>
          </cell>
          <cell r="U261" t="str">
            <v>A</v>
          </cell>
          <cell r="V261" t="str">
            <v>RT</v>
          </cell>
          <cell r="W261" t="str">
            <v>geperforeerde gipskartonplaat met gesneden boorden</v>
          </cell>
          <cell r="Y261" t="str">
            <v>gipsplaat voor droge binnenafbouw</v>
          </cell>
          <cell r="AA261" t="str">
            <v>A2-s1, d0 (C.1)</v>
          </cell>
          <cell r="AB261" t="str">
            <v>Rigiton_Air_LE_0613</v>
          </cell>
          <cell r="AC261" t="str">
            <v>GBC</v>
          </cell>
          <cell r="AE261">
            <v>12.5</v>
          </cell>
          <cell r="AH261" t="str">
            <v>+/-0.5</v>
          </cell>
          <cell r="AI261">
            <v>0</v>
          </cell>
          <cell r="AJ261">
            <v>0</v>
          </cell>
          <cell r="AL261" t="str">
            <v>Geen eisen gesteld</v>
          </cell>
          <cell r="AM261" t="str">
            <v>Pas de exigences</v>
          </cell>
          <cell r="AN261" t="str">
            <v>kg/m³</v>
          </cell>
          <cell r="AP261">
            <v>0.25</v>
          </cell>
          <cell r="AR261">
            <v>24</v>
          </cell>
          <cell r="AS261">
            <v>26.4</v>
          </cell>
          <cell r="AT261">
            <v>31.2</v>
          </cell>
          <cell r="AU261" t="str">
            <v>CD3</v>
          </cell>
          <cell r="AV261" t="str">
            <v>DP : Duitse Pallet</v>
          </cell>
          <cell r="AW261">
            <v>3</v>
          </cell>
          <cell r="AX261">
            <v>18.54</v>
          </cell>
          <cell r="AY261" t="str">
            <v>01.02.2015</v>
          </cell>
          <cell r="AZ261">
            <v>0</v>
          </cell>
          <cell r="BA261" t="str">
            <v>00.00.0000</v>
          </cell>
          <cell r="BB261" t="str">
            <v>M2</v>
          </cell>
          <cell r="BC261" t="str">
            <v>M2</v>
          </cell>
          <cell r="BD261">
            <v>3</v>
          </cell>
          <cell r="BE261">
            <v>5413218566551</v>
          </cell>
        </row>
        <row r="262">
          <cell r="A262" t="str">
            <v>G124221</v>
          </cell>
          <cell r="B262" t="str">
            <v>G124221</v>
          </cell>
          <cell r="C262" t="str">
            <v>C1CBC01C001C023</v>
          </cell>
          <cell r="D262" t="str">
            <v>Rigitone 8-12/50 M2</v>
          </cell>
          <cell r="E262" t="str">
            <v>C1CB</v>
          </cell>
          <cell r="F262" t="str">
            <v>Rigitone platen</v>
          </cell>
          <cell r="G262" t="str">
            <v>ZIB00028</v>
          </cell>
          <cell r="H262" t="str">
            <v>te verwijderen</v>
          </cell>
          <cell r="I262" t="str">
            <v>01.01.2013</v>
          </cell>
          <cell r="J262" t="str">
            <v>Yes</v>
          </cell>
          <cell r="K262" t="str">
            <v>Professional</v>
          </cell>
          <cell r="L262" t="str">
            <v>RIGITONE</v>
          </cell>
          <cell r="M262" t="str">
            <v>RIGITONE 8-12/50</v>
          </cell>
          <cell r="N262" t="str">
            <v>RIGITONE 8-12/50 WT 12.5X2000X1200 DP/40</v>
          </cell>
          <cell r="O262" t="str">
            <v>RIGITONE 8-12/50WT12.5X2000X1200 DP/40</v>
          </cell>
          <cell r="P262" t="str">
            <v>ivoor</v>
          </cell>
          <cell r="Q262" t="str">
            <v>ivoire</v>
          </cell>
          <cell r="R262" t="str">
            <v>wit vlies</v>
          </cell>
          <cell r="S262" t="str">
            <v>voile blanc</v>
          </cell>
          <cell r="T262" t="str">
            <v>NBN EN 14190:2014</v>
          </cell>
          <cell r="U262" t="str">
            <v>A</v>
          </cell>
          <cell r="V262" t="str">
            <v>RT</v>
          </cell>
          <cell r="W262" t="str">
            <v>geperforeerde gipskartonplaat met gesneden boorden</v>
          </cell>
          <cell r="Y262" t="str">
            <v>gipsplaat voor droge binnenafbouw</v>
          </cell>
          <cell r="AA262" t="str">
            <v>A2-s1, d0 (C.1)</v>
          </cell>
          <cell r="AB262" t="str">
            <v>Rigiton_Air_LE_0613</v>
          </cell>
          <cell r="AC262" t="str">
            <v>GBC</v>
          </cell>
          <cell r="AE262">
            <v>12.5</v>
          </cell>
          <cell r="AH262" t="str">
            <v>+/-0.5</v>
          </cell>
          <cell r="AI262">
            <v>0</v>
          </cell>
          <cell r="AJ262">
            <v>0</v>
          </cell>
          <cell r="AL262" t="str">
            <v>Geen eisen gesteld</v>
          </cell>
          <cell r="AM262" t="str">
            <v>Pas de exigences</v>
          </cell>
          <cell r="AN262" t="str">
            <v>kg/m³</v>
          </cell>
          <cell r="AP262">
            <v>0.25</v>
          </cell>
          <cell r="AR262">
            <v>24</v>
          </cell>
          <cell r="AS262">
            <v>26.4</v>
          </cell>
          <cell r="AT262">
            <v>31.2</v>
          </cell>
          <cell r="AU262" t="str">
            <v>CD3</v>
          </cell>
          <cell r="AV262" t="str">
            <v>DP : Duitse Pallet</v>
          </cell>
          <cell r="AW262">
            <v>3</v>
          </cell>
          <cell r="AX262">
            <v>18.54</v>
          </cell>
          <cell r="AY262" t="str">
            <v>01.02.2015</v>
          </cell>
          <cell r="AZ262">
            <v>0</v>
          </cell>
          <cell r="BA262" t="str">
            <v>00.00.0000</v>
          </cell>
          <cell r="BB262" t="str">
            <v>M2</v>
          </cell>
          <cell r="BC262" t="str">
            <v>M2</v>
          </cell>
          <cell r="BD262">
            <v>3</v>
          </cell>
          <cell r="BE262">
            <v>5413218566568</v>
          </cell>
        </row>
        <row r="263">
          <cell r="A263" t="str">
            <v>G124222</v>
          </cell>
          <cell r="B263" t="str">
            <v>G124222</v>
          </cell>
          <cell r="C263" t="str">
            <v>C1CBC01C001C014</v>
          </cell>
          <cell r="D263" t="str">
            <v>Rigitone 12/20/35 M2</v>
          </cell>
          <cell r="E263" t="str">
            <v>C1CB</v>
          </cell>
          <cell r="F263" t="str">
            <v>Rigitone platen</v>
          </cell>
          <cell r="G263" t="str">
            <v>ZIB00028</v>
          </cell>
          <cell r="H263" t="str">
            <v>te verwijderen</v>
          </cell>
          <cell r="I263" t="str">
            <v>01.01.2013</v>
          </cell>
          <cell r="J263" t="str">
            <v>Yes</v>
          </cell>
          <cell r="K263" t="str">
            <v>Professional</v>
          </cell>
          <cell r="L263" t="str">
            <v>RIGITONE</v>
          </cell>
          <cell r="M263" t="str">
            <v>RIGITONE 12-20-35</v>
          </cell>
          <cell r="N263" t="str">
            <v>RIGITONE 12-20-35BT 12.5X2000X1200 DP/40</v>
          </cell>
          <cell r="O263" t="str">
            <v>RIGITONE 12-20-35BT 12.5x2000X1200 DP/40</v>
          </cell>
          <cell r="P263" t="str">
            <v>ivoor</v>
          </cell>
          <cell r="Q263" t="str">
            <v>ivoire</v>
          </cell>
          <cell r="R263" t="str">
            <v>zwart vlies</v>
          </cell>
          <cell r="S263" t="str">
            <v>voile noir</v>
          </cell>
          <cell r="T263" t="str">
            <v>NBN EN 14190:2014</v>
          </cell>
          <cell r="U263" t="str">
            <v>A</v>
          </cell>
          <cell r="V263" t="str">
            <v>RT</v>
          </cell>
          <cell r="W263" t="str">
            <v>geperforeerde gipskartonplaat met gesneden boorden</v>
          </cell>
          <cell r="Y263" t="str">
            <v>gipsplaat voor droge binnenafbouw</v>
          </cell>
          <cell r="AA263" t="str">
            <v>A2-s1, d0 (C.1)</v>
          </cell>
          <cell r="AB263" t="str">
            <v>Rigiton_Air_LE_0613</v>
          </cell>
          <cell r="AC263" t="str">
            <v>GBC</v>
          </cell>
          <cell r="AE263">
            <v>12.5</v>
          </cell>
          <cell r="AH263" t="str">
            <v>+/-0.5</v>
          </cell>
          <cell r="AI263">
            <v>0</v>
          </cell>
          <cell r="AJ263">
            <v>0</v>
          </cell>
          <cell r="AL263" t="str">
            <v>Geen eisen gesteld</v>
          </cell>
          <cell r="AM263" t="str">
            <v>Pas de exigences</v>
          </cell>
          <cell r="AN263" t="str">
            <v>kg/m³</v>
          </cell>
          <cell r="AP263">
            <v>0.25</v>
          </cell>
          <cell r="AR263">
            <v>24</v>
          </cell>
          <cell r="AS263">
            <v>26.4</v>
          </cell>
          <cell r="AT263">
            <v>31.2</v>
          </cell>
          <cell r="AU263" t="str">
            <v>CD3</v>
          </cell>
          <cell r="AV263" t="str">
            <v>DP : Duitse Pallet</v>
          </cell>
          <cell r="AW263">
            <v>3</v>
          </cell>
          <cell r="AX263">
            <v>18.54</v>
          </cell>
          <cell r="AY263" t="str">
            <v>01.02.2015</v>
          </cell>
          <cell r="AZ263">
            <v>0</v>
          </cell>
          <cell r="BA263" t="str">
            <v>00.00.0000</v>
          </cell>
          <cell r="BB263" t="str">
            <v>M2</v>
          </cell>
          <cell r="BC263" t="str">
            <v>M2</v>
          </cell>
          <cell r="BD263">
            <v>3</v>
          </cell>
          <cell r="BE263">
            <v>5413218566629</v>
          </cell>
        </row>
        <row r="264">
          <cell r="A264" t="str">
            <v>G124223</v>
          </cell>
          <cell r="B264" t="str">
            <v>G124223</v>
          </cell>
          <cell r="C264" t="str">
            <v>C1CBC01C001C014</v>
          </cell>
          <cell r="D264" t="str">
            <v>Rigitone 12/20/35 M2</v>
          </cell>
          <cell r="E264" t="str">
            <v>C1CB</v>
          </cell>
          <cell r="F264" t="str">
            <v>Rigitone platen</v>
          </cell>
          <cell r="G264" t="str">
            <v>ZIB00028</v>
          </cell>
          <cell r="H264" t="str">
            <v>te verwijderen</v>
          </cell>
          <cell r="I264" t="str">
            <v>01.01.2013</v>
          </cell>
          <cell r="J264" t="str">
            <v>Yes</v>
          </cell>
          <cell r="K264" t="str">
            <v>Professional</v>
          </cell>
          <cell r="L264" t="str">
            <v>RIGITONE</v>
          </cell>
          <cell r="M264" t="str">
            <v>RIGITONE 12-20-35</v>
          </cell>
          <cell r="N264" t="str">
            <v>RIGITONE 12-20-35WT 12.5x2000X1200 DP/40</v>
          </cell>
          <cell r="O264" t="str">
            <v>RIGITONE 12-20-35WT 12.5x2000X1200 DP/40</v>
          </cell>
          <cell r="P264" t="str">
            <v>ivoor</v>
          </cell>
          <cell r="Q264" t="str">
            <v>ivoire</v>
          </cell>
          <cell r="R264" t="str">
            <v>wit vlies</v>
          </cell>
          <cell r="S264" t="str">
            <v>voile blanc</v>
          </cell>
          <cell r="T264" t="str">
            <v>NBN EN 14190:2014</v>
          </cell>
          <cell r="U264" t="str">
            <v>A</v>
          </cell>
          <cell r="V264" t="str">
            <v>RT</v>
          </cell>
          <cell r="W264" t="str">
            <v>geperforeerde gipskartonplaat met gesneden boorden</v>
          </cell>
          <cell r="Y264" t="str">
            <v>gipsplaat voor droge binnenafbouw</v>
          </cell>
          <cell r="AA264" t="str">
            <v>A2-s1, d0 (C.1)</v>
          </cell>
          <cell r="AB264" t="str">
            <v>Rigiton_Air_LE_0613</v>
          </cell>
          <cell r="AC264" t="str">
            <v>GBC</v>
          </cell>
          <cell r="AE264">
            <v>12.5</v>
          </cell>
          <cell r="AH264" t="str">
            <v>+/-0.5</v>
          </cell>
          <cell r="AI264">
            <v>0</v>
          </cell>
          <cell r="AJ264">
            <v>0</v>
          </cell>
          <cell r="AL264" t="str">
            <v>Geen eisen gesteld</v>
          </cell>
          <cell r="AM264" t="str">
            <v>Pas de exigences</v>
          </cell>
          <cell r="AN264" t="str">
            <v>kg/m³</v>
          </cell>
          <cell r="AP264">
            <v>0.25</v>
          </cell>
          <cell r="AR264">
            <v>24</v>
          </cell>
          <cell r="AS264">
            <v>26.4</v>
          </cell>
          <cell r="AT264">
            <v>31.2</v>
          </cell>
          <cell r="AU264" t="str">
            <v>CD3</v>
          </cell>
          <cell r="AV264" t="str">
            <v>DP : Duitse Pallet</v>
          </cell>
          <cell r="AW264">
            <v>3</v>
          </cell>
          <cell r="AX264">
            <v>18.54</v>
          </cell>
          <cell r="AY264" t="str">
            <v>01.02.2015</v>
          </cell>
          <cell r="AZ264">
            <v>0</v>
          </cell>
          <cell r="BA264" t="str">
            <v>00.00.0000</v>
          </cell>
          <cell r="BB264" t="str">
            <v>M2</v>
          </cell>
          <cell r="BC264" t="str">
            <v>M2</v>
          </cell>
          <cell r="BD264">
            <v>3</v>
          </cell>
          <cell r="BE264">
            <v>5413218566636</v>
          </cell>
        </row>
        <row r="265">
          <cell r="A265" t="str">
            <v>G124224</v>
          </cell>
          <cell r="B265" t="str">
            <v>G124224</v>
          </cell>
          <cell r="C265" t="str">
            <v>C1CBC01C001C024</v>
          </cell>
          <cell r="D265" t="str">
            <v>Rigitone 15/30 M2</v>
          </cell>
          <cell r="E265" t="str">
            <v>C1CB</v>
          </cell>
          <cell r="F265" t="str">
            <v>Rigitone platen</v>
          </cell>
          <cell r="G265" t="str">
            <v>ZIB00028</v>
          </cell>
          <cell r="H265" t="str">
            <v>te verwijderen</v>
          </cell>
          <cell r="I265" t="str">
            <v>01.01.2013</v>
          </cell>
          <cell r="J265" t="str">
            <v>Yes</v>
          </cell>
          <cell r="K265" t="str">
            <v>Professional</v>
          </cell>
          <cell r="L265" t="str">
            <v>RIGITONE</v>
          </cell>
          <cell r="M265" t="str">
            <v>RIGITONE 15/30</v>
          </cell>
          <cell r="N265" t="str">
            <v>RIGITONE 15/30 WT 12.5X2010X1200 DP/40</v>
          </cell>
          <cell r="O265" t="str">
            <v>RIGITONE 15/30 WT 12.5 X 2010X1200 DP/40</v>
          </cell>
          <cell r="P265" t="str">
            <v>ivoor</v>
          </cell>
          <cell r="Q265" t="str">
            <v>ivoire</v>
          </cell>
          <cell r="R265" t="str">
            <v>wit vlies</v>
          </cell>
          <cell r="S265" t="str">
            <v>voile blanc</v>
          </cell>
          <cell r="T265" t="str">
            <v>NBN EN 14190:2014</v>
          </cell>
          <cell r="U265" t="str">
            <v>A</v>
          </cell>
          <cell r="V265" t="str">
            <v>RT</v>
          </cell>
          <cell r="W265" t="str">
            <v>geperforeerde gipskartonplaat met gesneden boorden</v>
          </cell>
          <cell r="Y265" t="str">
            <v>gipsplaat voor droge binnenafbouw</v>
          </cell>
          <cell r="AA265" t="str">
            <v>A2-s1, d0 (C.1)</v>
          </cell>
          <cell r="AB265" t="str">
            <v>Rigiton_Air_LE_0613</v>
          </cell>
          <cell r="AC265" t="str">
            <v>GBC</v>
          </cell>
          <cell r="AE265">
            <v>12.5</v>
          </cell>
          <cell r="AH265" t="str">
            <v>+/-0.5</v>
          </cell>
          <cell r="AI265">
            <v>0</v>
          </cell>
          <cell r="AJ265">
            <v>0</v>
          </cell>
          <cell r="AL265" t="str">
            <v>Geen eisen gesteld</v>
          </cell>
          <cell r="AM265" t="str">
            <v>Pas de exigences</v>
          </cell>
          <cell r="AN265" t="str">
            <v>kg/m³</v>
          </cell>
          <cell r="AP265">
            <v>0.25</v>
          </cell>
          <cell r="AR265">
            <v>23.44</v>
          </cell>
          <cell r="AS265">
            <v>23.52</v>
          </cell>
          <cell r="AT265">
            <v>31.356000000000002</v>
          </cell>
          <cell r="AU265" t="str">
            <v>CD3</v>
          </cell>
          <cell r="AV265" t="str">
            <v>DP : Duitse Pallet</v>
          </cell>
          <cell r="AW265">
            <v>3</v>
          </cell>
          <cell r="AX265">
            <v>18.54</v>
          </cell>
          <cell r="AY265" t="str">
            <v>01.02.2015</v>
          </cell>
          <cell r="AZ265">
            <v>0</v>
          </cell>
          <cell r="BA265" t="str">
            <v>00.00.0000</v>
          </cell>
          <cell r="BB265" t="str">
            <v>M2</v>
          </cell>
          <cell r="BC265" t="str">
            <v>M2</v>
          </cell>
          <cell r="BD265" t="str">
            <v>S</v>
          </cell>
          <cell r="BE265">
            <v>5413218566544</v>
          </cell>
        </row>
        <row r="266">
          <cell r="A266" t="str">
            <v>G124225</v>
          </cell>
          <cell r="B266" t="str">
            <v>G124225</v>
          </cell>
          <cell r="C266" t="str">
            <v>C1CBC01C001C020</v>
          </cell>
          <cell r="D266" t="str">
            <v>Rigitone 8/15/20 Super M2</v>
          </cell>
          <cell r="E266" t="str">
            <v>C1CB</v>
          </cell>
          <cell r="F266" t="str">
            <v>Rigitone platen</v>
          </cell>
          <cell r="G266" t="str">
            <v>ZIB00028</v>
          </cell>
          <cell r="H266" t="str">
            <v>te verwijderen</v>
          </cell>
          <cell r="I266" t="str">
            <v>01.01.2013</v>
          </cell>
          <cell r="J266" t="str">
            <v>Yes</v>
          </cell>
          <cell r="K266" t="str">
            <v>Professional</v>
          </cell>
          <cell r="L266" t="str">
            <v>RIGITONE</v>
          </cell>
          <cell r="M266" t="str">
            <v>RIGITONE 8-15-20 SUPER</v>
          </cell>
          <cell r="N266" t="str">
            <v>RIGITON 8-15-20 S WT12.5X1960X1200 DP/40</v>
          </cell>
          <cell r="O266" t="str">
            <v>RIGITON 8-15-20 S WT12.5x1960X1200 DP/40</v>
          </cell>
          <cell r="P266" t="str">
            <v>ivoor</v>
          </cell>
          <cell r="Q266" t="str">
            <v>ivoire</v>
          </cell>
          <cell r="R266" t="str">
            <v>wit vlies</v>
          </cell>
          <cell r="S266" t="str">
            <v>voile blanc</v>
          </cell>
          <cell r="T266" t="str">
            <v>NBN EN 14190:2014</v>
          </cell>
          <cell r="U266" t="str">
            <v>A</v>
          </cell>
          <cell r="V266" t="str">
            <v>RT</v>
          </cell>
          <cell r="W266" t="str">
            <v>geperforeerde gipskartonplaat met gesneden boorden</v>
          </cell>
          <cell r="Y266" t="str">
            <v>gipsplaat voor droge binnenafbouw</v>
          </cell>
          <cell r="AA266" t="str">
            <v>A2-s1, d0 (C.1)</v>
          </cell>
          <cell r="AB266" t="str">
            <v>Rigiton_Air_LE_0613</v>
          </cell>
          <cell r="AC266" t="str">
            <v>GBC</v>
          </cell>
          <cell r="AE266">
            <v>12.5</v>
          </cell>
          <cell r="AH266" t="str">
            <v>+/-0.5</v>
          </cell>
          <cell r="AI266">
            <v>0</v>
          </cell>
          <cell r="AJ266">
            <v>0</v>
          </cell>
          <cell r="AL266" t="str">
            <v>Geen eisen gesteld</v>
          </cell>
          <cell r="AM266" t="str">
            <v>Pas de exigences</v>
          </cell>
          <cell r="AN266" t="str">
            <v>kg/m³</v>
          </cell>
          <cell r="AP266">
            <v>0.25</v>
          </cell>
          <cell r="AR266">
            <v>23.52</v>
          </cell>
          <cell r="AS266">
            <v>25.872</v>
          </cell>
          <cell r="AT266">
            <v>30.576000000000001</v>
          </cell>
          <cell r="AU266" t="str">
            <v>CD3</v>
          </cell>
          <cell r="AV266" t="str">
            <v>DP : Duitse Pallet</v>
          </cell>
          <cell r="AW266">
            <v>3</v>
          </cell>
          <cell r="AX266">
            <v>18.54</v>
          </cell>
          <cell r="AY266" t="str">
            <v>01.02.2015</v>
          </cell>
          <cell r="AZ266">
            <v>0</v>
          </cell>
          <cell r="BA266" t="str">
            <v>00.00.0000</v>
          </cell>
          <cell r="BB266" t="str">
            <v>M2</v>
          </cell>
          <cell r="BC266" t="str">
            <v>M2</v>
          </cell>
          <cell r="BD266" t="str">
            <v>S</v>
          </cell>
          <cell r="BE266">
            <v>5413218566612</v>
          </cell>
        </row>
        <row r="267">
          <cell r="A267" t="str">
            <v>G124226</v>
          </cell>
          <cell r="B267" t="str">
            <v>G124226</v>
          </cell>
          <cell r="C267" t="str">
            <v>C1CBC01C001C015</v>
          </cell>
          <cell r="D267" t="str">
            <v>Rigitone 12/20/66 M2</v>
          </cell>
          <cell r="E267" t="str">
            <v>C1CB</v>
          </cell>
          <cell r="F267" t="str">
            <v>Rigitone platen</v>
          </cell>
          <cell r="G267" t="str">
            <v>ZIB00028</v>
          </cell>
          <cell r="H267" t="str">
            <v>te verwijderen</v>
          </cell>
          <cell r="I267" t="str">
            <v>01.01.2013</v>
          </cell>
          <cell r="J267" t="str">
            <v>Yes</v>
          </cell>
          <cell r="K267" t="str">
            <v>Professional</v>
          </cell>
          <cell r="L267" t="str">
            <v>RIGITONE</v>
          </cell>
          <cell r="M267" t="str">
            <v>RIGITONE 12-20/66</v>
          </cell>
          <cell r="N267" t="str">
            <v>RIGITONE 12-20/66WT 12.5X1980X1188 DP/40</v>
          </cell>
          <cell r="O267" t="str">
            <v>RIGITONE 12-20/66WT 12.5X1980X1188 DP/40</v>
          </cell>
          <cell r="P267" t="str">
            <v>ivoor</v>
          </cell>
          <cell r="Q267" t="str">
            <v>ivoire</v>
          </cell>
          <cell r="R267" t="str">
            <v>wit vlies</v>
          </cell>
          <cell r="S267" t="str">
            <v>voile blanc</v>
          </cell>
          <cell r="T267" t="str">
            <v>NBN EN 14190:2014</v>
          </cell>
          <cell r="U267" t="str">
            <v>A</v>
          </cell>
          <cell r="V267" t="str">
            <v>RT</v>
          </cell>
          <cell r="W267" t="str">
            <v>geperforeerde gipskartonplaat met gesneden boorden</v>
          </cell>
          <cell r="Y267" t="str">
            <v>gipsplaat voor droge binnenafbouw</v>
          </cell>
          <cell r="AA267" t="str">
            <v>A2-s1, d0 (C.1)</v>
          </cell>
          <cell r="AB267" t="str">
            <v>Rigiton_Air_LE_0613</v>
          </cell>
          <cell r="AC267" t="str">
            <v>GBC</v>
          </cell>
          <cell r="AE267">
            <v>12.5</v>
          </cell>
          <cell r="AH267" t="str">
            <v>+/-0.5</v>
          </cell>
          <cell r="AI267">
            <v>0</v>
          </cell>
          <cell r="AJ267">
            <v>0</v>
          </cell>
          <cell r="AL267" t="str">
            <v>Geen eisen gesteld</v>
          </cell>
          <cell r="AM267" t="str">
            <v>Pas de exigences</v>
          </cell>
          <cell r="AN267" t="str">
            <v>kg/m³</v>
          </cell>
          <cell r="AP267">
            <v>0.25</v>
          </cell>
          <cell r="AR267">
            <v>23.521999999999998</v>
          </cell>
          <cell r="AS267">
            <v>25.875</v>
          </cell>
          <cell r="AT267">
            <v>30.579000000000001</v>
          </cell>
          <cell r="AU267" t="str">
            <v>CD3</v>
          </cell>
          <cell r="AV267" t="str">
            <v>DP : Duitse Pallet</v>
          </cell>
          <cell r="AW267">
            <v>3</v>
          </cell>
          <cell r="AX267">
            <v>18.54</v>
          </cell>
          <cell r="AY267" t="str">
            <v>01.02.2015</v>
          </cell>
          <cell r="AZ267">
            <v>0</v>
          </cell>
          <cell r="BA267" t="str">
            <v>00.00.0000</v>
          </cell>
          <cell r="BB267" t="str">
            <v>M2</v>
          </cell>
          <cell r="BC267" t="str">
            <v>M2</v>
          </cell>
          <cell r="BD267" t="str">
            <v>S</v>
          </cell>
          <cell r="BE267">
            <v>5413218566575</v>
          </cell>
        </row>
        <row r="268">
          <cell r="A268" t="str">
            <v>G124227</v>
          </cell>
          <cell r="B268" t="str">
            <v>G124227</v>
          </cell>
          <cell r="C268" t="str">
            <v>C1CBC01C001C019</v>
          </cell>
          <cell r="D268" t="str">
            <v>Rigitone 8/15/20 M2</v>
          </cell>
          <cell r="E268" t="str">
            <v>C1CB</v>
          </cell>
          <cell r="F268" t="str">
            <v>Rigitone platen</v>
          </cell>
          <cell r="G268" t="str">
            <v>ZIB00028</v>
          </cell>
          <cell r="H268" t="str">
            <v>te verwijderen</v>
          </cell>
          <cell r="I268" t="str">
            <v>01.01.2013</v>
          </cell>
          <cell r="J268" t="str">
            <v>Yes</v>
          </cell>
          <cell r="K268" t="str">
            <v>Professional</v>
          </cell>
          <cell r="L268" t="str">
            <v>RIGITONE</v>
          </cell>
          <cell r="M268" t="str">
            <v>RIGITONE 8-15-20</v>
          </cell>
          <cell r="N268" t="str">
            <v>RIGITONE 8-15-20 WT 12.5X2000X1200 DP/40</v>
          </cell>
          <cell r="O268" t="str">
            <v>RIGITONE 8-15-20 WT 12.5X2000X1200 DP/40</v>
          </cell>
          <cell r="P268" t="str">
            <v>ivoor</v>
          </cell>
          <cell r="Q268" t="str">
            <v>ivoire</v>
          </cell>
          <cell r="R268" t="str">
            <v>wit vlies</v>
          </cell>
          <cell r="S268" t="str">
            <v>voile blanc</v>
          </cell>
          <cell r="T268" t="str">
            <v>NBN EN 14190:2014</v>
          </cell>
          <cell r="U268" t="str">
            <v>A</v>
          </cell>
          <cell r="V268" t="str">
            <v>RT</v>
          </cell>
          <cell r="W268" t="str">
            <v>geperforeerde gipskartonplaat met gesneden boorden</v>
          </cell>
          <cell r="Y268" t="str">
            <v>gipsplaat voor droge binnenafbouw</v>
          </cell>
          <cell r="AA268" t="str">
            <v>A2-s1, d0 (C.1)</v>
          </cell>
          <cell r="AB268" t="str">
            <v>Rigiton_Air_LE_0613</v>
          </cell>
          <cell r="AC268" t="str">
            <v>GBC</v>
          </cell>
          <cell r="AE268">
            <v>12.5</v>
          </cell>
          <cell r="AH268" t="str">
            <v>+/-0.5</v>
          </cell>
          <cell r="AI268">
            <v>0</v>
          </cell>
          <cell r="AJ268">
            <v>0</v>
          </cell>
          <cell r="AL268" t="str">
            <v>Geen eisen gesteld</v>
          </cell>
          <cell r="AM268" t="str">
            <v>Pas de exigences</v>
          </cell>
          <cell r="AN268" t="str">
            <v>kg/m³</v>
          </cell>
          <cell r="AP268">
            <v>0.25</v>
          </cell>
          <cell r="AR268">
            <v>24</v>
          </cell>
          <cell r="AS268">
            <v>26.4</v>
          </cell>
          <cell r="AT268">
            <v>31.2</v>
          </cell>
          <cell r="AU268" t="str">
            <v>CD3</v>
          </cell>
          <cell r="AV268" t="str">
            <v>DP : Duitse Pallet</v>
          </cell>
          <cell r="AW268">
            <v>3</v>
          </cell>
          <cell r="AX268">
            <v>18.54</v>
          </cell>
          <cell r="AY268" t="str">
            <v>01.02.2015</v>
          </cell>
          <cell r="AZ268">
            <v>0</v>
          </cell>
          <cell r="BA268" t="str">
            <v>00.00.0000</v>
          </cell>
          <cell r="BB268" t="str">
            <v>M2</v>
          </cell>
          <cell r="BC268" t="str">
            <v>M2</v>
          </cell>
          <cell r="BD268">
            <v>3</v>
          </cell>
          <cell r="BE268">
            <v>5413218566599</v>
          </cell>
        </row>
        <row r="269">
          <cell r="A269" t="str">
            <v>G124229</v>
          </cell>
          <cell r="B269" t="str">
            <v>G124229</v>
          </cell>
          <cell r="C269" t="str">
            <v>F5FAF01F002F004</v>
          </cell>
          <cell r="D269" t="str">
            <v>Rigitone Montagehulp *</v>
          </cell>
          <cell r="E269" t="str">
            <v>F5FA</v>
          </cell>
          <cell r="F269" t="str">
            <v>Gereedschap bevestigingen *</v>
          </cell>
          <cell r="G269" t="str">
            <v>G124229</v>
          </cell>
          <cell r="H269" t="str">
            <v>bestaand</v>
          </cell>
          <cell r="I269" t="str">
            <v>01.01.2013</v>
          </cell>
          <cell r="J269" t="str">
            <v>Yes</v>
          </cell>
          <cell r="K269" t="str">
            <v>Professional</v>
          </cell>
          <cell r="L269" t="str">
            <v>RIGITONE</v>
          </cell>
          <cell r="M269" t="str">
            <v>AFSTANDSHOUDER RIGITONE</v>
          </cell>
          <cell r="N269" t="str">
            <v>MONTAGEHULP RIGITONE 12/25</v>
          </cell>
          <cell r="O269" t="str">
            <v>Ecarteur Rigitone 12/25</v>
          </cell>
          <cell r="P269" t="str">
            <v>(blanco)</v>
          </cell>
          <cell r="Q269" t="str">
            <v>(blanco)</v>
          </cell>
          <cell r="R269" t="str">
            <v>(blanco)</v>
          </cell>
          <cell r="S269" t="str">
            <v>(blanco)</v>
          </cell>
          <cell r="T269" t="str">
            <v>--</v>
          </cell>
          <cell r="AA269" t="str">
            <v>(blanco)</v>
          </cell>
          <cell r="AC269" t="str">
            <v>(blanco)</v>
          </cell>
          <cell r="AD269" t="str">
            <v>(blanco)</v>
          </cell>
          <cell r="AH269" t="str">
            <v>(blanco)</v>
          </cell>
          <cell r="AI269" t="str">
            <v>(blanco)</v>
          </cell>
          <cell r="AJ269" t="str">
            <v>(blanco)</v>
          </cell>
          <cell r="AL269" t="str">
            <v>(blanco)</v>
          </cell>
          <cell r="AM269" t="str">
            <v>(blanco)</v>
          </cell>
          <cell r="AN269" t="str">
            <v>(blanco)</v>
          </cell>
          <cell r="AR269">
            <v>0.2</v>
          </cell>
          <cell r="AS269">
            <v>0.2</v>
          </cell>
          <cell r="AT269">
            <v>0</v>
          </cell>
          <cell r="AX269">
            <v>29.2</v>
          </cell>
          <cell r="AY269" t="str">
            <v>01.02.2015</v>
          </cell>
          <cell r="AZ269">
            <v>0</v>
          </cell>
          <cell r="BA269" t="str">
            <v>00.00.0000</v>
          </cell>
          <cell r="BB269" t="str">
            <v>******</v>
          </cell>
          <cell r="BC269" t="str">
            <v>DS</v>
          </cell>
          <cell r="BD269" t="str">
            <v>S</v>
          </cell>
          <cell r="BE269">
            <v>5413218566674</v>
          </cell>
        </row>
        <row r="270">
          <cell r="A270" t="str">
            <v>G124294</v>
          </cell>
          <cell r="B270" t="str">
            <v>G124294</v>
          </cell>
          <cell r="C270" t="str">
            <v>D1DBD15D002D002</v>
          </cell>
          <cell r="D270" t="str">
            <v>Prlock ALU STD 12,5 ST</v>
          </cell>
          <cell r="E270" t="str">
            <v>D1DB</v>
          </cell>
          <cell r="F270" t="str">
            <v>Toebehoren Platen *</v>
          </cell>
          <cell r="G270" t="str">
            <v>G124294</v>
          </cell>
          <cell r="H270" t="str">
            <v>bestaand</v>
          </cell>
          <cell r="I270" t="str">
            <v>01.01.2013</v>
          </cell>
          <cell r="J270" t="str">
            <v>Yes</v>
          </cell>
          <cell r="K270" t="str">
            <v>Professional</v>
          </cell>
          <cell r="L270" t="str">
            <v>PROLOCK</v>
          </cell>
          <cell r="M270" t="str">
            <v>PROLOCK ALU STANDAARD ENKEL</v>
          </cell>
          <cell r="N270" t="str">
            <v>ProLock Alu Std enkel/simple 800x800</v>
          </cell>
          <cell r="O270" t="str">
            <v>ProLock Alu Std enkel/simple 800x800</v>
          </cell>
          <cell r="P270" t="str">
            <v>(blanco)</v>
          </cell>
          <cell r="Q270" t="str">
            <v>(blanco)</v>
          </cell>
          <cell r="R270" t="str">
            <v>(blanco)</v>
          </cell>
          <cell r="S270" t="str">
            <v>(blanco)</v>
          </cell>
          <cell r="T270" t="str">
            <v>--</v>
          </cell>
          <cell r="AA270" t="str">
            <v>(blanco)</v>
          </cell>
          <cell r="AC270" t="str">
            <v>(blanco)</v>
          </cell>
          <cell r="AD270" t="str">
            <v>(blanco)</v>
          </cell>
          <cell r="AE270">
            <v>0</v>
          </cell>
          <cell r="AH270" t="str">
            <v>(blanco)</v>
          </cell>
          <cell r="AI270" t="str">
            <v>(blanco)</v>
          </cell>
          <cell r="AJ270" t="str">
            <v>(blanco)</v>
          </cell>
          <cell r="AL270" t="str">
            <v>(blanco)</v>
          </cell>
          <cell r="AM270" t="str">
            <v>(blanco)</v>
          </cell>
          <cell r="AN270" t="str">
            <v>(blanco)</v>
          </cell>
          <cell r="AR270">
            <v>1</v>
          </cell>
          <cell r="AS270">
            <v>1</v>
          </cell>
          <cell r="AT270">
            <v>0</v>
          </cell>
          <cell r="AX270">
            <v>227.18</v>
          </cell>
          <cell r="AY270" t="str">
            <v>01.02.2015</v>
          </cell>
          <cell r="AZ270">
            <v>0</v>
          </cell>
          <cell r="BA270" t="str">
            <v>00.00.0000</v>
          </cell>
          <cell r="BB270" t="str">
            <v>ST</v>
          </cell>
          <cell r="BC270" t="str">
            <v>******</v>
          </cell>
          <cell r="BD270">
            <v>3</v>
          </cell>
          <cell r="BE270">
            <v>5413218565776</v>
          </cell>
        </row>
        <row r="271">
          <cell r="A271" t="str">
            <v>G124341</v>
          </cell>
          <cell r="B271" t="str">
            <v>G124341</v>
          </cell>
          <cell r="C271" t="str">
            <v>D1DBD15D006D002</v>
          </cell>
          <cell r="D271" t="str">
            <v>ProLock Steel standaard ST</v>
          </cell>
          <cell r="E271" t="str">
            <v>D1DB</v>
          </cell>
          <cell r="F271" t="str">
            <v>Toebehoren Platen *</v>
          </cell>
          <cell r="G271" t="str">
            <v>G124341</v>
          </cell>
          <cell r="H271" t="str">
            <v>bestaand</v>
          </cell>
          <cell r="I271" t="str">
            <v>01.01.2013</v>
          </cell>
          <cell r="J271" t="str">
            <v>Yes</v>
          </cell>
          <cell r="K271" t="str">
            <v>Professional</v>
          </cell>
          <cell r="L271" t="str">
            <v>PROLOCK</v>
          </cell>
          <cell r="M271" t="str">
            <v>PROLOCK STEEL PLAFOND RF60</v>
          </cell>
          <cell r="N271" t="str">
            <v>ProLockSteel Plafond Rf 60 600x600</v>
          </cell>
          <cell r="O271" t="str">
            <v>ProLockSteel Plafond Rf 60 600x600</v>
          </cell>
          <cell r="P271" t="str">
            <v>(blanco)</v>
          </cell>
          <cell r="Q271" t="str">
            <v>(blanco)</v>
          </cell>
          <cell r="R271" t="str">
            <v>(blanco)</v>
          </cell>
          <cell r="S271" t="str">
            <v>(blanco)</v>
          </cell>
          <cell r="T271" t="str">
            <v>--</v>
          </cell>
          <cell r="AA271" t="str">
            <v>(blanco)</v>
          </cell>
          <cell r="AC271" t="str">
            <v>(blanco)</v>
          </cell>
          <cell r="AD271" t="str">
            <v>(blanco)</v>
          </cell>
          <cell r="AE271">
            <v>0</v>
          </cell>
          <cell r="AH271" t="str">
            <v>(blanco)</v>
          </cell>
          <cell r="AI271" t="str">
            <v>(blanco)</v>
          </cell>
          <cell r="AJ271" t="str">
            <v>(blanco)</v>
          </cell>
          <cell r="AL271" t="str">
            <v>(blanco)</v>
          </cell>
          <cell r="AM271" t="str">
            <v>(blanco)</v>
          </cell>
          <cell r="AN271" t="str">
            <v>(blanco)</v>
          </cell>
          <cell r="AR271">
            <v>3</v>
          </cell>
          <cell r="AS271">
            <v>3.15</v>
          </cell>
          <cell r="AT271">
            <v>0</v>
          </cell>
          <cell r="AX271">
            <v>312.92</v>
          </cell>
          <cell r="AY271" t="str">
            <v>01.02.2015</v>
          </cell>
          <cell r="AZ271">
            <v>0</v>
          </cell>
          <cell r="BA271" t="str">
            <v>00.00.0000</v>
          </cell>
          <cell r="BB271" t="str">
            <v>ST</v>
          </cell>
          <cell r="BC271" t="str">
            <v>******</v>
          </cell>
          <cell r="BD271" t="str">
            <v>S</v>
          </cell>
          <cell r="BE271">
            <v>5413218567695</v>
          </cell>
        </row>
        <row r="272">
          <cell r="A272" t="str">
            <v>G124342</v>
          </cell>
          <cell r="B272" t="str">
            <v>G124342</v>
          </cell>
          <cell r="C272" t="str">
            <v>D1DBD15D002D002</v>
          </cell>
          <cell r="D272" t="str">
            <v>Prlock ALU STD 12,5 ST</v>
          </cell>
          <cell r="E272" t="str">
            <v>D1DB</v>
          </cell>
          <cell r="F272" t="str">
            <v>Toebehoren Platen *</v>
          </cell>
          <cell r="G272" t="str">
            <v>G124342</v>
          </cell>
          <cell r="H272" t="str">
            <v>bestaand</v>
          </cell>
          <cell r="I272" t="str">
            <v>01.01.2013</v>
          </cell>
          <cell r="J272" t="str">
            <v>Yes</v>
          </cell>
          <cell r="K272" t="str">
            <v>Professional</v>
          </cell>
          <cell r="L272" t="str">
            <v>PROLOCK</v>
          </cell>
          <cell r="M272" t="str">
            <v>PROLOCK ALU STANDAARD ENKEL</v>
          </cell>
          <cell r="N272" t="str">
            <v>ProLock Alu Std enkel/simple 300x300</v>
          </cell>
          <cell r="O272" t="str">
            <v>ProLock Alu Std enkel/simple 300x300</v>
          </cell>
          <cell r="P272" t="str">
            <v>(blanco)</v>
          </cell>
          <cell r="Q272" t="str">
            <v>(blanco)</v>
          </cell>
          <cell r="R272" t="str">
            <v>(blanco)</v>
          </cell>
          <cell r="S272" t="str">
            <v>(blanco)</v>
          </cell>
          <cell r="T272" t="str">
            <v>--</v>
          </cell>
          <cell r="AA272" t="str">
            <v>(blanco)</v>
          </cell>
          <cell r="AC272" t="str">
            <v>(blanco)</v>
          </cell>
          <cell r="AD272" t="str">
            <v>(blanco)</v>
          </cell>
          <cell r="AE272">
            <v>0</v>
          </cell>
          <cell r="AH272" t="str">
            <v>(blanco)</v>
          </cell>
          <cell r="AI272" t="str">
            <v>(blanco)</v>
          </cell>
          <cell r="AJ272" t="str">
            <v>(blanco)</v>
          </cell>
          <cell r="AL272" t="str">
            <v>(blanco)</v>
          </cell>
          <cell r="AM272" t="str">
            <v>(blanco)</v>
          </cell>
          <cell r="AN272" t="str">
            <v>(blanco)</v>
          </cell>
          <cell r="AR272">
            <v>3.6</v>
          </cell>
          <cell r="AS272">
            <v>3.65</v>
          </cell>
          <cell r="AT272">
            <v>0</v>
          </cell>
          <cell r="AX272">
            <v>55.72</v>
          </cell>
          <cell r="AY272" t="str">
            <v>01.02.2015</v>
          </cell>
          <cell r="AZ272">
            <v>0</v>
          </cell>
          <cell r="BA272" t="str">
            <v>00.00.0000</v>
          </cell>
          <cell r="BB272" t="str">
            <v>ST</v>
          </cell>
          <cell r="BC272" t="str">
            <v>******</v>
          </cell>
          <cell r="BD272" t="str">
            <v>S</v>
          </cell>
          <cell r="BE272">
            <v>5413218563666</v>
          </cell>
        </row>
        <row r="273">
          <cell r="A273" t="str">
            <v>G124343</v>
          </cell>
          <cell r="B273" t="str">
            <v>G124343</v>
          </cell>
          <cell r="C273" t="str">
            <v>D1DBD15D002D002</v>
          </cell>
          <cell r="D273" t="str">
            <v>Prlock ALU STD 12,5 ST</v>
          </cell>
          <cell r="E273" t="str">
            <v>D1DB</v>
          </cell>
          <cell r="F273" t="str">
            <v>Toebehoren Platen *</v>
          </cell>
          <cell r="G273" t="str">
            <v>G124343</v>
          </cell>
          <cell r="H273" t="str">
            <v>bestaand</v>
          </cell>
          <cell r="I273" t="str">
            <v>01.01.2013</v>
          </cell>
          <cell r="J273" t="str">
            <v>Yes</v>
          </cell>
          <cell r="K273" t="str">
            <v>Professional</v>
          </cell>
          <cell r="L273" t="str">
            <v>PROLOCK</v>
          </cell>
          <cell r="M273" t="str">
            <v>PROLOCK ALU STANDAARD ENKEL</v>
          </cell>
          <cell r="N273" t="str">
            <v>ProLock Alu Std enkel/simple 400x400</v>
          </cell>
          <cell r="O273" t="str">
            <v>ProLock Alu Std enkel/simple 400x400</v>
          </cell>
          <cell r="P273" t="str">
            <v>(blanco)</v>
          </cell>
          <cell r="Q273" t="str">
            <v>(blanco)</v>
          </cell>
          <cell r="R273" t="str">
            <v>(blanco)</v>
          </cell>
          <cell r="S273" t="str">
            <v>(blanco)</v>
          </cell>
          <cell r="T273" t="str">
            <v>--</v>
          </cell>
          <cell r="AA273" t="str">
            <v>(blanco)</v>
          </cell>
          <cell r="AC273" t="str">
            <v>(blanco)</v>
          </cell>
          <cell r="AD273" t="str">
            <v>(blanco)</v>
          </cell>
          <cell r="AE273">
            <v>0</v>
          </cell>
          <cell r="AH273" t="str">
            <v>(blanco)</v>
          </cell>
          <cell r="AI273" t="str">
            <v>(blanco)</v>
          </cell>
          <cell r="AJ273" t="str">
            <v>(blanco)</v>
          </cell>
          <cell r="AL273" t="str">
            <v>(blanco)</v>
          </cell>
          <cell r="AM273" t="str">
            <v>(blanco)</v>
          </cell>
          <cell r="AN273" t="str">
            <v>(blanco)</v>
          </cell>
          <cell r="AR273">
            <v>3.6</v>
          </cell>
          <cell r="AS273">
            <v>3.65</v>
          </cell>
          <cell r="AT273">
            <v>0</v>
          </cell>
          <cell r="AX273">
            <v>61.08</v>
          </cell>
          <cell r="AY273" t="str">
            <v>01.02.2015</v>
          </cell>
          <cell r="AZ273">
            <v>0</v>
          </cell>
          <cell r="BA273" t="str">
            <v>00.00.0000</v>
          </cell>
          <cell r="BB273" t="str">
            <v>ST</v>
          </cell>
          <cell r="BC273" t="str">
            <v>******</v>
          </cell>
          <cell r="BD273" t="str">
            <v>S</v>
          </cell>
          <cell r="BE273">
            <v>5413218563673</v>
          </cell>
        </row>
        <row r="274">
          <cell r="A274" t="str">
            <v>G124344</v>
          </cell>
          <cell r="B274" t="str">
            <v>G124344</v>
          </cell>
          <cell r="C274" t="str">
            <v>D1DBD15D002D002</v>
          </cell>
          <cell r="D274" t="str">
            <v>Prlock ALU STD 12,5 ST</v>
          </cell>
          <cell r="E274" t="str">
            <v>D1DB</v>
          </cell>
          <cell r="F274" t="str">
            <v>Toebehoren Platen *</v>
          </cell>
          <cell r="G274" t="str">
            <v>G124344</v>
          </cell>
          <cell r="H274" t="str">
            <v>bestaand</v>
          </cell>
          <cell r="I274" t="str">
            <v>01.01.2013</v>
          </cell>
          <cell r="J274" t="str">
            <v>Yes</v>
          </cell>
          <cell r="K274" t="str">
            <v>Professional</v>
          </cell>
          <cell r="L274" t="str">
            <v>PROLOCK</v>
          </cell>
          <cell r="M274" t="str">
            <v>PROLOCK ALU STANDAARD ENKEL</v>
          </cell>
          <cell r="N274" t="str">
            <v>ProLock Alu Std enkel/simple 500x500</v>
          </cell>
          <cell r="O274" t="str">
            <v>ProLock Alu Std enkel/simple 500x500</v>
          </cell>
          <cell r="P274" t="str">
            <v>(blanco)</v>
          </cell>
          <cell r="Q274" t="str">
            <v>(blanco)</v>
          </cell>
          <cell r="R274" t="str">
            <v>(blanco)</v>
          </cell>
          <cell r="S274" t="str">
            <v>(blanco)</v>
          </cell>
          <cell r="T274" t="str">
            <v>--</v>
          </cell>
          <cell r="AA274" t="str">
            <v>(blanco)</v>
          </cell>
          <cell r="AC274" t="str">
            <v>(blanco)</v>
          </cell>
          <cell r="AD274" t="str">
            <v>(blanco)</v>
          </cell>
          <cell r="AE274">
            <v>0</v>
          </cell>
          <cell r="AH274" t="str">
            <v>(blanco)</v>
          </cell>
          <cell r="AI274" t="str">
            <v>(blanco)</v>
          </cell>
          <cell r="AJ274" t="str">
            <v>(blanco)</v>
          </cell>
          <cell r="AL274" t="str">
            <v>(blanco)</v>
          </cell>
          <cell r="AM274" t="str">
            <v>(blanco)</v>
          </cell>
          <cell r="AN274" t="str">
            <v>(blanco)</v>
          </cell>
          <cell r="AR274">
            <v>3.6</v>
          </cell>
          <cell r="AS274">
            <v>3.65</v>
          </cell>
          <cell r="AT274">
            <v>0</v>
          </cell>
          <cell r="AX274">
            <v>67.510000000000005</v>
          </cell>
          <cell r="AY274" t="str">
            <v>01.02.2015</v>
          </cell>
          <cell r="AZ274">
            <v>0</v>
          </cell>
          <cell r="BA274" t="str">
            <v>00.00.0000</v>
          </cell>
          <cell r="BB274" t="str">
            <v>ST</v>
          </cell>
          <cell r="BC274" t="str">
            <v>******</v>
          </cell>
          <cell r="BD274" t="str">
            <v>S</v>
          </cell>
          <cell r="BE274">
            <v>5413218563680</v>
          </cell>
        </row>
        <row r="275">
          <cell r="A275" t="str">
            <v>G124345</v>
          </cell>
          <cell r="B275" t="str">
            <v>G124345</v>
          </cell>
          <cell r="C275" t="str">
            <v>D1DBD15D002D002</v>
          </cell>
          <cell r="D275" t="str">
            <v>Prlock ALU STD 12,5 ST</v>
          </cell>
          <cell r="E275" t="str">
            <v>D1DB</v>
          </cell>
          <cell r="F275" t="str">
            <v>Toebehoren Platen *</v>
          </cell>
          <cell r="G275" t="str">
            <v>G124345</v>
          </cell>
          <cell r="H275" t="str">
            <v>bestaand</v>
          </cell>
          <cell r="I275" t="str">
            <v>01.01.2013</v>
          </cell>
          <cell r="J275" t="str">
            <v>Yes</v>
          </cell>
          <cell r="K275" t="str">
            <v>Professional</v>
          </cell>
          <cell r="L275" t="str">
            <v>PROLOCK</v>
          </cell>
          <cell r="M275" t="str">
            <v>PROLOCK ALU STANDAARD ENKEL</v>
          </cell>
          <cell r="N275" t="str">
            <v>ProLock Alu Std enkel/simple 600x600</v>
          </cell>
          <cell r="O275" t="str">
            <v>ProLock Alu Std enkel/simple 600x600</v>
          </cell>
          <cell r="P275" t="str">
            <v>(blanco)</v>
          </cell>
          <cell r="Q275" t="str">
            <v>(blanco)</v>
          </cell>
          <cell r="R275" t="str">
            <v>(blanco)</v>
          </cell>
          <cell r="S275" t="str">
            <v>(blanco)</v>
          </cell>
          <cell r="T275" t="str">
            <v>--</v>
          </cell>
          <cell r="AA275" t="str">
            <v>(blanco)</v>
          </cell>
          <cell r="AC275" t="str">
            <v>(blanco)</v>
          </cell>
          <cell r="AD275" t="str">
            <v>(blanco)</v>
          </cell>
          <cell r="AE275">
            <v>0</v>
          </cell>
          <cell r="AH275" t="str">
            <v>(blanco)</v>
          </cell>
          <cell r="AI275" t="str">
            <v>(blanco)</v>
          </cell>
          <cell r="AJ275" t="str">
            <v>(blanco)</v>
          </cell>
          <cell r="AL275" t="str">
            <v>(blanco)</v>
          </cell>
          <cell r="AM275" t="str">
            <v>(blanco)</v>
          </cell>
          <cell r="AN275" t="str">
            <v>(blanco)</v>
          </cell>
          <cell r="AR275">
            <v>3.6</v>
          </cell>
          <cell r="AS275">
            <v>3.65</v>
          </cell>
          <cell r="AT275">
            <v>0</v>
          </cell>
          <cell r="AX275">
            <v>71.8</v>
          </cell>
          <cell r="AY275" t="str">
            <v>01.02.2015</v>
          </cell>
          <cell r="AZ275">
            <v>0</v>
          </cell>
          <cell r="BA275" t="str">
            <v>00.00.0000</v>
          </cell>
          <cell r="BB275" t="str">
            <v>ST</v>
          </cell>
          <cell r="BC275" t="str">
            <v>******</v>
          </cell>
          <cell r="BD275" t="str">
            <v>S</v>
          </cell>
          <cell r="BE275">
            <v>5413218563697</v>
          </cell>
        </row>
        <row r="276">
          <cell r="A276" t="str">
            <v>G124346</v>
          </cell>
          <cell r="B276" t="str">
            <v>G124346</v>
          </cell>
          <cell r="C276" t="str">
            <v>D1DBD15D006D002</v>
          </cell>
          <cell r="D276" t="str">
            <v>ProLock Steel standaard ST</v>
          </cell>
          <cell r="E276" t="str">
            <v>D1DB</v>
          </cell>
          <cell r="F276" t="str">
            <v>Toebehoren Platen *</v>
          </cell>
          <cell r="G276" t="str">
            <v>G124346</v>
          </cell>
          <cell r="H276" t="str">
            <v>bestaand</v>
          </cell>
          <cell r="I276" t="str">
            <v>01.01.2013</v>
          </cell>
          <cell r="J276" t="str">
            <v>Yes</v>
          </cell>
          <cell r="K276" t="str">
            <v>Professional</v>
          </cell>
          <cell r="L276" t="str">
            <v>PROLOCK</v>
          </cell>
          <cell r="M276" t="str">
            <v>PROLOCK STEEL PLAFOND SF30</v>
          </cell>
          <cell r="N276" t="str">
            <v>ProLockSteel Plafond Sf 30 400x400</v>
          </cell>
          <cell r="O276" t="str">
            <v>ProLockSteel Plafond Sf 30 400x400</v>
          </cell>
          <cell r="P276" t="str">
            <v>(blanco)</v>
          </cell>
          <cell r="Q276" t="str">
            <v>(blanco)</v>
          </cell>
          <cell r="R276" t="str">
            <v>(blanco)</v>
          </cell>
          <cell r="S276" t="str">
            <v>(blanco)</v>
          </cell>
          <cell r="T276" t="str">
            <v>--</v>
          </cell>
          <cell r="AA276" t="str">
            <v>(blanco)</v>
          </cell>
          <cell r="AC276" t="str">
            <v>(blanco)</v>
          </cell>
          <cell r="AD276" t="str">
            <v>(blanco)</v>
          </cell>
          <cell r="AE276">
            <v>0</v>
          </cell>
          <cell r="AH276" t="str">
            <v>(blanco)</v>
          </cell>
          <cell r="AI276" t="str">
            <v>(blanco)</v>
          </cell>
          <cell r="AJ276" t="str">
            <v>(blanco)</v>
          </cell>
          <cell r="AL276" t="str">
            <v>(blanco)</v>
          </cell>
          <cell r="AM276" t="str">
            <v>(blanco)</v>
          </cell>
          <cell r="AN276" t="str">
            <v>(blanco)</v>
          </cell>
          <cell r="AR276">
            <v>3.6</v>
          </cell>
          <cell r="AS276">
            <v>3.65</v>
          </cell>
          <cell r="AT276">
            <v>0</v>
          </cell>
          <cell r="AX276">
            <v>140.38</v>
          </cell>
          <cell r="AY276" t="str">
            <v>01.02.2015</v>
          </cell>
          <cell r="AZ276">
            <v>0</v>
          </cell>
          <cell r="BA276" t="str">
            <v>00.00.0000</v>
          </cell>
          <cell r="BB276" t="str">
            <v>ST</v>
          </cell>
          <cell r="BC276" t="str">
            <v>******</v>
          </cell>
          <cell r="BD276" t="str">
            <v>S</v>
          </cell>
          <cell r="BE276">
            <v>5413218567602</v>
          </cell>
        </row>
        <row r="277">
          <cell r="A277" t="str">
            <v>G124347</v>
          </cell>
          <cell r="B277" t="str">
            <v>G124347</v>
          </cell>
          <cell r="C277" t="str">
            <v>D1DBD15D006D002</v>
          </cell>
          <cell r="D277" t="str">
            <v>ProLock Steel standaard ST</v>
          </cell>
          <cell r="E277" t="str">
            <v>D1DB</v>
          </cell>
          <cell r="F277" t="str">
            <v>Toebehoren Platen *</v>
          </cell>
          <cell r="G277" t="str">
            <v>G124347</v>
          </cell>
          <cell r="H277" t="str">
            <v>bestaand</v>
          </cell>
          <cell r="I277" t="str">
            <v>01.01.2013</v>
          </cell>
          <cell r="J277" t="str">
            <v>Yes</v>
          </cell>
          <cell r="K277" t="str">
            <v>Professional</v>
          </cell>
          <cell r="L277" t="str">
            <v>PROLOCK</v>
          </cell>
          <cell r="M277" t="str">
            <v>PROLOCK STEEL PLAFOND SF30</v>
          </cell>
          <cell r="N277" t="str">
            <v>ProLockSteel Plafond Sf 30 600x600</v>
          </cell>
          <cell r="O277" t="str">
            <v>ProLockSteel Plafond Sf 30 600x600</v>
          </cell>
          <cell r="P277" t="str">
            <v>(blanco)</v>
          </cell>
          <cell r="Q277" t="str">
            <v>(blanco)</v>
          </cell>
          <cell r="R277" t="str">
            <v>(blanco)</v>
          </cell>
          <cell r="S277" t="str">
            <v>(blanco)</v>
          </cell>
          <cell r="T277" t="str">
            <v>--</v>
          </cell>
          <cell r="AA277" t="str">
            <v>(blanco)</v>
          </cell>
          <cell r="AC277" t="str">
            <v>(blanco)</v>
          </cell>
          <cell r="AD277" t="str">
            <v>(blanco)</v>
          </cell>
          <cell r="AE277">
            <v>0</v>
          </cell>
          <cell r="AH277" t="str">
            <v>(blanco)</v>
          </cell>
          <cell r="AI277" t="str">
            <v>(blanco)</v>
          </cell>
          <cell r="AJ277" t="str">
            <v>(blanco)</v>
          </cell>
          <cell r="AL277" t="str">
            <v>(blanco)</v>
          </cell>
          <cell r="AM277" t="str">
            <v>(blanco)</v>
          </cell>
          <cell r="AN277" t="str">
            <v>(blanco)</v>
          </cell>
          <cell r="AR277">
            <v>3.6</v>
          </cell>
          <cell r="AS277">
            <v>3.65</v>
          </cell>
          <cell r="AT277">
            <v>0</v>
          </cell>
          <cell r="AX277">
            <v>159.66999999999999</v>
          </cell>
          <cell r="AY277" t="str">
            <v>01.02.2015</v>
          </cell>
          <cell r="AZ277">
            <v>0</v>
          </cell>
          <cell r="BA277" t="str">
            <v>00.00.0000</v>
          </cell>
          <cell r="BB277" t="str">
            <v>ST</v>
          </cell>
          <cell r="BC277" t="str">
            <v>******</v>
          </cell>
          <cell r="BD277" t="str">
            <v>S</v>
          </cell>
          <cell r="BE277">
            <v>5413218565851</v>
          </cell>
        </row>
        <row r="278">
          <cell r="A278" t="str">
            <v>G124348</v>
          </cell>
          <cell r="B278" t="str">
            <v>G124348</v>
          </cell>
          <cell r="C278" t="str">
            <v>D1DBD15D006D002</v>
          </cell>
          <cell r="D278" t="str">
            <v>ProLock Steel standaard ST</v>
          </cell>
          <cell r="E278" t="str">
            <v>D1DB</v>
          </cell>
          <cell r="F278" t="str">
            <v>Toebehoren Platen *</v>
          </cell>
          <cell r="G278" t="str">
            <v>G124348</v>
          </cell>
          <cell r="H278" t="str">
            <v>bestaand</v>
          </cell>
          <cell r="I278" t="str">
            <v>01.01.2013</v>
          </cell>
          <cell r="J278" t="str">
            <v>Yes</v>
          </cell>
          <cell r="K278" t="str">
            <v>Professional</v>
          </cell>
          <cell r="L278" t="str">
            <v>PROLOCK</v>
          </cell>
          <cell r="M278" t="str">
            <v>PROLOCK STEEL PLAFOND RF30</v>
          </cell>
          <cell r="N278" t="str">
            <v>ProLockSteel Plafond Rf 30 400x400</v>
          </cell>
          <cell r="O278" t="str">
            <v>ProLockSteel Plafond Rf 30 400x400</v>
          </cell>
          <cell r="P278" t="str">
            <v>(blanco)</v>
          </cell>
          <cell r="Q278" t="str">
            <v>(blanco)</v>
          </cell>
          <cell r="R278" t="str">
            <v>(blanco)</v>
          </cell>
          <cell r="S278" t="str">
            <v>(blanco)</v>
          </cell>
          <cell r="T278" t="str">
            <v>--</v>
          </cell>
          <cell r="AA278" t="str">
            <v>(blanco)</v>
          </cell>
          <cell r="AC278" t="str">
            <v>(blanco)</v>
          </cell>
          <cell r="AD278" t="str">
            <v>(blanco)</v>
          </cell>
          <cell r="AE278">
            <v>0</v>
          </cell>
          <cell r="AH278" t="str">
            <v>(blanco)</v>
          </cell>
          <cell r="AI278" t="str">
            <v>(blanco)</v>
          </cell>
          <cell r="AJ278" t="str">
            <v>(blanco)</v>
          </cell>
          <cell r="AL278" t="str">
            <v>(blanco)</v>
          </cell>
          <cell r="AM278" t="str">
            <v>(blanco)</v>
          </cell>
          <cell r="AN278" t="str">
            <v>(blanco)</v>
          </cell>
          <cell r="AR278">
            <v>3.6</v>
          </cell>
          <cell r="AS278">
            <v>3.65</v>
          </cell>
          <cell r="AT278">
            <v>0</v>
          </cell>
          <cell r="AX278">
            <v>195.03</v>
          </cell>
          <cell r="AY278" t="str">
            <v>01.02.2015</v>
          </cell>
          <cell r="AZ278">
            <v>0</v>
          </cell>
          <cell r="BA278" t="str">
            <v>00.00.0000</v>
          </cell>
          <cell r="BB278" t="str">
            <v>ST</v>
          </cell>
          <cell r="BC278" t="str">
            <v>******</v>
          </cell>
          <cell r="BD278" t="str">
            <v>S</v>
          </cell>
          <cell r="BE278">
            <v>5413218567626</v>
          </cell>
        </row>
        <row r="279">
          <cell r="A279" t="str">
            <v>G124349</v>
          </cell>
          <cell r="B279" t="str">
            <v>G124349</v>
          </cell>
          <cell r="C279" t="str">
            <v>D1DBD15D006D002</v>
          </cell>
          <cell r="D279" t="str">
            <v>ProLock Steel standaard ST</v>
          </cell>
          <cell r="E279" t="str">
            <v>D1DB</v>
          </cell>
          <cell r="F279" t="str">
            <v>Toebehoren Platen *</v>
          </cell>
          <cell r="G279" t="str">
            <v>G124349</v>
          </cell>
          <cell r="H279" t="str">
            <v>bestaand</v>
          </cell>
          <cell r="I279" t="str">
            <v>01.01.2013</v>
          </cell>
          <cell r="J279" t="str">
            <v>Yes</v>
          </cell>
          <cell r="K279" t="str">
            <v>Professional</v>
          </cell>
          <cell r="L279" t="str">
            <v>PROLOCK</v>
          </cell>
          <cell r="M279" t="str">
            <v>PROLOCK STEEL PLAFOND RF30</v>
          </cell>
          <cell r="N279" t="str">
            <v>ProLockSteel Plafond Rf 30 600x600</v>
          </cell>
          <cell r="O279" t="str">
            <v>ProLockSteel Plafond Rf 30 600x600</v>
          </cell>
          <cell r="P279" t="str">
            <v>(blanco)</v>
          </cell>
          <cell r="Q279" t="str">
            <v>(blanco)</v>
          </cell>
          <cell r="R279" t="str">
            <v>(blanco)</v>
          </cell>
          <cell r="S279" t="str">
            <v>(blanco)</v>
          </cell>
          <cell r="T279" t="str">
            <v>--</v>
          </cell>
          <cell r="AA279" t="str">
            <v>(blanco)</v>
          </cell>
          <cell r="AC279" t="str">
            <v>(blanco)</v>
          </cell>
          <cell r="AD279" t="str">
            <v>(blanco)</v>
          </cell>
          <cell r="AE279">
            <v>0</v>
          </cell>
          <cell r="AH279" t="str">
            <v>(blanco)</v>
          </cell>
          <cell r="AI279" t="str">
            <v>(blanco)</v>
          </cell>
          <cell r="AJ279" t="str">
            <v>(blanco)</v>
          </cell>
          <cell r="AL279" t="str">
            <v>(blanco)</v>
          </cell>
          <cell r="AM279" t="str">
            <v>(blanco)</v>
          </cell>
          <cell r="AN279" t="str">
            <v>(blanco)</v>
          </cell>
          <cell r="AR279">
            <v>3.6</v>
          </cell>
          <cell r="AS279">
            <v>3.65</v>
          </cell>
          <cell r="AT279">
            <v>0</v>
          </cell>
          <cell r="AX279">
            <v>242.19</v>
          </cell>
          <cell r="AY279" t="str">
            <v>01.02.2015</v>
          </cell>
          <cell r="AZ279">
            <v>0</v>
          </cell>
          <cell r="BA279" t="str">
            <v>00.00.0000</v>
          </cell>
          <cell r="BB279" t="str">
            <v>ST</v>
          </cell>
          <cell r="BC279" t="str">
            <v>******</v>
          </cell>
          <cell r="BD279" t="str">
            <v>S</v>
          </cell>
          <cell r="BE279">
            <v>5413218567640</v>
          </cell>
        </row>
        <row r="280">
          <cell r="A280" t="str">
            <v>G124350</v>
          </cell>
          <cell r="B280" t="str">
            <v>G124350</v>
          </cell>
          <cell r="C280" t="str">
            <v>D1DBD15D006D002</v>
          </cell>
          <cell r="D280" t="str">
            <v>ProLock Steel standaard ST</v>
          </cell>
          <cell r="E280" t="str">
            <v>D1DB</v>
          </cell>
          <cell r="F280" t="str">
            <v>Toebehoren Platen *</v>
          </cell>
          <cell r="G280" t="str">
            <v>G124350</v>
          </cell>
          <cell r="H280" t="str">
            <v>bestaand</v>
          </cell>
          <cell r="I280" t="str">
            <v>01.01.2013</v>
          </cell>
          <cell r="J280" t="str">
            <v>Yes</v>
          </cell>
          <cell r="K280" t="str">
            <v>Professional</v>
          </cell>
          <cell r="L280" t="str">
            <v>PROLOCK</v>
          </cell>
          <cell r="M280" t="str">
            <v>PROLOCK STEEL PLAFOND RF60</v>
          </cell>
          <cell r="N280" t="str">
            <v>ProLockSteel Plafond Rf 60 400x400</v>
          </cell>
          <cell r="O280" t="str">
            <v>ProLockSteel Plafond Rf 60 400x400</v>
          </cell>
          <cell r="P280" t="str">
            <v>(blanco)</v>
          </cell>
          <cell r="Q280" t="str">
            <v>(blanco)</v>
          </cell>
          <cell r="R280" t="str">
            <v>(blanco)</v>
          </cell>
          <cell r="S280" t="str">
            <v>(blanco)</v>
          </cell>
          <cell r="T280" t="str">
            <v>--</v>
          </cell>
          <cell r="AA280" t="str">
            <v>(blanco)</v>
          </cell>
          <cell r="AC280" t="str">
            <v>(blanco)</v>
          </cell>
          <cell r="AD280" t="str">
            <v>(blanco)</v>
          </cell>
          <cell r="AE280">
            <v>0</v>
          </cell>
          <cell r="AH280" t="str">
            <v>(blanco)</v>
          </cell>
          <cell r="AI280" t="str">
            <v>(blanco)</v>
          </cell>
          <cell r="AJ280" t="str">
            <v>(blanco)</v>
          </cell>
          <cell r="AL280" t="str">
            <v>(blanco)</v>
          </cell>
          <cell r="AM280" t="str">
            <v>(blanco)</v>
          </cell>
          <cell r="AN280" t="str">
            <v>(blanco)</v>
          </cell>
          <cell r="AR280">
            <v>3.6</v>
          </cell>
          <cell r="AS280">
            <v>3.65</v>
          </cell>
          <cell r="AT280">
            <v>0</v>
          </cell>
          <cell r="AX280">
            <v>245.4</v>
          </cell>
          <cell r="AY280" t="str">
            <v>01.02.2015</v>
          </cell>
          <cell r="AZ280">
            <v>0</v>
          </cell>
          <cell r="BA280" t="str">
            <v>00.00.0000</v>
          </cell>
          <cell r="BB280" t="str">
            <v>ST</v>
          </cell>
          <cell r="BC280" t="str">
            <v>******</v>
          </cell>
          <cell r="BD280" t="str">
            <v>S</v>
          </cell>
          <cell r="BE280">
            <v>5413218567671</v>
          </cell>
        </row>
        <row r="281">
          <cell r="A281" t="str">
            <v>G124351</v>
          </cell>
          <cell r="B281" t="str">
            <v>G124351</v>
          </cell>
          <cell r="C281" t="str">
            <v>D1DBD15D006D002</v>
          </cell>
          <cell r="D281" t="str">
            <v>ProLock Steel standaard ST</v>
          </cell>
          <cell r="E281" t="str">
            <v>D1DB</v>
          </cell>
          <cell r="F281" t="str">
            <v>Toebehoren Platen *</v>
          </cell>
          <cell r="G281" t="str">
            <v>G124351</v>
          </cell>
          <cell r="H281" t="str">
            <v>bestaand</v>
          </cell>
          <cell r="I281" t="str">
            <v>01.01.2013</v>
          </cell>
          <cell r="J281" t="str">
            <v>Yes</v>
          </cell>
          <cell r="K281" t="str">
            <v>Professional</v>
          </cell>
          <cell r="L281" t="str">
            <v>PROLOCK</v>
          </cell>
          <cell r="M281" t="str">
            <v>PROLOCK STEEL RF 30 WAND</v>
          </cell>
          <cell r="N281" t="str">
            <v>ProLockSteel Wand/Cloison Rf30 400x400</v>
          </cell>
          <cell r="O281" t="str">
            <v>ProLockSteel Wand/Cloison Rf30 400x400</v>
          </cell>
          <cell r="P281" t="str">
            <v>(blanco)</v>
          </cell>
          <cell r="Q281" t="str">
            <v>(blanco)</v>
          </cell>
          <cell r="R281" t="str">
            <v>(blanco)</v>
          </cell>
          <cell r="S281" t="str">
            <v>(blanco)</v>
          </cell>
          <cell r="T281" t="str">
            <v>--</v>
          </cell>
          <cell r="AA281" t="str">
            <v>(blanco)</v>
          </cell>
          <cell r="AC281" t="str">
            <v>(blanco)</v>
          </cell>
          <cell r="AD281" t="str">
            <v>(blanco)</v>
          </cell>
          <cell r="AE281">
            <v>0</v>
          </cell>
          <cell r="AH281" t="str">
            <v>(blanco)</v>
          </cell>
          <cell r="AI281" t="str">
            <v>(blanco)</v>
          </cell>
          <cell r="AJ281" t="str">
            <v>(blanco)</v>
          </cell>
          <cell r="AL281" t="str">
            <v>(blanco)</v>
          </cell>
          <cell r="AM281" t="str">
            <v>(blanco)</v>
          </cell>
          <cell r="AN281" t="str">
            <v>(blanco)</v>
          </cell>
          <cell r="AR281">
            <v>3.6</v>
          </cell>
          <cell r="AS281">
            <v>3.65</v>
          </cell>
          <cell r="AT281">
            <v>0</v>
          </cell>
          <cell r="AX281">
            <v>127.52</v>
          </cell>
          <cell r="AY281" t="str">
            <v>01.02.2015</v>
          </cell>
          <cell r="AZ281">
            <v>0</v>
          </cell>
          <cell r="BA281" t="str">
            <v>00.00.0000</v>
          </cell>
          <cell r="BB281" t="str">
            <v>ST</v>
          </cell>
          <cell r="BC281" t="str">
            <v>******</v>
          </cell>
          <cell r="BD281" t="str">
            <v>S</v>
          </cell>
          <cell r="BE281">
            <v>5413218567350</v>
          </cell>
        </row>
        <row r="282">
          <cell r="A282" t="str">
            <v>G124352</v>
          </cell>
          <cell r="B282" t="str">
            <v>G124352</v>
          </cell>
          <cell r="C282" t="str">
            <v>D1DBD15D006D002</v>
          </cell>
          <cell r="D282" t="str">
            <v>ProLock Steel standaard ST</v>
          </cell>
          <cell r="E282" t="str">
            <v>D1DB</v>
          </cell>
          <cell r="F282" t="str">
            <v>Toebehoren Platen *</v>
          </cell>
          <cell r="G282" t="str">
            <v>G124352</v>
          </cell>
          <cell r="H282" t="str">
            <v>bestaand</v>
          </cell>
          <cell r="I282" t="str">
            <v>01.01.2013</v>
          </cell>
          <cell r="J282" t="str">
            <v>Yes</v>
          </cell>
          <cell r="K282" t="str">
            <v>Professional</v>
          </cell>
          <cell r="L282" t="str">
            <v>PROLOCK</v>
          </cell>
          <cell r="M282" t="str">
            <v>PROLOCK STEEL RF 30 WAND</v>
          </cell>
          <cell r="N282" t="str">
            <v>ProLockSteel Wand/Cloison Rf30 600x600</v>
          </cell>
          <cell r="O282" t="str">
            <v>ProLockSteel Wand/Cloison Rf30 600x600</v>
          </cell>
          <cell r="P282" t="str">
            <v>(blanco)</v>
          </cell>
          <cell r="Q282" t="str">
            <v>(blanco)</v>
          </cell>
          <cell r="R282" t="str">
            <v>(blanco)</v>
          </cell>
          <cell r="S282" t="str">
            <v>(blanco)</v>
          </cell>
          <cell r="T282" t="str">
            <v>--</v>
          </cell>
          <cell r="AA282" t="str">
            <v>(blanco)</v>
          </cell>
          <cell r="AC282" t="str">
            <v>(blanco)</v>
          </cell>
          <cell r="AD282" t="str">
            <v>(blanco)</v>
          </cell>
          <cell r="AE282">
            <v>0</v>
          </cell>
          <cell r="AH282" t="str">
            <v>(blanco)</v>
          </cell>
          <cell r="AI282" t="str">
            <v>(blanco)</v>
          </cell>
          <cell r="AJ282" t="str">
            <v>(blanco)</v>
          </cell>
          <cell r="AL282" t="str">
            <v>(blanco)</v>
          </cell>
          <cell r="AM282" t="str">
            <v>(blanco)</v>
          </cell>
          <cell r="AN282" t="str">
            <v>(blanco)</v>
          </cell>
          <cell r="AR282">
            <v>3.6</v>
          </cell>
          <cell r="AS282">
            <v>3.65</v>
          </cell>
          <cell r="AT282">
            <v>0</v>
          </cell>
          <cell r="AX282">
            <v>145.74</v>
          </cell>
          <cell r="AY282" t="str">
            <v>01.02.2015</v>
          </cell>
          <cell r="AZ282">
            <v>0</v>
          </cell>
          <cell r="BA282" t="str">
            <v>00.00.0000</v>
          </cell>
          <cell r="BB282" t="str">
            <v>ST</v>
          </cell>
          <cell r="BC282" t="str">
            <v>******</v>
          </cell>
          <cell r="BD282" t="str">
            <v>S</v>
          </cell>
          <cell r="BE282">
            <v>5413218567374</v>
          </cell>
        </row>
        <row r="283">
          <cell r="A283" t="str">
            <v>G124353</v>
          </cell>
          <cell r="B283" t="str">
            <v>G124353</v>
          </cell>
          <cell r="C283" t="str">
            <v>D1DBD15D006D002</v>
          </cell>
          <cell r="D283" t="str">
            <v>ProLock Steel standaard ST</v>
          </cell>
          <cell r="E283" t="str">
            <v>D1DB</v>
          </cell>
          <cell r="F283" t="str">
            <v>Toebehoren Platen *</v>
          </cell>
          <cell r="G283" t="str">
            <v>G124353</v>
          </cell>
          <cell r="H283" t="str">
            <v>bestaand</v>
          </cell>
          <cell r="I283" t="str">
            <v>01.01.2013</v>
          </cell>
          <cell r="J283" t="str">
            <v>Yes</v>
          </cell>
          <cell r="K283" t="str">
            <v>Professional</v>
          </cell>
          <cell r="L283" t="str">
            <v>PROLOCK</v>
          </cell>
          <cell r="M283" t="str">
            <v>PROLOCK STEEL RF 60 WAND</v>
          </cell>
          <cell r="N283" t="str">
            <v>ProLockSteel Wand/Cloison Rf60 400x400</v>
          </cell>
          <cell r="O283" t="str">
            <v>ProLockSteel Wand/Cloison Rf60 400x400</v>
          </cell>
          <cell r="P283" t="str">
            <v>(blanco)</v>
          </cell>
          <cell r="Q283" t="str">
            <v>(blanco)</v>
          </cell>
          <cell r="R283" t="str">
            <v>(blanco)</v>
          </cell>
          <cell r="S283" t="str">
            <v>(blanco)</v>
          </cell>
          <cell r="T283" t="str">
            <v>--</v>
          </cell>
          <cell r="AA283" t="str">
            <v>(blanco)</v>
          </cell>
          <cell r="AC283" t="str">
            <v>(blanco)</v>
          </cell>
          <cell r="AD283" t="str">
            <v>(blanco)</v>
          </cell>
          <cell r="AE283">
            <v>0</v>
          </cell>
          <cell r="AH283" t="str">
            <v>(blanco)</v>
          </cell>
          <cell r="AI283" t="str">
            <v>(blanco)</v>
          </cell>
          <cell r="AJ283" t="str">
            <v>(blanco)</v>
          </cell>
          <cell r="AL283" t="str">
            <v>(blanco)</v>
          </cell>
          <cell r="AM283" t="str">
            <v>(blanco)</v>
          </cell>
          <cell r="AN283" t="str">
            <v>(blanco)</v>
          </cell>
          <cell r="AR283">
            <v>3.6</v>
          </cell>
          <cell r="AS283">
            <v>3.65</v>
          </cell>
          <cell r="AT283">
            <v>0</v>
          </cell>
          <cell r="AX283">
            <v>155.38999999999999</v>
          </cell>
          <cell r="AY283" t="str">
            <v>01.02.2015</v>
          </cell>
          <cell r="AZ283">
            <v>0</v>
          </cell>
          <cell r="BA283" t="str">
            <v>00.00.0000</v>
          </cell>
          <cell r="BB283" t="str">
            <v>ST</v>
          </cell>
          <cell r="BC283" t="str">
            <v>******</v>
          </cell>
          <cell r="BD283" t="str">
            <v>S</v>
          </cell>
          <cell r="BE283">
            <v>5413218567411</v>
          </cell>
        </row>
        <row r="284">
          <cell r="A284" t="str">
            <v>G124354</v>
          </cell>
          <cell r="B284" t="str">
            <v>G124354</v>
          </cell>
          <cell r="C284" t="str">
            <v>D1DBD15D006D002</v>
          </cell>
          <cell r="D284" t="str">
            <v>ProLock Steel standaard ST</v>
          </cell>
          <cell r="E284" t="str">
            <v>D1DB</v>
          </cell>
          <cell r="F284" t="str">
            <v>Toebehoren Platen *</v>
          </cell>
          <cell r="G284" t="str">
            <v>G124354</v>
          </cell>
          <cell r="H284" t="str">
            <v>bestaand</v>
          </cell>
          <cell r="I284" t="str">
            <v>01.01.2013</v>
          </cell>
          <cell r="J284" t="str">
            <v>Yes</v>
          </cell>
          <cell r="K284" t="str">
            <v>Professional</v>
          </cell>
          <cell r="L284" t="str">
            <v>PROLOCK</v>
          </cell>
          <cell r="M284" t="str">
            <v>PROLOCK STEEL RF 60 WAND</v>
          </cell>
          <cell r="N284" t="str">
            <v>ProLockSteel Wand/Cloison Rf60 600x600</v>
          </cell>
          <cell r="O284" t="str">
            <v>ProLockSteel Wand/Cloison Rf60 600x600</v>
          </cell>
          <cell r="P284" t="str">
            <v>(blanco)</v>
          </cell>
          <cell r="Q284" t="str">
            <v>(blanco)</v>
          </cell>
          <cell r="R284" t="str">
            <v>(blanco)</v>
          </cell>
          <cell r="S284" t="str">
            <v>(blanco)</v>
          </cell>
          <cell r="T284" t="str">
            <v>--</v>
          </cell>
          <cell r="AA284" t="str">
            <v>(blanco)</v>
          </cell>
          <cell r="AC284" t="str">
            <v>(blanco)</v>
          </cell>
          <cell r="AD284" t="str">
            <v>(blanco)</v>
          </cell>
          <cell r="AE284">
            <v>0</v>
          </cell>
          <cell r="AH284" t="str">
            <v>(blanco)</v>
          </cell>
          <cell r="AI284" t="str">
            <v>(blanco)</v>
          </cell>
          <cell r="AJ284" t="str">
            <v>(blanco)</v>
          </cell>
          <cell r="AL284" t="str">
            <v>(blanco)</v>
          </cell>
          <cell r="AM284" t="str">
            <v>(blanco)</v>
          </cell>
          <cell r="AN284" t="str">
            <v>(blanco)</v>
          </cell>
          <cell r="AR284">
            <v>3.6</v>
          </cell>
          <cell r="AS284">
            <v>3.65</v>
          </cell>
          <cell r="AT284">
            <v>0</v>
          </cell>
          <cell r="AX284">
            <v>186.46</v>
          </cell>
          <cell r="AY284" t="str">
            <v>01.02.2015</v>
          </cell>
          <cell r="AZ284">
            <v>0</v>
          </cell>
          <cell r="BA284" t="str">
            <v>00.00.0000</v>
          </cell>
          <cell r="BB284" t="str">
            <v>ST</v>
          </cell>
          <cell r="BC284" t="str">
            <v>******</v>
          </cell>
          <cell r="BD284" t="str">
            <v>S</v>
          </cell>
          <cell r="BE284">
            <v>5413218567435</v>
          </cell>
        </row>
        <row r="285">
          <cell r="A285" t="str">
            <v>G124445</v>
          </cell>
          <cell r="B285" t="str">
            <v>G124445</v>
          </cell>
          <cell r="C285" t="str">
            <v>F5FAF01F002F002</v>
          </cell>
          <cell r="D285" t="str">
            <v>DIY - Gyproc gereedschappen ST</v>
          </cell>
          <cell r="E285" t="str">
            <v>F5FA</v>
          </cell>
          <cell r="F285" t="str">
            <v>Gereedschap bevestigingen *</v>
          </cell>
          <cell r="G285" t="str">
            <v>G124445</v>
          </cell>
          <cell r="H285" t="str">
            <v>bestaand</v>
          </cell>
          <cell r="I285" t="str">
            <v>01.01.2013</v>
          </cell>
          <cell r="J285" t="str">
            <v>Yes</v>
          </cell>
          <cell r="K285" t="str">
            <v>Doe-Het-Zelver</v>
          </cell>
          <cell r="L285" t="str">
            <v>Gyproc</v>
          </cell>
          <cell r="M285" t="str">
            <v>HANDSCHUURDER GYPROC</v>
          </cell>
          <cell r="N285" t="str">
            <v>DIY - GYPROC Handschuurder</v>
          </cell>
          <cell r="O285" t="str">
            <v>Ponceur à main Gyproc (5/pcs)</v>
          </cell>
          <cell r="P285" t="str">
            <v>(blanco)</v>
          </cell>
          <cell r="Q285" t="str">
            <v>(blanco)</v>
          </cell>
          <cell r="R285" t="str">
            <v>(blanco)</v>
          </cell>
          <cell r="S285" t="str">
            <v>(blanco)</v>
          </cell>
          <cell r="T285" t="str">
            <v>--</v>
          </cell>
          <cell r="AA285" t="str">
            <v>(blanco)</v>
          </cell>
          <cell r="AC285" t="str">
            <v>(blanco)</v>
          </cell>
          <cell r="AD285" t="str">
            <v>(blanco)</v>
          </cell>
          <cell r="AH285" t="str">
            <v>(blanco)</v>
          </cell>
          <cell r="AI285" t="str">
            <v>(blanco)</v>
          </cell>
          <cell r="AJ285" t="str">
            <v>(blanco)</v>
          </cell>
          <cell r="AL285" t="str">
            <v>(blanco)</v>
          </cell>
          <cell r="AM285" t="str">
            <v>(blanco)</v>
          </cell>
          <cell r="AN285" t="str">
            <v>(blanco)</v>
          </cell>
          <cell r="AR285">
            <v>0.2</v>
          </cell>
          <cell r="AS285">
            <v>0.2</v>
          </cell>
          <cell r="AT285">
            <v>0</v>
          </cell>
          <cell r="AX285">
            <v>5.0999999999999996</v>
          </cell>
          <cell r="AY285" t="str">
            <v>01.02.2015</v>
          </cell>
          <cell r="AZ285">
            <v>0</v>
          </cell>
          <cell r="BA285" t="str">
            <v>00.00.0000</v>
          </cell>
          <cell r="BB285" t="str">
            <v>ST</v>
          </cell>
          <cell r="BC285" t="str">
            <v>******</v>
          </cell>
          <cell r="BD285" t="str">
            <v>S</v>
          </cell>
          <cell r="BE285">
            <v>5413218563291</v>
          </cell>
        </row>
        <row r="286">
          <cell r="A286" t="str">
            <v>G124504</v>
          </cell>
          <cell r="B286" t="str">
            <v>G124504</v>
          </cell>
          <cell r="C286" t="str">
            <v>D1DCD01D005D032</v>
          </cell>
          <cell r="D286" t="str">
            <v>DIY - Schroeven KAR</v>
          </cell>
          <cell r="E286" t="str">
            <v>D1DC</v>
          </cell>
          <cell r="F286" t="str">
            <v>Toebehoren Bevestigingen *</v>
          </cell>
          <cell r="G286" t="str">
            <v>G124504</v>
          </cell>
          <cell r="H286" t="str">
            <v>bestaand</v>
          </cell>
          <cell r="I286" t="str">
            <v>01.01.2013</v>
          </cell>
          <cell r="J286" t="str">
            <v>Yes</v>
          </cell>
          <cell r="K286" t="str">
            <v>Professional</v>
          </cell>
          <cell r="L286" t="str">
            <v>Gyproc</v>
          </cell>
          <cell r="M286" t="str">
            <v>SNELBOUWSCHROEVEN DG/..</v>
          </cell>
          <cell r="N286" t="str">
            <v>SNELBOUWSCHROEVEN DG 25 MM/1000 ST</v>
          </cell>
          <cell r="O286" t="str">
            <v>Vis à fixation rapide DG 25MM/1000pcs</v>
          </cell>
          <cell r="P286" t="str">
            <v>(blanco)</v>
          </cell>
          <cell r="Q286" t="str">
            <v>(blanco)</v>
          </cell>
          <cell r="R286" t="str">
            <v>(blanco)</v>
          </cell>
          <cell r="S286" t="str">
            <v>(blanco)</v>
          </cell>
          <cell r="T286" t="str">
            <v>NBN EN 14566+A1:2009</v>
          </cell>
          <cell r="U286" t="str">
            <v>USN</v>
          </cell>
          <cell r="V286" t="str">
            <v>--</v>
          </cell>
          <cell r="AA286" t="str">
            <v>A1</v>
          </cell>
          <cell r="AC286" t="str">
            <v>(blanco)</v>
          </cell>
          <cell r="AD286" t="str">
            <v>(blanco)</v>
          </cell>
          <cell r="AL286" t="str">
            <v>(blanco)</v>
          </cell>
          <cell r="AM286" t="str">
            <v>(blanco)</v>
          </cell>
          <cell r="AN286" t="str">
            <v>(blanco)</v>
          </cell>
          <cell r="AP286">
            <v>50</v>
          </cell>
          <cell r="AR286">
            <v>1.5</v>
          </cell>
          <cell r="AS286">
            <v>1.51</v>
          </cell>
          <cell r="AT286">
            <v>0</v>
          </cell>
          <cell r="AX286">
            <v>19.53</v>
          </cell>
          <cell r="AY286" t="str">
            <v>01.02.2015</v>
          </cell>
          <cell r="AZ286">
            <v>0</v>
          </cell>
          <cell r="BA286" t="str">
            <v>00.00.0000</v>
          </cell>
          <cell r="BB286" t="str">
            <v>KAR</v>
          </cell>
          <cell r="BC286" t="str">
            <v>******</v>
          </cell>
          <cell r="BD286" t="str">
            <v>S</v>
          </cell>
          <cell r="BE286">
            <v>5413218567732</v>
          </cell>
        </row>
        <row r="287">
          <cell r="A287" t="str">
            <v>G124505</v>
          </cell>
          <cell r="B287" t="str">
            <v>G124505</v>
          </cell>
          <cell r="C287" t="str">
            <v>D1DCD01D005D032</v>
          </cell>
          <cell r="D287" t="str">
            <v>DIY - Schroeven KAR</v>
          </cell>
          <cell r="E287" t="str">
            <v>D1DC</v>
          </cell>
          <cell r="F287" t="str">
            <v>Toebehoren Bevestigingen *</v>
          </cell>
          <cell r="G287" t="str">
            <v>G124505</v>
          </cell>
          <cell r="H287" t="str">
            <v>bestaand</v>
          </cell>
          <cell r="I287" t="str">
            <v>01.01.2013</v>
          </cell>
          <cell r="J287" t="str">
            <v>Yes</v>
          </cell>
          <cell r="K287" t="str">
            <v>Professional</v>
          </cell>
          <cell r="L287" t="str">
            <v>Gyproc</v>
          </cell>
          <cell r="M287" t="str">
            <v>SNELBOUWSCHROEVEN DG/..</v>
          </cell>
          <cell r="N287" t="str">
            <v>SNELBOUWSCHROEVEN DG 35 MM/1000 ST</v>
          </cell>
          <cell r="O287" t="str">
            <v>Vis à fixation rapide DG 35 MM/1000pcs</v>
          </cell>
          <cell r="P287" t="str">
            <v>(blanco)</v>
          </cell>
          <cell r="Q287" t="str">
            <v>(blanco)</v>
          </cell>
          <cell r="R287" t="str">
            <v>(blanco)</v>
          </cell>
          <cell r="S287" t="str">
            <v>(blanco)</v>
          </cell>
          <cell r="T287" t="str">
            <v>NBN EN 14566+A1:2009</v>
          </cell>
          <cell r="U287" t="str">
            <v>USN</v>
          </cell>
          <cell r="V287" t="str">
            <v>--</v>
          </cell>
          <cell r="AA287" t="str">
            <v>A1</v>
          </cell>
          <cell r="AC287" t="str">
            <v>(blanco)</v>
          </cell>
          <cell r="AD287" t="str">
            <v>(blanco)</v>
          </cell>
          <cell r="AL287" t="str">
            <v>(blanco)</v>
          </cell>
          <cell r="AM287" t="str">
            <v>(blanco)</v>
          </cell>
          <cell r="AN287" t="str">
            <v>(blanco)</v>
          </cell>
          <cell r="AP287">
            <v>50</v>
          </cell>
          <cell r="AR287">
            <v>2</v>
          </cell>
          <cell r="AS287">
            <v>2.0099999999999998</v>
          </cell>
          <cell r="AT287">
            <v>0</v>
          </cell>
          <cell r="AX287">
            <v>24.41</v>
          </cell>
          <cell r="AY287" t="str">
            <v>01.02.2015</v>
          </cell>
          <cell r="AZ287">
            <v>0</v>
          </cell>
          <cell r="BA287" t="str">
            <v>00.00.0000</v>
          </cell>
          <cell r="BB287" t="str">
            <v>KAR</v>
          </cell>
          <cell r="BC287" t="str">
            <v>******</v>
          </cell>
          <cell r="BD287" t="str">
            <v>S</v>
          </cell>
          <cell r="BE287">
            <v>5413218567749</v>
          </cell>
        </row>
        <row r="288">
          <cell r="A288" t="str">
            <v>G124506</v>
          </cell>
          <cell r="B288" t="str">
            <v>G124506</v>
          </cell>
          <cell r="C288" t="str">
            <v>D1DCD01D005D032</v>
          </cell>
          <cell r="D288" t="str">
            <v>DIY - Schroeven KAR</v>
          </cell>
          <cell r="E288" t="str">
            <v>D1DC</v>
          </cell>
          <cell r="F288" t="str">
            <v>Toebehoren Bevestigingen *</v>
          </cell>
          <cell r="G288" t="str">
            <v>G124506</v>
          </cell>
          <cell r="H288" t="str">
            <v>bestaand</v>
          </cell>
          <cell r="I288" t="str">
            <v>01.01.2013</v>
          </cell>
          <cell r="J288" t="str">
            <v>Yes</v>
          </cell>
          <cell r="K288" t="str">
            <v>Professional</v>
          </cell>
          <cell r="L288" t="str">
            <v>Gyproc</v>
          </cell>
          <cell r="M288" t="str">
            <v>SNELBOUWSCHROEVEN DG/..</v>
          </cell>
          <cell r="N288" t="str">
            <v>SNELBOUWSCHROEVEN DG 45 MM/1000 ST</v>
          </cell>
          <cell r="O288" t="str">
            <v>Vis à fixation rapide DG 45 MM/1000pcs</v>
          </cell>
          <cell r="P288" t="str">
            <v>(blanco)</v>
          </cell>
          <cell r="Q288" t="str">
            <v>(blanco)</v>
          </cell>
          <cell r="R288" t="str">
            <v>(blanco)</v>
          </cell>
          <cell r="S288" t="str">
            <v>(blanco)</v>
          </cell>
          <cell r="T288" t="str">
            <v>NBN EN 14566+A1:2009</v>
          </cell>
          <cell r="U288" t="str">
            <v>USN</v>
          </cell>
          <cell r="V288" t="str">
            <v>--</v>
          </cell>
          <cell r="AA288" t="str">
            <v>A1</v>
          </cell>
          <cell r="AC288" t="str">
            <v>(blanco)</v>
          </cell>
          <cell r="AD288" t="str">
            <v>(blanco)</v>
          </cell>
          <cell r="AL288" t="str">
            <v>(blanco)</v>
          </cell>
          <cell r="AM288" t="str">
            <v>(blanco)</v>
          </cell>
          <cell r="AN288" t="str">
            <v>(blanco)</v>
          </cell>
          <cell r="AP288">
            <v>50</v>
          </cell>
          <cell r="AR288">
            <v>2.5</v>
          </cell>
          <cell r="AS288">
            <v>2.5099999999999998</v>
          </cell>
          <cell r="AT288">
            <v>0</v>
          </cell>
          <cell r="AX288">
            <v>31.71</v>
          </cell>
          <cell r="AY288" t="str">
            <v>01.02.2015</v>
          </cell>
          <cell r="AZ288">
            <v>0</v>
          </cell>
          <cell r="BA288" t="str">
            <v>00.00.0000</v>
          </cell>
          <cell r="BB288" t="str">
            <v>KAR</v>
          </cell>
          <cell r="BC288" t="str">
            <v>******</v>
          </cell>
          <cell r="BD288" t="str">
            <v>S</v>
          </cell>
          <cell r="BE288">
            <v>5413218567756</v>
          </cell>
        </row>
        <row r="289">
          <cell r="A289" t="str">
            <v>G124522</v>
          </cell>
          <cell r="B289" t="str">
            <v>G124522</v>
          </cell>
          <cell r="C289" t="str">
            <v>D7DAD02D005D001</v>
          </cell>
          <cell r="D289" t="str">
            <v>DIY - L-Gips KG</v>
          </cell>
          <cell r="E289" t="str">
            <v>D7DA</v>
          </cell>
          <cell r="F289" t="str">
            <v>Mortels KG</v>
          </cell>
          <cell r="G289" t="str">
            <v>G124522</v>
          </cell>
          <cell r="H289" t="str">
            <v>bestaand</v>
          </cell>
          <cell r="I289" t="str">
            <v>01.01.2013</v>
          </cell>
          <cell r="J289" t="str">
            <v>Yes</v>
          </cell>
          <cell r="K289" t="str">
            <v>Professional</v>
          </cell>
          <cell r="L289" t="str">
            <v>Gyproc</v>
          </cell>
          <cell r="M289" t="str">
            <v>L-GIPS</v>
          </cell>
          <cell r="N289" t="str">
            <v>L-GIPS 25 KG EP/40</v>
          </cell>
          <cell r="O289" t="str">
            <v>Plâtre L 25 KG EP/40</v>
          </cell>
          <cell r="P289" t="str">
            <v>(blanco)</v>
          </cell>
          <cell r="Q289" t="str">
            <v>(blanco)</v>
          </cell>
          <cell r="R289" t="str">
            <v>(blanco)</v>
          </cell>
          <cell r="S289" t="str">
            <v>(blanco)</v>
          </cell>
          <cell r="T289" t="str">
            <v>NBN EN 14496:2006</v>
          </cell>
          <cell r="U289" t="str">
            <v>--</v>
          </cell>
          <cell r="V289" t="str">
            <v>--</v>
          </cell>
          <cell r="W289" t="str">
            <v>lijm op gipsbasis voor samengestelde thermisch/akoestische isolatiepanelen en gipsplaten</v>
          </cell>
          <cell r="Y289" t="str">
            <v>lijm op gipsbasis voor samengestelde thermisch/akoestische isolatiepanelen en gipsplaten</v>
          </cell>
          <cell r="AA289" t="str">
            <v>A1</v>
          </cell>
          <cell r="AC289" t="str">
            <v>(blanco)</v>
          </cell>
          <cell r="AD289" t="str">
            <v>(blanco)</v>
          </cell>
          <cell r="AH289" t="str">
            <v>(blanco)</v>
          </cell>
          <cell r="AI289" t="str">
            <v>(blanco)</v>
          </cell>
          <cell r="AJ289" t="str">
            <v>(blanco)</v>
          </cell>
          <cell r="AN289" t="str">
            <v>(blanco)</v>
          </cell>
          <cell r="AP289">
            <v>0.25</v>
          </cell>
          <cell r="AR289">
            <v>25</v>
          </cell>
          <cell r="AS289">
            <v>26.25</v>
          </cell>
          <cell r="AT289">
            <v>0</v>
          </cell>
          <cell r="AX289">
            <v>313.92</v>
          </cell>
          <cell r="AY289" t="str">
            <v>01.02.2015</v>
          </cell>
          <cell r="AZ289">
            <v>0</v>
          </cell>
          <cell r="BA289" t="str">
            <v>00.00.0000</v>
          </cell>
          <cell r="BB289" t="str">
            <v>TO</v>
          </cell>
          <cell r="BC289" t="str">
            <v>TO</v>
          </cell>
          <cell r="BD289" t="str">
            <v>S</v>
          </cell>
          <cell r="BE289">
            <v>5413218563161</v>
          </cell>
        </row>
        <row r="290">
          <cell r="A290" t="str">
            <v>G124583</v>
          </cell>
          <cell r="B290" t="str">
            <v>G124583</v>
          </cell>
          <cell r="C290" t="str">
            <v>D1DFD05D003D002</v>
          </cell>
          <cell r="D290" t="str">
            <v>DIY - Coves M</v>
          </cell>
          <cell r="E290" t="str">
            <v>D1DF</v>
          </cell>
          <cell r="F290" t="str">
            <v>Andere Toebehoren *</v>
          </cell>
          <cell r="G290" t="str">
            <v>G124583</v>
          </cell>
          <cell r="H290" t="str">
            <v>bestaand</v>
          </cell>
          <cell r="I290" t="str">
            <v>01.02.2014</v>
          </cell>
          <cell r="J290" t="str">
            <v>Yes</v>
          </cell>
          <cell r="K290" t="str">
            <v>Doe-Het-Zelver</v>
          </cell>
          <cell r="L290" t="str">
            <v>Gyproc</v>
          </cell>
          <cell r="M290" t="str">
            <v>COVE</v>
          </cell>
          <cell r="N290" t="str">
            <v>DIY - GypCove Mini 100 2 M WP/594</v>
          </cell>
          <cell r="O290" t="str">
            <v>GYPCOVE MINI 2 M WP/594</v>
          </cell>
          <cell r="P290" t="str">
            <v>ivoor</v>
          </cell>
          <cell r="Q290" t="str">
            <v>ivoire</v>
          </cell>
          <cell r="R290" t="str">
            <v>grijs</v>
          </cell>
          <cell r="S290" t="str">
            <v>gris</v>
          </cell>
          <cell r="T290" t="str">
            <v>NBN EN 14209:2006</v>
          </cell>
          <cell r="U290" t="str">
            <v>--</v>
          </cell>
          <cell r="V290" t="str">
            <v>--</v>
          </cell>
          <cell r="W290" t="str">
            <v>voorgevormde kroonlijst van gipsplaten</v>
          </cell>
          <cell r="Y290" t="str">
            <v>voorgevormde kroonlijsten van gipsplaten voor droge binnenafbouw</v>
          </cell>
          <cell r="AC290" t="str">
            <v>(blanco)</v>
          </cell>
          <cell r="AD290" t="str">
            <v>(blanco)</v>
          </cell>
          <cell r="AH290" t="str">
            <v>(blanco)</v>
          </cell>
          <cell r="AL290" t="str">
            <v>Geen eisen gesteld</v>
          </cell>
          <cell r="AM290" t="str">
            <v>Pas de exigences</v>
          </cell>
          <cell r="AN290" t="str">
            <v>kg/m³</v>
          </cell>
          <cell r="AP290">
            <v>0</v>
          </cell>
          <cell r="AR290">
            <v>1.6</v>
          </cell>
          <cell r="AS290">
            <v>1.68</v>
          </cell>
          <cell r="AT290">
            <v>0</v>
          </cell>
          <cell r="AX290">
            <v>3.09</v>
          </cell>
          <cell r="AY290" t="str">
            <v>01.02.2015</v>
          </cell>
          <cell r="AZ290">
            <v>0</v>
          </cell>
          <cell r="BA290" t="str">
            <v>00.00.0000</v>
          </cell>
          <cell r="BB290" t="str">
            <v>M</v>
          </cell>
          <cell r="BC290" t="str">
            <v>M</v>
          </cell>
          <cell r="BD290" t="str">
            <v>S</v>
          </cell>
          <cell r="BE290">
            <v>5015341080845</v>
          </cell>
        </row>
        <row r="291">
          <cell r="A291" t="str">
            <v>G124584</v>
          </cell>
          <cell r="B291" t="str">
            <v>G124584</v>
          </cell>
          <cell r="C291" t="str">
            <v>D1DFD05D003D002</v>
          </cell>
          <cell r="D291" t="str">
            <v>DIY - Coves M</v>
          </cell>
          <cell r="E291" t="str">
            <v>D1DF</v>
          </cell>
          <cell r="F291" t="str">
            <v>Andere Toebehoren *</v>
          </cell>
          <cell r="G291" t="str">
            <v>G124584</v>
          </cell>
          <cell r="H291" t="str">
            <v>bestaand</v>
          </cell>
          <cell r="I291" t="str">
            <v>01.02.2014</v>
          </cell>
          <cell r="J291" t="str">
            <v>Yes</v>
          </cell>
          <cell r="K291" t="str">
            <v>Doe-Het-Zelver</v>
          </cell>
          <cell r="L291" t="str">
            <v>Gyproc</v>
          </cell>
          <cell r="M291" t="str">
            <v>COVE</v>
          </cell>
          <cell r="N291" t="str">
            <v>DIY - GypCove Maxi 127 2 M WP/540</v>
          </cell>
          <cell r="O291" t="str">
            <v>GYPCOVE MAXI 2 M WP/540</v>
          </cell>
          <cell r="P291" t="str">
            <v>ivoor</v>
          </cell>
          <cell r="Q291" t="str">
            <v>ivoire</v>
          </cell>
          <cell r="R291" t="str">
            <v>grijs</v>
          </cell>
          <cell r="S291" t="str">
            <v>gris</v>
          </cell>
          <cell r="T291" t="str">
            <v>NBN EN 14209:2006</v>
          </cell>
          <cell r="U291" t="str">
            <v>--</v>
          </cell>
          <cell r="V291" t="str">
            <v>--</v>
          </cell>
          <cell r="W291" t="str">
            <v>voorgevormde kroonlijst van gipsplaten</v>
          </cell>
          <cell r="Y291" t="str">
            <v>voorgevormde kroonlijsten van gipsplaten voor droge binnenafbouw</v>
          </cell>
          <cell r="AC291" t="str">
            <v>(blanco)</v>
          </cell>
          <cell r="AD291" t="str">
            <v>(blanco)</v>
          </cell>
          <cell r="AH291" t="str">
            <v>(blanco)</v>
          </cell>
          <cell r="AL291" t="str">
            <v>Geen eisen gesteld</v>
          </cell>
          <cell r="AM291" t="str">
            <v>Pas de exigences</v>
          </cell>
          <cell r="AN291" t="str">
            <v>kg/m³</v>
          </cell>
          <cell r="AP291">
            <v>0</v>
          </cell>
          <cell r="AR291">
            <v>2.4</v>
          </cell>
          <cell r="AS291">
            <v>2.52</v>
          </cell>
          <cell r="AT291">
            <v>0</v>
          </cell>
          <cell r="AX291">
            <v>3.09</v>
          </cell>
          <cell r="AY291" t="str">
            <v>01.02.2015</v>
          </cell>
          <cell r="AZ291">
            <v>0</v>
          </cell>
          <cell r="BA291" t="str">
            <v>00.00.0000</v>
          </cell>
          <cell r="BB291" t="str">
            <v>M</v>
          </cell>
          <cell r="BC291" t="str">
            <v>M</v>
          </cell>
          <cell r="BD291" t="str">
            <v>S</v>
          </cell>
          <cell r="BE291">
            <v>5015341080838</v>
          </cell>
        </row>
        <row r="292">
          <cell r="A292" t="str">
            <v>G124628</v>
          </cell>
          <cell r="B292" t="str">
            <v>G124628</v>
          </cell>
          <cell r="C292" t="str">
            <v>E5EAE01E001E035</v>
          </cell>
          <cell r="D292" t="str">
            <v>SPRYLITH bulk TON</v>
          </cell>
          <cell r="E292" t="str">
            <v>E5EA</v>
          </cell>
          <cell r="F292" t="str">
            <v>BOUWPLEISTERS TON</v>
          </cell>
          <cell r="G292" t="str">
            <v>G124628</v>
          </cell>
          <cell r="H292" t="str">
            <v>bestaand</v>
          </cell>
          <cell r="I292" t="str">
            <v>01.01.2013</v>
          </cell>
          <cell r="J292" t="str">
            <v>Yes</v>
          </cell>
          <cell r="K292" t="str">
            <v>Gyproc Pleisters</v>
          </cell>
          <cell r="L292" t="str">
            <v>Gyproc</v>
          </cell>
          <cell r="M292" t="str">
            <v>SPRYLITH</v>
          </cell>
          <cell r="N292" t="str">
            <v>SPRYLITH BULK</v>
          </cell>
          <cell r="O292" t="str">
            <v>SPRYLITH BULK</v>
          </cell>
          <cell r="P292" t="str">
            <v>(blanco)</v>
          </cell>
          <cell r="Q292" t="str">
            <v>(blanco)</v>
          </cell>
          <cell r="R292" t="str">
            <v>(blanco)</v>
          </cell>
          <cell r="S292" t="str">
            <v>(blanco)</v>
          </cell>
          <cell r="T292" t="str">
            <v>NBN EN 13279-1:2009</v>
          </cell>
          <cell r="U292" t="str">
            <v>B4/20/2</v>
          </cell>
          <cell r="V292" t="str">
            <v>--</v>
          </cell>
          <cell r="AA292" t="str">
            <v>A1</v>
          </cell>
          <cell r="AC292" t="str">
            <v>(blanco)</v>
          </cell>
          <cell r="AD292" t="str">
            <v>(blanco)</v>
          </cell>
          <cell r="AH292" t="str">
            <v>(blanco)</v>
          </cell>
          <cell r="AI292" t="str">
            <v>(blanco)</v>
          </cell>
          <cell r="AJ292" t="str">
            <v>(blanco)</v>
          </cell>
          <cell r="AL292" t="str">
            <v>+/- 0.65</v>
          </cell>
          <cell r="AM292" t="str">
            <v>+/- 0.65</v>
          </cell>
          <cell r="AN292" t="str">
            <v>kg/l</v>
          </cell>
          <cell r="AP292">
            <v>0</v>
          </cell>
          <cell r="AR292" t="str">
            <v xml:space="preserve"> 1,000.000</v>
          </cell>
          <cell r="AS292" t="str">
            <v xml:space="preserve"> 1,000.000</v>
          </cell>
          <cell r="AT292">
            <v>0</v>
          </cell>
          <cell r="AV292" t="str">
            <v>N.A.</v>
          </cell>
          <cell r="AW292">
            <v>0</v>
          </cell>
          <cell r="AX292">
            <v>413.07</v>
          </cell>
          <cell r="AY292" t="str">
            <v>01.02.2014</v>
          </cell>
          <cell r="AZ292">
            <v>0</v>
          </cell>
          <cell r="BA292" t="str">
            <v>00.00.0000</v>
          </cell>
          <cell r="BB292" t="str">
            <v>TO</v>
          </cell>
          <cell r="BC292" t="str">
            <v>TO</v>
          </cell>
          <cell r="BD292">
            <v>2</v>
          </cell>
          <cell r="BE292">
            <v>5413218565875</v>
          </cell>
        </row>
        <row r="293">
          <cell r="A293" t="str">
            <v>G124659</v>
          </cell>
          <cell r="B293" t="str">
            <v>G124659</v>
          </cell>
          <cell r="C293" t="str">
            <v>C1CBC01C001C022</v>
          </cell>
          <cell r="D293" t="str">
            <v>Rigitone 8/18 Q M2</v>
          </cell>
          <cell r="E293" t="str">
            <v>C1CB</v>
          </cell>
          <cell r="F293" t="str">
            <v>Rigitone platen</v>
          </cell>
          <cell r="G293" t="str">
            <v>ZIB00029</v>
          </cell>
          <cell r="H293" t="str">
            <v>te verwijderen</v>
          </cell>
          <cell r="I293" t="str">
            <v>01.01.2013</v>
          </cell>
          <cell r="J293" t="str">
            <v>Yes</v>
          </cell>
          <cell r="K293" t="str">
            <v>Professional</v>
          </cell>
          <cell r="L293" t="str">
            <v>RIGITONE</v>
          </cell>
          <cell r="M293" t="str">
            <v>RIGITONE 8/18 Q</v>
          </cell>
          <cell r="N293" t="str">
            <v>RIGITONE 8/18 Q WT 12.5X1998X1188 DP/40</v>
          </cell>
          <cell r="O293" t="str">
            <v>RIGITONE 8/18Q WT 12.5X1998 X 1188 DP/40</v>
          </cell>
          <cell r="P293" t="str">
            <v>ivoor</v>
          </cell>
          <cell r="Q293" t="str">
            <v>ivoire</v>
          </cell>
          <cell r="R293" t="str">
            <v>wit vlies</v>
          </cell>
          <cell r="S293" t="str">
            <v>voile blanc</v>
          </cell>
          <cell r="T293" t="str">
            <v>NBN EN 14190:2014</v>
          </cell>
          <cell r="U293" t="str">
            <v>A</v>
          </cell>
          <cell r="V293" t="str">
            <v>RT</v>
          </cell>
          <cell r="W293" t="str">
            <v>geperforeerde gipskartonplaat met gesneden boorden</v>
          </cell>
          <cell r="Y293" t="str">
            <v>gipsplaat voor droge binnenafbouw</v>
          </cell>
          <cell r="AA293" t="str">
            <v>A2-s1, d0 (C.1)</v>
          </cell>
          <cell r="AB293" t="str">
            <v>Rigiton_Air_LE_0613</v>
          </cell>
          <cell r="AC293" t="str">
            <v>GBC</v>
          </cell>
          <cell r="AE293">
            <v>12.5</v>
          </cell>
          <cell r="AH293" t="str">
            <v>+/-0.5</v>
          </cell>
          <cell r="AI293">
            <v>0</v>
          </cell>
          <cell r="AJ293">
            <v>0</v>
          </cell>
          <cell r="AL293" t="str">
            <v>Geen eisen gesteld</v>
          </cell>
          <cell r="AM293" t="str">
            <v>Pas de exigences</v>
          </cell>
          <cell r="AN293" t="str">
            <v>kg/m³</v>
          </cell>
          <cell r="AP293">
            <v>0.25</v>
          </cell>
          <cell r="AR293">
            <v>23.736000000000001</v>
          </cell>
          <cell r="AS293">
            <v>26.11</v>
          </cell>
          <cell r="AT293">
            <v>37.200000000000003</v>
          </cell>
          <cell r="AU293" t="str">
            <v>CD3</v>
          </cell>
          <cell r="AV293" t="str">
            <v>DP : Duitse Pallet</v>
          </cell>
          <cell r="AW293">
            <v>3</v>
          </cell>
          <cell r="AX293">
            <v>21.89</v>
          </cell>
          <cell r="AY293" t="str">
            <v>01.02.2015</v>
          </cell>
          <cell r="AZ293">
            <v>0</v>
          </cell>
          <cell r="BA293" t="str">
            <v>00.00.0000</v>
          </cell>
          <cell r="BB293" t="str">
            <v>M2</v>
          </cell>
          <cell r="BC293" t="str">
            <v>M2</v>
          </cell>
          <cell r="BD293" t="str">
            <v>S</v>
          </cell>
          <cell r="BE293">
            <v>5413218566643</v>
          </cell>
        </row>
        <row r="294">
          <cell r="A294" t="str">
            <v>G124686</v>
          </cell>
          <cell r="B294" t="str">
            <v>G124686</v>
          </cell>
          <cell r="C294" t="str">
            <v>D1DCD01D005D032</v>
          </cell>
          <cell r="D294" t="str">
            <v>DIY - Schroeven KAR</v>
          </cell>
          <cell r="E294" t="str">
            <v>D1DC</v>
          </cell>
          <cell r="F294" t="str">
            <v>Toebehoren Bevestigingen *</v>
          </cell>
          <cell r="G294" t="str">
            <v>G124686</v>
          </cell>
          <cell r="H294" t="str">
            <v>bestaand</v>
          </cell>
          <cell r="I294" t="str">
            <v>01.01.2013</v>
          </cell>
          <cell r="J294" t="str">
            <v>Yes</v>
          </cell>
          <cell r="K294" t="str">
            <v>Professional</v>
          </cell>
          <cell r="L294" t="str">
            <v>Gyproc</v>
          </cell>
          <cell r="M294" t="str">
            <v>SNELBOUWSCHROEVEN 212/..</v>
          </cell>
          <cell r="N294" t="str">
            <v>SNELBOUWSCHROEVEN 212 25 MM/1000 ST</v>
          </cell>
          <cell r="O294" t="str">
            <v>Vis à fixation rapide 212 25 MM/1000pcs</v>
          </cell>
          <cell r="P294" t="str">
            <v>(blanco)</v>
          </cell>
          <cell r="Q294" t="str">
            <v>(blanco)</v>
          </cell>
          <cell r="R294" t="str">
            <v>(blanco)</v>
          </cell>
          <cell r="S294" t="str">
            <v>(blanco)</v>
          </cell>
          <cell r="T294" t="str">
            <v>NBN EN 14566+A1:2009</v>
          </cell>
          <cell r="U294" t="str">
            <v>TMN</v>
          </cell>
          <cell r="V294" t="str">
            <v>--</v>
          </cell>
          <cell r="AA294" t="str">
            <v>A1</v>
          </cell>
          <cell r="AC294" t="str">
            <v>(blanco)</v>
          </cell>
          <cell r="AD294" t="str">
            <v>(blanco)</v>
          </cell>
          <cell r="AL294" t="str">
            <v>(blanco)</v>
          </cell>
          <cell r="AM294" t="str">
            <v>(blanco)</v>
          </cell>
          <cell r="AN294" t="str">
            <v>(blanco)</v>
          </cell>
          <cell r="AP294">
            <v>50</v>
          </cell>
          <cell r="AR294">
            <v>1.7</v>
          </cell>
          <cell r="AS294">
            <v>1.7849999999999999</v>
          </cell>
          <cell r="AT294">
            <v>0</v>
          </cell>
          <cell r="AX294">
            <v>13.55</v>
          </cell>
          <cell r="AY294" t="str">
            <v>01.02.2015</v>
          </cell>
          <cell r="AZ294">
            <v>0</v>
          </cell>
          <cell r="BA294" t="str">
            <v>00.00.0000</v>
          </cell>
          <cell r="BB294" t="str">
            <v>KAR</v>
          </cell>
          <cell r="BC294" t="str">
            <v>******</v>
          </cell>
          <cell r="BD294" t="str">
            <v>S</v>
          </cell>
          <cell r="BE294">
            <v>5413218563451</v>
          </cell>
        </row>
        <row r="295">
          <cell r="A295" t="str">
            <v>G124687</v>
          </cell>
          <cell r="B295" t="str">
            <v>G124687</v>
          </cell>
          <cell r="C295" t="str">
            <v>D1DCD01D005D032</v>
          </cell>
          <cell r="D295" t="str">
            <v>DIY - Schroeven KAR</v>
          </cell>
          <cell r="E295" t="str">
            <v>D1DC</v>
          </cell>
          <cell r="F295" t="str">
            <v>Toebehoren Bevestigingen *</v>
          </cell>
          <cell r="G295" t="str">
            <v>G124687</v>
          </cell>
          <cell r="H295" t="str">
            <v>bestaand</v>
          </cell>
          <cell r="I295" t="str">
            <v>01.01.2013</v>
          </cell>
          <cell r="J295" t="str">
            <v>Yes</v>
          </cell>
          <cell r="K295" t="str">
            <v>Professional</v>
          </cell>
          <cell r="L295" t="str">
            <v>Gyproc</v>
          </cell>
          <cell r="M295" t="str">
            <v>SNELBOUWSCHROEVEN 212/..</v>
          </cell>
          <cell r="N295" t="str">
            <v>SNELBOUWSCHROEVEN 212 35 MM/1000 ST</v>
          </cell>
          <cell r="O295" t="str">
            <v>Vis à fixation rapide 212 35 MM/1000pcs</v>
          </cell>
          <cell r="P295" t="str">
            <v>(blanco)</v>
          </cell>
          <cell r="Q295" t="str">
            <v>(blanco)</v>
          </cell>
          <cell r="R295" t="str">
            <v>(blanco)</v>
          </cell>
          <cell r="S295" t="str">
            <v>(blanco)</v>
          </cell>
          <cell r="T295" t="str">
            <v>NBN EN 14566+A1:2009</v>
          </cell>
          <cell r="U295" t="str">
            <v>TMN</v>
          </cell>
          <cell r="V295" t="str">
            <v>--</v>
          </cell>
          <cell r="AA295" t="str">
            <v>A1</v>
          </cell>
          <cell r="AC295" t="str">
            <v>(blanco)</v>
          </cell>
          <cell r="AD295" t="str">
            <v>(blanco)</v>
          </cell>
          <cell r="AL295" t="str">
            <v>(blanco)</v>
          </cell>
          <cell r="AM295" t="str">
            <v>(blanco)</v>
          </cell>
          <cell r="AN295" t="str">
            <v>(blanco)</v>
          </cell>
          <cell r="AP295">
            <v>50</v>
          </cell>
          <cell r="AR295">
            <v>2.2000000000000002</v>
          </cell>
          <cell r="AS295">
            <v>2.31</v>
          </cell>
          <cell r="AT295">
            <v>0</v>
          </cell>
          <cell r="AX295">
            <v>15.98</v>
          </cell>
          <cell r="AY295" t="str">
            <v>01.02.2015</v>
          </cell>
          <cell r="AZ295">
            <v>0</v>
          </cell>
          <cell r="BA295" t="str">
            <v>00.00.0000</v>
          </cell>
          <cell r="BB295" t="str">
            <v>KAR</v>
          </cell>
          <cell r="BC295" t="str">
            <v>******</v>
          </cell>
          <cell r="BD295" t="str">
            <v>S</v>
          </cell>
          <cell r="BE295">
            <v>5413218563468</v>
          </cell>
        </row>
        <row r="296">
          <cell r="A296" t="str">
            <v>G124688</v>
          </cell>
          <cell r="B296" t="str">
            <v>G124688</v>
          </cell>
          <cell r="C296" t="str">
            <v>D1DCD01D005D032</v>
          </cell>
          <cell r="D296" t="str">
            <v>DIY - Schroeven KAR</v>
          </cell>
          <cell r="E296" t="str">
            <v>D1DC</v>
          </cell>
          <cell r="F296" t="str">
            <v>Toebehoren Bevestigingen *</v>
          </cell>
          <cell r="G296" t="str">
            <v>G124688</v>
          </cell>
          <cell r="H296" t="str">
            <v>bestaand</v>
          </cell>
          <cell r="I296" t="str">
            <v>01.01.2013</v>
          </cell>
          <cell r="J296" t="str">
            <v>Yes</v>
          </cell>
          <cell r="K296" t="str">
            <v>Professional</v>
          </cell>
          <cell r="L296" t="str">
            <v>Gyproc</v>
          </cell>
          <cell r="M296" t="str">
            <v>SNELBOUWSCHROEVEN 212/..</v>
          </cell>
          <cell r="N296" t="str">
            <v>SNELBOUWSCHROEVEN 212 45 MM/1000 ST</v>
          </cell>
          <cell r="O296" t="str">
            <v>Vis à fixation rapide 212 45 MM/1000pcs</v>
          </cell>
          <cell r="P296" t="str">
            <v>(blanco)</v>
          </cell>
          <cell r="Q296" t="str">
            <v>(blanco)</v>
          </cell>
          <cell r="R296" t="str">
            <v>(blanco)</v>
          </cell>
          <cell r="S296" t="str">
            <v>(blanco)</v>
          </cell>
          <cell r="T296" t="str">
            <v>NBN EN 14566+A1:2009</v>
          </cell>
          <cell r="U296" t="str">
            <v>TMN</v>
          </cell>
          <cell r="V296" t="str">
            <v>--</v>
          </cell>
          <cell r="AA296" t="str">
            <v>A1</v>
          </cell>
          <cell r="AC296" t="str">
            <v>(blanco)</v>
          </cell>
          <cell r="AD296" t="str">
            <v>(blanco)</v>
          </cell>
          <cell r="AL296" t="str">
            <v>(blanco)</v>
          </cell>
          <cell r="AM296" t="str">
            <v>(blanco)</v>
          </cell>
          <cell r="AN296" t="str">
            <v>(blanco)</v>
          </cell>
          <cell r="AP296">
            <v>50</v>
          </cell>
          <cell r="AR296">
            <v>2.7</v>
          </cell>
          <cell r="AS296">
            <v>2.835</v>
          </cell>
          <cell r="AT296">
            <v>0</v>
          </cell>
          <cell r="AX296">
            <v>19.28</v>
          </cell>
          <cell r="AY296" t="str">
            <v>01.02.2015</v>
          </cell>
          <cell r="AZ296">
            <v>0</v>
          </cell>
          <cell r="BA296" t="str">
            <v>00.00.0000</v>
          </cell>
          <cell r="BB296" t="str">
            <v>KAR</v>
          </cell>
          <cell r="BC296" t="str">
            <v>******</v>
          </cell>
          <cell r="BD296" t="str">
            <v>S</v>
          </cell>
          <cell r="BE296">
            <v>5413218563475</v>
          </cell>
        </row>
        <row r="297">
          <cell r="A297" t="str">
            <v>G124689</v>
          </cell>
          <cell r="B297" t="str">
            <v>G124689</v>
          </cell>
          <cell r="C297" t="str">
            <v>D1DCD01D005D032</v>
          </cell>
          <cell r="D297" t="str">
            <v>DIY - Schroeven KAR</v>
          </cell>
          <cell r="E297" t="str">
            <v>D1DC</v>
          </cell>
          <cell r="F297" t="str">
            <v>Toebehoren Bevestigingen *</v>
          </cell>
          <cell r="G297" t="str">
            <v>G124689</v>
          </cell>
          <cell r="H297" t="str">
            <v>bestaand</v>
          </cell>
          <cell r="I297" t="str">
            <v>01.01.2013</v>
          </cell>
          <cell r="J297" t="str">
            <v>Yes</v>
          </cell>
          <cell r="K297" t="str">
            <v>Professional</v>
          </cell>
          <cell r="L297" t="str">
            <v>Gyproc</v>
          </cell>
          <cell r="M297" t="str">
            <v>SNELBOUWSCHROEVEN 212/..</v>
          </cell>
          <cell r="N297" t="str">
            <v>SNELBOUWSCHROEVEN 212 55 MM/750 ST</v>
          </cell>
          <cell r="O297" t="str">
            <v>Vis à fixation rapide 212 55 MM/750pcs</v>
          </cell>
          <cell r="P297" t="str">
            <v>(blanco)</v>
          </cell>
          <cell r="Q297" t="str">
            <v>(blanco)</v>
          </cell>
          <cell r="R297" t="str">
            <v>(blanco)</v>
          </cell>
          <cell r="S297" t="str">
            <v>(blanco)</v>
          </cell>
          <cell r="T297" t="str">
            <v>NBN EN 14566+A1:2009</v>
          </cell>
          <cell r="U297" t="str">
            <v>TMN</v>
          </cell>
          <cell r="V297" t="str">
            <v>--</v>
          </cell>
          <cell r="AA297" t="str">
            <v>A1</v>
          </cell>
          <cell r="AC297" t="str">
            <v>(blanco)</v>
          </cell>
          <cell r="AD297" t="str">
            <v>(blanco)</v>
          </cell>
          <cell r="AL297" t="str">
            <v>(blanco)</v>
          </cell>
          <cell r="AM297" t="str">
            <v>(blanco)</v>
          </cell>
          <cell r="AN297" t="str">
            <v>(blanco)</v>
          </cell>
          <cell r="AP297">
            <v>50</v>
          </cell>
          <cell r="AR297">
            <v>3.3</v>
          </cell>
          <cell r="AS297">
            <v>3.4649999999999999</v>
          </cell>
          <cell r="AT297">
            <v>0</v>
          </cell>
          <cell r="AX297">
            <v>18.149999999999999</v>
          </cell>
          <cell r="AY297" t="str">
            <v>01.02.2015</v>
          </cell>
          <cell r="AZ297">
            <v>0</v>
          </cell>
          <cell r="BA297" t="str">
            <v>00.00.0000</v>
          </cell>
          <cell r="BB297" t="str">
            <v>KAR</v>
          </cell>
          <cell r="BC297" t="str">
            <v>******</v>
          </cell>
          <cell r="BD297" t="str">
            <v>S</v>
          </cell>
          <cell r="BE297">
            <v>5413218563482</v>
          </cell>
        </row>
        <row r="298">
          <cell r="A298" t="str">
            <v>G124690</v>
          </cell>
          <cell r="B298" t="str">
            <v>G124690</v>
          </cell>
          <cell r="C298" t="str">
            <v>D1DCD01D005D032</v>
          </cell>
          <cell r="D298" t="str">
            <v>DIY - Schroeven KAR</v>
          </cell>
          <cell r="E298" t="str">
            <v>D1DC</v>
          </cell>
          <cell r="F298" t="str">
            <v>Toebehoren Bevestigingen *</v>
          </cell>
          <cell r="G298" t="str">
            <v>G124690</v>
          </cell>
          <cell r="H298" t="str">
            <v>bestaand</v>
          </cell>
          <cell r="I298" t="str">
            <v>01.01.2013</v>
          </cell>
          <cell r="J298" t="str">
            <v>Yes</v>
          </cell>
          <cell r="K298" t="str">
            <v>Professional</v>
          </cell>
          <cell r="L298" t="str">
            <v>Gyproc</v>
          </cell>
          <cell r="M298" t="str">
            <v>SNELBOUWSCHROEVEN 212/..</v>
          </cell>
          <cell r="N298" t="str">
            <v>SNELBOUWSCHROEVEN 212 70 MM/500 ST</v>
          </cell>
          <cell r="O298" t="str">
            <v>Vis à fixation rapide 212 70 MM/500 pcs</v>
          </cell>
          <cell r="P298" t="str">
            <v>(blanco)</v>
          </cell>
          <cell r="Q298" t="str">
            <v>(blanco)</v>
          </cell>
          <cell r="R298" t="str">
            <v>(blanco)</v>
          </cell>
          <cell r="S298" t="str">
            <v>(blanco)</v>
          </cell>
          <cell r="T298" t="str">
            <v>NBN EN 14566+A1:2009</v>
          </cell>
          <cell r="U298" t="str">
            <v>TMN</v>
          </cell>
          <cell r="V298" t="str">
            <v>--</v>
          </cell>
          <cell r="AA298" t="str">
            <v>A1</v>
          </cell>
          <cell r="AC298" t="str">
            <v>(blanco)</v>
          </cell>
          <cell r="AD298" t="str">
            <v>(blanco)</v>
          </cell>
          <cell r="AL298" t="str">
            <v>(blanco)</v>
          </cell>
          <cell r="AM298" t="str">
            <v>(blanco)</v>
          </cell>
          <cell r="AN298" t="str">
            <v>(blanco)</v>
          </cell>
          <cell r="AP298">
            <v>50</v>
          </cell>
          <cell r="AR298">
            <v>3.9</v>
          </cell>
          <cell r="AS298">
            <v>4.0949999999999998</v>
          </cell>
          <cell r="AT298">
            <v>0</v>
          </cell>
          <cell r="AX298">
            <v>40.78</v>
          </cell>
          <cell r="AY298" t="str">
            <v>01.02.2015</v>
          </cell>
          <cell r="AZ298">
            <v>0</v>
          </cell>
          <cell r="BA298" t="str">
            <v>00.00.0000</v>
          </cell>
          <cell r="BB298" t="str">
            <v>KAR</v>
          </cell>
          <cell r="BC298" t="str">
            <v>******</v>
          </cell>
          <cell r="BD298" t="str">
            <v>S</v>
          </cell>
          <cell r="BE298">
            <v>5413218563499</v>
          </cell>
        </row>
        <row r="299">
          <cell r="A299" t="str">
            <v>G124691</v>
          </cell>
          <cell r="B299" t="str">
            <v>G124691</v>
          </cell>
          <cell r="C299" t="str">
            <v>D1DCD01D005D032</v>
          </cell>
          <cell r="D299" t="str">
            <v>DIY - Schroeven KAR</v>
          </cell>
          <cell r="E299" t="str">
            <v>D1DC</v>
          </cell>
          <cell r="F299" t="str">
            <v>Toebehoren Bevestigingen *</v>
          </cell>
          <cell r="G299" t="str">
            <v>G124691</v>
          </cell>
          <cell r="H299" t="str">
            <v>bestaand</v>
          </cell>
          <cell r="I299" t="str">
            <v>01.01.2013</v>
          </cell>
          <cell r="J299" t="str">
            <v>Yes</v>
          </cell>
          <cell r="K299" t="str">
            <v>Professional</v>
          </cell>
          <cell r="L299" t="str">
            <v>Gyproc</v>
          </cell>
          <cell r="M299" t="str">
            <v>SNELBOUWSCHROEVEN 212/..</v>
          </cell>
          <cell r="N299" t="str">
            <v>SNELBOUWSCHROEVEN 212 90 MM/250 ST</v>
          </cell>
          <cell r="O299" t="str">
            <v>Vis à fixation rapide 212 90 MM/250pcs</v>
          </cell>
          <cell r="P299" t="str">
            <v>(blanco)</v>
          </cell>
          <cell r="Q299" t="str">
            <v>(blanco)</v>
          </cell>
          <cell r="R299" t="str">
            <v>(blanco)</v>
          </cell>
          <cell r="S299" t="str">
            <v>(blanco)</v>
          </cell>
          <cell r="T299" t="str">
            <v>NBN EN 14566+A1:2009</v>
          </cell>
          <cell r="U299" t="str">
            <v>TMN</v>
          </cell>
          <cell r="V299" t="str">
            <v>--</v>
          </cell>
          <cell r="AA299" t="str">
            <v>A1</v>
          </cell>
          <cell r="AC299" t="str">
            <v>(blanco)</v>
          </cell>
          <cell r="AD299" t="str">
            <v>(blanco)</v>
          </cell>
          <cell r="AL299" t="str">
            <v>(blanco)</v>
          </cell>
          <cell r="AM299" t="str">
            <v>(blanco)</v>
          </cell>
          <cell r="AN299" t="str">
            <v>(blanco)</v>
          </cell>
          <cell r="AP299">
            <v>50</v>
          </cell>
          <cell r="AR299">
            <v>3.9</v>
          </cell>
          <cell r="AS299">
            <v>4.0949999999999998</v>
          </cell>
          <cell r="AT299">
            <v>0</v>
          </cell>
          <cell r="AX299">
            <v>38.909999999999997</v>
          </cell>
          <cell r="AY299" t="str">
            <v>01.02.2015</v>
          </cell>
          <cell r="AZ299">
            <v>0</v>
          </cell>
          <cell r="BA299" t="str">
            <v>00.00.0000</v>
          </cell>
          <cell r="BB299" t="str">
            <v>KAR</v>
          </cell>
          <cell r="BC299" t="str">
            <v>******</v>
          </cell>
          <cell r="BD299" t="str">
            <v>S</v>
          </cell>
          <cell r="BE299">
            <v>5413218563505</v>
          </cell>
        </row>
        <row r="300">
          <cell r="A300" t="str">
            <v>G124694</v>
          </cell>
          <cell r="B300" t="str">
            <v>G124694</v>
          </cell>
          <cell r="C300" t="str">
            <v>D1DFD05D003D001</v>
          </cell>
          <cell r="D300" t="str">
            <v>Bandes *</v>
          </cell>
          <cell r="E300" t="str">
            <v>D1DF</v>
          </cell>
          <cell r="F300" t="str">
            <v>Andere Toebehoren *</v>
          </cell>
          <cell r="G300" t="str">
            <v>G124694</v>
          </cell>
          <cell r="H300" t="str">
            <v>bestaand</v>
          </cell>
          <cell r="I300" t="str">
            <v>01.01.2013</v>
          </cell>
          <cell r="J300" t="str">
            <v>Yes</v>
          </cell>
          <cell r="K300" t="str">
            <v>Professional</v>
          </cell>
          <cell r="L300" t="str">
            <v>Gyproc</v>
          </cell>
          <cell r="M300" t="str">
            <v>ZELFKLEVENDE VOEGBAND G50</v>
          </cell>
          <cell r="N300" t="str">
            <v>ZELFKLEVENDE VOEGBAND G50 - 90 M</v>
          </cell>
          <cell r="O300" t="str">
            <v>Bande d'armature G50 - 90 M</v>
          </cell>
          <cell r="P300" t="str">
            <v>(blanco)</v>
          </cell>
          <cell r="Q300" t="str">
            <v>(blanco)</v>
          </cell>
          <cell r="R300" t="str">
            <v>(blanco)</v>
          </cell>
          <cell r="S300" t="str">
            <v>(blanco)</v>
          </cell>
          <cell r="T300" t="str">
            <v>NBN EN 13963:2014</v>
          </cell>
          <cell r="U300" t="str">
            <v>--</v>
          </cell>
          <cell r="V300" t="str">
            <v>--</v>
          </cell>
          <cell r="AC300" t="str">
            <v>(blanco)</v>
          </cell>
          <cell r="AD300" t="str">
            <v>(blanco)</v>
          </cell>
          <cell r="AE300">
            <v>0</v>
          </cell>
          <cell r="AL300" t="str">
            <v>(blanco)</v>
          </cell>
          <cell r="AM300" t="str">
            <v>(blanco)</v>
          </cell>
          <cell r="AN300" t="str">
            <v>(blanco)</v>
          </cell>
          <cell r="AP300">
            <v>0</v>
          </cell>
          <cell r="AR300">
            <v>0.5</v>
          </cell>
          <cell r="AS300">
            <v>0.52500000000000002</v>
          </cell>
          <cell r="AT300">
            <v>0</v>
          </cell>
          <cell r="AX300">
            <v>9.31</v>
          </cell>
          <cell r="AY300" t="str">
            <v>01.02.2015</v>
          </cell>
          <cell r="AZ300">
            <v>0</v>
          </cell>
          <cell r="BA300" t="str">
            <v>00.00.0000</v>
          </cell>
          <cell r="BB300" t="str">
            <v>ST</v>
          </cell>
          <cell r="BC300" t="str">
            <v>******</v>
          </cell>
          <cell r="BD300" t="str">
            <v>S</v>
          </cell>
          <cell r="BE300">
            <v>5413218563512</v>
          </cell>
        </row>
        <row r="301">
          <cell r="A301" t="str">
            <v>G124748</v>
          </cell>
          <cell r="B301" t="str">
            <v>G124748</v>
          </cell>
          <cell r="C301" t="str">
            <v>D1DBD15D002D002</v>
          </cell>
          <cell r="D301" t="str">
            <v>Prlock ALU STD 12,5 ST</v>
          </cell>
          <cell r="E301" t="str">
            <v>D1DB</v>
          </cell>
          <cell r="F301" t="str">
            <v>Toebehoren Platen *</v>
          </cell>
          <cell r="G301" t="str">
            <v>G124748</v>
          </cell>
          <cell r="H301" t="str">
            <v>bestaand</v>
          </cell>
          <cell r="I301" t="str">
            <v>01.01.2013</v>
          </cell>
          <cell r="J301" t="str">
            <v>Yes</v>
          </cell>
          <cell r="K301" t="str">
            <v>Professional</v>
          </cell>
          <cell r="L301" t="str">
            <v>PROLOCK</v>
          </cell>
          <cell r="M301" t="str">
            <v>PROLOCK ALU STANDAARD ENKEL</v>
          </cell>
          <cell r="N301" t="str">
            <v>ProLock Alu Std enkel/simple 1000x1000</v>
          </cell>
          <cell r="O301" t="str">
            <v>ProLock Alu Std enkel/simple 1000x1000</v>
          </cell>
          <cell r="P301" t="str">
            <v>(blanco)</v>
          </cell>
          <cell r="Q301" t="str">
            <v>(blanco)</v>
          </cell>
          <cell r="R301" t="str">
            <v>(blanco)</v>
          </cell>
          <cell r="S301" t="str">
            <v>(blanco)</v>
          </cell>
          <cell r="T301" t="str">
            <v>--</v>
          </cell>
          <cell r="AA301" t="str">
            <v>(blanco)</v>
          </cell>
          <cell r="AC301" t="str">
            <v>(blanco)</v>
          </cell>
          <cell r="AD301" t="str">
            <v>(blanco)</v>
          </cell>
          <cell r="AE301">
            <v>0</v>
          </cell>
          <cell r="AH301" t="str">
            <v>(blanco)</v>
          </cell>
          <cell r="AI301" t="str">
            <v>(blanco)</v>
          </cell>
          <cell r="AJ301" t="str">
            <v>(blanco)</v>
          </cell>
          <cell r="AL301" t="str">
            <v>(blanco)</v>
          </cell>
          <cell r="AM301" t="str">
            <v>(blanco)</v>
          </cell>
          <cell r="AN301" t="str">
            <v>(blanco)</v>
          </cell>
          <cell r="AR301">
            <v>22</v>
          </cell>
          <cell r="AS301">
            <v>22.94</v>
          </cell>
          <cell r="AT301">
            <v>0</v>
          </cell>
          <cell r="AX301">
            <v>273.26</v>
          </cell>
          <cell r="AY301" t="str">
            <v>01.02.2015</v>
          </cell>
          <cell r="AZ301">
            <v>0</v>
          </cell>
          <cell r="BA301" t="str">
            <v>00.00.0000</v>
          </cell>
          <cell r="BB301" t="str">
            <v>ST</v>
          </cell>
          <cell r="BC301" t="str">
            <v>******</v>
          </cell>
          <cell r="BD301">
            <v>3</v>
          </cell>
          <cell r="BE301">
            <v>5413218565783</v>
          </cell>
        </row>
        <row r="302">
          <cell r="A302" t="str">
            <v>G124773</v>
          </cell>
          <cell r="B302" t="str">
            <v>G124773</v>
          </cell>
          <cell r="C302" t="str">
            <v>D1DBD15D006D002</v>
          </cell>
          <cell r="D302" t="str">
            <v>ProLock Steel standaard ST</v>
          </cell>
          <cell r="E302" t="str">
            <v>D1DB</v>
          </cell>
          <cell r="F302" t="str">
            <v>Toebehoren Platen *</v>
          </cell>
          <cell r="G302" t="str">
            <v>G124773</v>
          </cell>
          <cell r="H302" t="str">
            <v>bestaand</v>
          </cell>
          <cell r="I302" t="str">
            <v>01.01.2013</v>
          </cell>
          <cell r="J302" t="str">
            <v>Yes</v>
          </cell>
          <cell r="K302" t="str">
            <v>Professional</v>
          </cell>
          <cell r="L302" t="str">
            <v>PROLOCK</v>
          </cell>
          <cell r="M302" t="str">
            <v>PROLOCK STEEL PLAFOND SF30</v>
          </cell>
          <cell r="N302" t="str">
            <v>ProLockSteel Plafond Sf 30 300x300</v>
          </cell>
          <cell r="O302" t="str">
            <v>ProLockSteel Plafond Sf 30 300x300</v>
          </cell>
          <cell r="P302" t="str">
            <v>(blanco)</v>
          </cell>
          <cell r="Q302" t="str">
            <v>(blanco)</v>
          </cell>
          <cell r="R302" t="str">
            <v>(blanco)</v>
          </cell>
          <cell r="S302" t="str">
            <v>(blanco)</v>
          </cell>
          <cell r="T302" t="str">
            <v>--</v>
          </cell>
          <cell r="AA302" t="str">
            <v>(blanco)</v>
          </cell>
          <cell r="AC302" t="str">
            <v>(blanco)</v>
          </cell>
          <cell r="AD302" t="str">
            <v>(blanco)</v>
          </cell>
          <cell r="AE302">
            <v>0</v>
          </cell>
          <cell r="AH302" t="str">
            <v>(blanco)</v>
          </cell>
          <cell r="AI302" t="str">
            <v>(blanco)</v>
          </cell>
          <cell r="AJ302" t="str">
            <v>(blanco)</v>
          </cell>
          <cell r="AL302" t="str">
            <v>(blanco)</v>
          </cell>
          <cell r="AM302" t="str">
            <v>(blanco)</v>
          </cell>
          <cell r="AN302" t="str">
            <v>(blanco)</v>
          </cell>
          <cell r="AR302">
            <v>3</v>
          </cell>
          <cell r="AS302">
            <v>3</v>
          </cell>
          <cell r="AT302">
            <v>0</v>
          </cell>
          <cell r="AX302">
            <v>132.88</v>
          </cell>
          <cell r="AY302" t="str">
            <v>01.02.2015</v>
          </cell>
          <cell r="AZ302">
            <v>0</v>
          </cell>
          <cell r="BA302" t="str">
            <v>00.00.0000</v>
          </cell>
          <cell r="BB302" t="str">
            <v>ST</v>
          </cell>
          <cell r="BC302" t="str">
            <v>******</v>
          </cell>
          <cell r="BD302" t="str">
            <v>S</v>
          </cell>
          <cell r="BE302">
            <v>5413218565844</v>
          </cell>
        </row>
        <row r="303">
          <cell r="A303" t="str">
            <v>G124832</v>
          </cell>
          <cell r="B303" t="str">
            <v>G124832</v>
          </cell>
          <cell r="C303" t="str">
            <v>D1DBD15D002D003</v>
          </cell>
          <cell r="D303" t="str">
            <v>Prlock ALU STD 2x12,5 ST</v>
          </cell>
          <cell r="E303" t="str">
            <v>D1DB</v>
          </cell>
          <cell r="F303" t="str">
            <v>Toebehoren Platen *</v>
          </cell>
          <cell r="G303" t="str">
            <v>G124832</v>
          </cell>
          <cell r="H303" t="str">
            <v>bestaand</v>
          </cell>
          <cell r="I303" t="str">
            <v>01.01.2013</v>
          </cell>
          <cell r="J303" t="str">
            <v>Yes</v>
          </cell>
          <cell r="K303" t="str">
            <v>Professional</v>
          </cell>
          <cell r="L303" t="str">
            <v>PROLOCK</v>
          </cell>
          <cell r="M303" t="str">
            <v>PROLOCK ALU STANDAARD DUBBEL</v>
          </cell>
          <cell r="N303" t="str">
            <v>ProLock Alu Std dubbel/double 600x600</v>
          </cell>
          <cell r="O303" t="str">
            <v>ProLock Alu Std dubbel/double 600x600</v>
          </cell>
          <cell r="P303" t="str">
            <v>(blanco)</v>
          </cell>
          <cell r="Q303" t="str">
            <v>(blanco)</v>
          </cell>
          <cell r="R303" t="str">
            <v>(blanco)</v>
          </cell>
          <cell r="S303" t="str">
            <v>(blanco)</v>
          </cell>
          <cell r="T303" t="str">
            <v>--</v>
          </cell>
          <cell r="AA303" t="str">
            <v>(blanco)</v>
          </cell>
          <cell r="AC303" t="str">
            <v>(blanco)</v>
          </cell>
          <cell r="AD303" t="str">
            <v>(blanco)</v>
          </cell>
          <cell r="AE303">
            <v>0</v>
          </cell>
          <cell r="AH303" t="str">
            <v>(blanco)</v>
          </cell>
          <cell r="AI303" t="str">
            <v>(blanco)</v>
          </cell>
          <cell r="AJ303" t="str">
            <v>(blanco)</v>
          </cell>
          <cell r="AL303" t="str">
            <v>(blanco)</v>
          </cell>
          <cell r="AM303" t="str">
            <v>(blanco)</v>
          </cell>
          <cell r="AN303" t="str">
            <v>(blanco)</v>
          </cell>
          <cell r="AR303">
            <v>3.46</v>
          </cell>
          <cell r="AS303">
            <v>3.5</v>
          </cell>
          <cell r="AT303">
            <v>0</v>
          </cell>
          <cell r="AX303">
            <v>106.09</v>
          </cell>
          <cell r="AY303" t="str">
            <v>01.02.2015</v>
          </cell>
          <cell r="AZ303">
            <v>0</v>
          </cell>
          <cell r="BA303" t="str">
            <v>00.00.0000</v>
          </cell>
          <cell r="BB303" t="str">
            <v>ST</v>
          </cell>
          <cell r="BC303" t="str">
            <v>******</v>
          </cell>
          <cell r="BD303">
            <v>3</v>
          </cell>
          <cell r="BE303">
            <v>5413218565837</v>
          </cell>
        </row>
        <row r="304">
          <cell r="A304" t="str">
            <v>G124837</v>
          </cell>
          <cell r="B304" t="str">
            <v>G124837</v>
          </cell>
          <cell r="C304" t="str">
            <v>D1DBD15D002D002</v>
          </cell>
          <cell r="D304" t="str">
            <v>Prlock ALU STD 12,5 ST</v>
          </cell>
          <cell r="E304" t="str">
            <v>D1DB</v>
          </cell>
          <cell r="F304" t="str">
            <v>Toebehoren Platen *</v>
          </cell>
          <cell r="G304" t="str">
            <v>G124837</v>
          </cell>
          <cell r="H304" t="str">
            <v>bestaand</v>
          </cell>
          <cell r="I304" t="str">
            <v>01.01.2013</v>
          </cell>
          <cell r="J304" t="str">
            <v>Yes</v>
          </cell>
          <cell r="K304" t="str">
            <v>Professional</v>
          </cell>
          <cell r="L304" t="str">
            <v>PROLOCK</v>
          </cell>
          <cell r="M304" t="str">
            <v>PROLOCK ALU STANDAARD ENKEL</v>
          </cell>
          <cell r="N304" t="str">
            <v>ProLock Alu Std enkel/simple 1200x600</v>
          </cell>
          <cell r="O304" t="str">
            <v>ProLock Alu Std enkel/simple 1200x600</v>
          </cell>
          <cell r="P304" t="str">
            <v>(blanco)</v>
          </cell>
          <cell r="Q304" t="str">
            <v>(blanco)</v>
          </cell>
          <cell r="R304" t="str">
            <v>(blanco)</v>
          </cell>
          <cell r="S304" t="str">
            <v>(blanco)</v>
          </cell>
          <cell r="T304" t="str">
            <v>--</v>
          </cell>
          <cell r="AA304" t="str">
            <v>(blanco)</v>
          </cell>
          <cell r="AC304" t="str">
            <v>(blanco)</v>
          </cell>
          <cell r="AD304" t="str">
            <v>(blanco)</v>
          </cell>
          <cell r="AE304">
            <v>0</v>
          </cell>
          <cell r="AH304" t="str">
            <v>(blanco)</v>
          </cell>
          <cell r="AI304" t="str">
            <v>(blanco)</v>
          </cell>
          <cell r="AJ304" t="str">
            <v>(blanco)</v>
          </cell>
          <cell r="AL304" t="str">
            <v>(blanco)</v>
          </cell>
          <cell r="AM304" t="str">
            <v>(blanco)</v>
          </cell>
          <cell r="AN304" t="str">
            <v>(blanco)</v>
          </cell>
          <cell r="AR304">
            <v>3</v>
          </cell>
          <cell r="AS304">
            <v>3.43</v>
          </cell>
          <cell r="AT304">
            <v>0</v>
          </cell>
          <cell r="AX304">
            <v>202.53</v>
          </cell>
          <cell r="AY304" t="str">
            <v>01.02.2015</v>
          </cell>
          <cell r="AZ304">
            <v>0</v>
          </cell>
          <cell r="BA304" t="str">
            <v>00.00.0000</v>
          </cell>
          <cell r="BB304" t="str">
            <v>ST</v>
          </cell>
          <cell r="BC304" t="str">
            <v>******</v>
          </cell>
          <cell r="BD304" t="str">
            <v>S</v>
          </cell>
          <cell r="BE304">
            <v>5413218565769</v>
          </cell>
        </row>
        <row r="305">
          <cell r="A305" t="str">
            <v>G124932</v>
          </cell>
          <cell r="B305" t="str">
            <v>G124932</v>
          </cell>
          <cell r="C305" t="str">
            <v>D1DBD15D006D002</v>
          </cell>
          <cell r="D305" t="str">
            <v>ProLock Steel standaard ST</v>
          </cell>
          <cell r="E305" t="str">
            <v>D1DB</v>
          </cell>
          <cell r="F305" t="str">
            <v>Toebehoren Platen *</v>
          </cell>
          <cell r="G305" t="str">
            <v>G124932</v>
          </cell>
          <cell r="H305" t="str">
            <v>bestaand</v>
          </cell>
          <cell r="I305" t="str">
            <v>01.01.2013</v>
          </cell>
          <cell r="J305" t="str">
            <v>Yes</v>
          </cell>
          <cell r="K305" t="str">
            <v>Professional</v>
          </cell>
          <cell r="L305" t="str">
            <v>PROLOCK</v>
          </cell>
          <cell r="M305" t="str">
            <v>PROLOCK STEEL PLAFOND RF60</v>
          </cell>
          <cell r="N305" t="str">
            <v>ProLockSteel Plafond Rf 60 500x500</v>
          </cell>
          <cell r="O305" t="str">
            <v>ProLockSteel Plafond Rf 60 500x500</v>
          </cell>
          <cell r="P305" t="str">
            <v>(blanco)</v>
          </cell>
          <cell r="Q305" t="str">
            <v>(blanco)</v>
          </cell>
          <cell r="R305" t="str">
            <v>(blanco)</v>
          </cell>
          <cell r="S305" t="str">
            <v>(blanco)</v>
          </cell>
          <cell r="T305" t="str">
            <v>--</v>
          </cell>
          <cell r="AA305" t="str">
            <v>(blanco)</v>
          </cell>
          <cell r="AC305" t="str">
            <v>(blanco)</v>
          </cell>
          <cell r="AD305" t="str">
            <v>(blanco)</v>
          </cell>
          <cell r="AE305">
            <v>0</v>
          </cell>
          <cell r="AH305" t="str">
            <v>(blanco)</v>
          </cell>
          <cell r="AI305" t="str">
            <v>(blanco)</v>
          </cell>
          <cell r="AJ305" t="str">
            <v>(blanco)</v>
          </cell>
          <cell r="AL305" t="str">
            <v>(blanco)</v>
          </cell>
          <cell r="AM305" t="str">
            <v>(blanco)</v>
          </cell>
          <cell r="AN305" t="str">
            <v>(blanco)</v>
          </cell>
          <cell r="AR305">
            <v>13</v>
          </cell>
          <cell r="AS305">
            <v>13.1</v>
          </cell>
          <cell r="AT305">
            <v>0</v>
          </cell>
          <cell r="AX305">
            <v>267.89999999999998</v>
          </cell>
          <cell r="AY305" t="str">
            <v>01.02.2015</v>
          </cell>
          <cell r="AZ305">
            <v>0</v>
          </cell>
          <cell r="BA305" t="str">
            <v>00.00.0000</v>
          </cell>
          <cell r="BB305" t="str">
            <v>ST</v>
          </cell>
          <cell r="BC305" t="str">
            <v>******</v>
          </cell>
          <cell r="BD305">
            <v>3</v>
          </cell>
          <cell r="BE305">
            <v>5413218567688</v>
          </cell>
        </row>
        <row r="306">
          <cell r="A306" t="str">
            <v>G124972</v>
          </cell>
          <cell r="B306" t="str">
            <v>G124972</v>
          </cell>
          <cell r="C306" t="str">
            <v>A1ABA35A007A003</v>
          </cell>
          <cell r="D306" t="str">
            <v>Rigidur® Sol 30 M2</v>
          </cell>
          <cell r="E306" t="str">
            <v>A1AB</v>
          </cell>
          <cell r="F306" t="str">
            <v>Technische platen M2</v>
          </cell>
          <cell r="G306" t="str">
            <v>G124972</v>
          </cell>
          <cell r="H306" t="str">
            <v>bestaand</v>
          </cell>
          <cell r="I306" t="str">
            <v>01.01.2013</v>
          </cell>
          <cell r="J306" t="str">
            <v>Yes</v>
          </cell>
          <cell r="K306" t="str">
            <v>Professional</v>
          </cell>
          <cell r="L306" t="str">
            <v>Rigidur</v>
          </cell>
          <cell r="M306" t="str">
            <v>RIGIDUR FLOOR E 30 HF</v>
          </cell>
          <cell r="N306" t="str">
            <v>RIGIDUR VLOERPANEEL E 30 HF DP/48</v>
          </cell>
          <cell r="O306" t="str">
            <v>RIGIDUR VLOERPANEEL E30 HF DP/48</v>
          </cell>
          <cell r="P306" t="str">
            <v>bruin</v>
          </cell>
          <cell r="Q306" t="str">
            <v>brun</v>
          </cell>
          <cell r="R306" t="str">
            <v>bruin</v>
          </cell>
          <cell r="S306" t="str">
            <v>brun</v>
          </cell>
          <cell r="T306" t="str">
            <v>NBN EN 14190:2014</v>
          </cell>
          <cell r="U306" t="str">
            <v>GF-C1-I-W2</v>
          </cell>
          <cell r="V306" t="str">
            <v>RDE</v>
          </cell>
          <cell r="Y306" t="str">
            <v>gipsplaat voor droge binnenafbouw</v>
          </cell>
          <cell r="AA306" t="str">
            <v>B2</v>
          </cell>
          <cell r="AC306" t="str">
            <v>GBC</v>
          </cell>
          <cell r="AD306" t="str">
            <v>ZZB: zichtzijde boven</v>
          </cell>
          <cell r="AE306">
            <v>25</v>
          </cell>
          <cell r="AH306" t="str">
            <v>+/-1</v>
          </cell>
          <cell r="AI306">
            <v>0</v>
          </cell>
          <cell r="AJ306">
            <v>0</v>
          </cell>
          <cell r="AL306" t="str">
            <v>Geen eisen gesteld</v>
          </cell>
          <cell r="AM306" t="str">
            <v>Pas de exigences</v>
          </cell>
          <cell r="AN306" t="str">
            <v>kg/m³</v>
          </cell>
          <cell r="AP306">
            <v>0.35</v>
          </cell>
          <cell r="AQ306">
            <v>0.35</v>
          </cell>
          <cell r="AR306">
            <v>19.600000000000001</v>
          </cell>
          <cell r="AS306">
            <v>19.8</v>
          </cell>
          <cell r="AT306">
            <v>22.5</v>
          </cell>
          <cell r="AU306" t="str">
            <v>CD3</v>
          </cell>
          <cell r="AV306" t="str">
            <v>DP : Duitse Pallet</v>
          </cell>
          <cell r="AW306">
            <v>3</v>
          </cell>
          <cell r="AX306">
            <v>24.71</v>
          </cell>
          <cell r="AY306" t="str">
            <v>01.02.2015</v>
          </cell>
          <cell r="AZ306">
            <v>0</v>
          </cell>
          <cell r="BA306" t="str">
            <v>00.00.0000</v>
          </cell>
          <cell r="BB306" t="str">
            <v>M2</v>
          </cell>
          <cell r="BC306" t="str">
            <v>M2</v>
          </cell>
          <cell r="BD306" t="str">
            <v>S</v>
          </cell>
          <cell r="BE306">
            <v>5413218566766</v>
          </cell>
        </row>
        <row r="307">
          <cell r="A307" t="str">
            <v>G125165</v>
          </cell>
          <cell r="B307" t="str">
            <v>G125165</v>
          </cell>
          <cell r="C307" t="str">
            <v>D1DBD15D002D002</v>
          </cell>
          <cell r="D307" t="str">
            <v>Prlock ALU STD 12,5 ST</v>
          </cell>
          <cell r="E307" t="str">
            <v>D1DB</v>
          </cell>
          <cell r="F307" t="str">
            <v>Toebehoren Platen *</v>
          </cell>
          <cell r="G307" t="str">
            <v>G125165</v>
          </cell>
          <cell r="H307" t="str">
            <v>bestaand</v>
          </cell>
          <cell r="I307" t="str">
            <v>01.01.2013</v>
          </cell>
          <cell r="J307" t="str">
            <v>Yes</v>
          </cell>
          <cell r="K307" t="str">
            <v>Professional</v>
          </cell>
          <cell r="L307" t="str">
            <v>PROLOCK</v>
          </cell>
          <cell r="M307" t="str">
            <v>PROLOCK ALU STANDAARD ENKEL</v>
          </cell>
          <cell r="N307" t="str">
            <v>ProLock Alu Std enkel/simple 600x800</v>
          </cell>
          <cell r="O307" t="str">
            <v>ProLock Alu Std enkel/simple 600x800</v>
          </cell>
          <cell r="P307" t="str">
            <v>(blanco)</v>
          </cell>
          <cell r="Q307" t="str">
            <v>(blanco)</v>
          </cell>
          <cell r="R307" t="str">
            <v>(blanco)</v>
          </cell>
          <cell r="S307" t="str">
            <v>(blanco)</v>
          </cell>
          <cell r="T307" t="str">
            <v>--</v>
          </cell>
          <cell r="AA307" t="str">
            <v>(blanco)</v>
          </cell>
          <cell r="AC307" t="str">
            <v>(blanco)</v>
          </cell>
          <cell r="AD307" t="str">
            <v>(blanco)</v>
          </cell>
          <cell r="AE307">
            <v>0</v>
          </cell>
          <cell r="AH307" t="str">
            <v>(blanco)</v>
          </cell>
          <cell r="AI307" t="str">
            <v>(blanco)</v>
          </cell>
          <cell r="AJ307" t="str">
            <v>(blanco)</v>
          </cell>
          <cell r="AL307" t="str">
            <v>(blanco)</v>
          </cell>
          <cell r="AM307" t="str">
            <v>(blanco)</v>
          </cell>
          <cell r="AN307" t="str">
            <v>(blanco)</v>
          </cell>
          <cell r="AR307">
            <v>13</v>
          </cell>
          <cell r="AS307">
            <v>13.1</v>
          </cell>
          <cell r="AT307">
            <v>0</v>
          </cell>
          <cell r="AX307">
            <v>143.6</v>
          </cell>
          <cell r="AY307" t="str">
            <v>01.02.2015</v>
          </cell>
          <cell r="AZ307">
            <v>0</v>
          </cell>
          <cell r="BA307" t="str">
            <v>00.00.0000</v>
          </cell>
          <cell r="BB307" t="str">
            <v>ST</v>
          </cell>
          <cell r="BC307" t="str">
            <v>******</v>
          </cell>
          <cell r="BD307">
            <v>3</v>
          </cell>
          <cell r="BE307">
            <v>5413218565752</v>
          </cell>
        </row>
        <row r="308">
          <cell r="A308" t="str">
            <v>G125245</v>
          </cell>
          <cell r="B308" t="str">
            <v>G125245</v>
          </cell>
          <cell r="C308" t="str">
            <v>D1DBD15D006D002</v>
          </cell>
          <cell r="D308" t="str">
            <v>ProLock Steel standaard ST</v>
          </cell>
          <cell r="E308" t="str">
            <v>D1DB</v>
          </cell>
          <cell r="F308" t="str">
            <v>Toebehoren Platen *</v>
          </cell>
          <cell r="G308" t="str">
            <v>G125245</v>
          </cell>
          <cell r="H308" t="str">
            <v>bestaand</v>
          </cell>
          <cell r="I308" t="str">
            <v>01.01.2013</v>
          </cell>
          <cell r="J308" t="str">
            <v>Yes</v>
          </cell>
          <cell r="K308" t="str">
            <v>Professional</v>
          </cell>
          <cell r="L308" t="str">
            <v>PROLOCK</v>
          </cell>
          <cell r="M308" t="str">
            <v>PROLOCK STEEL PLAFOND SF30</v>
          </cell>
          <cell r="N308" t="str">
            <v>ProLockSteel Plafond Sf 30 500x500</v>
          </cell>
          <cell r="O308" t="str">
            <v>ProLockSteel Plafond Sf 30 500x500</v>
          </cell>
          <cell r="P308" t="str">
            <v>(blanco)</v>
          </cell>
          <cell r="Q308" t="str">
            <v>(blanco)</v>
          </cell>
          <cell r="R308" t="str">
            <v>(blanco)</v>
          </cell>
          <cell r="S308" t="str">
            <v>(blanco)</v>
          </cell>
          <cell r="T308" t="str">
            <v>--</v>
          </cell>
          <cell r="AA308" t="str">
            <v>(blanco)</v>
          </cell>
          <cell r="AC308" t="str">
            <v>(blanco)</v>
          </cell>
          <cell r="AD308" t="str">
            <v>(blanco)</v>
          </cell>
          <cell r="AE308">
            <v>0</v>
          </cell>
          <cell r="AH308" t="str">
            <v>(blanco)</v>
          </cell>
          <cell r="AI308" t="str">
            <v>(blanco)</v>
          </cell>
          <cell r="AJ308" t="str">
            <v>(blanco)</v>
          </cell>
          <cell r="AL308" t="str">
            <v>(blanco)</v>
          </cell>
          <cell r="AM308" t="str">
            <v>(blanco)</v>
          </cell>
          <cell r="AN308" t="str">
            <v>(blanco)</v>
          </cell>
          <cell r="AR308">
            <v>3</v>
          </cell>
          <cell r="AS308">
            <v>3.5</v>
          </cell>
          <cell r="AT308">
            <v>0</v>
          </cell>
          <cell r="AX308">
            <v>150.02000000000001</v>
          </cell>
          <cell r="AY308" t="str">
            <v>01.02.2015</v>
          </cell>
          <cell r="AZ308">
            <v>0</v>
          </cell>
          <cell r="BA308" t="str">
            <v>00.00.0000</v>
          </cell>
          <cell r="BB308" t="str">
            <v>ST</v>
          </cell>
          <cell r="BC308" t="str">
            <v>******</v>
          </cell>
          <cell r="BD308" t="str">
            <v>S</v>
          </cell>
          <cell r="BE308">
            <v>5413218565868</v>
          </cell>
        </row>
        <row r="309">
          <cell r="A309" t="str">
            <v>G125486</v>
          </cell>
          <cell r="B309" t="str">
            <v>G125486</v>
          </cell>
          <cell r="C309" t="str">
            <v>D1DBD15D006D002</v>
          </cell>
          <cell r="D309" t="str">
            <v>ProLock Steel standaard ST</v>
          </cell>
          <cell r="E309" t="str">
            <v>D1DB</v>
          </cell>
          <cell r="F309" t="str">
            <v>Toebehoren Platen *</v>
          </cell>
          <cell r="G309" t="str">
            <v>G125486</v>
          </cell>
          <cell r="H309" t="str">
            <v>bestaand</v>
          </cell>
          <cell r="I309" t="str">
            <v>01.01.2013</v>
          </cell>
          <cell r="J309" t="str">
            <v>Yes</v>
          </cell>
          <cell r="K309" t="str">
            <v>Professional</v>
          </cell>
          <cell r="L309" t="str">
            <v>PROLOCK</v>
          </cell>
          <cell r="M309" t="str">
            <v>PROLOCK STEEL PLAFOND RF30</v>
          </cell>
          <cell r="N309" t="str">
            <v>ProLockSteel Plafond Rf 30 500x500</v>
          </cell>
          <cell r="O309" t="str">
            <v>ProLockSteel Plafond Rf 30 500x500</v>
          </cell>
          <cell r="P309" t="str">
            <v>(blanco)</v>
          </cell>
          <cell r="Q309" t="str">
            <v>(blanco)</v>
          </cell>
          <cell r="R309" t="str">
            <v>(blanco)</v>
          </cell>
          <cell r="S309" t="str">
            <v>(blanco)</v>
          </cell>
          <cell r="T309" t="str">
            <v>--</v>
          </cell>
          <cell r="AA309" t="str">
            <v>(blanco)</v>
          </cell>
          <cell r="AC309" t="str">
            <v>(blanco)</v>
          </cell>
          <cell r="AD309" t="str">
            <v>(blanco)</v>
          </cell>
          <cell r="AE309">
            <v>0</v>
          </cell>
          <cell r="AH309" t="str">
            <v>(blanco)</v>
          </cell>
          <cell r="AI309" t="str">
            <v>(blanco)</v>
          </cell>
          <cell r="AJ309" t="str">
            <v>(blanco)</v>
          </cell>
          <cell r="AL309" t="str">
            <v>(blanco)</v>
          </cell>
          <cell r="AM309" t="str">
            <v>(blanco)</v>
          </cell>
          <cell r="AN309" t="str">
            <v>(blanco)</v>
          </cell>
          <cell r="AR309">
            <v>3</v>
          </cell>
          <cell r="AS309">
            <v>3.43</v>
          </cell>
          <cell r="AT309">
            <v>0</v>
          </cell>
          <cell r="AX309">
            <v>219.68</v>
          </cell>
          <cell r="AY309" t="str">
            <v>01.02.2015</v>
          </cell>
          <cell r="AZ309">
            <v>0</v>
          </cell>
          <cell r="BA309" t="str">
            <v>00.00.0000</v>
          </cell>
          <cell r="BB309" t="str">
            <v>ST</v>
          </cell>
          <cell r="BC309" t="str">
            <v>******</v>
          </cell>
          <cell r="BD309">
            <v>3</v>
          </cell>
          <cell r="BE309">
            <v>5413218567633</v>
          </cell>
        </row>
        <row r="310">
          <cell r="A310" t="str">
            <v>G125596</v>
          </cell>
          <cell r="B310" t="str">
            <v>G125596</v>
          </cell>
          <cell r="C310" t="str">
            <v>D1DBD15D006D002</v>
          </cell>
          <cell r="D310" t="str">
            <v>ProLock Steel standaard ST</v>
          </cell>
          <cell r="E310" t="str">
            <v>D1DB</v>
          </cell>
          <cell r="F310" t="str">
            <v>Toebehoren Platen *</v>
          </cell>
          <cell r="G310" t="str">
            <v>G125596</v>
          </cell>
          <cell r="H310" t="str">
            <v>bestaand</v>
          </cell>
          <cell r="I310" t="str">
            <v>01.01.2013</v>
          </cell>
          <cell r="J310" t="str">
            <v>Yes</v>
          </cell>
          <cell r="K310" t="str">
            <v>Professional</v>
          </cell>
          <cell r="L310" t="str">
            <v>PROLOCK</v>
          </cell>
          <cell r="M310" t="str">
            <v>PROLOCK STEEL PLAFOND SF30</v>
          </cell>
          <cell r="N310" t="str">
            <v>ProLockSteel Plafond Sf 30 200x200</v>
          </cell>
          <cell r="O310" t="str">
            <v>ProLockSteel Plafond Sf 30 200x200</v>
          </cell>
          <cell r="P310" t="str">
            <v>(blanco)</v>
          </cell>
          <cell r="Q310" t="str">
            <v>(blanco)</v>
          </cell>
          <cell r="R310" t="str">
            <v>(blanco)</v>
          </cell>
          <cell r="S310" t="str">
            <v>(blanco)</v>
          </cell>
          <cell r="T310" t="str">
            <v>--</v>
          </cell>
          <cell r="AA310" t="str">
            <v>(blanco)</v>
          </cell>
          <cell r="AC310" t="str">
            <v>(blanco)</v>
          </cell>
          <cell r="AD310" t="str">
            <v>(blanco)</v>
          </cell>
          <cell r="AE310">
            <v>0</v>
          </cell>
          <cell r="AH310" t="str">
            <v>(blanco)</v>
          </cell>
          <cell r="AI310" t="str">
            <v>(blanco)</v>
          </cell>
          <cell r="AJ310" t="str">
            <v>(blanco)</v>
          </cell>
          <cell r="AL310" t="str">
            <v>(blanco)</v>
          </cell>
          <cell r="AM310" t="str">
            <v>(blanco)</v>
          </cell>
          <cell r="AN310" t="str">
            <v>(blanco)</v>
          </cell>
          <cell r="AR310">
            <v>3</v>
          </cell>
          <cell r="AS310">
            <v>3.15</v>
          </cell>
          <cell r="AT310">
            <v>0</v>
          </cell>
          <cell r="AX310">
            <v>124.31</v>
          </cell>
          <cell r="AY310" t="str">
            <v>01.02.2015</v>
          </cell>
          <cell r="AZ310">
            <v>0</v>
          </cell>
          <cell r="BA310" t="str">
            <v>00.00.0000</v>
          </cell>
          <cell r="BB310" t="str">
            <v>ST</v>
          </cell>
          <cell r="BC310" t="str">
            <v>******</v>
          </cell>
          <cell r="BD310">
            <v>3</v>
          </cell>
          <cell r="BE310">
            <v>5413218567596</v>
          </cell>
        </row>
        <row r="311">
          <cell r="A311" t="str">
            <v>G125623</v>
          </cell>
          <cell r="B311" t="str">
            <v>G125623</v>
          </cell>
          <cell r="C311" t="str">
            <v>D9DAD01D009D001</v>
          </cell>
          <cell r="D311" t="str">
            <v>Colle Rigidur KG</v>
          </cell>
          <cell r="E311" t="str">
            <v>D9DA</v>
          </cell>
          <cell r="F311" t="str">
            <v>Andere Lijmen KG</v>
          </cell>
          <cell r="G311" t="str">
            <v>G125623</v>
          </cell>
          <cell r="H311" t="str">
            <v>bestaand</v>
          </cell>
          <cell r="I311" t="str">
            <v>01.01.2013</v>
          </cell>
          <cell r="J311" t="str">
            <v>Yes</v>
          </cell>
          <cell r="K311" t="str">
            <v>Professional</v>
          </cell>
          <cell r="L311" t="str">
            <v>Rigidur</v>
          </cell>
          <cell r="M311" t="str">
            <v>RIGIDUR NATURE LINE</v>
          </cell>
          <cell r="N311" t="str">
            <v>RIGIDUR NATURE LINE LIJM 1 KG</v>
          </cell>
          <cell r="O311" t="str">
            <v>RIGIDUR NATURE LINE LIJM 1 KG</v>
          </cell>
          <cell r="P311" t="str">
            <v>(blanco)</v>
          </cell>
          <cell r="Q311" t="str">
            <v>(blanco)</v>
          </cell>
          <cell r="R311" t="str">
            <v>(blanco)</v>
          </cell>
          <cell r="S311" t="str">
            <v>(blanco)</v>
          </cell>
          <cell r="T311" t="str">
            <v>--</v>
          </cell>
          <cell r="AC311" t="str">
            <v>(blanco)</v>
          </cell>
          <cell r="AD311" t="str">
            <v>(blanco)</v>
          </cell>
          <cell r="AH311" t="str">
            <v>(blanco)</v>
          </cell>
          <cell r="AI311" t="str">
            <v>(blanco)</v>
          </cell>
          <cell r="AJ311" t="str">
            <v>(blanco)</v>
          </cell>
          <cell r="AL311" t="str">
            <v>(blanco)</v>
          </cell>
          <cell r="AM311" t="str">
            <v>(blanco)</v>
          </cell>
          <cell r="AN311" t="str">
            <v>(blanco)</v>
          </cell>
          <cell r="AP311">
            <v>0</v>
          </cell>
          <cell r="AR311">
            <v>1</v>
          </cell>
          <cell r="AS311">
            <v>1.05</v>
          </cell>
          <cell r="AT311">
            <v>0</v>
          </cell>
          <cell r="AX311">
            <v>16.489999999999998</v>
          </cell>
          <cell r="AY311" t="str">
            <v>01.02.2015</v>
          </cell>
          <cell r="AZ311">
            <v>0</v>
          </cell>
          <cell r="BA311" t="str">
            <v>00.00.0000</v>
          </cell>
          <cell r="BB311" t="str">
            <v>ST</v>
          </cell>
          <cell r="BC311" t="str">
            <v>******</v>
          </cell>
          <cell r="BD311" t="str">
            <v>S</v>
          </cell>
          <cell r="BE311">
            <v>5413218566780</v>
          </cell>
        </row>
        <row r="312">
          <cell r="A312" t="str">
            <v>G125762</v>
          </cell>
          <cell r="B312" t="str">
            <v>G125762</v>
          </cell>
          <cell r="C312" t="str">
            <v>D1DGD01D005D002</v>
          </cell>
          <cell r="D312" t="str">
            <v>BETONGRIP EASY 15 L L</v>
          </cell>
          <cell r="E312" t="str">
            <v>D1DG</v>
          </cell>
          <cell r="F312" t="str">
            <v>Toebehoren Pleister *</v>
          </cell>
          <cell r="G312" t="str">
            <v>G125762</v>
          </cell>
          <cell r="H312" t="str">
            <v>bestaand</v>
          </cell>
          <cell r="I312" t="str">
            <v>01.01.2013</v>
          </cell>
          <cell r="J312" t="str">
            <v>Yes</v>
          </cell>
          <cell r="K312" t="str">
            <v>Prof + Pleis</v>
          </cell>
          <cell r="L312" t="str">
            <v>Gyproc</v>
          </cell>
          <cell r="M312" t="str">
            <v>BETONGRIP EASY</v>
          </cell>
          <cell r="N312" t="str">
            <v>BETONGRIP EASY 15 L EP/12</v>
          </cell>
          <cell r="O312" t="str">
            <v>BETONGRIP EASY 15 L EP/12</v>
          </cell>
          <cell r="P312" t="str">
            <v>(blanco)</v>
          </cell>
          <cell r="Q312" t="str">
            <v>(blanco)</v>
          </cell>
          <cell r="R312" t="str">
            <v>(blanco)</v>
          </cell>
          <cell r="S312" t="str">
            <v>(blanco)</v>
          </cell>
          <cell r="T312" t="str">
            <v>--</v>
          </cell>
          <cell r="AA312" t="str">
            <v>(blanco)</v>
          </cell>
          <cell r="AC312" t="str">
            <v>(blanco)</v>
          </cell>
          <cell r="AD312" t="str">
            <v>(blanco)</v>
          </cell>
          <cell r="AH312" t="str">
            <v>(blanco)</v>
          </cell>
          <cell r="AI312" t="str">
            <v>(blanco)</v>
          </cell>
          <cell r="AJ312" t="str">
            <v>(blanco)</v>
          </cell>
          <cell r="AL312" t="str">
            <v>1,01</v>
          </cell>
          <cell r="AM312" t="str">
            <v>1,01</v>
          </cell>
          <cell r="AN312" t="str">
            <v>kg/l</v>
          </cell>
          <cell r="AR312">
            <v>1.01</v>
          </cell>
          <cell r="AS312">
            <v>1.05</v>
          </cell>
          <cell r="AT312">
            <v>0</v>
          </cell>
          <cell r="AV312" t="str">
            <v>EP : Euro Pallet</v>
          </cell>
          <cell r="AW312">
            <v>2</v>
          </cell>
          <cell r="AX312">
            <v>3.46</v>
          </cell>
          <cell r="AY312" t="str">
            <v>01.02.2015</v>
          </cell>
          <cell r="AZ312">
            <v>0</v>
          </cell>
          <cell r="BA312" t="str">
            <v>00.00.0000</v>
          </cell>
          <cell r="BB312" t="str">
            <v>L</v>
          </cell>
          <cell r="BC312" t="str">
            <v>L</v>
          </cell>
          <cell r="BD312" t="str">
            <v>S</v>
          </cell>
          <cell r="BE312">
            <v>5413218550000</v>
          </cell>
        </row>
        <row r="313">
          <cell r="A313" t="str">
            <v>G125763</v>
          </cell>
          <cell r="B313" t="str">
            <v>G125763</v>
          </cell>
          <cell r="C313" t="str">
            <v>D1DGD01D005D002</v>
          </cell>
          <cell r="D313" t="str">
            <v>BETONGRIP EASY 15 L L</v>
          </cell>
          <cell r="E313" t="str">
            <v>D1DG</v>
          </cell>
          <cell r="F313" t="str">
            <v>Toebehoren Pleister *</v>
          </cell>
          <cell r="G313" t="str">
            <v>G125763</v>
          </cell>
          <cell r="H313" t="str">
            <v>bestaand</v>
          </cell>
          <cell r="I313" t="str">
            <v>01.01.2013</v>
          </cell>
          <cell r="J313" t="str">
            <v>Yes</v>
          </cell>
          <cell r="K313" t="str">
            <v>Prof + Pleis</v>
          </cell>
          <cell r="L313" t="str">
            <v>Gyproc</v>
          </cell>
          <cell r="M313" t="str">
            <v>BETONGRIP EASY</v>
          </cell>
          <cell r="N313" t="str">
            <v>BETONGRIP EASY 15 L EP/24</v>
          </cell>
          <cell r="O313" t="str">
            <v>BETONGRIP EASY 15 L EP/24</v>
          </cell>
          <cell r="P313" t="str">
            <v>(blanco)</v>
          </cell>
          <cell r="Q313" t="str">
            <v>(blanco)</v>
          </cell>
          <cell r="R313" t="str">
            <v>(blanco)</v>
          </cell>
          <cell r="S313" t="str">
            <v>(blanco)</v>
          </cell>
          <cell r="T313" t="str">
            <v>--</v>
          </cell>
          <cell r="AA313" t="str">
            <v>(blanco)</v>
          </cell>
          <cell r="AC313" t="str">
            <v>(blanco)</v>
          </cell>
          <cell r="AD313" t="str">
            <v>(blanco)</v>
          </cell>
          <cell r="AH313" t="str">
            <v>(blanco)</v>
          </cell>
          <cell r="AI313" t="str">
            <v>(blanco)</v>
          </cell>
          <cell r="AJ313" t="str">
            <v>(blanco)</v>
          </cell>
          <cell r="AL313" t="str">
            <v>1,01</v>
          </cell>
          <cell r="AM313" t="str">
            <v>1,01</v>
          </cell>
          <cell r="AN313" t="str">
            <v>kg/l</v>
          </cell>
          <cell r="AR313">
            <v>1.01</v>
          </cell>
          <cell r="AS313">
            <v>1.05</v>
          </cell>
          <cell r="AT313">
            <v>0</v>
          </cell>
          <cell r="AV313" t="str">
            <v>EP : Euro Pallet</v>
          </cell>
          <cell r="AW313">
            <v>2</v>
          </cell>
          <cell r="AX313">
            <v>3.29</v>
          </cell>
          <cell r="AY313" t="str">
            <v>01.02.2015</v>
          </cell>
          <cell r="AZ313">
            <v>0</v>
          </cell>
          <cell r="BA313" t="str">
            <v>00.00.0000</v>
          </cell>
          <cell r="BB313" t="str">
            <v>L</v>
          </cell>
          <cell r="BC313" t="str">
            <v>L</v>
          </cell>
          <cell r="BD313" t="str">
            <v>S</v>
          </cell>
          <cell r="BE313">
            <v>5413218550000</v>
          </cell>
        </row>
        <row r="314">
          <cell r="A314" t="str">
            <v>G125811</v>
          </cell>
          <cell r="B314" t="str">
            <v>G125811</v>
          </cell>
          <cell r="C314" t="str">
            <v>D1DBD15D006D002</v>
          </cell>
          <cell r="D314" t="str">
            <v>ProLock Steel standaard ST</v>
          </cell>
          <cell r="E314" t="str">
            <v>D1DB</v>
          </cell>
          <cell r="F314" t="str">
            <v>Toebehoren Platen *</v>
          </cell>
          <cell r="G314" t="str">
            <v>G125811</v>
          </cell>
          <cell r="H314" t="str">
            <v>bestaand</v>
          </cell>
          <cell r="I314" t="str">
            <v>01.01.2013</v>
          </cell>
          <cell r="J314" t="str">
            <v>Yes</v>
          </cell>
          <cell r="K314" t="str">
            <v>Professional</v>
          </cell>
          <cell r="L314" t="str">
            <v>PROLOCK</v>
          </cell>
          <cell r="M314" t="str">
            <v>PROLOCK STEEL RF 30 WAND</v>
          </cell>
          <cell r="N314" t="str">
            <v>ProLockSteel Wand/Cloison Rf30 200x200</v>
          </cell>
          <cell r="O314" t="str">
            <v>ProLockSteel Wand/Cloison Rf30 200x200</v>
          </cell>
          <cell r="P314" t="str">
            <v>(blanco)</v>
          </cell>
          <cell r="Q314" t="str">
            <v>(blanco)</v>
          </cell>
          <cell r="R314" t="str">
            <v>(blanco)</v>
          </cell>
          <cell r="S314" t="str">
            <v>(blanco)</v>
          </cell>
          <cell r="T314" t="str">
            <v>--</v>
          </cell>
          <cell r="AA314" t="str">
            <v>(blanco)</v>
          </cell>
          <cell r="AC314" t="str">
            <v>(blanco)</v>
          </cell>
          <cell r="AD314" t="str">
            <v>(blanco)</v>
          </cell>
          <cell r="AE314">
            <v>0</v>
          </cell>
          <cell r="AH314" t="str">
            <v>(blanco)</v>
          </cell>
          <cell r="AI314" t="str">
            <v>(blanco)</v>
          </cell>
          <cell r="AJ314" t="str">
            <v>(blanco)</v>
          </cell>
          <cell r="AL314" t="str">
            <v>(blanco)</v>
          </cell>
          <cell r="AM314" t="str">
            <v>(blanco)</v>
          </cell>
          <cell r="AN314" t="str">
            <v>(blanco)</v>
          </cell>
          <cell r="AR314">
            <v>3.46</v>
          </cell>
          <cell r="AS314">
            <v>3.5</v>
          </cell>
          <cell r="AT314">
            <v>0</v>
          </cell>
          <cell r="AX314">
            <v>106.09</v>
          </cell>
          <cell r="AY314" t="str">
            <v>01.02.2015</v>
          </cell>
          <cell r="AZ314">
            <v>0</v>
          </cell>
          <cell r="BA314" t="str">
            <v>00.00.0000</v>
          </cell>
          <cell r="BB314" t="str">
            <v>ST</v>
          </cell>
          <cell r="BC314" t="str">
            <v>******</v>
          </cell>
          <cell r="BD314">
            <v>3</v>
          </cell>
          <cell r="BE314">
            <v>5413218567336</v>
          </cell>
        </row>
        <row r="315">
          <cell r="A315" t="str">
            <v>G125812</v>
          </cell>
          <cell r="B315" t="str">
            <v>G125812</v>
          </cell>
          <cell r="C315" t="str">
            <v>D1DBD15D006D002</v>
          </cell>
          <cell r="D315" t="str">
            <v>ProLock Steel standaard ST</v>
          </cell>
          <cell r="E315" t="str">
            <v>D1DB</v>
          </cell>
          <cell r="F315" t="str">
            <v>Toebehoren Platen *</v>
          </cell>
          <cell r="G315" t="str">
            <v>G125812</v>
          </cell>
          <cell r="H315" t="str">
            <v>bestaand</v>
          </cell>
          <cell r="I315" t="str">
            <v>01.01.2013</v>
          </cell>
          <cell r="J315" t="str">
            <v>Yes</v>
          </cell>
          <cell r="K315" t="str">
            <v>Professional</v>
          </cell>
          <cell r="L315" t="str">
            <v>PROLOCK</v>
          </cell>
          <cell r="M315" t="str">
            <v>PROLOCK STEEL RF 30 WAND</v>
          </cell>
          <cell r="N315" t="str">
            <v>ProLockSteel Wand/Cloison Rf30 300x300</v>
          </cell>
          <cell r="O315" t="str">
            <v>ProLockSteel Wand/Cloison Rf30 300x300</v>
          </cell>
          <cell r="P315" t="str">
            <v>(blanco)</v>
          </cell>
          <cell r="Q315" t="str">
            <v>(blanco)</v>
          </cell>
          <cell r="R315" t="str">
            <v>(blanco)</v>
          </cell>
          <cell r="S315" t="str">
            <v>(blanco)</v>
          </cell>
          <cell r="T315" t="str">
            <v>--</v>
          </cell>
          <cell r="AA315" t="str">
            <v>(blanco)</v>
          </cell>
          <cell r="AC315" t="str">
            <v>(blanco)</v>
          </cell>
          <cell r="AD315" t="str">
            <v>(blanco)</v>
          </cell>
          <cell r="AE315">
            <v>0</v>
          </cell>
          <cell r="AH315" t="str">
            <v>(blanco)</v>
          </cell>
          <cell r="AI315" t="str">
            <v>(blanco)</v>
          </cell>
          <cell r="AJ315" t="str">
            <v>(blanco)</v>
          </cell>
          <cell r="AL315" t="str">
            <v>(blanco)</v>
          </cell>
          <cell r="AM315" t="str">
            <v>(blanco)</v>
          </cell>
          <cell r="AN315" t="str">
            <v>(blanco)</v>
          </cell>
          <cell r="AR315">
            <v>3.46</v>
          </cell>
          <cell r="AS315">
            <v>3.5</v>
          </cell>
          <cell r="AT315">
            <v>0</v>
          </cell>
          <cell r="AX315">
            <v>117.88</v>
          </cell>
          <cell r="AY315" t="str">
            <v>01.02.2015</v>
          </cell>
          <cell r="AZ315">
            <v>0</v>
          </cell>
          <cell r="BA315" t="str">
            <v>00.00.0000</v>
          </cell>
          <cell r="BB315" t="str">
            <v>ST</v>
          </cell>
          <cell r="BC315" t="str">
            <v>******</v>
          </cell>
          <cell r="BD315">
            <v>3</v>
          </cell>
          <cell r="BE315">
            <v>5413218567343</v>
          </cell>
        </row>
        <row r="316">
          <cell r="A316" t="str">
            <v>G125814</v>
          </cell>
          <cell r="B316" t="str">
            <v>G125814</v>
          </cell>
          <cell r="C316" t="str">
            <v>D1DBD15D006D002</v>
          </cell>
          <cell r="D316" t="str">
            <v>ProLock Steel standaard ST</v>
          </cell>
          <cell r="E316" t="str">
            <v>D1DB</v>
          </cell>
          <cell r="F316" t="str">
            <v>Toebehoren Platen *</v>
          </cell>
          <cell r="G316" t="str">
            <v>G125814</v>
          </cell>
          <cell r="H316" t="str">
            <v>bestaand</v>
          </cell>
          <cell r="I316" t="str">
            <v>01.01.2013</v>
          </cell>
          <cell r="J316" t="str">
            <v>Yes</v>
          </cell>
          <cell r="K316" t="str">
            <v>Professional</v>
          </cell>
          <cell r="L316" t="str">
            <v>PROLOCK</v>
          </cell>
          <cell r="M316" t="str">
            <v>PROLOCK STEEL PLAFOND RF60</v>
          </cell>
          <cell r="N316" t="str">
            <v>ProLockSteel Plafond Rf 60 600x800</v>
          </cell>
          <cell r="O316" t="str">
            <v>ProLockSteel Plafond Rf 60 600x800</v>
          </cell>
          <cell r="P316" t="str">
            <v>(blanco)</v>
          </cell>
          <cell r="Q316" t="str">
            <v>(blanco)</v>
          </cell>
          <cell r="R316" t="str">
            <v>(blanco)</v>
          </cell>
          <cell r="S316" t="str">
            <v>(blanco)</v>
          </cell>
          <cell r="T316" t="str">
            <v>--</v>
          </cell>
          <cell r="AA316" t="str">
            <v>(blanco)</v>
          </cell>
          <cell r="AC316" t="str">
            <v>(blanco)</v>
          </cell>
          <cell r="AD316" t="str">
            <v>(blanco)</v>
          </cell>
          <cell r="AE316">
            <v>0</v>
          </cell>
          <cell r="AH316" t="str">
            <v>(blanco)</v>
          </cell>
          <cell r="AI316" t="str">
            <v>(blanco)</v>
          </cell>
          <cell r="AJ316" t="str">
            <v>(blanco)</v>
          </cell>
          <cell r="AL316" t="str">
            <v>(blanco)</v>
          </cell>
          <cell r="AM316" t="str">
            <v>(blanco)</v>
          </cell>
          <cell r="AN316" t="str">
            <v>(blanco)</v>
          </cell>
          <cell r="AR316">
            <v>3.6</v>
          </cell>
          <cell r="AS316">
            <v>3.65</v>
          </cell>
          <cell r="AT316">
            <v>0</v>
          </cell>
          <cell r="AX316">
            <v>372.92</v>
          </cell>
          <cell r="AY316" t="str">
            <v>01.02.2015</v>
          </cell>
          <cell r="AZ316">
            <v>0</v>
          </cell>
          <cell r="BA316" t="str">
            <v>00.00.0000</v>
          </cell>
          <cell r="BB316" t="str">
            <v>ST</v>
          </cell>
          <cell r="BC316" t="str">
            <v>******</v>
          </cell>
          <cell r="BD316">
            <v>3</v>
          </cell>
          <cell r="BE316">
            <v>5413218567701</v>
          </cell>
        </row>
        <row r="317">
          <cell r="A317" t="str">
            <v>G125815</v>
          </cell>
          <cell r="B317" t="str">
            <v>G125815</v>
          </cell>
          <cell r="C317" t="str">
            <v>D1DBD15D006D002</v>
          </cell>
          <cell r="D317" t="str">
            <v>ProLock Steel standaard ST</v>
          </cell>
          <cell r="E317" t="str">
            <v>D1DB</v>
          </cell>
          <cell r="F317" t="str">
            <v>Toebehoren Platen *</v>
          </cell>
          <cell r="G317" t="str">
            <v>G125815</v>
          </cell>
          <cell r="H317" t="str">
            <v>bestaand</v>
          </cell>
          <cell r="I317" t="str">
            <v>01.01.2013</v>
          </cell>
          <cell r="J317" t="str">
            <v>Yes</v>
          </cell>
          <cell r="K317" t="str">
            <v>Professional</v>
          </cell>
          <cell r="L317" t="str">
            <v>PROLOCK</v>
          </cell>
          <cell r="M317" t="str">
            <v>PROLOCK STEEL PLAFOND RF60</v>
          </cell>
          <cell r="N317" t="str">
            <v>ProLockSteel Plafond Rf 60 800x800</v>
          </cell>
          <cell r="O317" t="str">
            <v>ProLockSteel Plafond Rf 60 800x800</v>
          </cell>
          <cell r="P317" t="str">
            <v>(blanco)</v>
          </cell>
          <cell r="Q317" t="str">
            <v>(blanco)</v>
          </cell>
          <cell r="R317" t="str">
            <v>(blanco)</v>
          </cell>
          <cell r="S317" t="str">
            <v>(blanco)</v>
          </cell>
          <cell r="T317" t="str">
            <v>--</v>
          </cell>
          <cell r="AA317" t="str">
            <v>(blanco)</v>
          </cell>
          <cell r="AC317" t="str">
            <v>(blanco)</v>
          </cell>
          <cell r="AD317" t="str">
            <v>(blanco)</v>
          </cell>
          <cell r="AE317">
            <v>0</v>
          </cell>
          <cell r="AH317" t="str">
            <v>(blanco)</v>
          </cell>
          <cell r="AI317" t="str">
            <v>(blanco)</v>
          </cell>
          <cell r="AJ317" t="str">
            <v>(blanco)</v>
          </cell>
          <cell r="AL317" t="str">
            <v>(blanco)</v>
          </cell>
          <cell r="AM317" t="str">
            <v>(blanco)</v>
          </cell>
          <cell r="AN317" t="str">
            <v>(blanco)</v>
          </cell>
          <cell r="AR317">
            <v>3.6</v>
          </cell>
          <cell r="AS317">
            <v>3.65</v>
          </cell>
          <cell r="AT317">
            <v>0</v>
          </cell>
          <cell r="AX317">
            <v>385.78</v>
          </cell>
          <cell r="AY317" t="str">
            <v>01.02.2015</v>
          </cell>
          <cell r="AZ317">
            <v>0</v>
          </cell>
          <cell r="BA317" t="str">
            <v>00.00.0000</v>
          </cell>
          <cell r="BB317" t="str">
            <v>ST</v>
          </cell>
          <cell r="BC317" t="str">
            <v>******</v>
          </cell>
          <cell r="BD317">
            <v>3</v>
          </cell>
          <cell r="BE317">
            <v>5413218567718</v>
          </cell>
        </row>
        <row r="318">
          <cell r="A318" t="str">
            <v>G125818</v>
          </cell>
          <cell r="B318" t="str">
            <v>G125818</v>
          </cell>
          <cell r="C318" t="str">
            <v>D1DBD15D006D002</v>
          </cell>
          <cell r="D318" t="str">
            <v>ProLock Steel standaard ST</v>
          </cell>
          <cell r="E318" t="str">
            <v>D1DB</v>
          </cell>
          <cell r="F318" t="str">
            <v>Toebehoren Platen *</v>
          </cell>
          <cell r="G318" t="str">
            <v>G125818</v>
          </cell>
          <cell r="H318" t="str">
            <v>bestaand</v>
          </cell>
          <cell r="I318" t="str">
            <v>01.01.2013</v>
          </cell>
          <cell r="J318" t="str">
            <v>Yes</v>
          </cell>
          <cell r="K318" t="str">
            <v>Professional</v>
          </cell>
          <cell r="L318" t="str">
            <v>PROLOCK</v>
          </cell>
          <cell r="M318" t="str">
            <v>PROLOCK STEEL RF 30 WAND</v>
          </cell>
          <cell r="N318" t="str">
            <v>ProLockSteel Wand/Cloison Rf30 500x500</v>
          </cell>
          <cell r="O318" t="str">
            <v>ProLockSteel Wand/Cloison Rf30 500x500</v>
          </cell>
          <cell r="P318" t="str">
            <v>(blanco)</v>
          </cell>
          <cell r="Q318" t="str">
            <v>(blanco)</v>
          </cell>
          <cell r="R318" t="str">
            <v>(blanco)</v>
          </cell>
          <cell r="S318" t="str">
            <v>(blanco)</v>
          </cell>
          <cell r="T318" t="str">
            <v>--</v>
          </cell>
          <cell r="AA318" t="str">
            <v>(blanco)</v>
          </cell>
          <cell r="AC318" t="str">
            <v>(blanco)</v>
          </cell>
          <cell r="AD318" t="str">
            <v>(blanco)</v>
          </cell>
          <cell r="AE318">
            <v>0</v>
          </cell>
          <cell r="AH318" t="str">
            <v>(blanco)</v>
          </cell>
          <cell r="AI318" t="str">
            <v>(blanco)</v>
          </cell>
          <cell r="AJ318" t="str">
            <v>(blanco)</v>
          </cell>
          <cell r="AL318" t="str">
            <v>(blanco)</v>
          </cell>
          <cell r="AM318" t="str">
            <v>(blanco)</v>
          </cell>
          <cell r="AN318" t="str">
            <v>(blanco)</v>
          </cell>
          <cell r="AR318">
            <v>3</v>
          </cell>
          <cell r="AS318">
            <v>3</v>
          </cell>
          <cell r="AT318">
            <v>0</v>
          </cell>
          <cell r="AX318">
            <v>140.38</v>
          </cell>
          <cell r="AY318" t="str">
            <v>01.02.2015</v>
          </cell>
          <cell r="AZ318">
            <v>0</v>
          </cell>
          <cell r="BA318" t="str">
            <v>00.00.0000</v>
          </cell>
          <cell r="BB318" t="str">
            <v>ST</v>
          </cell>
          <cell r="BC318" t="str">
            <v>******</v>
          </cell>
          <cell r="BD318">
            <v>3</v>
          </cell>
          <cell r="BE318">
            <v>5413218567367</v>
          </cell>
        </row>
        <row r="319">
          <cell r="A319" t="str">
            <v>G125819</v>
          </cell>
          <cell r="B319" t="str">
            <v>G125819</v>
          </cell>
          <cell r="C319" t="str">
            <v>D1DBD15D006D002</v>
          </cell>
          <cell r="D319" t="str">
            <v>ProLock Steel standaard ST</v>
          </cell>
          <cell r="E319" t="str">
            <v>D1DB</v>
          </cell>
          <cell r="F319" t="str">
            <v>Toebehoren Platen *</v>
          </cell>
          <cell r="G319" t="str">
            <v>G125819</v>
          </cell>
          <cell r="H319" t="str">
            <v>bestaand</v>
          </cell>
          <cell r="I319" t="str">
            <v>01.01.2013</v>
          </cell>
          <cell r="J319" t="str">
            <v>Yes</v>
          </cell>
          <cell r="K319" t="str">
            <v>Professional</v>
          </cell>
          <cell r="L319" t="str">
            <v>PROLOCK</v>
          </cell>
          <cell r="M319" t="str">
            <v>PROLOCK STEEL RF 30 WAND</v>
          </cell>
          <cell r="N319" t="str">
            <v>ProLockSteel Wand/Cloison Rf30 800x600</v>
          </cell>
          <cell r="O319" t="str">
            <v>ProLockSteel Wand/Cloison Rf30 800x600</v>
          </cell>
          <cell r="P319" t="str">
            <v>(blanco)</v>
          </cell>
          <cell r="Q319" t="str">
            <v>(blanco)</v>
          </cell>
          <cell r="R319" t="str">
            <v>(blanco)</v>
          </cell>
          <cell r="S319" t="str">
            <v>(blanco)</v>
          </cell>
          <cell r="T319" t="str">
            <v>--</v>
          </cell>
          <cell r="AA319" t="str">
            <v>(blanco)</v>
          </cell>
          <cell r="AC319" t="str">
            <v>(blanco)</v>
          </cell>
          <cell r="AD319" t="str">
            <v>(blanco)</v>
          </cell>
          <cell r="AE319">
            <v>0</v>
          </cell>
          <cell r="AH319" t="str">
            <v>(blanco)</v>
          </cell>
          <cell r="AI319" t="str">
            <v>(blanco)</v>
          </cell>
          <cell r="AJ319" t="str">
            <v>(blanco)</v>
          </cell>
          <cell r="AL319" t="str">
            <v>(blanco)</v>
          </cell>
          <cell r="AM319" t="str">
            <v>(blanco)</v>
          </cell>
          <cell r="AN319" t="str">
            <v>(blanco)</v>
          </cell>
          <cell r="AR319">
            <v>3</v>
          </cell>
          <cell r="AS319">
            <v>3</v>
          </cell>
          <cell r="AT319">
            <v>0</v>
          </cell>
          <cell r="AX319">
            <v>171.46</v>
          </cell>
          <cell r="AY319" t="str">
            <v>01.02.2015</v>
          </cell>
          <cell r="AZ319">
            <v>0</v>
          </cell>
          <cell r="BA319" t="str">
            <v>00.00.0000</v>
          </cell>
          <cell r="BB319" t="str">
            <v>ST</v>
          </cell>
          <cell r="BC319" t="str">
            <v>******</v>
          </cell>
          <cell r="BD319">
            <v>3</v>
          </cell>
          <cell r="BE319">
            <v>5413218567381</v>
          </cell>
        </row>
        <row r="320">
          <cell r="A320" t="str">
            <v>G125820</v>
          </cell>
          <cell r="B320" t="str">
            <v>G125820</v>
          </cell>
          <cell r="C320" t="str">
            <v>D1DBD15D006D002</v>
          </cell>
          <cell r="D320" t="str">
            <v>ProLock Steel standaard ST</v>
          </cell>
          <cell r="E320" t="str">
            <v>D1DB</v>
          </cell>
          <cell r="F320" t="str">
            <v>Toebehoren Platen *</v>
          </cell>
          <cell r="G320" t="str">
            <v>G125820</v>
          </cell>
          <cell r="H320" t="str">
            <v>bestaand</v>
          </cell>
          <cell r="I320" t="str">
            <v>01.01.2013</v>
          </cell>
          <cell r="J320" t="str">
            <v>Yes</v>
          </cell>
          <cell r="K320" t="str">
            <v>Professional</v>
          </cell>
          <cell r="L320" t="str">
            <v>PROLOCK</v>
          </cell>
          <cell r="M320" t="str">
            <v>PROLOCK STEEL RF 60 WAND</v>
          </cell>
          <cell r="N320" t="str">
            <v>ProLockSteel Wand/Cloison Rf60 200x200</v>
          </cell>
          <cell r="O320" t="str">
            <v>ProLockSteel Wand/Cloison Rf60 200x200</v>
          </cell>
          <cell r="P320" t="str">
            <v>(blanco)</v>
          </cell>
          <cell r="Q320" t="str">
            <v>(blanco)</v>
          </cell>
          <cell r="R320" t="str">
            <v>(blanco)</v>
          </cell>
          <cell r="S320" t="str">
            <v>(blanco)</v>
          </cell>
          <cell r="T320" t="str">
            <v>--</v>
          </cell>
          <cell r="AA320" t="str">
            <v>(blanco)</v>
          </cell>
          <cell r="AC320" t="str">
            <v>(blanco)</v>
          </cell>
          <cell r="AD320" t="str">
            <v>(blanco)</v>
          </cell>
          <cell r="AE320">
            <v>0</v>
          </cell>
          <cell r="AH320" t="str">
            <v>(blanco)</v>
          </cell>
          <cell r="AI320" t="str">
            <v>(blanco)</v>
          </cell>
          <cell r="AJ320" t="str">
            <v>(blanco)</v>
          </cell>
          <cell r="AL320" t="str">
            <v>(blanco)</v>
          </cell>
          <cell r="AM320" t="str">
            <v>(blanco)</v>
          </cell>
          <cell r="AN320" t="str">
            <v>(blanco)</v>
          </cell>
          <cell r="AR320">
            <v>3</v>
          </cell>
          <cell r="AS320">
            <v>3</v>
          </cell>
          <cell r="AT320">
            <v>0</v>
          </cell>
          <cell r="AX320">
            <v>138.24</v>
          </cell>
          <cell r="AY320" t="str">
            <v>01.02.2015</v>
          </cell>
          <cell r="AZ320">
            <v>0</v>
          </cell>
          <cell r="BA320" t="str">
            <v>00.00.0000</v>
          </cell>
          <cell r="BB320" t="str">
            <v>ST</v>
          </cell>
          <cell r="BC320" t="str">
            <v>******</v>
          </cell>
          <cell r="BD320">
            <v>3</v>
          </cell>
          <cell r="BE320">
            <v>5413218567398</v>
          </cell>
        </row>
        <row r="321">
          <cell r="A321" t="str">
            <v>G125821</v>
          </cell>
          <cell r="B321" t="str">
            <v>G125821</v>
          </cell>
          <cell r="C321" t="str">
            <v>D1DBD15D006D002</v>
          </cell>
          <cell r="D321" t="str">
            <v>ProLock Steel standaard ST</v>
          </cell>
          <cell r="E321" t="str">
            <v>D1DB</v>
          </cell>
          <cell r="F321" t="str">
            <v>Toebehoren Platen *</v>
          </cell>
          <cell r="G321" t="str">
            <v>G125821</v>
          </cell>
          <cell r="H321" t="str">
            <v>bestaand</v>
          </cell>
          <cell r="I321" t="str">
            <v>01.01.2013</v>
          </cell>
          <cell r="J321" t="str">
            <v>Yes</v>
          </cell>
          <cell r="K321" t="str">
            <v>Professional</v>
          </cell>
          <cell r="L321" t="str">
            <v>PROLOCK</v>
          </cell>
          <cell r="M321" t="str">
            <v>PROLOCK STEEL RF 60 WAND</v>
          </cell>
          <cell r="N321" t="str">
            <v>ProLockSteel Wand/Cloison Rf60 300x300</v>
          </cell>
          <cell r="O321" t="str">
            <v>ProLockSteel Wand/Cloison Rf60 300x300</v>
          </cell>
          <cell r="P321" t="str">
            <v>(blanco)</v>
          </cell>
          <cell r="Q321" t="str">
            <v>(blanco)</v>
          </cell>
          <cell r="R321" t="str">
            <v>(blanco)</v>
          </cell>
          <cell r="S321" t="str">
            <v>(blanco)</v>
          </cell>
          <cell r="T321" t="str">
            <v>--</v>
          </cell>
          <cell r="AA321" t="str">
            <v>(blanco)</v>
          </cell>
          <cell r="AC321" t="str">
            <v>(blanco)</v>
          </cell>
          <cell r="AD321" t="str">
            <v>(blanco)</v>
          </cell>
          <cell r="AE321">
            <v>0</v>
          </cell>
          <cell r="AH321" t="str">
            <v>(blanco)</v>
          </cell>
          <cell r="AI321" t="str">
            <v>(blanco)</v>
          </cell>
          <cell r="AJ321" t="str">
            <v>(blanco)</v>
          </cell>
          <cell r="AL321" t="str">
            <v>(blanco)</v>
          </cell>
          <cell r="AM321" t="str">
            <v>(blanco)</v>
          </cell>
          <cell r="AN321" t="str">
            <v>(blanco)</v>
          </cell>
          <cell r="AR321">
            <v>3</v>
          </cell>
          <cell r="AS321">
            <v>3</v>
          </cell>
          <cell r="AT321">
            <v>0</v>
          </cell>
          <cell r="AX321">
            <v>148.94999999999999</v>
          </cell>
          <cell r="AY321" t="str">
            <v>01.02.2015</v>
          </cell>
          <cell r="AZ321">
            <v>0</v>
          </cell>
          <cell r="BA321" t="str">
            <v>00.00.0000</v>
          </cell>
          <cell r="BB321" t="str">
            <v>ST</v>
          </cell>
          <cell r="BC321" t="str">
            <v>******</v>
          </cell>
          <cell r="BD321" t="str">
            <v>S</v>
          </cell>
          <cell r="BE321">
            <v>5413218567404</v>
          </cell>
        </row>
        <row r="322">
          <cell r="A322" t="str">
            <v>G125822</v>
          </cell>
          <cell r="B322" t="str">
            <v>G125822</v>
          </cell>
          <cell r="C322" t="str">
            <v>D1DBD15D006D002</v>
          </cell>
          <cell r="D322" t="str">
            <v>ProLock Steel standaard ST</v>
          </cell>
          <cell r="E322" t="str">
            <v>D1DB</v>
          </cell>
          <cell r="F322" t="str">
            <v>Toebehoren Platen *</v>
          </cell>
          <cell r="G322" t="str">
            <v>G125822</v>
          </cell>
          <cell r="H322" t="str">
            <v>bestaand</v>
          </cell>
          <cell r="I322" t="str">
            <v>01.01.2013</v>
          </cell>
          <cell r="J322" t="str">
            <v>Yes</v>
          </cell>
          <cell r="K322" t="str">
            <v>Professional</v>
          </cell>
          <cell r="L322" t="str">
            <v>PROLOCK</v>
          </cell>
          <cell r="M322" t="str">
            <v>PROLOCK STEEL RF 60 WAND</v>
          </cell>
          <cell r="N322" t="str">
            <v>ProLockSteel Wand/Cloison Rf60 500x500</v>
          </cell>
          <cell r="O322" t="str">
            <v>ProLockSteel Wand/Cloison Rf60 500x500</v>
          </cell>
          <cell r="P322" t="str">
            <v>(blanco)</v>
          </cell>
          <cell r="Q322" t="str">
            <v>(blanco)</v>
          </cell>
          <cell r="R322" t="str">
            <v>(blanco)</v>
          </cell>
          <cell r="S322" t="str">
            <v>(blanco)</v>
          </cell>
          <cell r="T322" t="str">
            <v>--</v>
          </cell>
          <cell r="AA322" t="str">
            <v>(blanco)</v>
          </cell>
          <cell r="AC322" t="str">
            <v>(blanco)</v>
          </cell>
          <cell r="AD322" t="str">
            <v>(blanco)</v>
          </cell>
          <cell r="AE322">
            <v>0</v>
          </cell>
          <cell r="AH322" t="str">
            <v>(blanco)</v>
          </cell>
          <cell r="AI322" t="str">
            <v>(blanco)</v>
          </cell>
          <cell r="AJ322" t="str">
            <v>(blanco)</v>
          </cell>
          <cell r="AL322" t="str">
            <v>(blanco)</v>
          </cell>
          <cell r="AM322" t="str">
            <v>(blanco)</v>
          </cell>
          <cell r="AN322" t="str">
            <v>(blanco)</v>
          </cell>
          <cell r="AR322">
            <v>3</v>
          </cell>
          <cell r="AS322">
            <v>3</v>
          </cell>
          <cell r="AT322">
            <v>0</v>
          </cell>
          <cell r="AX322">
            <v>167.17</v>
          </cell>
          <cell r="AY322" t="str">
            <v>01.02.2015</v>
          </cell>
          <cell r="AZ322">
            <v>0</v>
          </cell>
          <cell r="BA322" t="str">
            <v>00.00.0000</v>
          </cell>
          <cell r="BB322" t="str">
            <v>ST</v>
          </cell>
          <cell r="BC322" t="str">
            <v>******</v>
          </cell>
          <cell r="BD322">
            <v>3</v>
          </cell>
          <cell r="BE322">
            <v>5413218567428</v>
          </cell>
        </row>
        <row r="323">
          <cell r="A323" t="str">
            <v>G125823</v>
          </cell>
          <cell r="B323" t="str">
            <v>G125823</v>
          </cell>
          <cell r="C323" t="str">
            <v>D1DBD15D006D002</v>
          </cell>
          <cell r="D323" t="str">
            <v>ProLock Steel standaard ST</v>
          </cell>
          <cell r="E323" t="str">
            <v>D1DB</v>
          </cell>
          <cell r="F323" t="str">
            <v>Toebehoren Platen *</v>
          </cell>
          <cell r="G323" t="str">
            <v>G125823</v>
          </cell>
          <cell r="H323" t="str">
            <v>bestaand</v>
          </cell>
          <cell r="I323" t="str">
            <v>01.01.2013</v>
          </cell>
          <cell r="J323" t="str">
            <v>Yes</v>
          </cell>
          <cell r="K323" t="str">
            <v>Professional</v>
          </cell>
          <cell r="L323" t="str">
            <v>PROLOCK</v>
          </cell>
          <cell r="M323" t="str">
            <v>PROLOCK STEEL RF 60 WAND</v>
          </cell>
          <cell r="N323" t="str">
            <v>ProLockSteel Wand/Cloison Rf60 800x600</v>
          </cell>
          <cell r="O323" t="str">
            <v>ProLockSteel Wand/Cloison Rf60 800x600</v>
          </cell>
          <cell r="P323" t="str">
            <v>(blanco)</v>
          </cell>
          <cell r="Q323" t="str">
            <v>(blanco)</v>
          </cell>
          <cell r="R323" t="str">
            <v>(blanco)</v>
          </cell>
          <cell r="S323" t="str">
            <v>(blanco)</v>
          </cell>
          <cell r="T323" t="str">
            <v>--</v>
          </cell>
          <cell r="AA323" t="str">
            <v>(blanco)</v>
          </cell>
          <cell r="AC323" t="str">
            <v>(blanco)</v>
          </cell>
          <cell r="AD323" t="str">
            <v>(blanco)</v>
          </cell>
          <cell r="AE323">
            <v>0</v>
          </cell>
          <cell r="AH323" t="str">
            <v>(blanco)</v>
          </cell>
          <cell r="AI323" t="str">
            <v>(blanco)</v>
          </cell>
          <cell r="AJ323" t="str">
            <v>(blanco)</v>
          </cell>
          <cell r="AL323" t="str">
            <v>(blanco)</v>
          </cell>
          <cell r="AM323" t="str">
            <v>(blanco)</v>
          </cell>
          <cell r="AN323" t="str">
            <v>(blanco)</v>
          </cell>
          <cell r="AR323">
            <v>3</v>
          </cell>
          <cell r="AS323">
            <v>3.5</v>
          </cell>
          <cell r="AT323">
            <v>0</v>
          </cell>
          <cell r="AX323">
            <v>260.41000000000003</v>
          </cell>
          <cell r="AY323" t="str">
            <v>01.02.2015</v>
          </cell>
          <cell r="AZ323">
            <v>0</v>
          </cell>
          <cell r="BA323" t="str">
            <v>00.00.0000</v>
          </cell>
          <cell r="BB323" t="str">
            <v>ST</v>
          </cell>
          <cell r="BC323" t="str">
            <v>******</v>
          </cell>
          <cell r="BD323">
            <v>3</v>
          </cell>
          <cell r="BE323">
            <v>5413218567442</v>
          </cell>
        </row>
        <row r="324">
          <cell r="A324" t="str">
            <v>G125825</v>
          </cell>
          <cell r="B324" t="str">
            <v>G125825</v>
          </cell>
          <cell r="C324" t="str">
            <v>D1DBD15D006D002</v>
          </cell>
          <cell r="D324" t="str">
            <v>ProLock Steel standaard ST</v>
          </cell>
          <cell r="E324" t="str">
            <v>D1DB</v>
          </cell>
          <cell r="F324" t="str">
            <v>Toebehoren Platen *</v>
          </cell>
          <cell r="G324" t="str">
            <v>G125825</v>
          </cell>
          <cell r="H324" t="str">
            <v>bestaand</v>
          </cell>
          <cell r="I324" t="str">
            <v>01.01.2013</v>
          </cell>
          <cell r="J324" t="str">
            <v>Yes</v>
          </cell>
          <cell r="K324" t="str">
            <v>Professional</v>
          </cell>
          <cell r="L324" t="str">
            <v>PROLOCK</v>
          </cell>
          <cell r="M324" t="str">
            <v>PROLOCK STEEL PLAFOND RF30</v>
          </cell>
          <cell r="N324" t="str">
            <v>ProLockSteel Plafond Rf 30 600x800</v>
          </cell>
          <cell r="O324" t="str">
            <v>ProLockSteel Plafond Rf 30 600x800</v>
          </cell>
          <cell r="P324" t="str">
            <v>(blanco)</v>
          </cell>
          <cell r="Q324" t="str">
            <v>(blanco)</v>
          </cell>
          <cell r="R324" t="str">
            <v>(blanco)</v>
          </cell>
          <cell r="S324" t="str">
            <v>(blanco)</v>
          </cell>
          <cell r="T324" t="str">
            <v>--</v>
          </cell>
          <cell r="AA324" t="str">
            <v>(blanco)</v>
          </cell>
          <cell r="AC324" t="str">
            <v>(blanco)</v>
          </cell>
          <cell r="AD324" t="str">
            <v>(blanco)</v>
          </cell>
          <cell r="AE324">
            <v>0</v>
          </cell>
          <cell r="AH324" t="str">
            <v>(blanco)</v>
          </cell>
          <cell r="AI324" t="str">
            <v>(blanco)</v>
          </cell>
          <cell r="AJ324" t="str">
            <v>(blanco)</v>
          </cell>
          <cell r="AL324" t="str">
            <v>(blanco)</v>
          </cell>
          <cell r="AM324" t="str">
            <v>(blanco)</v>
          </cell>
          <cell r="AN324" t="str">
            <v>(blanco)</v>
          </cell>
          <cell r="AR324">
            <v>13</v>
          </cell>
          <cell r="AS324">
            <v>13.1</v>
          </cell>
          <cell r="AT324">
            <v>0</v>
          </cell>
          <cell r="AX324">
            <v>290.39999999999998</v>
          </cell>
          <cell r="AY324" t="str">
            <v>01.02.2015</v>
          </cell>
          <cell r="AZ324">
            <v>0</v>
          </cell>
          <cell r="BA324" t="str">
            <v>00.00.0000</v>
          </cell>
          <cell r="BB324" t="str">
            <v>ST</v>
          </cell>
          <cell r="BC324" t="str">
            <v>******</v>
          </cell>
          <cell r="BD324">
            <v>3</v>
          </cell>
          <cell r="BE324">
            <v>5413218567657</v>
          </cell>
        </row>
        <row r="325">
          <cell r="A325" t="str">
            <v>G125826</v>
          </cell>
          <cell r="B325" t="str">
            <v>G125826</v>
          </cell>
          <cell r="C325" t="str">
            <v>D1DBD15D006D002</v>
          </cell>
          <cell r="D325" t="str">
            <v>ProLock Steel standaard ST</v>
          </cell>
          <cell r="E325" t="str">
            <v>D1DB</v>
          </cell>
          <cell r="F325" t="str">
            <v>Toebehoren Platen *</v>
          </cell>
          <cell r="G325" t="str">
            <v>G125826</v>
          </cell>
          <cell r="H325" t="str">
            <v>bestaand</v>
          </cell>
          <cell r="I325" t="str">
            <v>01.01.2013</v>
          </cell>
          <cell r="J325" t="str">
            <v>Yes</v>
          </cell>
          <cell r="K325" t="str">
            <v>Professional</v>
          </cell>
          <cell r="L325" t="str">
            <v>PROLOCK</v>
          </cell>
          <cell r="M325" t="str">
            <v>PROLOCK STEEL PLAFOND RF30</v>
          </cell>
          <cell r="N325" t="str">
            <v>ProlockSteel RF30 Plafondluik 18 800x800</v>
          </cell>
          <cell r="O325" t="str">
            <v>ProLockSteel Plafond Rf 30 800x800</v>
          </cell>
          <cell r="P325" t="str">
            <v>(blanco)</v>
          </cell>
          <cell r="Q325" t="str">
            <v>(blanco)</v>
          </cell>
          <cell r="R325" t="str">
            <v>(blanco)</v>
          </cell>
          <cell r="S325" t="str">
            <v>(blanco)</v>
          </cell>
          <cell r="T325" t="str">
            <v>--</v>
          </cell>
          <cell r="AA325" t="str">
            <v>(blanco)</v>
          </cell>
          <cell r="AC325" t="str">
            <v>(blanco)</v>
          </cell>
          <cell r="AD325" t="str">
            <v>(blanco)</v>
          </cell>
          <cell r="AE325">
            <v>0</v>
          </cell>
          <cell r="AH325" t="str">
            <v>(blanco)</v>
          </cell>
          <cell r="AI325" t="str">
            <v>(blanco)</v>
          </cell>
          <cell r="AJ325" t="str">
            <v>(blanco)</v>
          </cell>
          <cell r="AL325" t="str">
            <v>(blanco)</v>
          </cell>
          <cell r="AM325" t="str">
            <v>(blanco)</v>
          </cell>
          <cell r="AN325" t="str">
            <v>(blanco)</v>
          </cell>
          <cell r="AR325">
            <v>13</v>
          </cell>
          <cell r="AS325">
            <v>13.1</v>
          </cell>
          <cell r="AT325">
            <v>0</v>
          </cell>
          <cell r="AX325">
            <v>311.83</v>
          </cell>
          <cell r="AY325" t="str">
            <v>01.02.2015</v>
          </cell>
          <cell r="AZ325">
            <v>0</v>
          </cell>
          <cell r="BA325" t="str">
            <v>00.00.0000</v>
          </cell>
          <cell r="BB325" t="str">
            <v>ST</v>
          </cell>
          <cell r="BC325" t="str">
            <v>******</v>
          </cell>
          <cell r="BD325">
            <v>3</v>
          </cell>
          <cell r="BE325">
            <v>5413218567664</v>
          </cell>
        </row>
        <row r="326">
          <cell r="A326" t="str">
            <v>G125827</v>
          </cell>
          <cell r="B326" t="str">
            <v>G125827</v>
          </cell>
          <cell r="C326" t="str">
            <v>D1DBD15D006D002</v>
          </cell>
          <cell r="D326" t="str">
            <v>ProLock Steel standaard ST</v>
          </cell>
          <cell r="E326" t="str">
            <v>D1DB</v>
          </cell>
          <cell r="F326" t="str">
            <v>Toebehoren Platen *</v>
          </cell>
          <cell r="G326" t="str">
            <v>G125827</v>
          </cell>
          <cell r="H326" t="str">
            <v>bestaand</v>
          </cell>
          <cell r="I326" t="str">
            <v>01.01.2013</v>
          </cell>
          <cell r="J326" t="str">
            <v>Yes</v>
          </cell>
          <cell r="K326" t="str">
            <v>Professional</v>
          </cell>
          <cell r="L326" t="str">
            <v>PROLOCK</v>
          </cell>
          <cell r="M326" t="str">
            <v>PROLOCK STEEL PLAFOND SF30</v>
          </cell>
          <cell r="N326" t="str">
            <v>ProLockSteel Plafond Sf 30 600x800</v>
          </cell>
          <cell r="O326" t="str">
            <v>ProLockSteel Plafond Sf 30 600x800</v>
          </cell>
          <cell r="P326" t="str">
            <v>(blanco)</v>
          </cell>
          <cell r="Q326" t="str">
            <v>(blanco)</v>
          </cell>
          <cell r="R326" t="str">
            <v>(blanco)</v>
          </cell>
          <cell r="S326" t="str">
            <v>(blanco)</v>
          </cell>
          <cell r="T326" t="str">
            <v>--</v>
          </cell>
          <cell r="AA326" t="str">
            <v>(blanco)</v>
          </cell>
          <cell r="AC326" t="str">
            <v>(blanco)</v>
          </cell>
          <cell r="AD326" t="str">
            <v>(blanco)</v>
          </cell>
          <cell r="AE326">
            <v>0</v>
          </cell>
          <cell r="AH326" t="str">
            <v>(blanco)</v>
          </cell>
          <cell r="AI326" t="str">
            <v>(blanco)</v>
          </cell>
          <cell r="AJ326" t="str">
            <v>(blanco)</v>
          </cell>
          <cell r="AL326" t="str">
            <v>(blanco)</v>
          </cell>
          <cell r="AM326" t="str">
            <v>(blanco)</v>
          </cell>
          <cell r="AN326" t="str">
            <v>(blanco)</v>
          </cell>
          <cell r="AR326">
            <v>3</v>
          </cell>
          <cell r="AS326">
            <v>3.43</v>
          </cell>
          <cell r="AT326">
            <v>0</v>
          </cell>
          <cell r="AX326">
            <v>253.97</v>
          </cell>
          <cell r="AY326" t="str">
            <v>01.02.2015</v>
          </cell>
          <cell r="AZ326">
            <v>0</v>
          </cell>
          <cell r="BA326" t="str">
            <v>00.00.0000</v>
          </cell>
          <cell r="BB326" t="str">
            <v>ST</v>
          </cell>
          <cell r="BC326" t="str">
            <v>******</v>
          </cell>
          <cell r="BD326">
            <v>3</v>
          </cell>
          <cell r="BE326">
            <v>5413218567619</v>
          </cell>
        </row>
        <row r="327">
          <cell r="A327" t="str">
            <v>G125828</v>
          </cell>
          <cell r="B327" t="str">
            <v>G125828</v>
          </cell>
          <cell r="C327" t="str">
            <v>D1DBD15D006D002</v>
          </cell>
          <cell r="D327" t="str">
            <v>ProLock Steel standaard ST</v>
          </cell>
          <cell r="E327" t="str">
            <v>D1DB</v>
          </cell>
          <cell r="F327" t="str">
            <v>Toebehoren Platen *</v>
          </cell>
          <cell r="G327" t="str">
            <v>G125828</v>
          </cell>
          <cell r="H327" t="str">
            <v>bestaand</v>
          </cell>
          <cell r="I327" t="str">
            <v>01.02.2014</v>
          </cell>
          <cell r="J327" t="str">
            <v>Yes</v>
          </cell>
          <cell r="K327" t="str">
            <v>Professional</v>
          </cell>
          <cell r="L327" t="str">
            <v>PROLOCK</v>
          </cell>
          <cell r="M327" t="str">
            <v>PROLOCK STEEL PLAFOND SF30</v>
          </cell>
          <cell r="N327" t="str">
            <v>ProLock Steel 15 SF30 800x800 PLAFOND</v>
          </cell>
          <cell r="O327" t="str">
            <v>ProLock Steel 15 SF30 800x800 PLAFOND</v>
          </cell>
          <cell r="P327" t="str">
            <v>(blanco)</v>
          </cell>
          <cell r="Q327" t="str">
            <v>(blanco)</v>
          </cell>
          <cell r="R327" t="str">
            <v>(blanco)</v>
          </cell>
          <cell r="S327" t="str">
            <v>(blanco)</v>
          </cell>
          <cell r="T327" t="str">
            <v>--</v>
          </cell>
          <cell r="AA327" t="str">
            <v>(blanco)</v>
          </cell>
          <cell r="AC327" t="str">
            <v>(blanco)</v>
          </cell>
          <cell r="AD327" t="str">
            <v>(blanco)</v>
          </cell>
          <cell r="AE327">
            <v>0</v>
          </cell>
          <cell r="AH327" t="str">
            <v>(blanco)</v>
          </cell>
          <cell r="AI327" t="str">
            <v>(blanco)</v>
          </cell>
          <cell r="AJ327" t="str">
            <v>(blanco)</v>
          </cell>
          <cell r="AL327" t="str">
            <v>(blanco)</v>
          </cell>
          <cell r="AM327" t="str">
            <v>(blanco)</v>
          </cell>
          <cell r="AN327" t="str">
            <v>(blanco)</v>
          </cell>
          <cell r="AR327">
            <v>3</v>
          </cell>
          <cell r="AS327">
            <v>3.43</v>
          </cell>
          <cell r="AT327">
            <v>0</v>
          </cell>
          <cell r="AX327">
            <v>262.55</v>
          </cell>
          <cell r="AY327" t="str">
            <v>01.02.2015</v>
          </cell>
          <cell r="AZ327">
            <v>0</v>
          </cell>
          <cell r="BA327" t="str">
            <v>00.00.0000</v>
          </cell>
          <cell r="BB327" t="str">
            <v>ST</v>
          </cell>
          <cell r="BC327" t="str">
            <v>******</v>
          </cell>
          <cell r="BE327">
            <v>4005046217128</v>
          </cell>
        </row>
        <row r="328">
          <cell r="A328" t="str">
            <v>G125829</v>
          </cell>
          <cell r="B328" t="str">
            <v>G125829</v>
          </cell>
          <cell r="C328" t="str">
            <v>D1DBD15D002D003</v>
          </cell>
          <cell r="D328" t="str">
            <v>Prlock ALU STD 2x12,5 ST</v>
          </cell>
          <cell r="E328" t="str">
            <v>D1DB</v>
          </cell>
          <cell r="F328" t="str">
            <v>Toebehoren Platen *</v>
          </cell>
          <cell r="G328" t="str">
            <v>G125829</v>
          </cell>
          <cell r="H328" t="str">
            <v>bestaand</v>
          </cell>
          <cell r="I328" t="str">
            <v>01.01.2013</v>
          </cell>
          <cell r="J328" t="str">
            <v>Yes</v>
          </cell>
          <cell r="K328" t="str">
            <v>Professional</v>
          </cell>
          <cell r="L328" t="str">
            <v>PROLOCK</v>
          </cell>
          <cell r="M328" t="str">
            <v>PROLOCK ALU STANDAARD DUBBEL</v>
          </cell>
          <cell r="N328" t="str">
            <v>ProLock Alu Std dubbel/double 300x300</v>
          </cell>
          <cell r="O328" t="str">
            <v>ProLock Alu Std dubbel/double 300x300</v>
          </cell>
          <cell r="P328" t="str">
            <v>(blanco)</v>
          </cell>
          <cell r="Q328" t="str">
            <v>(blanco)</v>
          </cell>
          <cell r="R328" t="str">
            <v>(blanco)</v>
          </cell>
          <cell r="S328" t="str">
            <v>(blanco)</v>
          </cell>
          <cell r="T328" t="str">
            <v>--</v>
          </cell>
          <cell r="AA328" t="str">
            <v>(blanco)</v>
          </cell>
          <cell r="AC328" t="str">
            <v>(blanco)</v>
          </cell>
          <cell r="AD328" t="str">
            <v>(blanco)</v>
          </cell>
          <cell r="AE328">
            <v>0</v>
          </cell>
          <cell r="AH328" t="str">
            <v>(blanco)</v>
          </cell>
          <cell r="AI328" t="str">
            <v>(blanco)</v>
          </cell>
          <cell r="AJ328" t="str">
            <v>(blanco)</v>
          </cell>
          <cell r="AL328" t="str">
            <v>(blanco)</v>
          </cell>
          <cell r="AM328" t="str">
            <v>(blanco)</v>
          </cell>
          <cell r="AN328" t="str">
            <v>(blanco)</v>
          </cell>
          <cell r="AR328">
            <v>3.46</v>
          </cell>
          <cell r="AS328">
            <v>3.5</v>
          </cell>
          <cell r="AT328">
            <v>0</v>
          </cell>
          <cell r="AX328">
            <v>69.66</v>
          </cell>
          <cell r="AY328" t="str">
            <v>01.02.2015</v>
          </cell>
          <cell r="AZ328">
            <v>0</v>
          </cell>
          <cell r="BA328" t="str">
            <v>00.00.0000</v>
          </cell>
          <cell r="BB328" t="str">
            <v>ST</v>
          </cell>
          <cell r="BC328" t="str">
            <v>******</v>
          </cell>
          <cell r="BD328">
            <v>3</v>
          </cell>
          <cell r="BE328">
            <v>5413218565806</v>
          </cell>
        </row>
        <row r="329">
          <cell r="A329" t="str">
            <v>G125830</v>
          </cell>
          <cell r="B329" t="str">
            <v>G125830</v>
          </cell>
          <cell r="C329" t="str">
            <v>D1DBD15D002D003</v>
          </cell>
          <cell r="D329" t="str">
            <v>Prlock ALU STD 2x12,5 ST</v>
          </cell>
          <cell r="E329" t="str">
            <v>D1DB</v>
          </cell>
          <cell r="F329" t="str">
            <v>Toebehoren Platen *</v>
          </cell>
          <cell r="G329" t="str">
            <v>G125830</v>
          </cell>
          <cell r="H329" t="str">
            <v>bestaand</v>
          </cell>
          <cell r="I329" t="str">
            <v>01.01.2013</v>
          </cell>
          <cell r="J329" t="str">
            <v>Yes</v>
          </cell>
          <cell r="K329" t="str">
            <v>Professional</v>
          </cell>
          <cell r="L329" t="str">
            <v>PROLOCK</v>
          </cell>
          <cell r="M329" t="str">
            <v>PROLOCK ALU STANDAARD DUBBEL</v>
          </cell>
          <cell r="N329" t="str">
            <v>ProLock Alu Std dubbel/double 400x400</v>
          </cell>
          <cell r="O329" t="str">
            <v>ProLock Alu Std dubbel/double 400x400</v>
          </cell>
          <cell r="P329" t="str">
            <v>(blanco)</v>
          </cell>
          <cell r="Q329" t="str">
            <v>(blanco)</v>
          </cell>
          <cell r="R329" t="str">
            <v>(blanco)</v>
          </cell>
          <cell r="S329" t="str">
            <v>(blanco)</v>
          </cell>
          <cell r="T329" t="str">
            <v>--</v>
          </cell>
          <cell r="AA329" t="str">
            <v>(blanco)</v>
          </cell>
          <cell r="AC329" t="str">
            <v>(blanco)</v>
          </cell>
          <cell r="AD329" t="str">
            <v>(blanco)</v>
          </cell>
          <cell r="AE329">
            <v>0</v>
          </cell>
          <cell r="AH329" t="str">
            <v>(blanco)</v>
          </cell>
          <cell r="AI329" t="str">
            <v>(blanco)</v>
          </cell>
          <cell r="AJ329" t="str">
            <v>(blanco)</v>
          </cell>
          <cell r="AL329" t="str">
            <v>(blanco)</v>
          </cell>
          <cell r="AM329" t="str">
            <v>(blanco)</v>
          </cell>
          <cell r="AN329" t="str">
            <v>(blanco)</v>
          </cell>
          <cell r="AR329">
            <v>3.46</v>
          </cell>
          <cell r="AS329">
            <v>3.5</v>
          </cell>
          <cell r="AT329">
            <v>0</v>
          </cell>
          <cell r="AX329">
            <v>78.22</v>
          </cell>
          <cell r="AY329" t="str">
            <v>01.02.2015</v>
          </cell>
          <cell r="AZ329">
            <v>0</v>
          </cell>
          <cell r="BA329" t="str">
            <v>00.00.0000</v>
          </cell>
          <cell r="BB329" t="str">
            <v>ST</v>
          </cell>
          <cell r="BC329" t="str">
            <v>******</v>
          </cell>
          <cell r="BD329">
            <v>3</v>
          </cell>
          <cell r="BE329">
            <v>5413218565813</v>
          </cell>
        </row>
        <row r="330">
          <cell r="A330" t="str">
            <v>G125831</v>
          </cell>
          <cell r="B330" t="str">
            <v>G125831</v>
          </cell>
          <cell r="C330" t="str">
            <v>D1DBD15D002D003</v>
          </cell>
          <cell r="D330" t="str">
            <v>Prlock ALU STD 2x12,5 ST</v>
          </cell>
          <cell r="E330" t="str">
            <v>D1DB</v>
          </cell>
          <cell r="F330" t="str">
            <v>Toebehoren Platen *</v>
          </cell>
          <cell r="G330" t="str">
            <v>G125831</v>
          </cell>
          <cell r="H330" t="str">
            <v>bestaand</v>
          </cell>
          <cell r="I330" t="str">
            <v>01.01.2013</v>
          </cell>
          <cell r="J330" t="str">
            <v>Yes</v>
          </cell>
          <cell r="K330" t="str">
            <v>Professional</v>
          </cell>
          <cell r="L330" t="str">
            <v>PROLOCK</v>
          </cell>
          <cell r="M330" t="str">
            <v>PROLOCK ALU STANDAARD DUBBEL</v>
          </cell>
          <cell r="N330" t="str">
            <v>ProLock Alu Std dubbel/double 500x500</v>
          </cell>
          <cell r="O330" t="str">
            <v>ProLock Alu Std dubbel/double 500x500</v>
          </cell>
          <cell r="P330" t="str">
            <v>(blanco)</v>
          </cell>
          <cell r="Q330" t="str">
            <v>(blanco)</v>
          </cell>
          <cell r="R330" t="str">
            <v>(blanco)</v>
          </cell>
          <cell r="S330" t="str">
            <v>(blanco)</v>
          </cell>
          <cell r="T330" t="str">
            <v>--</v>
          </cell>
          <cell r="AA330" t="str">
            <v>(blanco)</v>
          </cell>
          <cell r="AC330" t="str">
            <v>(blanco)</v>
          </cell>
          <cell r="AD330" t="str">
            <v>(blanco)</v>
          </cell>
          <cell r="AE330">
            <v>0</v>
          </cell>
          <cell r="AH330" t="str">
            <v>(blanco)</v>
          </cell>
          <cell r="AI330" t="str">
            <v>(blanco)</v>
          </cell>
          <cell r="AJ330" t="str">
            <v>(blanco)</v>
          </cell>
          <cell r="AL330" t="str">
            <v>(blanco)</v>
          </cell>
          <cell r="AM330" t="str">
            <v>(blanco)</v>
          </cell>
          <cell r="AN330" t="str">
            <v>(blanco)</v>
          </cell>
          <cell r="AR330">
            <v>3.46</v>
          </cell>
          <cell r="AS330">
            <v>3.5</v>
          </cell>
          <cell r="AT330">
            <v>0</v>
          </cell>
          <cell r="AX330">
            <v>90.02</v>
          </cell>
          <cell r="AY330" t="str">
            <v>01.02.2015</v>
          </cell>
          <cell r="AZ330">
            <v>0</v>
          </cell>
          <cell r="BA330" t="str">
            <v>00.00.0000</v>
          </cell>
          <cell r="BB330" t="str">
            <v>ST</v>
          </cell>
          <cell r="BC330" t="str">
            <v>******</v>
          </cell>
          <cell r="BD330">
            <v>3</v>
          </cell>
          <cell r="BE330">
            <v>5413218565820</v>
          </cell>
        </row>
        <row r="331">
          <cell r="A331" t="str">
            <v>G126138</v>
          </cell>
          <cell r="B331" t="str">
            <v>G126138</v>
          </cell>
          <cell r="C331" t="str">
            <v>D1DBD01D008D003</v>
          </cell>
          <cell r="D331" t="str">
            <v>DIY Primers L</v>
          </cell>
          <cell r="E331" t="str">
            <v>D1DB</v>
          </cell>
          <cell r="F331" t="str">
            <v>Toebehoren Platen *</v>
          </cell>
          <cell r="G331" t="str">
            <v>G126138</v>
          </cell>
          <cell r="H331" t="str">
            <v>bestaand</v>
          </cell>
          <cell r="I331" t="str">
            <v>01.01.2013</v>
          </cell>
          <cell r="J331" t="str">
            <v>Yes</v>
          </cell>
          <cell r="K331" t="str">
            <v>Doe-Het-Zelver</v>
          </cell>
          <cell r="L331" t="str">
            <v>Gyproc</v>
          </cell>
          <cell r="M331" t="str">
            <v>VOORSTRIJK</v>
          </cell>
          <cell r="N331" t="str">
            <v>DIY - Voorstrijkmiddel 1L EP/204</v>
          </cell>
          <cell r="O331" t="str">
            <v>Prod. de prétraitement 1L</v>
          </cell>
          <cell r="P331" t="str">
            <v>(blanco)</v>
          </cell>
          <cell r="Q331" t="str">
            <v>(blanco)</v>
          </cell>
          <cell r="R331" t="str">
            <v>(blanco)</v>
          </cell>
          <cell r="S331" t="str">
            <v>(blanco)</v>
          </cell>
          <cell r="T331" t="str">
            <v>--</v>
          </cell>
          <cell r="AA331" t="str">
            <v>(blanco)</v>
          </cell>
          <cell r="AC331" t="str">
            <v>(blanco)</v>
          </cell>
          <cell r="AD331" t="str">
            <v>(blanco)</v>
          </cell>
          <cell r="AH331" t="str">
            <v>(blanco)</v>
          </cell>
          <cell r="AI331" t="str">
            <v>(blanco)</v>
          </cell>
          <cell r="AJ331" t="str">
            <v>(blanco)</v>
          </cell>
          <cell r="AL331" t="str">
            <v>(blanco)</v>
          </cell>
          <cell r="AM331" t="str">
            <v>(blanco)</v>
          </cell>
          <cell r="AN331" t="str">
            <v>(blanco)</v>
          </cell>
          <cell r="AR331">
            <v>1</v>
          </cell>
          <cell r="AS331">
            <v>1.05</v>
          </cell>
          <cell r="AT331">
            <v>0</v>
          </cell>
          <cell r="AX331">
            <v>5.55</v>
          </cell>
          <cell r="AY331" t="str">
            <v>01.02.2015</v>
          </cell>
          <cell r="AZ331">
            <v>0</v>
          </cell>
          <cell r="BA331" t="str">
            <v>00.00.0000</v>
          </cell>
          <cell r="BB331" t="str">
            <v>ST</v>
          </cell>
          <cell r="BC331" t="str">
            <v>******</v>
          </cell>
          <cell r="BD331" t="str">
            <v>S</v>
          </cell>
          <cell r="BE331">
            <v>5413218563536</v>
          </cell>
        </row>
        <row r="332">
          <cell r="A332" t="str">
            <v>G126139</v>
          </cell>
          <cell r="B332" t="str">
            <v>G126139</v>
          </cell>
          <cell r="C332" t="str">
            <v>D1DGD01D005D004</v>
          </cell>
          <cell r="D332" t="str">
            <v>BetonGrip Easy 3 L</v>
          </cell>
          <cell r="E332" t="str">
            <v>D1DG</v>
          </cell>
          <cell r="F332" t="str">
            <v>Toebehoren Pleister *</v>
          </cell>
          <cell r="G332" t="str">
            <v>G126139</v>
          </cell>
          <cell r="H332" t="str">
            <v>bestaand</v>
          </cell>
          <cell r="I332" t="str">
            <v>01.01.2013</v>
          </cell>
          <cell r="J332" t="str">
            <v>Yes</v>
          </cell>
          <cell r="K332" t="str">
            <v>Doe-Het-Zelver</v>
          </cell>
          <cell r="L332" t="str">
            <v>Gyproc</v>
          </cell>
          <cell r="M332" t="str">
            <v>BETONGRIP EASY</v>
          </cell>
          <cell r="N332" t="str">
            <v>DIY - Betongrip Easy 3L EP/150</v>
          </cell>
          <cell r="O332" t="str">
            <v>BETONGRIP EASY 3 L EP/150</v>
          </cell>
          <cell r="P332" t="str">
            <v>(blanco)</v>
          </cell>
          <cell r="Q332" t="str">
            <v>(blanco)</v>
          </cell>
          <cell r="R332" t="str">
            <v>(blanco)</v>
          </cell>
          <cell r="S332" t="str">
            <v>(blanco)</v>
          </cell>
          <cell r="T332" t="str">
            <v>--</v>
          </cell>
          <cell r="AA332" t="str">
            <v>(blanco)</v>
          </cell>
          <cell r="AC332" t="str">
            <v>(blanco)</v>
          </cell>
          <cell r="AD332" t="str">
            <v>(blanco)</v>
          </cell>
          <cell r="AH332" t="str">
            <v>(blanco)</v>
          </cell>
          <cell r="AI332" t="str">
            <v>(blanco)</v>
          </cell>
          <cell r="AJ332" t="str">
            <v>(blanco)</v>
          </cell>
          <cell r="AL332" t="str">
            <v>(blanco)</v>
          </cell>
          <cell r="AM332" t="str">
            <v>(blanco)</v>
          </cell>
          <cell r="AN332" t="str">
            <v>(blanco)</v>
          </cell>
          <cell r="AR332">
            <v>3.03</v>
          </cell>
          <cell r="AS332">
            <v>3.15</v>
          </cell>
          <cell r="AT332">
            <v>0</v>
          </cell>
          <cell r="AX332">
            <v>12.81</v>
          </cell>
          <cell r="AY332" t="str">
            <v>01.02.2015</v>
          </cell>
          <cell r="AZ332">
            <v>0</v>
          </cell>
          <cell r="BA332" t="str">
            <v>00.00.0000</v>
          </cell>
          <cell r="BB332" t="str">
            <v>ST</v>
          </cell>
          <cell r="BC332" t="str">
            <v>******</v>
          </cell>
          <cell r="BD332" t="str">
            <v>S</v>
          </cell>
          <cell r="BE332">
            <v>5413218563529</v>
          </cell>
        </row>
        <row r="333">
          <cell r="A333" t="str">
            <v>G126290</v>
          </cell>
          <cell r="B333" t="str">
            <v>G126290</v>
          </cell>
          <cell r="C333" t="str">
            <v>D1DBD01D012D001</v>
          </cell>
          <cell r="D333" t="str">
            <v>ACC PLAGYP *</v>
          </cell>
          <cell r="E333" t="str">
            <v>D1DB</v>
          </cell>
          <cell r="F333" t="str">
            <v>Toebehoren Platen *</v>
          </cell>
          <cell r="G333" t="str">
            <v>G126290</v>
          </cell>
          <cell r="H333" t="str">
            <v>bestaand</v>
          </cell>
          <cell r="I333" t="str">
            <v>01.01.2013</v>
          </cell>
          <cell r="J333" t="str">
            <v>Yes</v>
          </cell>
          <cell r="K333" t="str">
            <v>Professional</v>
          </cell>
          <cell r="L333" t="str">
            <v>PLAGYP</v>
          </cell>
          <cell r="M333" t="str">
            <v>PA40/120</v>
          </cell>
          <cell r="N333" t="str">
            <v>PLAGYP PA 40/120 UNIV.AKOEST.HANGER</v>
          </cell>
          <cell r="O333" t="str">
            <v>Suspente acoustique PlaGyp PA 40/120</v>
          </cell>
          <cell r="P333" t="str">
            <v>(blanco)</v>
          </cell>
          <cell r="Q333" t="str">
            <v>(blanco)</v>
          </cell>
          <cell r="R333" t="str">
            <v>(blanco)</v>
          </cell>
          <cell r="S333" t="str">
            <v>(blanco)</v>
          </cell>
          <cell r="T333" t="str">
            <v>NBN EN 14195:2015</v>
          </cell>
          <cell r="U333" t="str">
            <v>--</v>
          </cell>
          <cell r="V333" t="str">
            <v>--</v>
          </cell>
          <cell r="AA333" t="str">
            <v>A1</v>
          </cell>
          <cell r="AC333" t="str">
            <v>(blanco)</v>
          </cell>
          <cell r="AD333" t="str">
            <v>(blanco)</v>
          </cell>
          <cell r="AE333">
            <v>3</v>
          </cell>
          <cell r="AL333" t="str">
            <v>(blanco)</v>
          </cell>
          <cell r="AM333" t="str">
            <v>(blanco)</v>
          </cell>
          <cell r="AN333" t="str">
            <v>(blanco)</v>
          </cell>
          <cell r="AP333">
            <v>50</v>
          </cell>
          <cell r="AR333">
            <v>5.6000000000000001E-2</v>
          </cell>
          <cell r="AS333">
            <v>5.8999999999999997E-2</v>
          </cell>
          <cell r="AT333">
            <v>0</v>
          </cell>
          <cell r="AX333">
            <v>3.42</v>
          </cell>
          <cell r="AY333" t="str">
            <v>01.02.2015</v>
          </cell>
          <cell r="AZ333">
            <v>0</v>
          </cell>
          <cell r="BA333" t="str">
            <v>00.00.0000</v>
          </cell>
          <cell r="BB333" t="str">
            <v>ST</v>
          </cell>
          <cell r="BC333" t="str">
            <v>******</v>
          </cell>
          <cell r="BD333" t="str">
            <v>S</v>
          </cell>
          <cell r="BE333">
            <v>5413218563604</v>
          </cell>
        </row>
        <row r="334">
          <cell r="A334" t="str">
            <v>G126472</v>
          </cell>
          <cell r="B334" t="str">
            <v>G126472</v>
          </cell>
          <cell r="C334" t="str">
            <v>D5DAD03D006D001</v>
          </cell>
          <cell r="D334" t="str">
            <v>Jointfinisher Premium KG</v>
          </cell>
          <cell r="E334" t="str">
            <v>D5DA</v>
          </cell>
          <cell r="F334" t="str">
            <v>Voegproducten KG</v>
          </cell>
          <cell r="G334" t="str">
            <v>G126472</v>
          </cell>
          <cell r="H334" t="str">
            <v>bestaand</v>
          </cell>
          <cell r="I334" t="str">
            <v>01.01.2013</v>
          </cell>
          <cell r="J334" t="str">
            <v>Yes</v>
          </cell>
          <cell r="K334" t="str">
            <v>Professional</v>
          </cell>
          <cell r="L334" t="str">
            <v>Gyproc</v>
          </cell>
          <cell r="M334" t="str">
            <v>JOINTFINISHER PREMIUM</v>
          </cell>
          <cell r="N334" t="str">
            <v>JOINTFINISHER PREMIUM 5 KG EP/108</v>
          </cell>
          <cell r="O334" t="str">
            <v>JOINTFINISHER PREMIUM 5 KG EP/108</v>
          </cell>
          <cell r="P334" t="str">
            <v>(blanco)</v>
          </cell>
          <cell r="Q334" t="str">
            <v>(blanco)</v>
          </cell>
          <cell r="R334" t="str">
            <v>(blanco)</v>
          </cell>
          <cell r="S334" t="str">
            <v>(blanco)</v>
          </cell>
          <cell r="T334" t="str">
            <v>NBN EN 13963:2014</v>
          </cell>
          <cell r="U334" t="str">
            <v>3A</v>
          </cell>
          <cell r="V334" t="str">
            <v>--</v>
          </cell>
          <cell r="AA334" t="str">
            <v>A1</v>
          </cell>
          <cell r="AC334" t="str">
            <v>(blanco)</v>
          </cell>
          <cell r="AD334" t="str">
            <v>(blanco)</v>
          </cell>
          <cell r="AH334" t="str">
            <v>(blanco)</v>
          </cell>
          <cell r="AI334" t="str">
            <v>(blanco)</v>
          </cell>
          <cell r="AJ334" t="str">
            <v>(blanco)</v>
          </cell>
          <cell r="AN334" t="str">
            <v>(blanco)</v>
          </cell>
          <cell r="AP334">
            <v>0.25</v>
          </cell>
          <cell r="AR334">
            <v>5</v>
          </cell>
          <cell r="AS334">
            <v>5.25</v>
          </cell>
          <cell r="AT334">
            <v>5.9560000000000004</v>
          </cell>
          <cell r="AU334" t="str">
            <v>CD3</v>
          </cell>
          <cell r="AV334" t="str">
            <v>EP : Euro Pallet</v>
          </cell>
          <cell r="AW334">
            <v>2</v>
          </cell>
          <cell r="AX334">
            <v>1.66</v>
          </cell>
          <cell r="AY334" t="str">
            <v>01.02.2015</v>
          </cell>
          <cell r="AZ334">
            <v>0</v>
          </cell>
          <cell r="BA334" t="str">
            <v>00.00.0000</v>
          </cell>
          <cell r="BB334" t="str">
            <v>KG</v>
          </cell>
          <cell r="BC334" t="str">
            <v>KG</v>
          </cell>
          <cell r="BD334" t="str">
            <v>S</v>
          </cell>
          <cell r="BE334">
            <v>8711149990382</v>
          </cell>
        </row>
        <row r="335">
          <cell r="A335" t="str">
            <v>G126483N</v>
          </cell>
          <cell r="B335" t="str">
            <v>G126483</v>
          </cell>
          <cell r="C335" t="str">
            <v>C5CBC18C008C007</v>
          </cell>
          <cell r="D335" t="str">
            <v>MSV 125 M</v>
          </cell>
          <cell r="E335" t="str">
            <v>C5CB</v>
          </cell>
          <cell r="F335" t="str">
            <v>Profielen Platen en Wanden M</v>
          </cell>
          <cell r="G335" t="str">
            <v>ZIB00105</v>
          </cell>
          <cell r="H335" t="str">
            <v>bestaand</v>
          </cell>
          <cell r="I335" t="str">
            <v>01.02.2014</v>
          </cell>
          <cell r="J335" t="str">
            <v>Yes</v>
          </cell>
          <cell r="K335" t="str">
            <v>Professional</v>
          </cell>
          <cell r="L335" t="str">
            <v>METAL STUD</v>
          </cell>
          <cell r="M335" t="str">
            <v>MSV125</v>
          </cell>
          <cell r="N335" t="str">
            <v>M.S.VERT.125 MM 4.00 M</v>
          </cell>
          <cell r="O335" t="str">
            <v>M.S.VERT.125 MM 4.00 M</v>
          </cell>
          <cell r="P335" t="str">
            <v>(blanco)</v>
          </cell>
          <cell r="Q335" t="str">
            <v>(blanco)</v>
          </cell>
          <cell r="R335" t="str">
            <v>(blanco)</v>
          </cell>
          <cell r="S335" t="str">
            <v>(blanco)</v>
          </cell>
          <cell r="T335" t="str">
            <v>NBN EN 14195:2015</v>
          </cell>
          <cell r="U335" t="str">
            <v>C</v>
          </cell>
          <cell r="V335" t="str">
            <v>--</v>
          </cell>
          <cell r="AA335" t="str">
            <v>A1</v>
          </cell>
          <cell r="AC335" t="str">
            <v>(blanco)</v>
          </cell>
          <cell r="AD335" t="str">
            <v>(blanco)</v>
          </cell>
          <cell r="AH335">
            <v>-0.5</v>
          </cell>
          <cell r="AI335" t="e">
            <v>#DIV/0!</v>
          </cell>
          <cell r="AJ335">
            <v>0</v>
          </cell>
          <cell r="AL335" t="str">
            <v>(blanco)</v>
          </cell>
          <cell r="AM335" t="str">
            <v>(blanco)</v>
          </cell>
          <cell r="AN335" t="str">
            <v>(blanco)</v>
          </cell>
          <cell r="AP335">
            <v>50</v>
          </cell>
          <cell r="AR335">
            <v>4.3959999999999999</v>
          </cell>
          <cell r="AS335">
            <v>4.4000000000000004</v>
          </cell>
          <cell r="AT335">
            <v>0</v>
          </cell>
          <cell r="AX335">
            <v>4.83</v>
          </cell>
          <cell r="AY335" t="str">
            <v>01.02.2015</v>
          </cell>
          <cell r="AZ335">
            <v>0</v>
          </cell>
          <cell r="BA335" t="str">
            <v>00.00.0000</v>
          </cell>
          <cell r="BB335" t="str">
            <v>M</v>
          </cell>
          <cell r="BC335" t="str">
            <v>M</v>
          </cell>
          <cell r="BD335" t="str">
            <v>S</v>
          </cell>
          <cell r="BE335">
            <v>0</v>
          </cell>
        </row>
        <row r="336">
          <cell r="A336" t="str">
            <v>G126550</v>
          </cell>
          <cell r="B336" t="str">
            <v>G126550</v>
          </cell>
          <cell r="C336" t="str">
            <v>D5DAD01D007D010</v>
          </cell>
          <cell r="D336" t="str">
            <v>Rifino Premium KG</v>
          </cell>
          <cell r="E336" t="str">
            <v>D5DA</v>
          </cell>
          <cell r="F336" t="str">
            <v>Voegproducten KG</v>
          </cell>
          <cell r="G336" t="str">
            <v>G126550</v>
          </cell>
          <cell r="H336" t="str">
            <v>bestaand</v>
          </cell>
          <cell r="I336" t="str">
            <v>01.01.2013</v>
          </cell>
          <cell r="J336" t="str">
            <v>Yes</v>
          </cell>
          <cell r="K336" t="str">
            <v>Professional</v>
          </cell>
          <cell r="L336" t="str">
            <v>Gyproc</v>
          </cell>
          <cell r="M336" t="str">
            <v>RIFINO PREMIUM</v>
          </cell>
          <cell r="N336" t="str">
            <v>RIFINO PREMIUM 5 KG EP/105</v>
          </cell>
          <cell r="O336" t="str">
            <v>RIFINO PREMIUM 5 KG EP/105</v>
          </cell>
          <cell r="P336" t="str">
            <v>(blanco)</v>
          </cell>
          <cell r="Q336" t="str">
            <v>(blanco)</v>
          </cell>
          <cell r="R336" t="str">
            <v>(blanco)</v>
          </cell>
          <cell r="S336" t="str">
            <v>(blanco)</v>
          </cell>
          <cell r="T336" t="str">
            <v>NBN EN 13963:2014</v>
          </cell>
          <cell r="U336" t="str">
            <v>3B</v>
          </cell>
          <cell r="V336" t="str">
            <v>--</v>
          </cell>
          <cell r="AA336" t="str">
            <v>A1</v>
          </cell>
          <cell r="AC336" t="str">
            <v>(blanco)</v>
          </cell>
          <cell r="AD336" t="str">
            <v>(blanco)</v>
          </cell>
          <cell r="AH336" t="str">
            <v>(blanco)</v>
          </cell>
          <cell r="AI336" t="str">
            <v>(blanco)</v>
          </cell>
          <cell r="AJ336" t="str">
            <v>(blanco)</v>
          </cell>
          <cell r="AN336" t="str">
            <v>(blanco)</v>
          </cell>
          <cell r="AP336">
            <v>0.25</v>
          </cell>
          <cell r="AR336">
            <v>5</v>
          </cell>
          <cell r="AS336">
            <v>5.25</v>
          </cell>
          <cell r="AT336">
            <v>0</v>
          </cell>
          <cell r="AV336" t="str">
            <v>EP : Euro Pallet</v>
          </cell>
          <cell r="AW336">
            <v>2</v>
          </cell>
          <cell r="AX336">
            <v>1.52</v>
          </cell>
          <cell r="AY336" t="str">
            <v>01.02.2015</v>
          </cell>
          <cell r="AZ336">
            <v>0</v>
          </cell>
          <cell r="BA336" t="str">
            <v>00.00.0000</v>
          </cell>
          <cell r="BB336" t="str">
            <v>KG</v>
          </cell>
          <cell r="BC336" t="str">
            <v>KG</v>
          </cell>
          <cell r="BD336" t="str">
            <v>S</v>
          </cell>
          <cell r="BE336">
            <v>5413218563598</v>
          </cell>
        </row>
        <row r="337">
          <cell r="A337" t="str">
            <v>G126763</v>
          </cell>
          <cell r="B337" t="str">
            <v>G126763</v>
          </cell>
          <cell r="C337" t="str">
            <v>A1ABA19A007A001</v>
          </cell>
          <cell r="D337" t="str">
            <v>Glasroc® F 15 M2</v>
          </cell>
          <cell r="E337" t="str">
            <v>A1AB</v>
          </cell>
          <cell r="F337" t="str">
            <v>Technische platen M2</v>
          </cell>
          <cell r="G337" t="str">
            <v>G126763</v>
          </cell>
          <cell r="H337" t="str">
            <v>bestaand</v>
          </cell>
          <cell r="I337" t="str">
            <v>01.01.2013</v>
          </cell>
          <cell r="J337" t="str">
            <v>Yes</v>
          </cell>
          <cell r="K337" t="str">
            <v>Professional</v>
          </cell>
          <cell r="L337" t="str">
            <v>GLASROC F</v>
          </cell>
          <cell r="M337" t="str">
            <v>GLASROC F</v>
          </cell>
          <cell r="N337" t="str">
            <v>GLASROC F GBC 15 X 2400 X 135 DP/100</v>
          </cell>
          <cell r="O337" t="str">
            <v>GLASROC F GBC 15 X 2400 X 135 DP/100</v>
          </cell>
          <cell r="P337" t="str">
            <v>wit</v>
          </cell>
          <cell r="Q337" t="str">
            <v>blanc</v>
          </cell>
          <cell r="R337" t="str">
            <v>wit</v>
          </cell>
          <cell r="S337" t="str">
            <v>blanc</v>
          </cell>
          <cell r="T337" t="str">
            <v>NBN EN 15283-1:2009</v>
          </cell>
          <cell r="U337" t="str">
            <v>GM-F-H2</v>
          </cell>
          <cell r="V337" t="str">
            <v>GF</v>
          </cell>
          <cell r="W337" t="str">
            <v>verzaagde en ingefreesde gipskartonplaat</v>
          </cell>
          <cell r="Y337" t="str">
            <v>gipsvezelplaat voor droge binnenafbouw</v>
          </cell>
          <cell r="AA337" t="str">
            <v>A1</v>
          </cell>
          <cell r="AB337" t="str">
            <v>SG_GY_2013_A1ABA19A007</v>
          </cell>
          <cell r="AC337" t="str">
            <v>GBC</v>
          </cell>
          <cell r="AD337" t="str">
            <v>ZZO: zichtzijde onder</v>
          </cell>
          <cell r="AE337">
            <v>15</v>
          </cell>
          <cell r="AH337" t="str">
            <v>+/-0.7</v>
          </cell>
          <cell r="AI337">
            <v>0</v>
          </cell>
          <cell r="AJ337">
            <v>0</v>
          </cell>
          <cell r="AL337" t="str">
            <v>Geen eisen gesteld</v>
          </cell>
          <cell r="AM337" t="str">
            <v>Pas de exigences</v>
          </cell>
          <cell r="AN337" t="str">
            <v>kg/m³</v>
          </cell>
          <cell r="AP337">
            <v>0.3</v>
          </cell>
          <cell r="AQ337">
            <v>0.05</v>
          </cell>
          <cell r="AR337">
            <v>3.758</v>
          </cell>
          <cell r="AS337">
            <v>3.9460000000000002</v>
          </cell>
          <cell r="AT337">
            <v>4.8600000000000003</v>
          </cell>
          <cell r="AU337" t="str">
            <v>CD3</v>
          </cell>
          <cell r="AV337" t="str">
            <v>DP : Duitse Pallet</v>
          </cell>
          <cell r="AW337">
            <v>3</v>
          </cell>
          <cell r="AX337">
            <v>23.39</v>
          </cell>
          <cell r="AY337" t="str">
            <v>01.02.2015</v>
          </cell>
          <cell r="AZ337">
            <v>0</v>
          </cell>
          <cell r="BA337" t="str">
            <v>00.00.0000</v>
          </cell>
          <cell r="BB337" t="str">
            <v>M2</v>
          </cell>
          <cell r="BC337" t="str">
            <v>M2</v>
          </cell>
          <cell r="BD337">
            <v>1</v>
          </cell>
          <cell r="BE337">
            <v>5413218566926</v>
          </cell>
        </row>
        <row r="338">
          <cell r="A338" t="str">
            <v>G126764</v>
          </cell>
          <cell r="B338" t="str">
            <v>G126764</v>
          </cell>
          <cell r="C338" t="str">
            <v>A1ABA19A007A001</v>
          </cell>
          <cell r="D338" t="str">
            <v>Glasroc® F 15 M2</v>
          </cell>
          <cell r="E338" t="str">
            <v>A1AB</v>
          </cell>
          <cell r="F338" t="str">
            <v>Technische platen M2</v>
          </cell>
          <cell r="G338" t="str">
            <v>G126764</v>
          </cell>
          <cell r="H338" t="str">
            <v>bestaand</v>
          </cell>
          <cell r="I338" t="str">
            <v>01.01.2013</v>
          </cell>
          <cell r="J338" t="str">
            <v>Yes</v>
          </cell>
          <cell r="K338" t="str">
            <v>Professional</v>
          </cell>
          <cell r="L338" t="str">
            <v>GLASROC F</v>
          </cell>
          <cell r="M338" t="str">
            <v>GLASROC F</v>
          </cell>
          <cell r="N338" t="str">
            <v>GLASROC F GBC 15 X 2400 X 65 DP/100</v>
          </cell>
          <cell r="O338" t="str">
            <v>GLASROC F GBC 15 X 2400 X 65 DP/100</v>
          </cell>
          <cell r="P338" t="str">
            <v>wit</v>
          </cell>
          <cell r="Q338" t="str">
            <v>blanc</v>
          </cell>
          <cell r="R338" t="str">
            <v>wit</v>
          </cell>
          <cell r="S338" t="str">
            <v>blanc</v>
          </cell>
          <cell r="T338" t="str">
            <v>NBN EN 15283-1:2009</v>
          </cell>
          <cell r="U338" t="str">
            <v>GM-F-H2</v>
          </cell>
          <cell r="V338" t="str">
            <v>GF</v>
          </cell>
          <cell r="W338" t="str">
            <v>verzaagde en ingefreesde gipskartonplaat</v>
          </cell>
          <cell r="Y338" t="str">
            <v>gipsvezelplaat voor droge binnenafbouw</v>
          </cell>
          <cell r="AA338" t="str">
            <v>A1</v>
          </cell>
          <cell r="AB338" t="str">
            <v>SG_GY_2013_A1ABA19A007</v>
          </cell>
          <cell r="AC338" t="str">
            <v>GBC</v>
          </cell>
          <cell r="AD338" t="str">
            <v>ZOZ: zichtzijde op zichtzijde</v>
          </cell>
          <cell r="AE338">
            <v>15</v>
          </cell>
          <cell r="AH338" t="str">
            <v>+/-0.7</v>
          </cell>
          <cell r="AI338">
            <v>0</v>
          </cell>
          <cell r="AJ338">
            <v>0</v>
          </cell>
          <cell r="AL338" t="str">
            <v>Geen eisen gesteld</v>
          </cell>
          <cell r="AM338" t="str">
            <v>Pas de exigences</v>
          </cell>
          <cell r="AN338" t="str">
            <v>kg/m³</v>
          </cell>
          <cell r="AP338">
            <v>0.3</v>
          </cell>
          <cell r="AQ338">
            <v>0.05</v>
          </cell>
          <cell r="AR338">
            <v>1.81</v>
          </cell>
          <cell r="AS338">
            <v>1.9</v>
          </cell>
          <cell r="AT338">
            <v>2.34</v>
          </cell>
          <cell r="AU338" t="str">
            <v>CD3</v>
          </cell>
          <cell r="AV338" t="str">
            <v>DP : Duitse Pallet</v>
          </cell>
          <cell r="AW338">
            <v>3</v>
          </cell>
          <cell r="AX338">
            <v>23.39</v>
          </cell>
          <cell r="AY338" t="str">
            <v>01.02.2015</v>
          </cell>
          <cell r="AZ338">
            <v>0</v>
          </cell>
          <cell r="BA338" t="str">
            <v>00.00.0000</v>
          </cell>
          <cell r="BB338" t="str">
            <v>M2</v>
          </cell>
          <cell r="BC338" t="str">
            <v>M2</v>
          </cell>
          <cell r="BD338">
            <v>1</v>
          </cell>
          <cell r="BE338">
            <v>5413218566902</v>
          </cell>
        </row>
        <row r="339">
          <cell r="A339" t="str">
            <v>G126943</v>
          </cell>
          <cell r="B339" t="str">
            <v>G126943</v>
          </cell>
          <cell r="C339" t="str">
            <v>C1CAC01C009C001</v>
          </cell>
          <cell r="D339" t="str">
            <v>Sixto A M2</v>
          </cell>
          <cell r="E339" t="str">
            <v>C1CA</v>
          </cell>
          <cell r="F339" t="str">
            <v>Gyptone plafonds</v>
          </cell>
          <cell r="G339" t="str">
            <v>G126943</v>
          </cell>
          <cell r="H339" t="str">
            <v>te verwijderen</v>
          </cell>
          <cell r="I339" t="str">
            <v>01.01.2013</v>
          </cell>
          <cell r="J339" t="str">
            <v>Yes</v>
          </cell>
          <cell r="K339" t="str">
            <v>Professional</v>
          </cell>
          <cell r="L339" t="str">
            <v>GYPTONE</v>
          </cell>
          <cell r="M339" t="str">
            <v>GYPTONE SIXTO 60</v>
          </cell>
          <cell r="N339" t="str">
            <v>GYPT SIXTO 60 D1 12,5X600X600 WP/14DS</v>
          </cell>
          <cell r="O339" t="str">
            <v>GYPT SIXTO 60 D1 12,5X600X600 WP/14DS</v>
          </cell>
          <cell r="P339" t="str">
            <v>ivoor</v>
          </cell>
          <cell r="Q339" t="str">
            <v>ivoire</v>
          </cell>
          <cell r="R339" t="str">
            <v>wit vlies</v>
          </cell>
          <cell r="S339" t="str">
            <v>voile blanc</v>
          </cell>
          <cell r="T339" t="str">
            <v>NBN EN 14190:2014</v>
          </cell>
          <cell r="U339" t="str">
            <v>A</v>
          </cell>
          <cell r="V339" t="str">
            <v>GT</v>
          </cell>
          <cell r="W339" t="str">
            <v>geperforeerde tegel uit gipskartonplaat</v>
          </cell>
          <cell r="Y339" t="str">
            <v>gipsplaat voor droge binnenafbouw</v>
          </cell>
          <cell r="AA339" t="str">
            <v>A2-s1, d0 (C.4)</v>
          </cell>
          <cell r="AB339" t="str">
            <v>DoP_GYP_14190-1-v-1</v>
          </cell>
          <cell r="AC339" t="str">
            <v>D1</v>
          </cell>
          <cell r="AE339">
            <v>12.5</v>
          </cell>
          <cell r="AH339" t="str">
            <v>+/-0.5</v>
          </cell>
          <cell r="AI339">
            <v>0</v>
          </cell>
          <cell r="AJ339">
            <v>0</v>
          </cell>
          <cell r="AL339" t="str">
            <v>Geen eisen gesteld</v>
          </cell>
          <cell r="AM339" t="str">
            <v>Pas de exigences</v>
          </cell>
          <cell r="AN339" t="str">
            <v>kg/m³</v>
          </cell>
          <cell r="AP339">
            <v>0.25</v>
          </cell>
          <cell r="AR339">
            <v>3.24</v>
          </cell>
          <cell r="AS339">
            <v>3.24</v>
          </cell>
          <cell r="AT339">
            <v>5.5359999999999996</v>
          </cell>
          <cell r="AU339" t="str">
            <v>CD3</v>
          </cell>
          <cell r="AV339" t="str">
            <v>WP : Wegwerppallet</v>
          </cell>
          <cell r="AW339">
            <v>7</v>
          </cell>
          <cell r="AX339">
            <v>36.57</v>
          </cell>
          <cell r="AY339" t="str">
            <v>01.02.2015</v>
          </cell>
          <cell r="AZ339">
            <v>0</v>
          </cell>
          <cell r="BA339" t="str">
            <v>00.00.0000</v>
          </cell>
          <cell r="BB339" t="str">
            <v>M2</v>
          </cell>
          <cell r="BC339" t="str">
            <v>M2</v>
          </cell>
          <cell r="BD339">
            <v>2</v>
          </cell>
          <cell r="BE339">
            <v>5413218566339</v>
          </cell>
        </row>
        <row r="340">
          <cell r="A340" t="str">
            <v>G126979</v>
          </cell>
          <cell r="B340" t="str">
            <v>G126979</v>
          </cell>
          <cell r="C340" t="str">
            <v>A1ABA35A003A006</v>
          </cell>
          <cell r="D340" t="str">
            <v>Rigidur H 13 M2</v>
          </cell>
          <cell r="E340" t="str">
            <v>A1AB</v>
          </cell>
          <cell r="F340" t="str">
            <v>Technische platen M2</v>
          </cell>
          <cell r="G340" t="str">
            <v>G126979</v>
          </cell>
          <cell r="H340" t="str">
            <v>bestaand</v>
          </cell>
          <cell r="I340" t="str">
            <v>01.01.2013</v>
          </cell>
          <cell r="J340" t="str">
            <v>Yes</v>
          </cell>
          <cell r="K340" t="str">
            <v>Professional</v>
          </cell>
          <cell r="L340" t="str">
            <v>Rigidur</v>
          </cell>
          <cell r="M340" t="str">
            <v>RIGIDUR GF-H</v>
          </cell>
          <cell r="N340" t="str">
            <v>Rigidur GF-H 13 GBC 2600 X 1195 DP/30</v>
          </cell>
          <cell r="O340" t="str">
            <v>Rigidur GF-H 13 GBC 2600 X 1195 DP/30</v>
          </cell>
          <cell r="P340" t="str">
            <v>bruin</v>
          </cell>
          <cell r="Q340" t="str">
            <v>brun</v>
          </cell>
          <cell r="R340" t="str">
            <v>bruin</v>
          </cell>
          <cell r="S340" t="str">
            <v>brun</v>
          </cell>
          <cell r="T340" t="str">
            <v>NBN EN 15283-2:2009</v>
          </cell>
          <cell r="U340" t="str">
            <v>GF-C1-I-W2</v>
          </cell>
          <cell r="V340" t="str">
            <v>RD</v>
          </cell>
          <cell r="W340" t="str">
            <v>gipsplaat versterkt met glasvliesmat</v>
          </cell>
          <cell r="Y340" t="str">
            <v>gipsvezelplaat voor droge binnenafbouw</v>
          </cell>
          <cell r="AA340" t="str">
            <v>A2-s1, d0</v>
          </cell>
          <cell r="AB340" t="str">
            <v>Rigidur_H_12,5_LE_0413</v>
          </cell>
          <cell r="AC340" t="str">
            <v>GBC</v>
          </cell>
          <cell r="AD340" t="str">
            <v>ZZO: zichtzijde onder</v>
          </cell>
          <cell r="AE340">
            <v>12.5</v>
          </cell>
          <cell r="AH340" t="str">
            <v>+/-0.2</v>
          </cell>
          <cell r="AI340">
            <v>0</v>
          </cell>
          <cell r="AJ340">
            <v>0</v>
          </cell>
          <cell r="AL340" t="str">
            <v>Geen eisen gesteld</v>
          </cell>
          <cell r="AM340" t="str">
            <v>Pas de exigences</v>
          </cell>
          <cell r="AN340" t="str">
            <v>kg/m³</v>
          </cell>
          <cell r="AP340">
            <v>0.35</v>
          </cell>
          <cell r="AQ340">
            <v>0.04</v>
          </cell>
          <cell r="AR340">
            <v>46.604999999999997</v>
          </cell>
          <cell r="AS340">
            <v>48.935000000000002</v>
          </cell>
          <cell r="AT340">
            <v>40.390999999999998</v>
          </cell>
          <cell r="AU340" t="str">
            <v>CD3</v>
          </cell>
          <cell r="AV340" t="str">
            <v>DP : Duitse Pallet</v>
          </cell>
          <cell r="AW340">
            <v>3</v>
          </cell>
          <cell r="AX340">
            <v>8.35</v>
          </cell>
          <cell r="AY340" t="str">
            <v>01.02.2015</v>
          </cell>
          <cell r="AZ340">
            <v>0</v>
          </cell>
          <cell r="BA340" t="str">
            <v>00.00.0000</v>
          </cell>
          <cell r="BB340" t="str">
            <v>M2</v>
          </cell>
          <cell r="BC340" t="str">
            <v>M2</v>
          </cell>
          <cell r="BD340" t="str">
            <v>S</v>
          </cell>
          <cell r="BE340">
            <v>5413218566735</v>
          </cell>
        </row>
        <row r="341">
          <cell r="A341" t="str">
            <v>G126983</v>
          </cell>
          <cell r="B341" t="str">
            <v>G126983</v>
          </cell>
          <cell r="C341" t="str">
            <v>D9DAD01D009D001</v>
          </cell>
          <cell r="D341" t="str">
            <v>Colle Rigidur KG</v>
          </cell>
          <cell r="E341" t="str">
            <v>D9DA</v>
          </cell>
          <cell r="F341" t="str">
            <v>Andere Lijmen KG</v>
          </cell>
          <cell r="G341" t="str">
            <v>G126983</v>
          </cell>
          <cell r="H341" t="str">
            <v>bestaand</v>
          </cell>
          <cell r="I341" t="str">
            <v>01.01.2013</v>
          </cell>
          <cell r="J341" t="str">
            <v>Yes</v>
          </cell>
          <cell r="K341" t="str">
            <v>Professional</v>
          </cell>
          <cell r="L341" t="str">
            <v>Rigidur</v>
          </cell>
          <cell r="M341" t="str">
            <v>RIGIDUR VOEGENLIJM</v>
          </cell>
          <cell r="N341" t="str">
            <v>RIGIDUR VOEGENLIJM 310 ML Nature line</v>
          </cell>
          <cell r="O341" t="str">
            <v>Colle RIGIDUR 310 ML Nature line</v>
          </cell>
          <cell r="P341" t="str">
            <v>(blanco)</v>
          </cell>
          <cell r="Q341" t="str">
            <v>(blanco)</v>
          </cell>
          <cell r="R341" t="str">
            <v>(blanco)</v>
          </cell>
          <cell r="S341" t="str">
            <v>(blanco)</v>
          </cell>
          <cell r="T341" t="str">
            <v>--</v>
          </cell>
          <cell r="AC341" t="str">
            <v>(blanco)</v>
          </cell>
          <cell r="AD341" t="str">
            <v>(blanco)</v>
          </cell>
          <cell r="AH341" t="str">
            <v>(blanco)</v>
          </cell>
          <cell r="AI341" t="str">
            <v>(blanco)</v>
          </cell>
          <cell r="AJ341" t="str">
            <v>(blanco)</v>
          </cell>
          <cell r="AL341" t="str">
            <v>(blanco)</v>
          </cell>
          <cell r="AM341" t="str">
            <v>(blanco)</v>
          </cell>
          <cell r="AN341" t="str">
            <v>(blanco)</v>
          </cell>
          <cell r="AP341">
            <v>0</v>
          </cell>
          <cell r="AR341">
            <v>0.3</v>
          </cell>
          <cell r="AS341">
            <v>0.38400000000000001</v>
          </cell>
          <cell r="AT341">
            <v>0</v>
          </cell>
          <cell r="AX341">
            <v>6.71</v>
          </cell>
          <cell r="AY341" t="str">
            <v>01.02.2015</v>
          </cell>
          <cell r="AZ341">
            <v>0</v>
          </cell>
          <cell r="BA341" t="str">
            <v>00.00.0000</v>
          </cell>
          <cell r="BB341" t="str">
            <v>ST</v>
          </cell>
          <cell r="BC341" t="str">
            <v>******</v>
          </cell>
          <cell r="BD341" t="str">
            <v>S</v>
          </cell>
          <cell r="BE341">
            <v>5413218566797</v>
          </cell>
        </row>
        <row r="342">
          <cell r="A342" t="str">
            <v>G126984</v>
          </cell>
          <cell r="B342" t="str">
            <v>G126984</v>
          </cell>
          <cell r="C342" t="str">
            <v>C1CDC01C012C001</v>
          </cell>
          <cell r="D342" t="str">
            <v>Dalles Gyprex M2</v>
          </cell>
          <cell r="E342" t="str">
            <v>C1CD</v>
          </cell>
          <cell r="F342" t="str">
            <v>Gyprex tgels M</v>
          </cell>
          <cell r="G342" t="str">
            <v>G126984</v>
          </cell>
          <cell r="H342" t="str">
            <v>bestaand</v>
          </cell>
          <cell r="I342" t="str">
            <v>01.01.2013</v>
          </cell>
          <cell r="J342" t="str">
            <v>Yes</v>
          </cell>
          <cell r="K342" t="str">
            <v>Professional</v>
          </cell>
          <cell r="L342" t="str">
            <v>GYPREX</v>
          </cell>
          <cell r="M342" t="str">
            <v>GYPREX CRYSTAL RF</v>
          </cell>
          <cell r="N342" t="str">
            <v>GYPREX CRYSTAL RF 12.5 1200 X 600 WP/64</v>
          </cell>
          <cell r="O342" t="str">
            <v>GYPREX CRYSTAL RF 12.5 1200 X 600 WP/64</v>
          </cell>
          <cell r="P342" t="str">
            <v>vinyl</v>
          </cell>
          <cell r="Q342" t="str">
            <v>vinyle</v>
          </cell>
          <cell r="R342" t="str">
            <v>grijs</v>
          </cell>
          <cell r="S342" t="str">
            <v>gris</v>
          </cell>
          <cell r="T342" t="str">
            <v>NBN EN 14190:2014</v>
          </cell>
          <cell r="U342" t="str">
            <v>DF</v>
          </cell>
          <cell r="V342" t="str">
            <v>GR</v>
          </cell>
          <cell r="W342" t="str">
            <v>tegel uit gipskartonplaat bekleed met vinyl</v>
          </cell>
          <cell r="Y342" t="str">
            <v>gipsplaat voor droge binnenafbouw</v>
          </cell>
          <cell r="AB342" t="str">
            <v>SG_GY_2013_C1CDC01C012</v>
          </cell>
          <cell r="AC342" t="str">
            <v>A</v>
          </cell>
          <cell r="AD342" t="str">
            <v>ZOZ: zichtzijde op zichtzijde</v>
          </cell>
          <cell r="AE342">
            <v>12.5</v>
          </cell>
          <cell r="AH342" t="str">
            <v>+/-0.5</v>
          </cell>
          <cell r="AI342">
            <v>0</v>
          </cell>
          <cell r="AJ342">
            <v>0</v>
          </cell>
          <cell r="AN342" t="str">
            <v>(blanco)</v>
          </cell>
          <cell r="AP342">
            <v>0.25</v>
          </cell>
          <cell r="AR342">
            <v>7.92</v>
          </cell>
          <cell r="AS342">
            <v>8.3160000000000007</v>
          </cell>
          <cell r="AT342">
            <v>0</v>
          </cell>
          <cell r="AV342" t="str">
            <v>WP : Wegwerppallet</v>
          </cell>
          <cell r="AW342">
            <v>7</v>
          </cell>
          <cell r="AX342">
            <v>10.5</v>
          </cell>
          <cell r="AY342" t="str">
            <v>01.02.2015</v>
          </cell>
          <cell r="AZ342">
            <v>0</v>
          </cell>
          <cell r="BA342" t="str">
            <v>00.00.0000</v>
          </cell>
          <cell r="BB342" t="str">
            <v>M2</v>
          </cell>
          <cell r="BC342" t="str">
            <v>M2</v>
          </cell>
          <cell r="BD342" t="str">
            <v>S</v>
          </cell>
          <cell r="BE342">
            <v>5413218566391</v>
          </cell>
        </row>
        <row r="343">
          <cell r="A343" t="str">
            <v>G127012</v>
          </cell>
          <cell r="B343" t="str">
            <v>G127012</v>
          </cell>
          <cell r="C343" t="str">
            <v>D1DBD01D007D003</v>
          </cell>
          <cell r="D343" t="str">
            <v>Ruban Résilient 45 *</v>
          </cell>
          <cell r="E343" t="str">
            <v>D1DB</v>
          </cell>
          <cell r="F343" t="str">
            <v>Toebehoren Platen *</v>
          </cell>
          <cell r="G343" t="str">
            <v>G127012</v>
          </cell>
          <cell r="H343" t="str">
            <v>bestaand</v>
          </cell>
          <cell r="I343" t="str">
            <v>01.01.2013</v>
          </cell>
          <cell r="J343" t="str">
            <v>Yes</v>
          </cell>
          <cell r="K343" t="str">
            <v>Professional</v>
          </cell>
          <cell r="L343" t="str">
            <v>Gyproc</v>
          </cell>
          <cell r="M343" t="str">
            <v>SOEPELE ISOLATIEBAND</v>
          </cell>
          <cell r="N343" t="str">
            <v>SOEPELE ISOLATIEBAND PE/50</v>
          </cell>
          <cell r="O343" t="str">
            <v>Bande d'étanchéité souple PE/50</v>
          </cell>
          <cell r="P343" t="str">
            <v>(blanco)</v>
          </cell>
          <cell r="Q343" t="str">
            <v>(blanco)</v>
          </cell>
          <cell r="R343" t="str">
            <v>(blanco)</v>
          </cell>
          <cell r="S343" t="str">
            <v>(blanco)</v>
          </cell>
          <cell r="T343" t="str">
            <v>--</v>
          </cell>
          <cell r="AA343" t="str">
            <v>(blanco)</v>
          </cell>
          <cell r="AC343" t="str">
            <v>(blanco)</v>
          </cell>
          <cell r="AD343" t="str">
            <v>(blanco)</v>
          </cell>
          <cell r="AE343">
            <v>6</v>
          </cell>
          <cell r="AL343" t="str">
            <v>(blanco)</v>
          </cell>
          <cell r="AM343" t="str">
            <v>(blanco)</v>
          </cell>
          <cell r="AN343" t="str">
            <v>(blanco)</v>
          </cell>
          <cell r="AP343">
            <v>0</v>
          </cell>
          <cell r="AQ343">
            <v>0</v>
          </cell>
          <cell r="AR343">
            <v>0.5</v>
          </cell>
          <cell r="AS343">
            <v>0.52500000000000002</v>
          </cell>
          <cell r="AT343">
            <v>0</v>
          </cell>
          <cell r="AX343">
            <v>6.63</v>
          </cell>
          <cell r="AY343" t="str">
            <v>01.02.2015</v>
          </cell>
          <cell r="AZ343">
            <v>0</v>
          </cell>
          <cell r="BA343" t="str">
            <v>00.00.0000</v>
          </cell>
          <cell r="BB343" t="str">
            <v>ST</v>
          </cell>
          <cell r="BC343" t="str">
            <v>******</v>
          </cell>
          <cell r="BD343" t="str">
            <v>S</v>
          </cell>
          <cell r="BE343">
            <v>5413218563611</v>
          </cell>
        </row>
        <row r="344">
          <cell r="A344" t="str">
            <v>G127040</v>
          </cell>
          <cell r="B344" t="str">
            <v>G127040</v>
          </cell>
          <cell r="C344" t="str">
            <v>D1DCD01D005D032</v>
          </cell>
          <cell r="D344" t="str">
            <v>DIY - Schroeven KAR</v>
          </cell>
          <cell r="E344" t="str">
            <v>D1DC</v>
          </cell>
          <cell r="F344" t="str">
            <v>Toebehoren Bevestigingen *</v>
          </cell>
          <cell r="G344" t="str">
            <v>G127040</v>
          </cell>
          <cell r="H344" t="str">
            <v>bestaand</v>
          </cell>
          <cell r="I344" t="str">
            <v>01.01.2013</v>
          </cell>
          <cell r="J344" t="str">
            <v>Yes</v>
          </cell>
          <cell r="K344" t="str">
            <v>Professional</v>
          </cell>
          <cell r="L344" t="str">
            <v>Rigidur</v>
          </cell>
          <cell r="M344" t="str">
            <v>RIGIDUR SNELBOUWSCHROEVEN</v>
          </cell>
          <cell r="N344" t="str">
            <v>RIGIDUR SCHROEVEN 30 MM/1000 ST</v>
          </cell>
          <cell r="O344" t="str">
            <v>Vis Rigidur 30MM /1000pcs</v>
          </cell>
          <cell r="P344" t="str">
            <v>(blanco)</v>
          </cell>
          <cell r="Q344" t="str">
            <v>(blanco)</v>
          </cell>
          <cell r="R344" t="str">
            <v>(blanco)</v>
          </cell>
          <cell r="S344" t="str">
            <v>(blanco)</v>
          </cell>
          <cell r="T344" t="str">
            <v>NBN EN 14566+A1:2009</v>
          </cell>
          <cell r="U344" t="str">
            <v>umn</v>
          </cell>
          <cell r="V344" t="str">
            <v>--</v>
          </cell>
          <cell r="AA344" t="str">
            <v>A1</v>
          </cell>
          <cell r="AC344" t="str">
            <v>(blanco)</v>
          </cell>
          <cell r="AD344" t="str">
            <v>(blanco)</v>
          </cell>
          <cell r="AL344" t="str">
            <v>(blanco)</v>
          </cell>
          <cell r="AM344" t="str">
            <v>(blanco)</v>
          </cell>
          <cell r="AN344" t="str">
            <v>(blanco)</v>
          </cell>
          <cell r="AP344">
            <v>50</v>
          </cell>
          <cell r="AR344">
            <v>3.2</v>
          </cell>
          <cell r="AS344">
            <v>3.22</v>
          </cell>
          <cell r="AT344">
            <v>0</v>
          </cell>
          <cell r="AX344">
            <v>13.66</v>
          </cell>
          <cell r="AY344" t="str">
            <v>01.02.2015</v>
          </cell>
          <cell r="AZ344">
            <v>0</v>
          </cell>
          <cell r="BA344" t="str">
            <v>00.00.0000</v>
          </cell>
          <cell r="BB344" t="str">
            <v>KAR</v>
          </cell>
          <cell r="BC344" t="str">
            <v>******</v>
          </cell>
          <cell r="BD344" t="str">
            <v>S</v>
          </cell>
          <cell r="BE344">
            <v>8711149990498</v>
          </cell>
        </row>
        <row r="345">
          <cell r="A345" t="str">
            <v>G127042</v>
          </cell>
          <cell r="B345" t="str">
            <v>G127042</v>
          </cell>
          <cell r="C345" t="str">
            <v>D1DCD01D005D032</v>
          </cell>
          <cell r="D345" t="str">
            <v>DIY - Schroeven KAR</v>
          </cell>
          <cell r="E345" t="str">
            <v>D1DC</v>
          </cell>
          <cell r="F345" t="str">
            <v>Toebehoren Bevestigingen *</v>
          </cell>
          <cell r="G345" t="str">
            <v>G127042</v>
          </cell>
          <cell r="H345" t="str">
            <v>bestaand</v>
          </cell>
          <cell r="I345" t="str">
            <v>01.01.2013</v>
          </cell>
          <cell r="J345" t="str">
            <v>Yes</v>
          </cell>
          <cell r="K345" t="str">
            <v>Professional</v>
          </cell>
          <cell r="L345" t="str">
            <v>Rigidur</v>
          </cell>
          <cell r="M345" t="str">
            <v>RIGIDUR SNELBOUWSCHROEVEN</v>
          </cell>
          <cell r="N345" t="str">
            <v>RIGIDUR SCHROEVEN 45 MM/1000 ST</v>
          </cell>
          <cell r="O345" t="str">
            <v>Vis Rigidur 45 MM/1000pcs</v>
          </cell>
          <cell r="P345" t="str">
            <v>(blanco)</v>
          </cell>
          <cell r="Q345" t="str">
            <v>(blanco)</v>
          </cell>
          <cell r="R345" t="str">
            <v>(blanco)</v>
          </cell>
          <cell r="S345" t="str">
            <v>(blanco)</v>
          </cell>
          <cell r="T345" t="str">
            <v>NBN EN 14566+A1:2009</v>
          </cell>
          <cell r="U345" t="str">
            <v>umn</v>
          </cell>
          <cell r="V345" t="str">
            <v>--</v>
          </cell>
          <cell r="AA345" t="str">
            <v>A1</v>
          </cell>
          <cell r="AC345" t="str">
            <v>(blanco)</v>
          </cell>
          <cell r="AD345" t="str">
            <v>(blanco)</v>
          </cell>
          <cell r="AL345" t="str">
            <v>(blanco)</v>
          </cell>
          <cell r="AM345" t="str">
            <v>(blanco)</v>
          </cell>
          <cell r="AN345" t="str">
            <v>(blanco)</v>
          </cell>
          <cell r="AP345">
            <v>50</v>
          </cell>
          <cell r="AR345">
            <v>1.5860000000000001</v>
          </cell>
          <cell r="AS345">
            <v>1.6839999999999999</v>
          </cell>
          <cell r="AT345">
            <v>0</v>
          </cell>
          <cell r="AX345">
            <v>18.079999999999998</v>
          </cell>
          <cell r="AY345" t="str">
            <v>01.02.2015</v>
          </cell>
          <cell r="AZ345">
            <v>0</v>
          </cell>
          <cell r="BA345" t="str">
            <v>00.00.0000</v>
          </cell>
          <cell r="BB345" t="str">
            <v>KAR</v>
          </cell>
          <cell r="BC345" t="str">
            <v>******</v>
          </cell>
          <cell r="BD345" t="str">
            <v>S</v>
          </cell>
          <cell r="BE345">
            <v>8711149990504</v>
          </cell>
        </row>
        <row r="346">
          <cell r="A346" t="str">
            <v>G127321</v>
          </cell>
          <cell r="B346" t="str">
            <v>G127321</v>
          </cell>
          <cell r="C346" t="str">
            <v>A1ABA35A003A007</v>
          </cell>
          <cell r="D346" t="str">
            <v>Rigidur H 13 ABA M2</v>
          </cell>
          <cell r="E346" t="str">
            <v>A1AB</v>
          </cell>
          <cell r="F346" t="str">
            <v>Technische platen M2</v>
          </cell>
          <cell r="G346" t="str">
            <v>G127321</v>
          </cell>
          <cell r="H346" t="str">
            <v>bestaand</v>
          </cell>
          <cell r="I346" t="str">
            <v>01.01.2013</v>
          </cell>
          <cell r="J346" t="str">
            <v>Yes</v>
          </cell>
          <cell r="K346" t="str">
            <v>Professional</v>
          </cell>
          <cell r="L346" t="str">
            <v>Rigidur</v>
          </cell>
          <cell r="M346" t="str">
            <v>RIGIDUR GF-H</v>
          </cell>
          <cell r="N346" t="str">
            <v>Rigidur GF-H 13 ABA 2600 X 1200 DP/30</v>
          </cell>
          <cell r="O346" t="str">
            <v>Rigidur GF-H 13 ABA 2600 x 1200 DP/30</v>
          </cell>
          <cell r="P346" t="str">
            <v>bruin</v>
          </cell>
          <cell r="Q346" t="str">
            <v>brun</v>
          </cell>
          <cell r="R346" t="str">
            <v>bruin</v>
          </cell>
          <cell r="S346" t="str">
            <v>brun</v>
          </cell>
          <cell r="T346" t="str">
            <v>NBN EN 15283-2:2009</v>
          </cell>
          <cell r="U346" t="str">
            <v>GF-C1-I-W2</v>
          </cell>
          <cell r="V346" t="str">
            <v>RD</v>
          </cell>
          <cell r="W346" t="str">
            <v>gipsplaat versterkt met glasvliesmat</v>
          </cell>
          <cell r="Y346" t="str">
            <v>gipsvezelplaat voor droge binnenafbouw</v>
          </cell>
          <cell r="AA346" t="str">
            <v>A2-s1, d0</v>
          </cell>
          <cell r="AB346" t="str">
            <v>Rigidur_H_12,5_LE_0413</v>
          </cell>
          <cell r="AC346" t="str">
            <v>ABA</v>
          </cell>
          <cell r="AD346" t="str">
            <v>ZZO: zichtzijde onder</v>
          </cell>
          <cell r="AE346">
            <v>12.5</v>
          </cell>
          <cell r="AH346" t="str">
            <v>+/-0.2</v>
          </cell>
          <cell r="AI346">
            <v>0</v>
          </cell>
          <cell r="AJ346">
            <v>0</v>
          </cell>
          <cell r="AL346" t="str">
            <v>Geen eisen gesteld</v>
          </cell>
          <cell r="AM346" t="str">
            <v>Pas de exigences</v>
          </cell>
          <cell r="AN346" t="str">
            <v>kg/m³</v>
          </cell>
          <cell r="AP346">
            <v>0.35</v>
          </cell>
          <cell r="AQ346">
            <v>0.04</v>
          </cell>
          <cell r="AR346">
            <v>46.8</v>
          </cell>
          <cell r="AS346">
            <v>49.14</v>
          </cell>
          <cell r="AT346">
            <v>40.390999999999998</v>
          </cell>
          <cell r="AU346" t="str">
            <v>CD3</v>
          </cell>
          <cell r="AV346" t="str">
            <v>DP : Duitse Pallet</v>
          </cell>
          <cell r="AW346">
            <v>3</v>
          </cell>
          <cell r="AX346">
            <v>8.93</v>
          </cell>
          <cell r="AY346" t="str">
            <v>01.02.2015</v>
          </cell>
          <cell r="AZ346">
            <v>0</v>
          </cell>
          <cell r="BA346" t="str">
            <v>00.00.0000</v>
          </cell>
          <cell r="BB346" t="str">
            <v>M2</v>
          </cell>
          <cell r="BC346" t="str">
            <v>M2</v>
          </cell>
          <cell r="BD346" t="str">
            <v>S</v>
          </cell>
          <cell r="BE346">
            <v>5413218566742</v>
          </cell>
        </row>
        <row r="347">
          <cell r="A347" t="str">
            <v>G127773</v>
          </cell>
          <cell r="B347" t="str">
            <v>G127773</v>
          </cell>
          <cell r="C347" t="str">
            <v>F5FAF01F002F002</v>
          </cell>
          <cell r="D347" t="str">
            <v>DIY - Gyproc gereedschappen ST</v>
          </cell>
          <cell r="E347" t="str">
            <v>F5FA</v>
          </cell>
          <cell r="F347" t="str">
            <v>Gereedschap bevestigingen *</v>
          </cell>
          <cell r="G347" t="str">
            <v>G127773</v>
          </cell>
          <cell r="H347" t="str">
            <v>bestaand</v>
          </cell>
          <cell r="I347" t="str">
            <v>01.01.2013</v>
          </cell>
          <cell r="J347" t="str">
            <v>Yes</v>
          </cell>
          <cell r="K347" t="str">
            <v>Prof + DIY</v>
          </cell>
          <cell r="L347" t="str">
            <v>Gyproc</v>
          </cell>
          <cell r="M347" t="str">
            <v>STEEKZAAG</v>
          </cell>
          <cell r="N347" t="str">
            <v>DIY - GYPROC Steekzaag</v>
          </cell>
          <cell r="O347" t="str">
            <v>Scie à guichet Gyproc</v>
          </cell>
          <cell r="P347" t="str">
            <v>(blanco)</v>
          </cell>
          <cell r="Q347" t="str">
            <v>(blanco)</v>
          </cell>
          <cell r="R347" t="str">
            <v>(blanco)</v>
          </cell>
          <cell r="S347" t="str">
            <v>(blanco)</v>
          </cell>
          <cell r="T347" t="str">
            <v>--</v>
          </cell>
          <cell r="AA347" t="str">
            <v>(blanco)</v>
          </cell>
          <cell r="AC347" t="str">
            <v>(blanco)</v>
          </cell>
          <cell r="AD347" t="str">
            <v>(blanco)</v>
          </cell>
          <cell r="AH347" t="str">
            <v>(blanco)</v>
          </cell>
          <cell r="AI347" t="str">
            <v>(blanco)</v>
          </cell>
          <cell r="AJ347" t="str">
            <v>(blanco)</v>
          </cell>
          <cell r="AL347" t="str">
            <v>(blanco)</v>
          </cell>
          <cell r="AM347" t="str">
            <v>(blanco)</v>
          </cell>
          <cell r="AN347" t="str">
            <v>(blanco)</v>
          </cell>
          <cell r="AR347">
            <v>1</v>
          </cell>
          <cell r="AS347">
            <v>1</v>
          </cell>
          <cell r="AT347">
            <v>0</v>
          </cell>
          <cell r="AX347">
            <v>8.61</v>
          </cell>
          <cell r="AY347" t="str">
            <v>01.02.2015</v>
          </cell>
          <cell r="AZ347">
            <v>0</v>
          </cell>
          <cell r="BA347" t="str">
            <v>00.00.0000</v>
          </cell>
          <cell r="BB347" t="str">
            <v>ST</v>
          </cell>
          <cell r="BC347" t="str">
            <v>******</v>
          </cell>
          <cell r="BD347" t="str">
            <v>S</v>
          </cell>
          <cell r="BE347">
            <v>5413218563635</v>
          </cell>
        </row>
        <row r="348">
          <cell r="A348" t="str">
            <v>G127774</v>
          </cell>
          <cell r="B348" t="str">
            <v>G127774</v>
          </cell>
          <cell r="C348" t="str">
            <v>F5FAF01F002F002</v>
          </cell>
          <cell r="D348" t="str">
            <v>DIY - Gyproc gereedschappen ST</v>
          </cell>
          <cell r="E348" t="str">
            <v>F5FA</v>
          </cell>
          <cell r="F348" t="str">
            <v>Gereedschap bevestigingen *</v>
          </cell>
          <cell r="G348" t="str">
            <v>G127774</v>
          </cell>
          <cell r="H348" t="str">
            <v>bestaand</v>
          </cell>
          <cell r="I348" t="str">
            <v>01.01.2013</v>
          </cell>
          <cell r="J348" t="str">
            <v>Yes</v>
          </cell>
          <cell r="K348" t="str">
            <v>Prof + DIY</v>
          </cell>
          <cell r="L348" t="str">
            <v>Gyproc</v>
          </cell>
          <cell r="M348" t="str">
            <v>BLIKSCHAAR</v>
          </cell>
          <cell r="N348" t="str">
            <v>DIY - GYPROC Metaalschaar</v>
          </cell>
          <cell r="O348" t="str">
            <v>Cisaille à tôle Gyproc</v>
          </cell>
          <cell r="P348" t="str">
            <v>(blanco)</v>
          </cell>
          <cell r="Q348" t="str">
            <v>(blanco)</v>
          </cell>
          <cell r="R348" t="str">
            <v>(blanco)</v>
          </cell>
          <cell r="S348" t="str">
            <v>(blanco)</v>
          </cell>
          <cell r="T348" t="str">
            <v>--</v>
          </cell>
          <cell r="AA348" t="str">
            <v>(blanco)</v>
          </cell>
          <cell r="AC348" t="str">
            <v>(blanco)</v>
          </cell>
          <cell r="AD348" t="str">
            <v>(blanco)</v>
          </cell>
          <cell r="AH348" t="str">
            <v>(blanco)</v>
          </cell>
          <cell r="AI348" t="str">
            <v>(blanco)</v>
          </cell>
          <cell r="AJ348" t="str">
            <v>(blanco)</v>
          </cell>
          <cell r="AL348" t="str">
            <v>(blanco)</v>
          </cell>
          <cell r="AM348" t="str">
            <v>(blanco)</v>
          </cell>
          <cell r="AN348" t="str">
            <v>(blanco)</v>
          </cell>
          <cell r="AR348">
            <v>0.3</v>
          </cell>
          <cell r="AS348">
            <v>0.3</v>
          </cell>
          <cell r="AT348">
            <v>0</v>
          </cell>
          <cell r="AX348">
            <v>11.68</v>
          </cell>
          <cell r="AY348" t="str">
            <v>01.02.2015</v>
          </cell>
          <cell r="AZ348">
            <v>0</v>
          </cell>
          <cell r="BA348" t="str">
            <v>00.00.0000</v>
          </cell>
          <cell r="BB348" t="str">
            <v>ST</v>
          </cell>
          <cell r="BC348" t="str">
            <v>******</v>
          </cell>
          <cell r="BD348" t="str">
            <v>S</v>
          </cell>
          <cell r="BE348">
            <v>5413218563642</v>
          </cell>
        </row>
        <row r="349">
          <cell r="A349" t="str">
            <v>G127775</v>
          </cell>
          <cell r="B349" t="str">
            <v>G127775</v>
          </cell>
          <cell r="C349" t="str">
            <v>F5FAF01F002F002</v>
          </cell>
          <cell r="D349" t="str">
            <v>DIY - Gyproc gereedschappen ST</v>
          </cell>
          <cell r="E349" t="str">
            <v>F5FA</v>
          </cell>
          <cell r="F349" t="str">
            <v>Gereedschap bevestigingen *</v>
          </cell>
          <cell r="G349" t="str">
            <v>G127775</v>
          </cell>
          <cell r="H349" t="str">
            <v>bestaand</v>
          </cell>
          <cell r="I349" t="str">
            <v>01.01.2013</v>
          </cell>
          <cell r="J349" t="str">
            <v>Yes</v>
          </cell>
          <cell r="K349" t="str">
            <v>Doe-Het-Zelver</v>
          </cell>
          <cell r="L349" t="str">
            <v>Gyproc</v>
          </cell>
          <cell r="M349" t="str">
            <v>ABA-PLAMUURMES</v>
          </cell>
          <cell r="N349" t="str">
            <v>DIY - GYPROC ABA Plamuurmes</v>
          </cell>
          <cell r="O349" t="str">
            <v>Couteau ABA Gyproc</v>
          </cell>
          <cell r="P349" t="str">
            <v>(blanco)</v>
          </cell>
          <cell r="Q349" t="str">
            <v>(blanco)</v>
          </cell>
          <cell r="R349" t="str">
            <v>(blanco)</v>
          </cell>
          <cell r="S349" t="str">
            <v>(blanco)</v>
          </cell>
          <cell r="T349" t="str">
            <v>--</v>
          </cell>
          <cell r="AA349" t="str">
            <v>(blanco)</v>
          </cell>
          <cell r="AC349" t="str">
            <v>(blanco)</v>
          </cell>
          <cell r="AD349" t="str">
            <v>(blanco)</v>
          </cell>
          <cell r="AH349" t="str">
            <v>(blanco)</v>
          </cell>
          <cell r="AI349" t="str">
            <v>(blanco)</v>
          </cell>
          <cell r="AJ349" t="str">
            <v>(blanco)</v>
          </cell>
          <cell r="AL349" t="str">
            <v>(blanco)</v>
          </cell>
          <cell r="AM349" t="str">
            <v>(blanco)</v>
          </cell>
          <cell r="AN349" t="str">
            <v>(blanco)</v>
          </cell>
          <cell r="AR349">
            <v>0.1</v>
          </cell>
          <cell r="AS349">
            <v>0.105</v>
          </cell>
          <cell r="AT349">
            <v>0</v>
          </cell>
          <cell r="AX349">
            <v>9.3800000000000008</v>
          </cell>
          <cell r="AY349" t="str">
            <v>01.02.2015</v>
          </cell>
          <cell r="AZ349">
            <v>0</v>
          </cell>
          <cell r="BA349" t="str">
            <v>00.00.0000</v>
          </cell>
          <cell r="BB349" t="str">
            <v>ST</v>
          </cell>
          <cell r="BC349" t="str">
            <v>******</v>
          </cell>
          <cell r="BD349" t="str">
            <v>S</v>
          </cell>
          <cell r="BE349">
            <v>5413218563628</v>
          </cell>
        </row>
        <row r="350">
          <cell r="A350" t="str">
            <v>G127776</v>
          </cell>
          <cell r="B350" t="str">
            <v>G127776</v>
          </cell>
          <cell r="C350" t="str">
            <v>F5FAF01F002F002</v>
          </cell>
          <cell r="D350" t="str">
            <v>DIY - Gyproc gereedschappen ST</v>
          </cell>
          <cell r="E350" t="str">
            <v>F5FA</v>
          </cell>
          <cell r="F350" t="str">
            <v>Gereedschap bevestigingen *</v>
          </cell>
          <cell r="G350" t="str">
            <v>G127776</v>
          </cell>
          <cell r="H350" t="str">
            <v>bestaand</v>
          </cell>
          <cell r="I350" t="str">
            <v>01.01.2013</v>
          </cell>
          <cell r="J350" t="str">
            <v>Yes</v>
          </cell>
          <cell r="K350" t="str">
            <v>Doe-Het-Zelver</v>
          </cell>
          <cell r="L350" t="str">
            <v>Gyproc</v>
          </cell>
          <cell r="M350" t="str">
            <v>SPAARBORD</v>
          </cell>
          <cell r="N350" t="str">
            <v>DIY - GYPROC Spaarbord</v>
          </cell>
          <cell r="O350" t="str">
            <v>Plateau Gyproc</v>
          </cell>
          <cell r="P350" t="str">
            <v>(blanco)</v>
          </cell>
          <cell r="Q350" t="str">
            <v>(blanco)</v>
          </cell>
          <cell r="R350" t="str">
            <v>(blanco)</v>
          </cell>
          <cell r="S350" t="str">
            <v>(blanco)</v>
          </cell>
          <cell r="T350" t="str">
            <v>--</v>
          </cell>
          <cell r="AA350" t="str">
            <v>(blanco)</v>
          </cell>
          <cell r="AC350" t="str">
            <v>(blanco)</v>
          </cell>
          <cell r="AD350" t="str">
            <v>(blanco)</v>
          </cell>
          <cell r="AH350" t="str">
            <v>(blanco)</v>
          </cell>
          <cell r="AI350" t="str">
            <v>(blanco)</v>
          </cell>
          <cell r="AJ350" t="str">
            <v>(blanco)</v>
          </cell>
          <cell r="AL350" t="str">
            <v>(blanco)</v>
          </cell>
          <cell r="AM350" t="str">
            <v>(blanco)</v>
          </cell>
          <cell r="AN350" t="str">
            <v>(blanco)</v>
          </cell>
          <cell r="AR350">
            <v>0.5</v>
          </cell>
          <cell r="AS350">
            <v>0.52500000000000002</v>
          </cell>
          <cell r="AT350">
            <v>0</v>
          </cell>
          <cell r="AX350">
            <v>22.12</v>
          </cell>
          <cell r="AY350" t="str">
            <v>01.02.2015</v>
          </cell>
          <cell r="AZ350">
            <v>0</v>
          </cell>
          <cell r="BA350" t="str">
            <v>00.00.0000</v>
          </cell>
          <cell r="BB350" t="str">
            <v>ST</v>
          </cell>
          <cell r="BC350" t="str">
            <v>******</v>
          </cell>
          <cell r="BD350" t="str">
            <v>S</v>
          </cell>
          <cell r="BE350">
            <v>5413218563659</v>
          </cell>
        </row>
        <row r="351">
          <cell r="A351" t="str">
            <v>G128105</v>
          </cell>
          <cell r="B351" t="str">
            <v>G128105</v>
          </cell>
          <cell r="C351" t="str">
            <v>C1CDC01C012C001</v>
          </cell>
          <cell r="D351" t="str">
            <v>Dalles Gyprex M2</v>
          </cell>
          <cell r="E351" t="str">
            <v>C1CD</v>
          </cell>
          <cell r="F351" t="str">
            <v>Gyprex tgels M</v>
          </cell>
          <cell r="G351" t="str">
            <v>G128105</v>
          </cell>
          <cell r="H351" t="str">
            <v>bestaand</v>
          </cell>
          <cell r="I351" t="str">
            <v>01.01.2013</v>
          </cell>
          <cell r="J351" t="str">
            <v>Yes</v>
          </cell>
          <cell r="K351" t="str">
            <v>Professional</v>
          </cell>
          <cell r="L351" t="str">
            <v>GYPREX</v>
          </cell>
          <cell r="M351" t="str">
            <v>GYPREX CRYSTAL RF</v>
          </cell>
          <cell r="N351" t="str">
            <v>GYPREX CRYSTAL RF 12.5 600 X 600 WP/128</v>
          </cell>
          <cell r="O351" t="str">
            <v>GYPREX CRYSTAL RF 12.5 600 X 600 WP/128</v>
          </cell>
          <cell r="P351" t="str">
            <v>vinyl</v>
          </cell>
          <cell r="Q351" t="str">
            <v>vinyle</v>
          </cell>
          <cell r="R351" t="str">
            <v>grijs</v>
          </cell>
          <cell r="S351" t="str">
            <v>gris</v>
          </cell>
          <cell r="T351" t="str">
            <v>NBN EN 14190:2014</v>
          </cell>
          <cell r="U351" t="str">
            <v>DF</v>
          </cell>
          <cell r="V351" t="str">
            <v>GR</v>
          </cell>
          <cell r="W351" t="str">
            <v>tegel uit gipskartonplaat bekleed met vinyl</v>
          </cell>
          <cell r="Y351" t="str">
            <v>gipsplaat voor droge binnenafbouw</v>
          </cell>
          <cell r="AB351" t="str">
            <v>SG_GY_2013_C1CDC01C012</v>
          </cell>
          <cell r="AC351" t="str">
            <v>A</v>
          </cell>
          <cell r="AD351" t="str">
            <v>ZOZ: zichtzijde op zichtzijde</v>
          </cell>
          <cell r="AE351">
            <v>12.5</v>
          </cell>
          <cell r="AH351" t="str">
            <v>+/-0.5</v>
          </cell>
          <cell r="AI351">
            <v>0</v>
          </cell>
          <cell r="AJ351">
            <v>0</v>
          </cell>
          <cell r="AN351" t="str">
            <v>(blanco)</v>
          </cell>
          <cell r="AP351">
            <v>0.25</v>
          </cell>
          <cell r="AR351">
            <v>3.96</v>
          </cell>
          <cell r="AS351">
            <v>4.1580000000000004</v>
          </cell>
          <cell r="AT351">
            <v>0</v>
          </cell>
          <cell r="AV351" t="str">
            <v>WP : Wegwerppallet</v>
          </cell>
          <cell r="AW351">
            <v>7</v>
          </cell>
          <cell r="AX351">
            <v>10.5</v>
          </cell>
          <cell r="AY351" t="str">
            <v>01.02.2015</v>
          </cell>
          <cell r="AZ351">
            <v>0</v>
          </cell>
          <cell r="BA351" t="str">
            <v>00.00.0000</v>
          </cell>
          <cell r="BB351" t="str">
            <v>M2</v>
          </cell>
          <cell r="BC351" t="str">
            <v>M2</v>
          </cell>
          <cell r="BD351">
            <v>2</v>
          </cell>
          <cell r="BE351">
            <v>5413218564151</v>
          </cell>
        </row>
        <row r="352">
          <cell r="A352" t="str">
            <v>G128174</v>
          </cell>
          <cell r="B352" t="str">
            <v>G128174</v>
          </cell>
          <cell r="C352" t="str">
            <v>A1ABA19A007A001</v>
          </cell>
          <cell r="D352" t="str">
            <v>Glasroc® F 15 M2</v>
          </cell>
          <cell r="E352" t="str">
            <v>A1AB</v>
          </cell>
          <cell r="F352" t="str">
            <v>Technische platen M2</v>
          </cell>
          <cell r="G352" t="str">
            <v>G128174</v>
          </cell>
          <cell r="H352" t="str">
            <v>bestaand</v>
          </cell>
          <cell r="I352" t="str">
            <v>01.01.2013</v>
          </cell>
          <cell r="J352" t="str">
            <v>Yes</v>
          </cell>
          <cell r="K352" t="str">
            <v>Professional</v>
          </cell>
          <cell r="L352" t="str">
            <v>GLASROC F</v>
          </cell>
          <cell r="M352" t="str">
            <v>GLASROC F</v>
          </cell>
          <cell r="N352" t="str">
            <v>GLASROC F GBC 15 X 2400 X 100 DP/100</v>
          </cell>
          <cell r="O352" t="str">
            <v>GLASROC F GBC 15 X 2400 X 100 DP/100</v>
          </cell>
          <cell r="P352" t="str">
            <v>wit</v>
          </cell>
          <cell r="Q352" t="str">
            <v>blanc</v>
          </cell>
          <cell r="R352" t="str">
            <v>wit</v>
          </cell>
          <cell r="S352" t="str">
            <v>blanc</v>
          </cell>
          <cell r="T352" t="str">
            <v>NBN EN 15283-1:2009</v>
          </cell>
          <cell r="U352" t="str">
            <v>GM-F-H2</v>
          </cell>
          <cell r="V352" t="str">
            <v>GF</v>
          </cell>
          <cell r="W352" t="str">
            <v>verzaagde en ingefreesde gipskartonplaat</v>
          </cell>
          <cell r="Y352" t="str">
            <v>gipsvezelplaat voor droge binnenafbouw</v>
          </cell>
          <cell r="AA352" t="str">
            <v>A1</v>
          </cell>
          <cell r="AB352" t="str">
            <v>SG_GY_2013_A1ABA19A007</v>
          </cell>
          <cell r="AC352" t="str">
            <v>GBC</v>
          </cell>
          <cell r="AD352" t="str">
            <v>ZZO: zichtzijde onder</v>
          </cell>
          <cell r="AE352">
            <v>15</v>
          </cell>
          <cell r="AH352" t="str">
            <v>+/-0.7</v>
          </cell>
          <cell r="AI352">
            <v>0</v>
          </cell>
          <cell r="AJ352">
            <v>0</v>
          </cell>
          <cell r="AL352" t="str">
            <v>Geen eisen gesteld</v>
          </cell>
          <cell r="AM352" t="str">
            <v>Pas de exigences</v>
          </cell>
          <cell r="AN352" t="str">
            <v>kg/m³</v>
          </cell>
          <cell r="AP352">
            <v>0.3</v>
          </cell>
          <cell r="AQ352">
            <v>0.05</v>
          </cell>
          <cell r="AR352">
            <v>2.7839999999999998</v>
          </cell>
          <cell r="AS352">
            <v>2.923</v>
          </cell>
          <cell r="AT352">
            <v>3.6</v>
          </cell>
          <cell r="AU352" t="str">
            <v>CD3</v>
          </cell>
          <cell r="AV352" t="str">
            <v>DP : Duitse Pallet</v>
          </cell>
          <cell r="AW352">
            <v>3</v>
          </cell>
          <cell r="AX352">
            <v>23.39</v>
          </cell>
          <cell r="AY352" t="str">
            <v>01.02.2015</v>
          </cell>
          <cell r="AZ352">
            <v>0</v>
          </cell>
          <cell r="BA352" t="str">
            <v>00.00.0000</v>
          </cell>
          <cell r="BB352" t="str">
            <v>M2</v>
          </cell>
          <cell r="BC352" t="str">
            <v>M2</v>
          </cell>
          <cell r="BD352">
            <v>1</v>
          </cell>
          <cell r="BE352">
            <v>5413218566919</v>
          </cell>
        </row>
        <row r="353">
          <cell r="A353" t="str">
            <v>G128180</v>
          </cell>
          <cell r="B353" t="str">
            <v>G128180</v>
          </cell>
          <cell r="C353" t="str">
            <v>D1DCD01D005D036</v>
          </cell>
          <cell r="D353" t="str">
            <v>DIY - Pluggen KAR</v>
          </cell>
          <cell r="E353" t="str">
            <v>D1DC</v>
          </cell>
          <cell r="F353" t="str">
            <v>Toebehoren Bevestigingen *</v>
          </cell>
          <cell r="G353" t="str">
            <v>G128180</v>
          </cell>
          <cell r="H353" t="str">
            <v>bestaand</v>
          </cell>
          <cell r="I353" t="str">
            <v>01.01.2013</v>
          </cell>
          <cell r="J353" t="str">
            <v>Yes</v>
          </cell>
          <cell r="K353" t="str">
            <v>Professional</v>
          </cell>
          <cell r="L353" t="str">
            <v>Gyproc</v>
          </cell>
          <cell r="M353" t="str">
            <v>PLAFONDANKER</v>
          </cell>
          <cell r="N353" t="str">
            <v>PLAFONDANKERS (100 ST/KAR)</v>
          </cell>
          <cell r="O353" t="str">
            <v>Cheville d'ancrage (100 pcs/bte)</v>
          </cell>
          <cell r="P353" t="str">
            <v>(blanco)</v>
          </cell>
          <cell r="Q353" t="str">
            <v>(blanco)</v>
          </cell>
          <cell r="R353" t="str">
            <v>(blanco)</v>
          </cell>
          <cell r="S353" t="str">
            <v>(blanco)</v>
          </cell>
          <cell r="T353" t="str">
            <v>--</v>
          </cell>
          <cell r="AA353" t="str">
            <v>(blanco)</v>
          </cell>
          <cell r="AC353" t="str">
            <v>(blanco)</v>
          </cell>
          <cell r="AD353" t="str">
            <v>(blanco)</v>
          </cell>
          <cell r="AE353">
            <v>0</v>
          </cell>
          <cell r="AL353" t="str">
            <v>(blanco)</v>
          </cell>
          <cell r="AM353" t="str">
            <v>(blanco)</v>
          </cell>
          <cell r="AN353" t="str">
            <v>(blanco)</v>
          </cell>
          <cell r="AP353">
            <v>50</v>
          </cell>
          <cell r="AR353">
            <v>0.02</v>
          </cell>
          <cell r="AS353">
            <v>2.1000000000000001E-2</v>
          </cell>
          <cell r="AT353">
            <v>0</v>
          </cell>
          <cell r="AX353">
            <v>0.24</v>
          </cell>
          <cell r="AY353" t="str">
            <v>01.02.2015</v>
          </cell>
          <cell r="AZ353">
            <v>0</v>
          </cell>
          <cell r="BA353" t="str">
            <v>00.00.0000</v>
          </cell>
          <cell r="BB353" t="str">
            <v>ST</v>
          </cell>
          <cell r="BC353" t="str">
            <v>******</v>
          </cell>
          <cell r="BD353" t="str">
            <v>S</v>
          </cell>
          <cell r="BE353">
            <v>5413218565295</v>
          </cell>
        </row>
        <row r="354">
          <cell r="A354" t="str">
            <v>G128191</v>
          </cell>
          <cell r="B354" t="str">
            <v>G128191</v>
          </cell>
          <cell r="C354" t="str">
            <v>F5FAF01F002F002</v>
          </cell>
          <cell r="D354" t="str">
            <v>DIY - Gyproc gereedschappen ST</v>
          </cell>
          <cell r="E354" t="str">
            <v>F5FA</v>
          </cell>
          <cell r="F354" t="str">
            <v>Gereedschap bevestigingen *</v>
          </cell>
          <cell r="G354" t="str">
            <v>G128191</v>
          </cell>
          <cell r="H354" t="str">
            <v>bestaand</v>
          </cell>
          <cell r="I354" t="str">
            <v>01.01.2013</v>
          </cell>
          <cell r="J354" t="str">
            <v>Yes</v>
          </cell>
          <cell r="K354" t="str">
            <v>Professional</v>
          </cell>
          <cell r="L354" t="str">
            <v>Gyproc</v>
          </cell>
          <cell r="M354" t="str">
            <v>STEEL VOOR NO-COAT ROLLER</v>
          </cell>
          <cell r="N354" t="str">
            <v>Steel voor Buitenhoekroller</v>
          </cell>
          <cell r="O354" t="str">
            <v>Manche pour rouleur</v>
          </cell>
          <cell r="P354" t="str">
            <v>(blanco)</v>
          </cell>
          <cell r="Q354" t="str">
            <v>(blanco)</v>
          </cell>
          <cell r="R354" t="str">
            <v>(blanco)</v>
          </cell>
          <cell r="S354" t="str">
            <v>(blanco)</v>
          </cell>
          <cell r="T354" t="str">
            <v>--</v>
          </cell>
          <cell r="AA354" t="str">
            <v>(blanco)</v>
          </cell>
          <cell r="AC354" t="str">
            <v>(blanco)</v>
          </cell>
          <cell r="AD354" t="str">
            <v>(blanco)</v>
          </cell>
          <cell r="AH354" t="str">
            <v>(blanco)</v>
          </cell>
          <cell r="AI354" t="str">
            <v>(blanco)</v>
          </cell>
          <cell r="AJ354" t="str">
            <v>(blanco)</v>
          </cell>
          <cell r="AL354" t="str">
            <v>(blanco)</v>
          </cell>
          <cell r="AM354" t="str">
            <v>(blanco)</v>
          </cell>
          <cell r="AN354" t="str">
            <v>(blanco)</v>
          </cell>
          <cell r="AR354">
            <v>0.19</v>
          </cell>
          <cell r="AS354">
            <v>0.2</v>
          </cell>
          <cell r="AT354">
            <v>0</v>
          </cell>
          <cell r="AX354">
            <v>13.08</v>
          </cell>
          <cell r="AY354" t="str">
            <v>01.02.2015</v>
          </cell>
          <cell r="AZ354">
            <v>0</v>
          </cell>
          <cell r="BA354" t="str">
            <v>00.00.0000</v>
          </cell>
          <cell r="BB354" t="str">
            <v>ST</v>
          </cell>
          <cell r="BC354" t="str">
            <v>******</v>
          </cell>
          <cell r="BD354" t="str">
            <v>S</v>
          </cell>
          <cell r="BE354">
            <v>5413218564144</v>
          </cell>
        </row>
        <row r="355">
          <cell r="A355" t="str">
            <v>G128582</v>
          </cell>
          <cell r="B355" t="str">
            <v>G128582</v>
          </cell>
          <cell r="C355" t="str">
            <v>D1DBD15D004D001</v>
          </cell>
          <cell r="D355" t="str">
            <v>DIY - ProLock-Easy ST</v>
          </cell>
          <cell r="E355" t="str">
            <v>D1DB</v>
          </cell>
          <cell r="F355" t="str">
            <v>Toebehoren Platen *</v>
          </cell>
          <cell r="G355" t="str">
            <v>G128582</v>
          </cell>
          <cell r="H355" t="str">
            <v>bestaand</v>
          </cell>
          <cell r="I355" t="str">
            <v>01.01.2013</v>
          </cell>
          <cell r="J355" t="str">
            <v>Yes</v>
          </cell>
          <cell r="K355" t="str">
            <v>Prof + DIY</v>
          </cell>
          <cell r="L355" t="str">
            <v>PROLOCK</v>
          </cell>
          <cell r="M355" t="str">
            <v>PROLOCK EASY</v>
          </cell>
          <cell r="N355" t="str">
            <v>DIY - ProLock-Easy 300 x 300</v>
          </cell>
          <cell r="O355" t="str">
            <v>ProLock-Easy 300 x 300</v>
          </cell>
          <cell r="P355" t="str">
            <v>(blanco)</v>
          </cell>
          <cell r="Q355" t="str">
            <v>(blanco)</v>
          </cell>
          <cell r="R355" t="str">
            <v>(blanco)</v>
          </cell>
          <cell r="S355" t="str">
            <v>(blanco)</v>
          </cell>
          <cell r="T355" t="str">
            <v>--</v>
          </cell>
          <cell r="AA355" t="str">
            <v>(blanco)</v>
          </cell>
          <cell r="AC355" t="str">
            <v>(blanco)</v>
          </cell>
          <cell r="AD355" t="str">
            <v>(blanco)</v>
          </cell>
          <cell r="AE355">
            <v>0</v>
          </cell>
          <cell r="AH355" t="str">
            <v>(blanco)</v>
          </cell>
          <cell r="AI355" t="str">
            <v>(blanco)</v>
          </cell>
          <cell r="AJ355" t="str">
            <v>(blanco)</v>
          </cell>
          <cell r="AL355" t="str">
            <v>(blanco)</v>
          </cell>
          <cell r="AM355" t="str">
            <v>(blanco)</v>
          </cell>
          <cell r="AN355" t="str">
            <v>(blanco)</v>
          </cell>
          <cell r="AR355">
            <v>3</v>
          </cell>
          <cell r="AS355">
            <v>3.5</v>
          </cell>
          <cell r="AT355">
            <v>0</v>
          </cell>
          <cell r="AX355">
            <v>49.05</v>
          </cell>
          <cell r="AY355" t="str">
            <v>01.02.2015</v>
          </cell>
          <cell r="AZ355">
            <v>0</v>
          </cell>
          <cell r="BA355" t="str">
            <v>00.00.0000</v>
          </cell>
          <cell r="BB355" t="str">
            <v>ST</v>
          </cell>
          <cell r="BC355" t="str">
            <v>******</v>
          </cell>
          <cell r="BD355" t="str">
            <v>S</v>
          </cell>
          <cell r="BE355">
            <v>5413218563758</v>
          </cell>
        </row>
        <row r="356">
          <cell r="A356" t="str">
            <v>G128583</v>
          </cell>
          <cell r="B356" t="str">
            <v>G128583</v>
          </cell>
          <cell r="C356" t="str">
            <v>D1DBD15D004D001</v>
          </cell>
          <cell r="D356" t="str">
            <v>DIY - ProLock-Easy ST</v>
          </cell>
          <cell r="E356" t="str">
            <v>D1DB</v>
          </cell>
          <cell r="F356" t="str">
            <v>Toebehoren Platen *</v>
          </cell>
          <cell r="G356" t="str">
            <v>G128583</v>
          </cell>
          <cell r="H356" t="str">
            <v>bestaand</v>
          </cell>
          <cell r="I356" t="str">
            <v>01.01.2013</v>
          </cell>
          <cell r="J356" t="str">
            <v>Yes</v>
          </cell>
          <cell r="K356" t="str">
            <v>Prof + DIY</v>
          </cell>
          <cell r="L356" t="str">
            <v>PROLOCK</v>
          </cell>
          <cell r="M356" t="str">
            <v>PROLOCK EASY</v>
          </cell>
          <cell r="N356" t="str">
            <v>DIY - ProLock-Easy 400 x 400</v>
          </cell>
          <cell r="O356" t="str">
            <v>ProLock-Easy 400 x 400</v>
          </cell>
          <cell r="P356" t="str">
            <v>(blanco)</v>
          </cell>
          <cell r="Q356" t="str">
            <v>(blanco)</v>
          </cell>
          <cell r="R356" t="str">
            <v>(blanco)</v>
          </cell>
          <cell r="S356" t="str">
            <v>(blanco)</v>
          </cell>
          <cell r="T356" t="str">
            <v>--</v>
          </cell>
          <cell r="AA356" t="str">
            <v>(blanco)</v>
          </cell>
          <cell r="AC356" t="str">
            <v>(blanco)</v>
          </cell>
          <cell r="AD356" t="str">
            <v>(blanco)</v>
          </cell>
          <cell r="AE356">
            <v>0</v>
          </cell>
          <cell r="AH356" t="str">
            <v>(blanco)</v>
          </cell>
          <cell r="AI356" t="str">
            <v>(blanco)</v>
          </cell>
          <cell r="AJ356" t="str">
            <v>(blanco)</v>
          </cell>
          <cell r="AL356" t="str">
            <v>(blanco)</v>
          </cell>
          <cell r="AM356" t="str">
            <v>(blanco)</v>
          </cell>
          <cell r="AN356" t="str">
            <v>(blanco)</v>
          </cell>
          <cell r="AR356">
            <v>3</v>
          </cell>
          <cell r="AS356">
            <v>3.5</v>
          </cell>
          <cell r="AT356">
            <v>0</v>
          </cell>
          <cell r="AX356">
            <v>49.9</v>
          </cell>
          <cell r="AY356" t="str">
            <v>01.02.2015</v>
          </cell>
          <cell r="AZ356">
            <v>0</v>
          </cell>
          <cell r="BA356" t="str">
            <v>00.00.0000</v>
          </cell>
          <cell r="BB356" t="str">
            <v>ST</v>
          </cell>
          <cell r="BC356" t="str">
            <v>******</v>
          </cell>
          <cell r="BD356" t="str">
            <v>S</v>
          </cell>
          <cell r="BE356">
            <v>5413218563765</v>
          </cell>
        </row>
        <row r="357">
          <cell r="A357" t="str">
            <v>G128586</v>
          </cell>
          <cell r="B357" t="str">
            <v>G128586</v>
          </cell>
          <cell r="C357" t="str">
            <v>D1DCD01D005D038</v>
          </cell>
          <cell r="D357" t="str">
            <v>DIY - Douche kit KG</v>
          </cell>
          <cell r="E357" t="str">
            <v>D1DC</v>
          </cell>
          <cell r="F357" t="str">
            <v>Toebehoren Bevestigingen *</v>
          </cell>
          <cell r="G357" t="str">
            <v>G128586</v>
          </cell>
          <cell r="H357" t="str">
            <v>bestaand</v>
          </cell>
          <cell r="I357" t="str">
            <v>01.01.2013</v>
          </cell>
          <cell r="J357" t="str">
            <v>Yes</v>
          </cell>
          <cell r="K357" t="str">
            <v>Doe-Het-Zelver</v>
          </cell>
          <cell r="L357" t="str">
            <v>Gyproc</v>
          </cell>
          <cell r="M357" t="str">
            <v>DOUCHE KIT</v>
          </cell>
          <cell r="N357" t="str">
            <v>DIY - Douche afdichtingskit</v>
          </cell>
          <cell r="O357" t="str">
            <v>Kit d'étanchéité pour Douches</v>
          </cell>
          <cell r="P357" t="str">
            <v>(blanco)</v>
          </cell>
          <cell r="Q357" t="str">
            <v>(blanco)</v>
          </cell>
          <cell r="R357" t="str">
            <v>(blanco)</v>
          </cell>
          <cell r="S357" t="str">
            <v>(blanco)</v>
          </cell>
          <cell r="T357" t="str">
            <v>--</v>
          </cell>
          <cell r="AA357" t="str">
            <v>(blanco)</v>
          </cell>
          <cell r="AC357" t="str">
            <v>(blanco)</v>
          </cell>
          <cell r="AD357" t="str">
            <v>(blanco)</v>
          </cell>
          <cell r="AH357" t="str">
            <v>(blanco)</v>
          </cell>
          <cell r="AI357" t="str">
            <v>(blanco)</v>
          </cell>
          <cell r="AJ357" t="str">
            <v>(blanco)</v>
          </cell>
          <cell r="AL357" t="str">
            <v>(blanco)</v>
          </cell>
          <cell r="AM357" t="str">
            <v>(blanco)</v>
          </cell>
          <cell r="AN357" t="str">
            <v>(blanco)</v>
          </cell>
          <cell r="AP357">
            <v>0</v>
          </cell>
          <cell r="AR357">
            <v>4</v>
          </cell>
          <cell r="AS357">
            <v>4</v>
          </cell>
          <cell r="AT357">
            <v>0</v>
          </cell>
          <cell r="AX357">
            <v>45.86</v>
          </cell>
          <cell r="AY357" t="str">
            <v>01.02.2015</v>
          </cell>
          <cell r="AZ357">
            <v>0</v>
          </cell>
          <cell r="BA357" t="str">
            <v>00.00.0000</v>
          </cell>
          <cell r="BB357" t="str">
            <v>ST</v>
          </cell>
          <cell r="BC357" t="str">
            <v>******</v>
          </cell>
          <cell r="BD357" t="str">
            <v>S</v>
          </cell>
          <cell r="BE357">
            <v>5413218563772</v>
          </cell>
        </row>
        <row r="358">
          <cell r="A358" t="str">
            <v>G128599</v>
          </cell>
          <cell r="B358" t="str">
            <v>G128599</v>
          </cell>
          <cell r="C358" t="str">
            <v>D1DCD01D005D032</v>
          </cell>
          <cell r="D358" t="str">
            <v>DIY - Schroeven KAR</v>
          </cell>
          <cell r="E358" t="str">
            <v>D1DC</v>
          </cell>
          <cell r="F358" t="str">
            <v>Toebehoren Bevestigingen *</v>
          </cell>
          <cell r="G358" t="str">
            <v>G128599</v>
          </cell>
          <cell r="H358" t="str">
            <v>bestaand</v>
          </cell>
          <cell r="I358" t="str">
            <v>01.01.2013</v>
          </cell>
          <cell r="J358" t="str">
            <v>Yes</v>
          </cell>
          <cell r="K358" t="str">
            <v>Professional</v>
          </cell>
          <cell r="L358" t="str">
            <v>Gyproc</v>
          </cell>
          <cell r="M358" t="str">
            <v>SNELBOUWSCHROEVEN 212/..</v>
          </cell>
          <cell r="N358" t="str">
            <v>SNELBOUWSCHROEVEN 212 120MM/250 ST</v>
          </cell>
          <cell r="O358" t="str">
            <v>Vis à fixation rapide 212 120 MM/250pcs</v>
          </cell>
          <cell r="P358" t="str">
            <v>(blanco)</v>
          </cell>
          <cell r="Q358" t="str">
            <v>(blanco)</v>
          </cell>
          <cell r="R358" t="str">
            <v>(blanco)</v>
          </cell>
          <cell r="S358" t="str">
            <v>(blanco)</v>
          </cell>
          <cell r="T358" t="str">
            <v>NBN EN 14566+A1:2009</v>
          </cell>
          <cell r="U358" t="str">
            <v>TMN</v>
          </cell>
          <cell r="V358" t="str">
            <v>--</v>
          </cell>
          <cell r="AA358" t="str">
            <v>A1</v>
          </cell>
          <cell r="AC358" t="str">
            <v>(blanco)</v>
          </cell>
          <cell r="AD358" t="str">
            <v>(blanco)</v>
          </cell>
          <cell r="AL358" t="str">
            <v>(blanco)</v>
          </cell>
          <cell r="AM358" t="str">
            <v>(blanco)</v>
          </cell>
          <cell r="AN358" t="str">
            <v>(blanco)</v>
          </cell>
          <cell r="AP358">
            <v>50</v>
          </cell>
          <cell r="AR358">
            <v>2.8</v>
          </cell>
          <cell r="AS358">
            <v>2.9</v>
          </cell>
          <cell r="AT358">
            <v>0</v>
          </cell>
          <cell r="AX358">
            <v>41.68</v>
          </cell>
          <cell r="AY358" t="str">
            <v>01.02.2015</v>
          </cell>
          <cell r="AZ358">
            <v>0</v>
          </cell>
          <cell r="BA358" t="str">
            <v>00.00.0000</v>
          </cell>
          <cell r="BB358" t="str">
            <v>KAR</v>
          </cell>
          <cell r="BC358" t="str">
            <v>******</v>
          </cell>
          <cell r="BD358" t="str">
            <v>S</v>
          </cell>
          <cell r="BE358">
            <v>5413218563789</v>
          </cell>
        </row>
        <row r="359">
          <cell r="A359" t="str">
            <v>G128650</v>
          </cell>
          <cell r="B359" t="str">
            <v>G128650</v>
          </cell>
          <cell r="C359" t="str">
            <v>D1DBD15D002D003</v>
          </cell>
          <cell r="D359" t="str">
            <v>Prlock ALU STD 2x12,5 ST</v>
          </cell>
          <cell r="E359" t="str">
            <v>D1DB</v>
          </cell>
          <cell r="F359" t="str">
            <v>Toebehoren Platen *</v>
          </cell>
          <cell r="G359" t="str">
            <v>G128650</v>
          </cell>
          <cell r="H359" t="str">
            <v>bestaand</v>
          </cell>
          <cell r="I359" t="str">
            <v>01.01.2013</v>
          </cell>
          <cell r="J359" t="str">
            <v>Yes</v>
          </cell>
          <cell r="K359" t="str">
            <v>Professional</v>
          </cell>
          <cell r="L359" t="str">
            <v>PROLOCK</v>
          </cell>
          <cell r="M359" t="str">
            <v>PROLOCK ALU STANDAARD DUBBEL</v>
          </cell>
          <cell r="N359" t="str">
            <v>ProLock Alu Std dubbel/double 200x200</v>
          </cell>
          <cell r="O359" t="str">
            <v>ProLock Alu Std dubbel/double 200x200</v>
          </cell>
          <cell r="P359" t="str">
            <v>(blanco)</v>
          </cell>
          <cell r="Q359" t="str">
            <v>(blanco)</v>
          </cell>
          <cell r="R359" t="str">
            <v>(blanco)</v>
          </cell>
          <cell r="S359" t="str">
            <v>(blanco)</v>
          </cell>
          <cell r="T359" t="str">
            <v>--</v>
          </cell>
          <cell r="AA359" t="str">
            <v>(blanco)</v>
          </cell>
          <cell r="AC359" t="str">
            <v>(blanco)</v>
          </cell>
          <cell r="AD359" t="str">
            <v>(blanco)</v>
          </cell>
          <cell r="AE359">
            <v>0</v>
          </cell>
          <cell r="AH359" t="str">
            <v>(blanco)</v>
          </cell>
          <cell r="AI359" t="str">
            <v>(blanco)</v>
          </cell>
          <cell r="AJ359" t="str">
            <v>(blanco)</v>
          </cell>
          <cell r="AL359" t="str">
            <v>(blanco)</v>
          </cell>
          <cell r="AM359" t="str">
            <v>(blanco)</v>
          </cell>
          <cell r="AN359" t="str">
            <v>(blanco)</v>
          </cell>
          <cell r="AR359">
            <v>1.538</v>
          </cell>
          <cell r="AS359">
            <v>1.9690000000000001</v>
          </cell>
          <cell r="AT359">
            <v>0</v>
          </cell>
          <cell r="AX359">
            <v>64.3</v>
          </cell>
          <cell r="AY359" t="str">
            <v>01.02.2015</v>
          </cell>
          <cell r="AZ359">
            <v>0</v>
          </cell>
          <cell r="BA359" t="str">
            <v>00.00.0000</v>
          </cell>
          <cell r="BB359" t="str">
            <v>ST</v>
          </cell>
          <cell r="BC359" t="str">
            <v>******</v>
          </cell>
          <cell r="BD359">
            <v>3</v>
          </cell>
          <cell r="BE359">
            <v>5413218565790</v>
          </cell>
        </row>
        <row r="360">
          <cell r="A360" t="str">
            <v>G129065</v>
          </cell>
          <cell r="B360" t="str">
            <v>G129065</v>
          </cell>
          <cell r="C360" t="str">
            <v>D1DCD01D005D032</v>
          </cell>
          <cell r="D360" t="str">
            <v>DIY - Schroeven KAR</v>
          </cell>
          <cell r="E360" t="str">
            <v>D1DC</v>
          </cell>
          <cell r="F360" t="str">
            <v>Toebehoren Bevestigingen *</v>
          </cell>
          <cell r="G360" t="str">
            <v>G129065</v>
          </cell>
          <cell r="H360" t="str">
            <v>bestaand</v>
          </cell>
          <cell r="I360" t="str">
            <v>01.01.2013</v>
          </cell>
          <cell r="J360" t="str">
            <v>Yes</v>
          </cell>
          <cell r="K360" t="str">
            <v>Professional</v>
          </cell>
          <cell r="L360" t="str">
            <v>Rigidur</v>
          </cell>
          <cell r="M360" t="str">
            <v>RIGIDUR SNELBOUWSCHROEVEN</v>
          </cell>
          <cell r="N360" t="str">
            <v>RIGIDUR SCHROEVEN 19 MM/1000 ST</v>
          </cell>
          <cell r="O360" t="str">
            <v>Vis Rigidur 19 MM/1000pcs</v>
          </cell>
          <cell r="P360" t="str">
            <v>(blanco)</v>
          </cell>
          <cell r="Q360" t="str">
            <v>(blanco)</v>
          </cell>
          <cell r="R360" t="str">
            <v>(blanco)</v>
          </cell>
          <cell r="S360" t="str">
            <v>(blanco)</v>
          </cell>
          <cell r="T360" t="str">
            <v>NBN EN 14566+A1:2009</v>
          </cell>
          <cell r="U360" t="str">
            <v>umn</v>
          </cell>
          <cell r="V360" t="str">
            <v>--</v>
          </cell>
          <cell r="AA360" t="str">
            <v>A1</v>
          </cell>
          <cell r="AC360" t="str">
            <v>(blanco)</v>
          </cell>
          <cell r="AD360" t="str">
            <v>(blanco)</v>
          </cell>
          <cell r="AL360" t="str">
            <v>(blanco)</v>
          </cell>
          <cell r="AM360" t="str">
            <v>(blanco)</v>
          </cell>
          <cell r="AN360" t="str">
            <v>(blanco)</v>
          </cell>
          <cell r="AP360">
            <v>50</v>
          </cell>
          <cell r="AR360">
            <v>2.2000000000000002</v>
          </cell>
          <cell r="AS360">
            <v>2.2200000000000002</v>
          </cell>
          <cell r="AT360">
            <v>0</v>
          </cell>
          <cell r="AX360">
            <v>19.62</v>
          </cell>
          <cell r="AY360" t="str">
            <v>01.02.2015</v>
          </cell>
          <cell r="AZ360">
            <v>0</v>
          </cell>
          <cell r="BA360" t="str">
            <v>00.00.0000</v>
          </cell>
          <cell r="BB360" t="str">
            <v>KAR</v>
          </cell>
          <cell r="BC360" t="str">
            <v>******</v>
          </cell>
          <cell r="BD360" t="str">
            <v>S</v>
          </cell>
          <cell r="BE360">
            <v>5413218566803</v>
          </cell>
        </row>
        <row r="361">
          <cell r="A361" t="str">
            <v>G129066</v>
          </cell>
          <cell r="B361" t="str">
            <v>G129066</v>
          </cell>
          <cell r="C361" t="str">
            <v>D1DCD01D005D032</v>
          </cell>
          <cell r="D361" t="str">
            <v>DIY - Schroeven KAR</v>
          </cell>
          <cell r="E361" t="str">
            <v>D1DC</v>
          </cell>
          <cell r="F361" t="str">
            <v>Toebehoren Bevestigingen *</v>
          </cell>
          <cell r="G361" t="str">
            <v>G129066</v>
          </cell>
          <cell r="H361" t="str">
            <v>bestaand</v>
          </cell>
          <cell r="I361" t="str">
            <v>01.01.2013</v>
          </cell>
          <cell r="J361" t="str">
            <v>Yes</v>
          </cell>
          <cell r="K361" t="str">
            <v>Professional</v>
          </cell>
          <cell r="L361" t="str">
            <v>Rigidur</v>
          </cell>
          <cell r="M361" t="str">
            <v>RIGIDUR SNELBOUWSCHROEVEN</v>
          </cell>
          <cell r="N361" t="str">
            <v>RIGIDUR SCHROEVEN 22 MM/1000 ST</v>
          </cell>
          <cell r="O361" t="str">
            <v>Vis Rigidur 22 MM/1000pcs</v>
          </cell>
          <cell r="P361" t="str">
            <v>(blanco)</v>
          </cell>
          <cell r="Q361" t="str">
            <v>(blanco)</v>
          </cell>
          <cell r="R361" t="str">
            <v>(blanco)</v>
          </cell>
          <cell r="S361" t="str">
            <v>(blanco)</v>
          </cell>
          <cell r="T361" t="str">
            <v>NBN EN 14566+A1:2009</v>
          </cell>
          <cell r="U361" t="str">
            <v>umn</v>
          </cell>
          <cell r="V361" t="str">
            <v>--</v>
          </cell>
          <cell r="AA361" t="str">
            <v>A1</v>
          </cell>
          <cell r="AC361" t="str">
            <v>(blanco)</v>
          </cell>
          <cell r="AD361" t="str">
            <v>(blanco)</v>
          </cell>
          <cell r="AL361" t="str">
            <v>(blanco)</v>
          </cell>
          <cell r="AM361" t="str">
            <v>(blanco)</v>
          </cell>
          <cell r="AN361" t="str">
            <v>(blanco)</v>
          </cell>
          <cell r="AP361">
            <v>50</v>
          </cell>
          <cell r="AR361">
            <v>2.2000000000000002</v>
          </cell>
          <cell r="AS361">
            <v>2.2200000000000002</v>
          </cell>
          <cell r="AT361">
            <v>0</v>
          </cell>
          <cell r="AX361">
            <v>21.45</v>
          </cell>
          <cell r="AY361" t="str">
            <v>01.02.2015</v>
          </cell>
          <cell r="AZ361">
            <v>0</v>
          </cell>
          <cell r="BA361" t="str">
            <v>00.00.0000</v>
          </cell>
          <cell r="BB361" t="str">
            <v>KAR</v>
          </cell>
          <cell r="BC361" t="str">
            <v>******</v>
          </cell>
          <cell r="BD361" t="str">
            <v>S</v>
          </cell>
          <cell r="BE361">
            <v>5413218566810</v>
          </cell>
        </row>
        <row r="362">
          <cell r="A362" t="str">
            <v>G129216</v>
          </cell>
          <cell r="B362" t="str">
            <v>G129216</v>
          </cell>
          <cell r="C362" t="str">
            <v>D1DBD01D012D001</v>
          </cell>
          <cell r="D362" t="str">
            <v>ACC PLAGYP *</v>
          </cell>
          <cell r="E362" t="str">
            <v>D1DB</v>
          </cell>
          <cell r="F362" t="str">
            <v>Toebehoren Platen *</v>
          </cell>
          <cell r="G362" t="str">
            <v>G129216</v>
          </cell>
          <cell r="H362" t="str">
            <v>bestaand</v>
          </cell>
          <cell r="I362" t="str">
            <v>01.01.2013</v>
          </cell>
          <cell r="J362" t="str">
            <v>Yes</v>
          </cell>
          <cell r="K362" t="str">
            <v>Professional</v>
          </cell>
          <cell r="L362" t="str">
            <v>PLAGYP</v>
          </cell>
          <cell r="M362" t="str">
            <v>PD60/60 DB</v>
          </cell>
          <cell r="N362" t="str">
            <v>PLAGYP PD60/60 SoundBlock</v>
          </cell>
          <cell r="O362" t="str">
            <v>PlaGyp PD60/60 SoundBlock</v>
          </cell>
          <cell r="P362" t="str">
            <v>(blanco)</v>
          </cell>
          <cell r="Q362" t="str">
            <v>(blanco)</v>
          </cell>
          <cell r="R362" t="str">
            <v>(blanco)</v>
          </cell>
          <cell r="S362" t="str">
            <v>(blanco)</v>
          </cell>
          <cell r="T362" t="str">
            <v>NBN EN 14195:2015</v>
          </cell>
          <cell r="U362" t="str">
            <v>--</v>
          </cell>
          <cell r="V362" t="str">
            <v>--</v>
          </cell>
          <cell r="AA362" t="str">
            <v>A1</v>
          </cell>
          <cell r="AC362" t="str">
            <v>(blanco)</v>
          </cell>
          <cell r="AD362" t="str">
            <v>(blanco)</v>
          </cell>
          <cell r="AE362">
            <v>1</v>
          </cell>
          <cell r="AL362" t="str">
            <v>(blanco)</v>
          </cell>
          <cell r="AM362" t="str">
            <v>(blanco)</v>
          </cell>
          <cell r="AN362" t="str">
            <v>(blanco)</v>
          </cell>
          <cell r="AP362">
            <v>50</v>
          </cell>
          <cell r="AR362">
            <v>4.28</v>
          </cell>
          <cell r="AS362">
            <v>4.3</v>
          </cell>
          <cell r="AT362">
            <v>0</v>
          </cell>
          <cell r="AX362">
            <v>3.23</v>
          </cell>
          <cell r="AY362" t="str">
            <v>01.02.2015</v>
          </cell>
          <cell r="AZ362">
            <v>0</v>
          </cell>
          <cell r="BA362" t="str">
            <v>00.00.0000</v>
          </cell>
          <cell r="BB362" t="str">
            <v>ST</v>
          </cell>
          <cell r="BC362" t="str">
            <v>******</v>
          </cell>
          <cell r="BD362" t="str">
            <v>S</v>
          </cell>
          <cell r="BE362">
            <v>5413218563796</v>
          </cell>
        </row>
        <row r="363">
          <cell r="A363" t="str">
            <v>G129217</v>
          </cell>
          <cell r="B363" t="str">
            <v>G129217</v>
          </cell>
          <cell r="C363" t="str">
            <v>D1DBD01D012D001</v>
          </cell>
          <cell r="D363" t="str">
            <v>ACC PLAGYP *</v>
          </cell>
          <cell r="E363" t="str">
            <v>D1DB</v>
          </cell>
          <cell r="F363" t="str">
            <v>Toebehoren Platen *</v>
          </cell>
          <cell r="G363" t="str">
            <v>G129217</v>
          </cell>
          <cell r="H363" t="str">
            <v>bestaand</v>
          </cell>
          <cell r="I363" t="str">
            <v>01.01.2013</v>
          </cell>
          <cell r="J363" t="str">
            <v>Yes</v>
          </cell>
          <cell r="K363" t="str">
            <v>Professional</v>
          </cell>
          <cell r="L363" t="str">
            <v>PLAGYP</v>
          </cell>
          <cell r="M363" t="str">
            <v>PU60/125 DB</v>
          </cell>
          <cell r="N363" t="str">
            <v>PLAGYP PU60/125 SoundBlock</v>
          </cell>
          <cell r="O363" t="str">
            <v>PlaGyp PU60/125 SoundBlock</v>
          </cell>
          <cell r="P363" t="str">
            <v>(blanco)</v>
          </cell>
          <cell r="Q363" t="str">
            <v>(blanco)</v>
          </cell>
          <cell r="R363" t="str">
            <v>(blanco)</v>
          </cell>
          <cell r="S363" t="str">
            <v>(blanco)</v>
          </cell>
          <cell r="T363" t="str">
            <v>NBN EN 14195:2015</v>
          </cell>
          <cell r="U363" t="str">
            <v>--</v>
          </cell>
          <cell r="V363" t="str">
            <v>--</v>
          </cell>
          <cell r="AA363" t="str">
            <v>A1</v>
          </cell>
          <cell r="AC363" t="str">
            <v>(blanco)</v>
          </cell>
          <cell r="AD363" t="str">
            <v>(blanco)</v>
          </cell>
          <cell r="AE363">
            <v>1</v>
          </cell>
          <cell r="AL363" t="str">
            <v>(blanco)</v>
          </cell>
          <cell r="AM363" t="str">
            <v>(blanco)</v>
          </cell>
          <cell r="AN363" t="str">
            <v>(blanco)</v>
          </cell>
          <cell r="AP363">
            <v>50</v>
          </cell>
          <cell r="AR363">
            <v>5.7</v>
          </cell>
          <cell r="AS363">
            <v>5.9</v>
          </cell>
          <cell r="AT363">
            <v>0</v>
          </cell>
          <cell r="AX363">
            <v>3.28</v>
          </cell>
          <cell r="AY363" t="str">
            <v>01.02.2015</v>
          </cell>
          <cell r="AZ363">
            <v>0</v>
          </cell>
          <cell r="BA363" t="str">
            <v>00.00.0000</v>
          </cell>
          <cell r="BB363" t="str">
            <v>ST</v>
          </cell>
          <cell r="BC363" t="str">
            <v>******</v>
          </cell>
          <cell r="BD363" t="str">
            <v>S</v>
          </cell>
          <cell r="BE363">
            <v>5413218563802</v>
          </cell>
        </row>
        <row r="364">
          <cell r="A364" t="str">
            <v>G129225</v>
          </cell>
          <cell r="B364" t="str">
            <v>G129225</v>
          </cell>
          <cell r="C364" t="str">
            <v>A1ABA35A001A001</v>
          </cell>
          <cell r="D364" t="str">
            <v>Rigidur® H 10 M2</v>
          </cell>
          <cell r="E364" t="str">
            <v>A1AB</v>
          </cell>
          <cell r="F364" t="str">
            <v>Technische platen M2</v>
          </cell>
          <cell r="G364" t="str">
            <v>G129225</v>
          </cell>
          <cell r="H364" t="str">
            <v>bestaand</v>
          </cell>
          <cell r="I364" t="str">
            <v>01.01.2013</v>
          </cell>
          <cell r="J364" t="str">
            <v>Yes</v>
          </cell>
          <cell r="K364" t="str">
            <v>Professional</v>
          </cell>
          <cell r="L364" t="str">
            <v>Rigidur</v>
          </cell>
          <cell r="M364" t="str">
            <v>RIGIDUR GF-H</v>
          </cell>
          <cell r="N364" t="str">
            <v>Rigidur GF-H 10 GBC 2600 X 1195 DP/50</v>
          </cell>
          <cell r="O364" t="str">
            <v>Rigidur GF-H 10 GBC 2600 X 1195 DP/50</v>
          </cell>
          <cell r="P364" t="str">
            <v>bruin</v>
          </cell>
          <cell r="Q364" t="str">
            <v>brun</v>
          </cell>
          <cell r="R364" t="str">
            <v>bruin</v>
          </cell>
          <cell r="S364" t="str">
            <v>brun</v>
          </cell>
          <cell r="T364" t="str">
            <v>NBN EN 15283-2:2009</v>
          </cell>
          <cell r="U364" t="str">
            <v>GF-C1-I-W2</v>
          </cell>
          <cell r="V364" t="str">
            <v>RD</v>
          </cell>
          <cell r="W364" t="str">
            <v>gipsplaat versterkt met glasvliesmat</v>
          </cell>
          <cell r="Y364" t="str">
            <v>gipsvezelplaat voor droge binnenafbouw</v>
          </cell>
          <cell r="AA364" t="str">
            <v>A2-s1, d0</v>
          </cell>
          <cell r="AB364" t="str">
            <v>Rigidur_H_10_LE_0413</v>
          </cell>
          <cell r="AC364" t="str">
            <v>GBC</v>
          </cell>
          <cell r="AD364" t="str">
            <v>ZZO: zichtzijde onder</v>
          </cell>
          <cell r="AE364">
            <v>10</v>
          </cell>
          <cell r="AH364" t="str">
            <v>+/-0.2</v>
          </cell>
          <cell r="AI364">
            <v>0</v>
          </cell>
          <cell r="AJ364">
            <v>0</v>
          </cell>
          <cell r="AL364" t="str">
            <v>Geen eisen gesteld</v>
          </cell>
          <cell r="AM364" t="str">
            <v>Pas de exigences</v>
          </cell>
          <cell r="AN364" t="str">
            <v>kg/m³</v>
          </cell>
          <cell r="AP364">
            <v>0.35</v>
          </cell>
          <cell r="AQ364">
            <v>0.03</v>
          </cell>
          <cell r="AR364">
            <v>37.283999999999999</v>
          </cell>
          <cell r="AS364">
            <v>39.148000000000003</v>
          </cell>
          <cell r="AT364">
            <v>31.07</v>
          </cell>
          <cell r="AU364" t="str">
            <v>CD3</v>
          </cell>
          <cell r="AV364" t="str">
            <v>DP : Duitse Pallet</v>
          </cell>
          <cell r="AW364">
            <v>3</v>
          </cell>
          <cell r="AX364">
            <v>6.83</v>
          </cell>
          <cell r="AY364" t="str">
            <v>01.02.2015</v>
          </cell>
          <cell r="AZ364">
            <v>0</v>
          </cell>
          <cell r="BA364" t="str">
            <v>00.00.0000</v>
          </cell>
          <cell r="BB364" t="str">
            <v>M2</v>
          </cell>
          <cell r="BC364" t="str">
            <v>M2</v>
          </cell>
          <cell r="BD364" t="str">
            <v>S</v>
          </cell>
          <cell r="BE364">
            <v>5413218566728</v>
          </cell>
        </row>
        <row r="365">
          <cell r="A365" t="str">
            <v>G129256</v>
          </cell>
          <cell r="B365" t="str">
            <v>G129256</v>
          </cell>
          <cell r="C365" t="str">
            <v>C5CBC18C005C001</v>
          </cell>
          <cell r="D365" t="str">
            <v>MSdB 50 M</v>
          </cell>
          <cell r="E365" t="str">
            <v>C5CB</v>
          </cell>
          <cell r="F365" t="str">
            <v>Profielen Platen en Wanden M</v>
          </cell>
          <cell r="G365" t="str">
            <v>ZIB00120</v>
          </cell>
          <cell r="H365" t="str">
            <v>bestaand</v>
          </cell>
          <cell r="I365" t="str">
            <v>01.01.2013</v>
          </cell>
          <cell r="J365" t="str">
            <v>Yes</v>
          </cell>
          <cell r="K365" t="str">
            <v>Professional</v>
          </cell>
          <cell r="L365" t="str">
            <v>METAL STUD</v>
          </cell>
          <cell r="M365" t="str">
            <v>MS DB 50</v>
          </cell>
          <cell r="N365" t="str">
            <v>M.S.dB.50 MM 2.60 M</v>
          </cell>
          <cell r="O365" t="str">
            <v>M.S.dB.50 MM 2.60 M</v>
          </cell>
          <cell r="P365" t="str">
            <v>(blanco)</v>
          </cell>
          <cell r="Q365" t="str">
            <v>(blanco)</v>
          </cell>
          <cell r="R365" t="str">
            <v>(blanco)</v>
          </cell>
          <cell r="S365" t="str">
            <v>(blanco)</v>
          </cell>
          <cell r="T365" t="str">
            <v>NBN EN 14195:2015</v>
          </cell>
          <cell r="U365" t="str">
            <v>C</v>
          </cell>
          <cell r="V365" t="str">
            <v>--</v>
          </cell>
          <cell r="AA365" t="str">
            <v>A1</v>
          </cell>
          <cell r="AC365" t="str">
            <v>(blanco)</v>
          </cell>
          <cell r="AD365" t="str">
            <v>(blanco)</v>
          </cell>
          <cell r="AL365" t="str">
            <v>(blanco)</v>
          </cell>
          <cell r="AM365" t="str">
            <v>(blanco)</v>
          </cell>
          <cell r="AN365" t="str">
            <v>(blanco)</v>
          </cell>
          <cell r="AP365">
            <v>50</v>
          </cell>
          <cell r="AR365">
            <v>2.2410000000000001</v>
          </cell>
          <cell r="AS365">
            <v>2.2410000000000001</v>
          </cell>
          <cell r="AT365">
            <v>0</v>
          </cell>
          <cell r="AX365">
            <v>4.34</v>
          </cell>
          <cell r="AY365" t="str">
            <v>01.02.2015</v>
          </cell>
          <cell r="AZ365">
            <v>0</v>
          </cell>
          <cell r="BA365" t="str">
            <v>00.00.0000</v>
          </cell>
          <cell r="BB365" t="str">
            <v>M</v>
          </cell>
          <cell r="BC365" t="str">
            <v>M</v>
          </cell>
          <cell r="BD365" t="str">
            <v>S</v>
          </cell>
          <cell r="BE365">
            <v>5413218563857</v>
          </cell>
        </row>
        <row r="366">
          <cell r="A366" t="str">
            <v>G129257</v>
          </cell>
          <cell r="B366" t="str">
            <v>G129257</v>
          </cell>
          <cell r="C366" t="str">
            <v>C5CBC18C005C001</v>
          </cell>
          <cell r="D366" t="str">
            <v>MSdB 50 M</v>
          </cell>
          <cell r="E366" t="str">
            <v>C5CB</v>
          </cell>
          <cell r="F366" t="str">
            <v>Profielen Platen en Wanden M</v>
          </cell>
          <cell r="G366" t="str">
            <v>ZIB00120</v>
          </cell>
          <cell r="H366" t="str">
            <v>bestaand</v>
          </cell>
          <cell r="I366" t="str">
            <v>01.01.2013</v>
          </cell>
          <cell r="J366" t="str">
            <v>Yes</v>
          </cell>
          <cell r="K366" t="str">
            <v>Professional</v>
          </cell>
          <cell r="L366" t="str">
            <v>METAL STUD</v>
          </cell>
          <cell r="M366" t="str">
            <v>MS DB 50</v>
          </cell>
          <cell r="N366" t="str">
            <v>M.S.dB.50 MM 3.00 M</v>
          </cell>
          <cell r="O366" t="str">
            <v>M.S.dB.50 MM 3.00 M</v>
          </cell>
          <cell r="P366" t="str">
            <v>(blanco)</v>
          </cell>
          <cell r="Q366" t="str">
            <v>(blanco)</v>
          </cell>
          <cell r="R366" t="str">
            <v>(blanco)</v>
          </cell>
          <cell r="S366" t="str">
            <v>(blanco)</v>
          </cell>
          <cell r="T366" t="str">
            <v>NBN EN 14195:2015</v>
          </cell>
          <cell r="U366" t="str">
            <v>C</v>
          </cell>
          <cell r="V366" t="str">
            <v>--</v>
          </cell>
          <cell r="AA366" t="str">
            <v>A1</v>
          </cell>
          <cell r="AC366" t="str">
            <v>(blanco)</v>
          </cell>
          <cell r="AD366" t="str">
            <v>(blanco)</v>
          </cell>
          <cell r="AL366" t="str">
            <v>(blanco)</v>
          </cell>
          <cell r="AM366" t="str">
            <v>(blanco)</v>
          </cell>
          <cell r="AN366" t="str">
            <v>(blanco)</v>
          </cell>
          <cell r="AP366">
            <v>50</v>
          </cell>
          <cell r="AR366">
            <v>2.5859999999999999</v>
          </cell>
          <cell r="AS366">
            <v>2.589</v>
          </cell>
          <cell r="AT366">
            <v>0</v>
          </cell>
          <cell r="AX366">
            <v>4.34</v>
          </cell>
          <cell r="AY366" t="str">
            <v>01.02.2015</v>
          </cell>
          <cell r="AZ366">
            <v>0</v>
          </cell>
          <cell r="BA366" t="str">
            <v>00.00.0000</v>
          </cell>
          <cell r="BB366" t="str">
            <v>M</v>
          </cell>
          <cell r="BC366" t="str">
            <v>M</v>
          </cell>
          <cell r="BD366" t="str">
            <v>S</v>
          </cell>
          <cell r="BE366">
            <v>5413218563864</v>
          </cell>
        </row>
        <row r="367">
          <cell r="A367" t="str">
            <v>G129258</v>
          </cell>
          <cell r="B367" t="str">
            <v>G129258</v>
          </cell>
          <cell r="C367" t="str">
            <v>C5CBC18C005C002</v>
          </cell>
          <cell r="D367" t="str">
            <v>MSdB 75 M</v>
          </cell>
          <cell r="E367" t="str">
            <v>C5CB</v>
          </cell>
          <cell r="F367" t="str">
            <v>Profielen Platen en Wanden M</v>
          </cell>
          <cell r="G367" t="str">
            <v>ZIB00121</v>
          </cell>
          <cell r="H367" t="str">
            <v>bestaand</v>
          </cell>
          <cell r="I367" t="str">
            <v>01.01.2013</v>
          </cell>
          <cell r="J367" t="str">
            <v>Yes</v>
          </cell>
          <cell r="K367" t="str">
            <v>Professional</v>
          </cell>
          <cell r="L367" t="str">
            <v>METAL STUD</v>
          </cell>
          <cell r="M367" t="str">
            <v>MS DB 75</v>
          </cell>
          <cell r="N367" t="str">
            <v>M.S.dB.75 MM 2.60 M</v>
          </cell>
          <cell r="O367" t="str">
            <v>M.S.dB.75 MM 2.60 M</v>
          </cell>
          <cell r="P367" t="str">
            <v>(blanco)</v>
          </cell>
          <cell r="Q367" t="str">
            <v>(blanco)</v>
          </cell>
          <cell r="R367" t="str">
            <v>(blanco)</v>
          </cell>
          <cell r="S367" t="str">
            <v>(blanco)</v>
          </cell>
          <cell r="T367" t="str">
            <v>NBN EN 14195:2015</v>
          </cell>
          <cell r="U367" t="str">
            <v>C</v>
          </cell>
          <cell r="V367" t="str">
            <v>--</v>
          </cell>
          <cell r="AA367" t="str">
            <v>A1</v>
          </cell>
          <cell r="AC367" t="str">
            <v>(blanco)</v>
          </cell>
          <cell r="AD367" t="str">
            <v>(blanco)</v>
          </cell>
          <cell r="AL367" t="str">
            <v>(blanco)</v>
          </cell>
          <cell r="AM367" t="str">
            <v>(blanco)</v>
          </cell>
          <cell r="AN367" t="str">
            <v>(blanco)</v>
          </cell>
          <cell r="AP367">
            <v>50</v>
          </cell>
          <cell r="AR367">
            <v>2.548</v>
          </cell>
          <cell r="AS367">
            <v>2.5739999999999998</v>
          </cell>
          <cell r="AT367">
            <v>0</v>
          </cell>
          <cell r="AX367">
            <v>4.5199999999999996</v>
          </cell>
          <cell r="AY367" t="str">
            <v>01.02.2015</v>
          </cell>
          <cell r="AZ367">
            <v>0</v>
          </cell>
          <cell r="BA367" t="str">
            <v>00.00.0000</v>
          </cell>
          <cell r="BB367" t="str">
            <v>M</v>
          </cell>
          <cell r="BC367" t="str">
            <v>M</v>
          </cell>
          <cell r="BD367" t="str">
            <v>S</v>
          </cell>
          <cell r="BE367">
            <v>5413218563871</v>
          </cell>
        </row>
        <row r="368">
          <cell r="A368" t="str">
            <v>G129259</v>
          </cell>
          <cell r="B368" t="str">
            <v>G129259</v>
          </cell>
          <cell r="C368" t="str">
            <v>C5CBC18C005C002</v>
          </cell>
          <cell r="D368" t="str">
            <v>MSdB 75 M</v>
          </cell>
          <cell r="E368" t="str">
            <v>C5CB</v>
          </cell>
          <cell r="F368" t="str">
            <v>Profielen Platen en Wanden M</v>
          </cell>
          <cell r="G368" t="str">
            <v>ZIB00121</v>
          </cell>
          <cell r="H368" t="str">
            <v>bestaand</v>
          </cell>
          <cell r="I368" t="str">
            <v>01.01.2013</v>
          </cell>
          <cell r="J368" t="str">
            <v>Yes</v>
          </cell>
          <cell r="K368" t="str">
            <v>Professional</v>
          </cell>
          <cell r="L368" t="str">
            <v>METAL STUD</v>
          </cell>
          <cell r="M368" t="str">
            <v>MS DB 75</v>
          </cell>
          <cell r="N368" t="str">
            <v>M.S.dB.75 MM 3.00 M</v>
          </cell>
          <cell r="O368" t="str">
            <v>M.S.dB.75 MM 3.00 M</v>
          </cell>
          <cell r="P368" t="str">
            <v>(blanco)</v>
          </cell>
          <cell r="Q368" t="str">
            <v>(blanco)</v>
          </cell>
          <cell r="R368" t="str">
            <v>(blanco)</v>
          </cell>
          <cell r="S368" t="str">
            <v>(blanco)</v>
          </cell>
          <cell r="T368" t="str">
            <v>NBN EN 14195:2015</v>
          </cell>
          <cell r="U368" t="str">
            <v>C</v>
          </cell>
          <cell r="V368" t="str">
            <v>--</v>
          </cell>
          <cell r="AA368" t="str">
            <v>A1</v>
          </cell>
          <cell r="AC368" t="str">
            <v>(blanco)</v>
          </cell>
          <cell r="AD368" t="str">
            <v>(blanco)</v>
          </cell>
          <cell r="AL368" t="str">
            <v>(blanco)</v>
          </cell>
          <cell r="AM368" t="str">
            <v>(blanco)</v>
          </cell>
          <cell r="AN368" t="str">
            <v>(blanco)</v>
          </cell>
          <cell r="AP368">
            <v>50</v>
          </cell>
          <cell r="AR368">
            <v>2.94</v>
          </cell>
          <cell r="AS368">
            <v>2.97</v>
          </cell>
          <cell r="AT368">
            <v>0</v>
          </cell>
          <cell r="AX368">
            <v>4.5199999999999996</v>
          </cell>
          <cell r="AY368" t="str">
            <v>01.02.2015</v>
          </cell>
          <cell r="AZ368">
            <v>0</v>
          </cell>
          <cell r="BA368" t="str">
            <v>00.00.0000</v>
          </cell>
          <cell r="BB368" t="str">
            <v>M</v>
          </cell>
          <cell r="BC368" t="str">
            <v>M</v>
          </cell>
          <cell r="BD368" t="str">
            <v>S</v>
          </cell>
          <cell r="BE368">
            <v>5413218563888</v>
          </cell>
        </row>
        <row r="369">
          <cell r="A369" t="str">
            <v>G129286</v>
          </cell>
          <cell r="B369" t="str">
            <v>G129286</v>
          </cell>
          <cell r="C369" t="str">
            <v>D1DFD05D003D004</v>
          </cell>
          <cell r="D369" t="str">
            <v>Afwerkingsprofielen M</v>
          </cell>
          <cell r="E369" t="str">
            <v>D1DF</v>
          </cell>
          <cell r="F369" t="str">
            <v>Andere Toebehoren *</v>
          </cell>
          <cell r="G369" t="str">
            <v>G129286</v>
          </cell>
          <cell r="H369" t="str">
            <v>bestaand</v>
          </cell>
          <cell r="I369" t="str">
            <v>01.01.2013</v>
          </cell>
          <cell r="J369" t="str">
            <v>Yes</v>
          </cell>
          <cell r="K369" t="str">
            <v>Professional</v>
          </cell>
          <cell r="L369" t="str">
            <v>Gyproc</v>
          </cell>
          <cell r="M369" t="str">
            <v>BOARD STOP 15,0 MM</v>
          </cell>
          <cell r="N369" t="str">
            <v>BOARD STOP STOPPROFIEL 15 MM / 3 M</v>
          </cell>
          <cell r="O369" t="str">
            <v>BOARD STOP STOPPROFIEL 15 MM 3-M</v>
          </cell>
          <cell r="P369" t="str">
            <v>(blanco)</v>
          </cell>
          <cell r="Q369" t="str">
            <v>(blanco)</v>
          </cell>
          <cell r="R369" t="str">
            <v>(blanco)</v>
          </cell>
          <cell r="S369" t="str">
            <v>(blanco)</v>
          </cell>
          <cell r="T369" t="str">
            <v>--</v>
          </cell>
          <cell r="AC369" t="str">
            <v>(blanco)</v>
          </cell>
          <cell r="AD369" t="str">
            <v>(blanco)</v>
          </cell>
          <cell r="AE369">
            <v>1</v>
          </cell>
          <cell r="AL369" t="str">
            <v>(blanco)</v>
          </cell>
          <cell r="AM369" t="str">
            <v>(blanco)</v>
          </cell>
          <cell r="AN369" t="str">
            <v>(blanco)</v>
          </cell>
          <cell r="AP369">
            <v>50</v>
          </cell>
          <cell r="AR369">
            <v>0.88200000000000001</v>
          </cell>
          <cell r="AS369">
            <v>0.88600000000000001</v>
          </cell>
          <cell r="AT369">
            <v>0</v>
          </cell>
          <cell r="AX369">
            <v>1.94</v>
          </cell>
          <cell r="AY369" t="str">
            <v>01.02.2015</v>
          </cell>
          <cell r="AZ369">
            <v>0</v>
          </cell>
          <cell r="BA369" t="str">
            <v>00.00.0000</v>
          </cell>
          <cell r="BB369" t="str">
            <v>M</v>
          </cell>
          <cell r="BC369" t="str">
            <v>M</v>
          </cell>
          <cell r="BD369" t="str">
            <v>S</v>
          </cell>
          <cell r="BE369">
            <v>5413218566964</v>
          </cell>
        </row>
        <row r="370">
          <cell r="A370" t="str">
            <v>G129422</v>
          </cell>
          <cell r="B370" t="str">
            <v>G129422</v>
          </cell>
          <cell r="C370" t="str">
            <v>A1ABA35A001A001</v>
          </cell>
          <cell r="D370" t="str">
            <v>Rigidur® H 10 M2</v>
          </cell>
          <cell r="E370" t="str">
            <v>A1AB</v>
          </cell>
          <cell r="F370" t="str">
            <v>Technische platen M2</v>
          </cell>
          <cell r="G370" t="str">
            <v>G129422</v>
          </cell>
          <cell r="H370" t="str">
            <v>bestaand</v>
          </cell>
          <cell r="I370" t="str">
            <v>01.01.2013</v>
          </cell>
          <cell r="J370" t="str">
            <v>Yes</v>
          </cell>
          <cell r="K370" t="str">
            <v>Professional</v>
          </cell>
          <cell r="L370" t="str">
            <v>Rigidur</v>
          </cell>
          <cell r="M370" t="str">
            <v>RIGIDUR GF-H</v>
          </cell>
          <cell r="N370" t="str">
            <v>Rigidur GF-H 10 GBC 1500 X 1000 EP/70</v>
          </cell>
          <cell r="O370" t="str">
            <v>Rigidur GF-H 10 GBC 1500 X 1000 EP/70</v>
          </cell>
          <cell r="P370" t="str">
            <v>bruin</v>
          </cell>
          <cell r="Q370" t="str">
            <v>brun</v>
          </cell>
          <cell r="R370" t="str">
            <v>bruin</v>
          </cell>
          <cell r="S370" t="str">
            <v>brun</v>
          </cell>
          <cell r="T370" t="str">
            <v>NBN EN 15283-2:2009</v>
          </cell>
          <cell r="U370" t="str">
            <v>GF-C1-I-W2</v>
          </cell>
          <cell r="V370" t="str">
            <v>RD</v>
          </cell>
          <cell r="W370" t="str">
            <v>gipsplaat versterkt met glasvliesmat</v>
          </cell>
          <cell r="Y370" t="str">
            <v>gipsvezelplaat voor droge binnenafbouw</v>
          </cell>
          <cell r="AA370" t="str">
            <v>A2-s1, d0</v>
          </cell>
          <cell r="AB370" t="str">
            <v>Rigidur_H_10_LE_0413</v>
          </cell>
          <cell r="AC370" t="str">
            <v>GBC</v>
          </cell>
          <cell r="AD370" t="str">
            <v>ZZO: zichtzijde onder</v>
          </cell>
          <cell r="AE370">
            <v>10</v>
          </cell>
          <cell r="AH370" t="str">
            <v>+/-0.2</v>
          </cell>
          <cell r="AI370">
            <v>0</v>
          </cell>
          <cell r="AJ370">
            <v>0</v>
          </cell>
          <cell r="AL370" t="str">
            <v>Geen eisen gesteld</v>
          </cell>
          <cell r="AM370" t="str">
            <v>Pas de exigences</v>
          </cell>
          <cell r="AN370" t="str">
            <v>kg/m³</v>
          </cell>
          <cell r="AP370">
            <v>0.35</v>
          </cell>
          <cell r="AQ370">
            <v>0.03</v>
          </cell>
          <cell r="AR370">
            <v>18.75</v>
          </cell>
          <cell r="AS370">
            <v>19.625</v>
          </cell>
          <cell r="AT370">
            <v>15</v>
          </cell>
          <cell r="AU370" t="str">
            <v>CD3</v>
          </cell>
          <cell r="AV370" t="str">
            <v>EP : Euro Pallet</v>
          </cell>
          <cell r="AW370">
            <v>2</v>
          </cell>
          <cell r="AX370">
            <v>7.13</v>
          </cell>
          <cell r="AY370" t="str">
            <v>01.02.2015</v>
          </cell>
          <cell r="AZ370">
            <v>0</v>
          </cell>
          <cell r="BA370" t="str">
            <v>00.00.0000</v>
          </cell>
          <cell r="BB370" t="str">
            <v>M2</v>
          </cell>
          <cell r="BC370" t="str">
            <v>M2</v>
          </cell>
          <cell r="BD370" t="str">
            <v>S</v>
          </cell>
          <cell r="BE370">
            <v>5413218566711</v>
          </cell>
        </row>
        <row r="371">
          <cell r="A371" t="str">
            <v>G129461</v>
          </cell>
          <cell r="B371" t="str">
            <v>G129461</v>
          </cell>
          <cell r="C371" t="str">
            <v>F5FAF01F002F002</v>
          </cell>
          <cell r="D371" t="str">
            <v>DIY - Gyproc gereedschappen ST</v>
          </cell>
          <cell r="E371" t="str">
            <v>F5FA</v>
          </cell>
          <cell r="F371" t="str">
            <v>Gereedschap bevestigingen *</v>
          </cell>
          <cell r="G371" t="str">
            <v>G129461</v>
          </cell>
          <cell r="H371" t="str">
            <v>bestaand</v>
          </cell>
          <cell r="I371" t="str">
            <v>01.01.2013</v>
          </cell>
          <cell r="J371" t="str">
            <v>Yes</v>
          </cell>
          <cell r="K371" t="str">
            <v>Doe-Het-Zelver</v>
          </cell>
          <cell r="L371" t="str">
            <v>Gyproc</v>
          </cell>
          <cell r="M371" t="str">
            <v>KANTENRASP</v>
          </cell>
          <cell r="N371" t="str">
            <v>DIY - GYPROC Kantenrasp</v>
          </cell>
          <cell r="O371" t="str">
            <v>Râpe pour les bords Gyproc</v>
          </cell>
          <cell r="P371" t="str">
            <v>(blanco)</v>
          </cell>
          <cell r="Q371" t="str">
            <v>(blanco)</v>
          </cell>
          <cell r="R371" t="str">
            <v>(blanco)</v>
          </cell>
          <cell r="S371" t="str">
            <v>(blanco)</v>
          </cell>
          <cell r="T371" t="str">
            <v>--</v>
          </cell>
          <cell r="AA371" t="str">
            <v>(blanco)</v>
          </cell>
          <cell r="AC371" t="str">
            <v>(blanco)</v>
          </cell>
          <cell r="AD371" t="str">
            <v>(blanco)</v>
          </cell>
          <cell r="AH371" t="str">
            <v>(blanco)</v>
          </cell>
          <cell r="AI371" t="str">
            <v>(blanco)</v>
          </cell>
          <cell r="AJ371" t="str">
            <v>(blanco)</v>
          </cell>
          <cell r="AL371" t="str">
            <v>(blanco)</v>
          </cell>
          <cell r="AM371" t="str">
            <v>(blanco)</v>
          </cell>
          <cell r="AN371" t="str">
            <v>(blanco)</v>
          </cell>
          <cell r="AR371">
            <v>1</v>
          </cell>
          <cell r="AS371">
            <v>1</v>
          </cell>
          <cell r="AT371">
            <v>0</v>
          </cell>
          <cell r="AX371">
            <v>7.05</v>
          </cell>
          <cell r="AY371" t="str">
            <v>01.02.2015</v>
          </cell>
          <cell r="AZ371">
            <v>0</v>
          </cell>
          <cell r="BA371" t="str">
            <v>00.00.0000</v>
          </cell>
          <cell r="BB371" t="str">
            <v>ST</v>
          </cell>
          <cell r="BC371" t="str">
            <v>******</v>
          </cell>
          <cell r="BD371" t="str">
            <v>S</v>
          </cell>
          <cell r="BE371">
            <v>5413218563918</v>
          </cell>
        </row>
        <row r="372">
          <cell r="A372" t="str">
            <v>G129469</v>
          </cell>
          <cell r="B372" t="str">
            <v>G129469</v>
          </cell>
          <cell r="C372" t="str">
            <v>A1ABA35A005A001</v>
          </cell>
          <cell r="D372" t="str">
            <v>Rigidur® H15 120 M2</v>
          </cell>
          <cell r="E372" t="str">
            <v>A1AB</v>
          </cell>
          <cell r="F372" t="str">
            <v>Technische platen M2</v>
          </cell>
          <cell r="G372" t="str">
            <v>G129469</v>
          </cell>
          <cell r="H372" t="str">
            <v>bestaand</v>
          </cell>
          <cell r="I372" t="str">
            <v>01.01.2013</v>
          </cell>
          <cell r="J372" t="str">
            <v>Yes</v>
          </cell>
          <cell r="K372" t="str">
            <v>Professional</v>
          </cell>
          <cell r="L372" t="str">
            <v>Rigidur</v>
          </cell>
          <cell r="M372" t="str">
            <v>RIGIDUR GF-H</v>
          </cell>
          <cell r="N372" t="str">
            <v>Rigidur GF-H 15 ABA 2600 X 1200 DP/30</v>
          </cell>
          <cell r="O372" t="str">
            <v>Rigidur GF-H 15 ABA 2600 x 1200 DP/30</v>
          </cell>
          <cell r="P372" t="str">
            <v>bruin</v>
          </cell>
          <cell r="Q372" t="str">
            <v>brun</v>
          </cell>
          <cell r="R372" t="str">
            <v>bruin</v>
          </cell>
          <cell r="S372" t="str">
            <v>brun</v>
          </cell>
          <cell r="T372" t="str">
            <v>NBN EN 15283-2:2009</v>
          </cell>
          <cell r="U372" t="str">
            <v>GF-C1-I-W2</v>
          </cell>
          <cell r="V372" t="str">
            <v>RD</v>
          </cell>
          <cell r="W372" t="str">
            <v>gipsplaat versterkt met glasvliesmat</v>
          </cell>
          <cell r="Y372" t="str">
            <v>gipsvezelplaat voor droge binnenafbouw</v>
          </cell>
          <cell r="AA372" t="str">
            <v>A2-s1, d0</v>
          </cell>
          <cell r="AB372" t="str">
            <v>Rigidur_H15_LE_0413</v>
          </cell>
          <cell r="AC372" t="str">
            <v>ABA</v>
          </cell>
          <cell r="AD372" t="str">
            <v>ZZO: zichtzijde onder</v>
          </cell>
          <cell r="AE372">
            <v>15</v>
          </cell>
          <cell r="AH372" t="str">
            <v>+/-0.2</v>
          </cell>
          <cell r="AI372">
            <v>0</v>
          </cell>
          <cell r="AJ372">
            <v>0</v>
          </cell>
          <cell r="AL372" t="str">
            <v>Geen eisen gesteld</v>
          </cell>
          <cell r="AM372" t="str">
            <v>Pas de exigences</v>
          </cell>
          <cell r="AN372" t="str">
            <v>kg/m³</v>
          </cell>
          <cell r="AP372">
            <v>0.35</v>
          </cell>
          <cell r="AQ372">
            <v>0.04</v>
          </cell>
          <cell r="AR372">
            <v>60.5</v>
          </cell>
          <cell r="AS372">
            <v>61</v>
          </cell>
          <cell r="AT372">
            <v>46.8</v>
          </cell>
          <cell r="AU372" t="str">
            <v>CD3</v>
          </cell>
          <cell r="AV372" t="str">
            <v>DP : Duitse Pallet</v>
          </cell>
          <cell r="AW372">
            <v>3</v>
          </cell>
          <cell r="AX372">
            <v>11.74</v>
          </cell>
          <cell r="AY372" t="str">
            <v>01.02.2015</v>
          </cell>
          <cell r="AZ372">
            <v>0</v>
          </cell>
          <cell r="BA372" t="str">
            <v>00.00.0000</v>
          </cell>
          <cell r="BB372" t="str">
            <v>M2</v>
          </cell>
          <cell r="BC372" t="str">
            <v>M2</v>
          </cell>
          <cell r="BD372">
            <v>3</v>
          </cell>
          <cell r="BE372">
            <v>4002806723882</v>
          </cell>
        </row>
        <row r="373">
          <cell r="A373" t="str">
            <v>G129509</v>
          </cell>
          <cell r="B373" t="str">
            <v>G129509</v>
          </cell>
          <cell r="C373" t="str">
            <v>D1DBD15D006D003</v>
          </cell>
          <cell r="D373" t="str">
            <v>Prolock Steel SW ST</v>
          </cell>
          <cell r="E373" t="str">
            <v>D1DB</v>
          </cell>
          <cell r="F373" t="str">
            <v>Toebehoren Platen *</v>
          </cell>
          <cell r="G373" t="str">
            <v>G129509</v>
          </cell>
          <cell r="H373" t="str">
            <v>bestaand</v>
          </cell>
          <cell r="I373" t="str">
            <v>01.01.2013</v>
          </cell>
          <cell r="J373" t="str">
            <v>Yes</v>
          </cell>
          <cell r="K373" t="str">
            <v>Professional</v>
          </cell>
          <cell r="L373" t="str">
            <v>PROLOCK</v>
          </cell>
          <cell r="M373" t="str">
            <v>PROLOCK STEEL SCHACHT EI60</v>
          </cell>
          <cell r="N373" t="str">
            <v>ProLockSteel Schacht/Parois EI60 400x400</v>
          </cell>
          <cell r="O373" t="str">
            <v>ProLockSteel Schacht/Parois EI60 400x400</v>
          </cell>
          <cell r="P373" t="str">
            <v>(blanco)</v>
          </cell>
          <cell r="Q373" t="str">
            <v>(blanco)</v>
          </cell>
          <cell r="R373" t="str">
            <v>(blanco)</v>
          </cell>
          <cell r="S373" t="str">
            <v>(blanco)</v>
          </cell>
          <cell r="T373" t="str">
            <v>--</v>
          </cell>
          <cell r="AA373" t="str">
            <v>(blanco)</v>
          </cell>
          <cell r="AC373" t="str">
            <v>(blanco)</v>
          </cell>
          <cell r="AD373" t="str">
            <v>(blanco)</v>
          </cell>
          <cell r="AE373">
            <v>0</v>
          </cell>
          <cell r="AH373" t="str">
            <v>(blanco)</v>
          </cell>
          <cell r="AI373" t="str">
            <v>(blanco)</v>
          </cell>
          <cell r="AJ373" t="str">
            <v>(blanco)</v>
          </cell>
          <cell r="AL373" t="str">
            <v>(blanco)</v>
          </cell>
          <cell r="AM373" t="str">
            <v>(blanco)</v>
          </cell>
          <cell r="AN373" t="str">
            <v>(blanco)</v>
          </cell>
          <cell r="AR373">
            <v>10.925000000000001</v>
          </cell>
          <cell r="AS373">
            <v>11.5</v>
          </cell>
          <cell r="AT373">
            <v>4.0000000000000001E-3</v>
          </cell>
          <cell r="AU373" t="str">
            <v>M3</v>
          </cell>
          <cell r="AX373">
            <v>208.97</v>
          </cell>
          <cell r="AY373" t="str">
            <v>01.02.2015</v>
          </cell>
          <cell r="AZ373">
            <v>0</v>
          </cell>
          <cell r="BA373" t="str">
            <v>00.00.0000</v>
          </cell>
          <cell r="BB373" t="str">
            <v>ST</v>
          </cell>
          <cell r="BC373" t="str">
            <v>******</v>
          </cell>
          <cell r="BD373">
            <v>3</v>
          </cell>
          <cell r="BE373">
            <v>5413218567497</v>
          </cell>
        </row>
        <row r="374">
          <cell r="A374" t="str">
            <v>G129532</v>
          </cell>
          <cell r="B374" t="str">
            <v>G129532</v>
          </cell>
          <cell r="C374" t="str">
            <v>D1DFD05D001D001</v>
          </cell>
          <cell r="D374" t="str">
            <v>Andere Toebehoren *</v>
          </cell>
          <cell r="E374" t="str">
            <v>D1DF</v>
          </cell>
          <cell r="F374" t="str">
            <v>Andere Toebehoren *</v>
          </cell>
          <cell r="G374" t="str">
            <v>G129532</v>
          </cell>
          <cell r="H374" t="str">
            <v>bestaand</v>
          </cell>
          <cell r="I374" t="str">
            <v>01.01.2013</v>
          </cell>
          <cell r="J374" t="str">
            <v>Yes</v>
          </cell>
          <cell r="K374" t="str">
            <v>Professional</v>
          </cell>
          <cell r="L374" t="str">
            <v>Gyproc</v>
          </cell>
          <cell r="M374" t="str">
            <v>ZELFKLEVENDE LOODSTRIP</v>
          </cell>
          <cell r="N374" t="str">
            <v>ZELFKL. LOODSTRIP 5 CM 2 MM L:10 M</v>
          </cell>
          <cell r="O374" t="str">
            <v>Bande de plomb autocoll. 5CM 2MM L:10 M</v>
          </cell>
          <cell r="P374" t="str">
            <v>(blanco)</v>
          </cell>
          <cell r="Q374" t="str">
            <v>(blanco)</v>
          </cell>
          <cell r="R374" t="str">
            <v>(blanco)</v>
          </cell>
          <cell r="S374" t="str">
            <v>(blanco)</v>
          </cell>
          <cell r="T374" t="str">
            <v>NBN EN 12588:2007</v>
          </cell>
          <cell r="U374" t="str">
            <v>--</v>
          </cell>
          <cell r="V374" t="str">
            <v>LP</v>
          </cell>
          <cell r="AC374" t="str">
            <v>(blanco)</v>
          </cell>
          <cell r="AD374" t="str">
            <v>(blanco)</v>
          </cell>
          <cell r="AE374">
            <v>2</v>
          </cell>
          <cell r="AH374" t="str">
            <v>+/-0.1</v>
          </cell>
          <cell r="AI374" t="str">
            <v>+/-5</v>
          </cell>
          <cell r="AJ374" t="e">
            <v>#DIV/0!</v>
          </cell>
          <cell r="AL374">
            <v>11300</v>
          </cell>
          <cell r="AM374">
            <v>11300</v>
          </cell>
          <cell r="AN374" t="str">
            <v>kg/m³</v>
          </cell>
          <cell r="AP374">
            <v>35</v>
          </cell>
          <cell r="AQ374">
            <v>0</v>
          </cell>
          <cell r="AR374">
            <v>11.35</v>
          </cell>
          <cell r="AS374">
            <v>11.92</v>
          </cell>
          <cell r="AT374">
            <v>0</v>
          </cell>
          <cell r="AX374">
            <v>0</v>
          </cell>
          <cell r="AY374" t="str">
            <v>00.00.0000</v>
          </cell>
          <cell r="AZ374">
            <v>0</v>
          </cell>
          <cell r="BA374" t="str">
            <v>00.00.0000</v>
          </cell>
          <cell r="BD374" t="str">
            <v>S</v>
          </cell>
          <cell r="BE374">
            <v>5413218566247</v>
          </cell>
        </row>
        <row r="375">
          <cell r="A375" t="str">
            <v>G129533</v>
          </cell>
          <cell r="B375" t="str">
            <v>G129533</v>
          </cell>
          <cell r="C375" t="str">
            <v>D1DFD05D001D001</v>
          </cell>
          <cell r="D375" t="str">
            <v>Andere Toebehoren *</v>
          </cell>
          <cell r="E375" t="str">
            <v>D1DF</v>
          </cell>
          <cell r="F375" t="str">
            <v>Andere Toebehoren *</v>
          </cell>
          <cell r="G375" t="str">
            <v>G129533</v>
          </cell>
          <cell r="H375" t="str">
            <v>bestaand</v>
          </cell>
          <cell r="I375" t="str">
            <v>01.01.2013</v>
          </cell>
          <cell r="J375" t="str">
            <v>Yes</v>
          </cell>
          <cell r="K375" t="str">
            <v>Professional</v>
          </cell>
          <cell r="L375" t="str">
            <v>Gyproc</v>
          </cell>
          <cell r="M375" t="str">
            <v>ZELFKLEVENDE LOODSTRIP</v>
          </cell>
          <cell r="N375" t="str">
            <v>ZELFKL. LOODSTRIP 5 CM 3 MM L:8 M</v>
          </cell>
          <cell r="O375" t="str">
            <v>Bande de plomb autocoll. 5CM 3 MM L:8 M</v>
          </cell>
          <cell r="P375" t="str">
            <v>(blanco)</v>
          </cell>
          <cell r="Q375" t="str">
            <v>(blanco)</v>
          </cell>
          <cell r="R375" t="str">
            <v>(blanco)</v>
          </cell>
          <cell r="S375" t="str">
            <v>(blanco)</v>
          </cell>
          <cell r="T375" t="str">
            <v>NBN EN 12588:2007</v>
          </cell>
          <cell r="U375" t="str">
            <v>--</v>
          </cell>
          <cell r="V375" t="str">
            <v>LP</v>
          </cell>
          <cell r="AC375" t="str">
            <v>(blanco)</v>
          </cell>
          <cell r="AD375" t="str">
            <v>(blanco)</v>
          </cell>
          <cell r="AE375">
            <v>3</v>
          </cell>
          <cell r="AH375" t="str">
            <v>+/-0.15</v>
          </cell>
          <cell r="AI375" t="str">
            <v>+/-5</v>
          </cell>
          <cell r="AJ375" t="e">
            <v>#DIV/0!</v>
          </cell>
          <cell r="AL375">
            <v>11300</v>
          </cell>
          <cell r="AM375">
            <v>11300</v>
          </cell>
          <cell r="AN375" t="str">
            <v>kg/m³</v>
          </cell>
          <cell r="AP375">
            <v>35</v>
          </cell>
          <cell r="AQ375">
            <v>0</v>
          </cell>
          <cell r="AR375">
            <v>13.62</v>
          </cell>
          <cell r="AS375">
            <v>14.301</v>
          </cell>
          <cell r="AT375">
            <v>0</v>
          </cell>
          <cell r="AX375">
            <v>0</v>
          </cell>
          <cell r="AY375" t="str">
            <v>00.00.0000</v>
          </cell>
          <cell r="AZ375">
            <v>0</v>
          </cell>
          <cell r="BA375" t="str">
            <v>00.00.0000</v>
          </cell>
          <cell r="BD375" t="str">
            <v>S</v>
          </cell>
          <cell r="BE375">
            <v>5413218566254</v>
          </cell>
        </row>
        <row r="376">
          <cell r="A376" t="str">
            <v>G129541N</v>
          </cell>
          <cell r="B376" t="str">
            <v>G129541</v>
          </cell>
          <cell r="C376" t="str">
            <v>C5CBC18C008C005</v>
          </cell>
          <cell r="D376" t="str">
            <v>MSV 75 M</v>
          </cell>
          <cell r="E376" t="str">
            <v>C5CB</v>
          </cell>
          <cell r="F376" t="str">
            <v>Profielen Platen en Wanden M</v>
          </cell>
          <cell r="G376" t="str">
            <v>ZIB00103</v>
          </cell>
          <cell r="H376" t="str">
            <v>bestaand</v>
          </cell>
          <cell r="I376" t="str">
            <v>01.02.2014</v>
          </cell>
          <cell r="J376" t="str">
            <v>Yes</v>
          </cell>
          <cell r="K376" t="str">
            <v>Professional</v>
          </cell>
          <cell r="L376" t="str">
            <v>METAL STUD</v>
          </cell>
          <cell r="M376" t="str">
            <v>MSV75</v>
          </cell>
          <cell r="N376" t="str">
            <v>M.S.VERT.75 MM 5.00 M</v>
          </cell>
          <cell r="O376" t="str">
            <v>M.S.VERT.75 MM 5.00 M</v>
          </cell>
          <cell r="P376" t="str">
            <v>(blanco)</v>
          </cell>
          <cell r="Q376" t="str">
            <v>(blanco)</v>
          </cell>
          <cell r="R376" t="str">
            <v>(blanco)</v>
          </cell>
          <cell r="S376" t="str">
            <v>(blanco)</v>
          </cell>
          <cell r="T376" t="str">
            <v>NBN EN 14195:2015</v>
          </cell>
          <cell r="U376" t="str">
            <v>C</v>
          </cell>
          <cell r="V376" t="str">
            <v>--</v>
          </cell>
          <cell r="AA376" t="str">
            <v>A1</v>
          </cell>
          <cell r="AC376" t="str">
            <v>(blanco)</v>
          </cell>
          <cell r="AD376" t="str">
            <v>(blanco)</v>
          </cell>
          <cell r="AH376">
            <v>-0.5</v>
          </cell>
          <cell r="AI376" t="e">
            <v>#DIV/0!</v>
          </cell>
          <cell r="AJ376">
            <v>0</v>
          </cell>
          <cell r="AL376" t="str">
            <v>(blanco)</v>
          </cell>
          <cell r="AM376" t="str">
            <v>(blanco)</v>
          </cell>
          <cell r="AN376" t="str">
            <v>(blanco)</v>
          </cell>
          <cell r="AP376">
            <v>50</v>
          </cell>
          <cell r="AR376">
            <v>4.2949999999999999</v>
          </cell>
          <cell r="AS376">
            <v>4.3</v>
          </cell>
          <cell r="AT376">
            <v>0</v>
          </cell>
          <cell r="AX376">
            <v>3.17</v>
          </cell>
          <cell r="AY376" t="str">
            <v>01.02.2015</v>
          </cell>
          <cell r="AZ376">
            <v>0</v>
          </cell>
          <cell r="BA376" t="str">
            <v>00.00.0000</v>
          </cell>
          <cell r="BB376" t="str">
            <v>M</v>
          </cell>
          <cell r="BC376" t="str">
            <v>M</v>
          </cell>
          <cell r="BD376" t="str">
            <v>S</v>
          </cell>
          <cell r="BE376">
            <v>0</v>
          </cell>
        </row>
        <row r="377">
          <cell r="A377" t="str">
            <v>G129546</v>
          </cell>
          <cell r="B377" t="str">
            <v>G129546</v>
          </cell>
          <cell r="C377" t="str">
            <v>D1DBD15D006D002</v>
          </cell>
          <cell r="D377" t="str">
            <v>ProLock Steel standaard ST</v>
          </cell>
          <cell r="E377" t="str">
            <v>D1DB</v>
          </cell>
          <cell r="F377" t="str">
            <v>Toebehoren Platen *</v>
          </cell>
          <cell r="G377" t="str">
            <v>G129546</v>
          </cell>
          <cell r="H377" t="str">
            <v>bestaand</v>
          </cell>
          <cell r="I377" t="str">
            <v>01.01.2013</v>
          </cell>
          <cell r="J377" t="str">
            <v>Yes</v>
          </cell>
          <cell r="K377" t="str">
            <v>Professional</v>
          </cell>
          <cell r="L377" t="str">
            <v>PROLOCK</v>
          </cell>
          <cell r="M377" t="str">
            <v>PROLOCK STEEL SCHACHT EI30</v>
          </cell>
          <cell r="N377" t="str">
            <v>ProLockSteel Schacht/Parois EI30 400x400</v>
          </cell>
          <cell r="O377" t="str">
            <v>ProLockSteel Schacht/Parois EI30 400x400</v>
          </cell>
          <cell r="P377" t="str">
            <v>(blanco)</v>
          </cell>
          <cell r="Q377" t="str">
            <v>(blanco)</v>
          </cell>
          <cell r="R377" t="str">
            <v>(blanco)</v>
          </cell>
          <cell r="S377" t="str">
            <v>(blanco)</v>
          </cell>
          <cell r="T377" t="str">
            <v>--</v>
          </cell>
          <cell r="AA377" t="str">
            <v>(blanco)</v>
          </cell>
          <cell r="AC377" t="str">
            <v>(blanco)</v>
          </cell>
          <cell r="AD377" t="str">
            <v>(blanco)</v>
          </cell>
          <cell r="AE377">
            <v>0</v>
          </cell>
          <cell r="AH377" t="str">
            <v>(blanco)</v>
          </cell>
          <cell r="AI377" t="str">
            <v>(blanco)</v>
          </cell>
          <cell r="AJ377" t="str">
            <v>(blanco)</v>
          </cell>
          <cell r="AL377" t="str">
            <v>(blanco)</v>
          </cell>
          <cell r="AM377" t="str">
            <v>(blanco)</v>
          </cell>
          <cell r="AN377" t="str">
            <v>(blanco)</v>
          </cell>
          <cell r="AR377">
            <v>10.925000000000001</v>
          </cell>
          <cell r="AS377">
            <v>11.5</v>
          </cell>
          <cell r="AT377">
            <v>4.0000000000000001E-3</v>
          </cell>
          <cell r="AU377" t="str">
            <v>M3</v>
          </cell>
          <cell r="AX377">
            <v>188.61</v>
          </cell>
          <cell r="AY377" t="str">
            <v>01.02.2015</v>
          </cell>
          <cell r="AZ377">
            <v>0</v>
          </cell>
          <cell r="BA377" t="str">
            <v>00.00.0000</v>
          </cell>
          <cell r="BB377" t="str">
            <v>ST</v>
          </cell>
          <cell r="BC377" t="str">
            <v>******</v>
          </cell>
          <cell r="BD377">
            <v>3</v>
          </cell>
          <cell r="BE377">
            <v>5413218567459</v>
          </cell>
        </row>
        <row r="378">
          <cell r="A378" t="str">
            <v>G129547</v>
          </cell>
          <cell r="B378" t="str">
            <v>G129547</v>
          </cell>
          <cell r="C378" t="str">
            <v>D1DBD15D006D002</v>
          </cell>
          <cell r="D378" t="str">
            <v>ProLock Steel standaard ST</v>
          </cell>
          <cell r="E378" t="str">
            <v>D1DB</v>
          </cell>
          <cell r="F378" t="str">
            <v>Toebehoren Platen *</v>
          </cell>
          <cell r="G378" t="str">
            <v>G129547</v>
          </cell>
          <cell r="H378" t="str">
            <v>bestaand</v>
          </cell>
          <cell r="I378" t="str">
            <v>01.01.2013</v>
          </cell>
          <cell r="J378" t="str">
            <v>Yes</v>
          </cell>
          <cell r="K378" t="str">
            <v>Professional</v>
          </cell>
          <cell r="L378" t="str">
            <v>PROLOCK</v>
          </cell>
          <cell r="M378" t="str">
            <v>PROLOCK STEEL SCHACHT EI30</v>
          </cell>
          <cell r="N378" t="str">
            <v>ProLockSteel Schacht/Parois EI30 500x500</v>
          </cell>
          <cell r="O378" t="str">
            <v>ProLockSteel Schacht/Parois EI30 500x500</v>
          </cell>
          <cell r="P378" t="str">
            <v>(blanco)</v>
          </cell>
          <cell r="Q378" t="str">
            <v>(blanco)</v>
          </cell>
          <cell r="R378" t="str">
            <v>(blanco)</v>
          </cell>
          <cell r="S378" t="str">
            <v>(blanco)</v>
          </cell>
          <cell r="T378" t="str">
            <v>--</v>
          </cell>
          <cell r="AA378" t="str">
            <v>(blanco)</v>
          </cell>
          <cell r="AC378" t="str">
            <v>(blanco)</v>
          </cell>
          <cell r="AD378" t="str">
            <v>(blanco)</v>
          </cell>
          <cell r="AE378">
            <v>0</v>
          </cell>
          <cell r="AH378" t="str">
            <v>(blanco)</v>
          </cell>
          <cell r="AI378" t="str">
            <v>(blanco)</v>
          </cell>
          <cell r="AJ378" t="str">
            <v>(blanco)</v>
          </cell>
          <cell r="AL378" t="str">
            <v>(blanco)</v>
          </cell>
          <cell r="AM378" t="str">
            <v>(blanco)</v>
          </cell>
          <cell r="AN378" t="str">
            <v>(blanco)</v>
          </cell>
          <cell r="AR378">
            <v>17.07</v>
          </cell>
          <cell r="AS378">
            <v>17.922999999999998</v>
          </cell>
          <cell r="AT378">
            <v>4.0000000000000001E-3</v>
          </cell>
          <cell r="AU378" t="str">
            <v>M3</v>
          </cell>
          <cell r="AX378">
            <v>220.75</v>
          </cell>
          <cell r="AY378" t="str">
            <v>01.02.2015</v>
          </cell>
          <cell r="AZ378">
            <v>0</v>
          </cell>
          <cell r="BA378" t="str">
            <v>00.00.0000</v>
          </cell>
          <cell r="BB378" t="str">
            <v>ST</v>
          </cell>
          <cell r="BC378" t="str">
            <v>******</v>
          </cell>
          <cell r="BD378">
            <v>3</v>
          </cell>
          <cell r="BE378">
            <v>5413218567466</v>
          </cell>
        </row>
        <row r="379">
          <cell r="A379" t="str">
            <v>G129548</v>
          </cell>
          <cell r="B379" t="str">
            <v>G129548</v>
          </cell>
          <cell r="C379" t="str">
            <v>D1DBD15D006D003</v>
          </cell>
          <cell r="D379" t="str">
            <v>Prolock Steel SW ST</v>
          </cell>
          <cell r="E379" t="str">
            <v>D1DB</v>
          </cell>
          <cell r="F379" t="str">
            <v>Toebehoren Platen *</v>
          </cell>
          <cell r="G379" t="str">
            <v>G129548</v>
          </cell>
          <cell r="H379" t="str">
            <v>bestaand</v>
          </cell>
          <cell r="I379" t="str">
            <v>01.01.2013</v>
          </cell>
          <cell r="J379" t="str">
            <v>Yes</v>
          </cell>
          <cell r="K379" t="str">
            <v>Professional</v>
          </cell>
          <cell r="L379" t="str">
            <v>PROLOCK</v>
          </cell>
          <cell r="M379" t="str">
            <v>PROLOCK STEEL SCHACHT EI30</v>
          </cell>
          <cell r="N379" t="str">
            <v>ProLockSteel Schacht/Parois EI30 600x600</v>
          </cell>
          <cell r="O379" t="str">
            <v>ProLockSteel Schacht/Parois EI30 600x600</v>
          </cell>
          <cell r="P379" t="str">
            <v>(blanco)</v>
          </cell>
          <cell r="Q379" t="str">
            <v>(blanco)</v>
          </cell>
          <cell r="R379" t="str">
            <v>(blanco)</v>
          </cell>
          <cell r="S379" t="str">
            <v>(blanco)</v>
          </cell>
          <cell r="T379" t="str">
            <v>--</v>
          </cell>
          <cell r="AA379" t="str">
            <v>(blanco)</v>
          </cell>
          <cell r="AC379" t="str">
            <v>(blanco)</v>
          </cell>
          <cell r="AD379" t="str">
            <v>(blanco)</v>
          </cell>
          <cell r="AE379">
            <v>0</v>
          </cell>
          <cell r="AH379" t="str">
            <v>(blanco)</v>
          </cell>
          <cell r="AI379" t="str">
            <v>(blanco)</v>
          </cell>
          <cell r="AJ379" t="str">
            <v>(blanco)</v>
          </cell>
          <cell r="AL379" t="str">
            <v>(blanco)</v>
          </cell>
          <cell r="AM379" t="str">
            <v>(blanco)</v>
          </cell>
          <cell r="AN379" t="str">
            <v>(blanco)</v>
          </cell>
          <cell r="AR379">
            <v>24.581</v>
          </cell>
          <cell r="AS379">
            <v>25.809000000000001</v>
          </cell>
          <cell r="AT379">
            <v>4.0000000000000001E-3</v>
          </cell>
          <cell r="AU379" t="str">
            <v>M3</v>
          </cell>
          <cell r="AX379">
            <v>293.62</v>
          </cell>
          <cell r="AY379" t="str">
            <v>01.02.2015</v>
          </cell>
          <cell r="AZ379">
            <v>0</v>
          </cell>
          <cell r="BA379" t="str">
            <v>00.00.0000</v>
          </cell>
          <cell r="BB379" t="str">
            <v>ST</v>
          </cell>
          <cell r="BC379" t="str">
            <v>******</v>
          </cell>
          <cell r="BD379">
            <v>3</v>
          </cell>
          <cell r="BE379">
            <v>5413218567473</v>
          </cell>
        </row>
        <row r="380">
          <cell r="A380" t="str">
            <v>G129549</v>
          </cell>
          <cell r="B380" t="str">
            <v>G129549</v>
          </cell>
          <cell r="C380" t="str">
            <v>D1DBD15D006D002</v>
          </cell>
          <cell r="D380" t="str">
            <v>ProLock Steel standaard ST</v>
          </cell>
          <cell r="E380" t="str">
            <v>D1DB</v>
          </cell>
          <cell r="F380" t="str">
            <v>Toebehoren Platen *</v>
          </cell>
          <cell r="G380" t="str">
            <v>G129549</v>
          </cell>
          <cell r="H380" t="str">
            <v>bestaand</v>
          </cell>
          <cell r="I380" t="str">
            <v>01.01.2013</v>
          </cell>
          <cell r="J380" t="str">
            <v>Yes</v>
          </cell>
          <cell r="K380" t="str">
            <v>Professional</v>
          </cell>
          <cell r="L380" t="str">
            <v>PROLOCK</v>
          </cell>
          <cell r="M380" t="str">
            <v>PROLOCK STEEL SCHACHT EI30</v>
          </cell>
          <cell r="N380" t="str">
            <v>ProLockSteel Schacht/Parois EI30 600x800</v>
          </cell>
          <cell r="O380" t="str">
            <v>ProLockSteel Schacht/Parois EI30 600x800</v>
          </cell>
          <cell r="P380" t="str">
            <v>(blanco)</v>
          </cell>
          <cell r="Q380" t="str">
            <v>(blanco)</v>
          </cell>
          <cell r="R380" t="str">
            <v>(blanco)</v>
          </cell>
          <cell r="S380" t="str">
            <v>(blanco)</v>
          </cell>
          <cell r="T380" t="str">
            <v>--</v>
          </cell>
          <cell r="AA380" t="str">
            <v>(blanco)</v>
          </cell>
          <cell r="AC380" t="str">
            <v>(blanco)</v>
          </cell>
          <cell r="AD380" t="str">
            <v>(blanco)</v>
          </cell>
          <cell r="AE380">
            <v>0</v>
          </cell>
          <cell r="AH380" t="str">
            <v>(blanco)</v>
          </cell>
          <cell r="AI380" t="str">
            <v>(blanco)</v>
          </cell>
          <cell r="AJ380" t="str">
            <v>(blanco)</v>
          </cell>
          <cell r="AL380" t="str">
            <v>(blanco)</v>
          </cell>
          <cell r="AM380" t="str">
            <v>(blanco)</v>
          </cell>
          <cell r="AN380" t="str">
            <v>(blanco)</v>
          </cell>
          <cell r="AR380">
            <v>32.774999999999999</v>
          </cell>
          <cell r="AS380">
            <v>34.412999999999997</v>
          </cell>
          <cell r="AT380">
            <v>4.0000000000000001E-3</v>
          </cell>
          <cell r="AU380" t="str">
            <v>M3</v>
          </cell>
          <cell r="AX380">
            <v>324.7</v>
          </cell>
          <cell r="AY380" t="str">
            <v>01.02.2015</v>
          </cell>
          <cell r="AZ380">
            <v>0</v>
          </cell>
          <cell r="BA380" t="str">
            <v>00.00.0000</v>
          </cell>
          <cell r="BB380" t="str">
            <v>ST</v>
          </cell>
          <cell r="BC380" t="str">
            <v>******</v>
          </cell>
          <cell r="BD380">
            <v>3</v>
          </cell>
          <cell r="BE380">
            <v>5413218567480</v>
          </cell>
        </row>
        <row r="381">
          <cell r="A381" t="str">
            <v>G129550</v>
          </cell>
          <cell r="B381" t="str">
            <v>G129550</v>
          </cell>
          <cell r="C381" t="str">
            <v>D1DBD15D006D003</v>
          </cell>
          <cell r="D381" t="str">
            <v>Prolock Steel SW ST</v>
          </cell>
          <cell r="E381" t="str">
            <v>D1DB</v>
          </cell>
          <cell r="F381" t="str">
            <v>Toebehoren Platen *</v>
          </cell>
          <cell r="G381" t="str">
            <v>G129550</v>
          </cell>
          <cell r="H381" t="str">
            <v>bestaand</v>
          </cell>
          <cell r="I381" t="str">
            <v>01.01.2013</v>
          </cell>
          <cell r="J381" t="str">
            <v>Yes</v>
          </cell>
          <cell r="K381" t="str">
            <v>Professional</v>
          </cell>
          <cell r="L381" t="str">
            <v>PROLOCK</v>
          </cell>
          <cell r="M381" t="str">
            <v>PROLOCK STEEL SCHACHT EI60</v>
          </cell>
          <cell r="N381" t="str">
            <v>ProLockSteel Schacht/Parois EI60 500x500</v>
          </cell>
          <cell r="O381" t="str">
            <v>ProLockSteel Schacht/Parois EI60 500x500</v>
          </cell>
          <cell r="P381" t="str">
            <v>(blanco)</v>
          </cell>
          <cell r="Q381" t="str">
            <v>(blanco)</v>
          </cell>
          <cell r="R381" t="str">
            <v>(blanco)</v>
          </cell>
          <cell r="S381" t="str">
            <v>(blanco)</v>
          </cell>
          <cell r="T381" t="str">
            <v>--</v>
          </cell>
          <cell r="AA381" t="str">
            <v>(blanco)</v>
          </cell>
          <cell r="AC381" t="str">
            <v>(blanco)</v>
          </cell>
          <cell r="AD381" t="str">
            <v>(blanco)</v>
          </cell>
          <cell r="AE381">
            <v>0</v>
          </cell>
          <cell r="AH381" t="str">
            <v>(blanco)</v>
          </cell>
          <cell r="AI381" t="str">
            <v>(blanco)</v>
          </cell>
          <cell r="AJ381" t="str">
            <v>(blanco)</v>
          </cell>
          <cell r="AL381" t="str">
            <v>(blanco)</v>
          </cell>
          <cell r="AM381" t="str">
            <v>(blanco)</v>
          </cell>
          <cell r="AN381" t="str">
            <v>(blanco)</v>
          </cell>
          <cell r="AR381">
            <v>17.07</v>
          </cell>
          <cell r="AS381">
            <v>17.922999999999998</v>
          </cell>
          <cell r="AT381">
            <v>4.0000000000000001E-3</v>
          </cell>
          <cell r="AU381" t="str">
            <v>M3</v>
          </cell>
          <cell r="AX381">
            <v>267.89999999999998</v>
          </cell>
          <cell r="AY381" t="str">
            <v>01.02.2015</v>
          </cell>
          <cell r="AZ381">
            <v>0</v>
          </cell>
          <cell r="BA381" t="str">
            <v>00.00.0000</v>
          </cell>
          <cell r="BB381" t="str">
            <v>ST</v>
          </cell>
          <cell r="BC381" t="str">
            <v>******</v>
          </cell>
          <cell r="BD381">
            <v>3</v>
          </cell>
          <cell r="BE381">
            <v>5413218567503</v>
          </cell>
        </row>
        <row r="382">
          <cell r="A382" t="str">
            <v>G129551</v>
          </cell>
          <cell r="B382" t="str">
            <v>G129551</v>
          </cell>
          <cell r="C382" t="str">
            <v>D1DBD15D006D003</v>
          </cell>
          <cell r="D382" t="str">
            <v>Prolock Steel SW ST</v>
          </cell>
          <cell r="E382" t="str">
            <v>D1DB</v>
          </cell>
          <cell r="F382" t="str">
            <v>Toebehoren Platen *</v>
          </cell>
          <cell r="G382" t="str">
            <v>G129551</v>
          </cell>
          <cell r="H382" t="str">
            <v>bestaand</v>
          </cell>
          <cell r="I382" t="str">
            <v>01.01.2013</v>
          </cell>
          <cell r="J382" t="str">
            <v>Yes</v>
          </cell>
          <cell r="K382" t="str">
            <v>Professional</v>
          </cell>
          <cell r="L382" t="str">
            <v>PROLOCK</v>
          </cell>
          <cell r="M382" t="str">
            <v>PROLOCK STEEL SCHACHT EI60</v>
          </cell>
          <cell r="N382" t="str">
            <v>ProLockSteel Schacht/Parois EI60 600x600</v>
          </cell>
          <cell r="O382" t="str">
            <v>ProLockSteel Schacht/Parois EI60 600x600</v>
          </cell>
          <cell r="P382" t="str">
            <v>(blanco)</v>
          </cell>
          <cell r="Q382" t="str">
            <v>(blanco)</v>
          </cell>
          <cell r="R382" t="str">
            <v>(blanco)</v>
          </cell>
          <cell r="S382" t="str">
            <v>(blanco)</v>
          </cell>
          <cell r="T382" t="str">
            <v>--</v>
          </cell>
          <cell r="AA382" t="str">
            <v>(blanco)</v>
          </cell>
          <cell r="AC382" t="str">
            <v>(blanco)</v>
          </cell>
          <cell r="AD382" t="str">
            <v>(blanco)</v>
          </cell>
          <cell r="AE382">
            <v>0</v>
          </cell>
          <cell r="AH382" t="str">
            <v>(blanco)</v>
          </cell>
          <cell r="AI382" t="str">
            <v>(blanco)</v>
          </cell>
          <cell r="AJ382" t="str">
            <v>(blanco)</v>
          </cell>
          <cell r="AL382" t="str">
            <v>(blanco)</v>
          </cell>
          <cell r="AM382" t="str">
            <v>(blanco)</v>
          </cell>
          <cell r="AN382" t="str">
            <v>(blanco)</v>
          </cell>
          <cell r="AR382">
            <v>24.581</v>
          </cell>
          <cell r="AS382">
            <v>25.809000000000001</v>
          </cell>
          <cell r="AT382">
            <v>4.0000000000000001E-3</v>
          </cell>
          <cell r="AU382" t="str">
            <v>M3</v>
          </cell>
          <cell r="AX382">
            <v>324.7</v>
          </cell>
          <cell r="AY382" t="str">
            <v>01.02.2015</v>
          </cell>
          <cell r="AZ382">
            <v>0</v>
          </cell>
          <cell r="BA382" t="str">
            <v>00.00.0000</v>
          </cell>
          <cell r="BB382" t="str">
            <v>ST</v>
          </cell>
          <cell r="BC382" t="str">
            <v>******</v>
          </cell>
          <cell r="BD382">
            <v>3</v>
          </cell>
          <cell r="BE382">
            <v>5413218567510</v>
          </cell>
        </row>
        <row r="383">
          <cell r="A383" t="str">
            <v>G129552</v>
          </cell>
          <cell r="B383" t="str">
            <v>G129552</v>
          </cell>
          <cell r="C383" t="str">
            <v>D1DBD15D006D003</v>
          </cell>
          <cell r="D383" t="str">
            <v>Prolock Steel SW ST</v>
          </cell>
          <cell r="E383" t="str">
            <v>D1DB</v>
          </cell>
          <cell r="F383" t="str">
            <v>Toebehoren Platen *</v>
          </cell>
          <cell r="G383" t="str">
            <v>G129552</v>
          </cell>
          <cell r="H383" t="str">
            <v>bestaand</v>
          </cell>
          <cell r="I383" t="str">
            <v>01.01.2013</v>
          </cell>
          <cell r="J383" t="str">
            <v>Yes</v>
          </cell>
          <cell r="K383" t="str">
            <v>Professional</v>
          </cell>
          <cell r="L383" t="str">
            <v>PROLOCK</v>
          </cell>
          <cell r="M383" t="str">
            <v>PROLOCK STEEL SCHACHT EI60</v>
          </cell>
          <cell r="N383" t="str">
            <v>ProLockSteel Schacht/Parois EI60 600x800</v>
          </cell>
          <cell r="O383" t="str">
            <v>ProLockSteel Schacht/Parois EI60 600x800</v>
          </cell>
          <cell r="P383" t="str">
            <v>(blanco)</v>
          </cell>
          <cell r="Q383" t="str">
            <v>(blanco)</v>
          </cell>
          <cell r="R383" t="str">
            <v>(blanco)</v>
          </cell>
          <cell r="S383" t="str">
            <v>(blanco)</v>
          </cell>
          <cell r="T383" t="str">
            <v>--</v>
          </cell>
          <cell r="AA383" t="str">
            <v>(blanco)</v>
          </cell>
          <cell r="AC383" t="str">
            <v>(blanco)</v>
          </cell>
          <cell r="AD383" t="str">
            <v>(blanco)</v>
          </cell>
          <cell r="AE383">
            <v>0</v>
          </cell>
          <cell r="AH383" t="str">
            <v>(blanco)</v>
          </cell>
          <cell r="AI383" t="str">
            <v>(blanco)</v>
          </cell>
          <cell r="AJ383" t="str">
            <v>(blanco)</v>
          </cell>
          <cell r="AL383" t="str">
            <v>(blanco)</v>
          </cell>
          <cell r="AM383" t="str">
            <v>(blanco)</v>
          </cell>
          <cell r="AN383" t="str">
            <v>(blanco)</v>
          </cell>
          <cell r="AR383">
            <v>32.774999999999999</v>
          </cell>
          <cell r="AS383">
            <v>34.412999999999997</v>
          </cell>
          <cell r="AT383">
            <v>4.0000000000000001E-3</v>
          </cell>
          <cell r="AU383" t="str">
            <v>M3</v>
          </cell>
          <cell r="AX383">
            <v>361.13</v>
          </cell>
          <cell r="AY383" t="str">
            <v>01.02.2015</v>
          </cell>
          <cell r="AZ383">
            <v>0</v>
          </cell>
          <cell r="BA383" t="str">
            <v>00.00.0000</v>
          </cell>
          <cell r="BB383" t="str">
            <v>ST</v>
          </cell>
          <cell r="BC383" t="str">
            <v>******</v>
          </cell>
          <cell r="BD383">
            <v>3</v>
          </cell>
          <cell r="BE383">
            <v>5413218567527</v>
          </cell>
        </row>
        <row r="384">
          <cell r="A384" t="str">
            <v>G129554</v>
          </cell>
          <cell r="B384" t="str">
            <v>G129554</v>
          </cell>
          <cell r="C384" t="str">
            <v>D1DBD15D006D004</v>
          </cell>
          <cell r="D384" t="str">
            <v>Prolock Steel 90° ST</v>
          </cell>
          <cell r="E384" t="str">
            <v>D1DB</v>
          </cell>
          <cell r="F384" t="str">
            <v>Toebehoren Platen *</v>
          </cell>
          <cell r="G384" t="str">
            <v>G129554</v>
          </cell>
          <cell r="H384" t="str">
            <v>bestaand</v>
          </cell>
          <cell r="I384" t="str">
            <v>01.01.2013</v>
          </cell>
          <cell r="J384" t="str">
            <v>Yes</v>
          </cell>
          <cell r="K384" t="str">
            <v>Professional</v>
          </cell>
          <cell r="L384" t="str">
            <v>PROLOCK</v>
          </cell>
          <cell r="M384" t="str">
            <v>PROLOCK STEEL 90° ENKEL</v>
          </cell>
          <cell r="N384" t="str">
            <v>ProLockSteel90° Enkel/Simple 150/150x150</v>
          </cell>
          <cell r="O384" t="str">
            <v>ProLockSteel90° Enkel/Simple 150/150x150</v>
          </cell>
          <cell r="P384" t="str">
            <v>(blanco)</v>
          </cell>
          <cell r="Q384" t="str">
            <v>(blanco)</v>
          </cell>
          <cell r="R384" t="str">
            <v>(blanco)</v>
          </cell>
          <cell r="S384" t="str">
            <v>(blanco)</v>
          </cell>
          <cell r="T384" t="str">
            <v>--</v>
          </cell>
          <cell r="AA384" t="str">
            <v>(blanco)</v>
          </cell>
          <cell r="AC384" t="str">
            <v>(blanco)</v>
          </cell>
          <cell r="AD384" t="str">
            <v>(blanco)</v>
          </cell>
          <cell r="AE384">
            <v>0</v>
          </cell>
          <cell r="AH384" t="str">
            <v>(blanco)</v>
          </cell>
          <cell r="AI384" t="str">
            <v>(blanco)</v>
          </cell>
          <cell r="AJ384" t="str">
            <v>(blanco)</v>
          </cell>
          <cell r="AL384" t="str">
            <v>(blanco)</v>
          </cell>
          <cell r="AM384" t="str">
            <v>(blanco)</v>
          </cell>
          <cell r="AN384" t="str">
            <v>(blanco)</v>
          </cell>
          <cell r="AR384">
            <v>10</v>
          </cell>
          <cell r="AS384">
            <v>10.5</v>
          </cell>
          <cell r="AT384">
            <v>0</v>
          </cell>
          <cell r="AU384" t="str">
            <v>M3</v>
          </cell>
          <cell r="AX384">
            <v>337.56</v>
          </cell>
          <cell r="AY384" t="str">
            <v>01.02.2015</v>
          </cell>
          <cell r="AZ384">
            <v>0</v>
          </cell>
          <cell r="BA384" t="str">
            <v>00.00.0000</v>
          </cell>
          <cell r="BB384" t="str">
            <v>ST</v>
          </cell>
          <cell r="BC384" t="str">
            <v>******</v>
          </cell>
          <cell r="BD384">
            <v>3</v>
          </cell>
          <cell r="BE384">
            <v>5413218567534</v>
          </cell>
        </row>
        <row r="385">
          <cell r="A385" t="str">
            <v>G129555</v>
          </cell>
          <cell r="B385" t="str">
            <v>G129555</v>
          </cell>
          <cell r="C385" t="str">
            <v>D1DBD15D006D004</v>
          </cell>
          <cell r="D385" t="str">
            <v>Prolock Steel 90° ST</v>
          </cell>
          <cell r="E385" t="str">
            <v>D1DB</v>
          </cell>
          <cell r="F385" t="str">
            <v>Toebehoren Platen *</v>
          </cell>
          <cell r="G385" t="str">
            <v>G129555</v>
          </cell>
          <cell r="H385" t="str">
            <v>bestaand</v>
          </cell>
          <cell r="I385" t="str">
            <v>01.01.2013</v>
          </cell>
          <cell r="J385" t="str">
            <v>Yes</v>
          </cell>
          <cell r="K385" t="str">
            <v>Professional</v>
          </cell>
          <cell r="L385" t="str">
            <v>PROLOCK</v>
          </cell>
          <cell r="M385" t="str">
            <v>PROLOCK STEEL 90° ENKEL</v>
          </cell>
          <cell r="N385" t="str">
            <v>ProLockSteel90° Enkel/Simple 300/150x150</v>
          </cell>
          <cell r="O385" t="str">
            <v>ProLockSteel90° Enkel/Simple 300/150x150</v>
          </cell>
          <cell r="P385" t="str">
            <v>(blanco)</v>
          </cell>
          <cell r="Q385" t="str">
            <v>(blanco)</v>
          </cell>
          <cell r="R385" t="str">
            <v>(blanco)</v>
          </cell>
          <cell r="S385" t="str">
            <v>(blanco)</v>
          </cell>
          <cell r="T385" t="str">
            <v>--</v>
          </cell>
          <cell r="AA385" t="str">
            <v>(blanco)</v>
          </cell>
          <cell r="AC385" t="str">
            <v>(blanco)</v>
          </cell>
          <cell r="AD385" t="str">
            <v>(blanco)</v>
          </cell>
          <cell r="AE385">
            <v>0</v>
          </cell>
          <cell r="AH385" t="str">
            <v>(blanco)</v>
          </cell>
          <cell r="AI385" t="str">
            <v>(blanco)</v>
          </cell>
          <cell r="AJ385" t="str">
            <v>(blanco)</v>
          </cell>
          <cell r="AL385" t="str">
            <v>(blanco)</v>
          </cell>
          <cell r="AM385" t="str">
            <v>(blanco)</v>
          </cell>
          <cell r="AN385" t="str">
            <v>(blanco)</v>
          </cell>
          <cell r="AR385">
            <v>15</v>
          </cell>
          <cell r="AS385">
            <v>15.75</v>
          </cell>
          <cell r="AT385">
            <v>1E-3</v>
          </cell>
          <cell r="AU385" t="str">
            <v>M3</v>
          </cell>
          <cell r="AX385">
            <v>353.63</v>
          </cell>
          <cell r="AY385" t="str">
            <v>01.02.2015</v>
          </cell>
          <cell r="AZ385">
            <v>0</v>
          </cell>
          <cell r="BA385" t="str">
            <v>00.00.0000</v>
          </cell>
          <cell r="BB385" t="str">
            <v>ST</v>
          </cell>
          <cell r="BC385" t="str">
            <v>******</v>
          </cell>
          <cell r="BD385">
            <v>3</v>
          </cell>
          <cell r="BE385">
            <v>5413218567541</v>
          </cell>
        </row>
        <row r="386">
          <cell r="A386" t="str">
            <v>G129556</v>
          </cell>
          <cell r="B386" t="str">
            <v>G129556</v>
          </cell>
          <cell r="C386" t="str">
            <v>D1DBD15D006D004</v>
          </cell>
          <cell r="D386" t="str">
            <v>Prolock Steel 90° ST</v>
          </cell>
          <cell r="E386" t="str">
            <v>D1DB</v>
          </cell>
          <cell r="F386" t="str">
            <v>Toebehoren Platen *</v>
          </cell>
          <cell r="G386" t="str">
            <v>G129556</v>
          </cell>
          <cell r="H386" t="str">
            <v>bestaand</v>
          </cell>
          <cell r="I386" t="str">
            <v>01.01.2013</v>
          </cell>
          <cell r="J386" t="str">
            <v>Yes</v>
          </cell>
          <cell r="K386" t="str">
            <v>Professional</v>
          </cell>
          <cell r="L386" t="str">
            <v>PROLOCK</v>
          </cell>
          <cell r="M386" t="str">
            <v>PROLOCK STEEL 90° ENKEL</v>
          </cell>
          <cell r="N386" t="str">
            <v>ProLockSteel90° Enkel/Simple 300/300x300</v>
          </cell>
          <cell r="O386" t="str">
            <v>ProLockSteel90° Enkel/Simple 300/300x300</v>
          </cell>
          <cell r="P386" t="str">
            <v>(blanco)</v>
          </cell>
          <cell r="Q386" t="str">
            <v>(blanco)</v>
          </cell>
          <cell r="R386" t="str">
            <v>(blanco)</v>
          </cell>
          <cell r="S386" t="str">
            <v>(blanco)</v>
          </cell>
          <cell r="T386" t="str">
            <v>--</v>
          </cell>
          <cell r="AA386" t="str">
            <v>(blanco)</v>
          </cell>
          <cell r="AC386" t="str">
            <v>(blanco)</v>
          </cell>
          <cell r="AD386" t="str">
            <v>(blanco)</v>
          </cell>
          <cell r="AE386">
            <v>0</v>
          </cell>
          <cell r="AH386" t="str">
            <v>(blanco)</v>
          </cell>
          <cell r="AI386" t="str">
            <v>(blanco)</v>
          </cell>
          <cell r="AJ386" t="str">
            <v>(blanco)</v>
          </cell>
          <cell r="AL386" t="str">
            <v>(blanco)</v>
          </cell>
          <cell r="AM386" t="str">
            <v>(blanco)</v>
          </cell>
          <cell r="AN386" t="str">
            <v>(blanco)</v>
          </cell>
          <cell r="AR386">
            <v>20</v>
          </cell>
          <cell r="AS386">
            <v>21</v>
          </cell>
          <cell r="AT386">
            <v>1E-3</v>
          </cell>
          <cell r="AU386" t="str">
            <v>M3</v>
          </cell>
          <cell r="AX386">
            <v>358.99</v>
          </cell>
          <cell r="AY386" t="str">
            <v>01.02.2015</v>
          </cell>
          <cell r="AZ386">
            <v>0</v>
          </cell>
          <cell r="BA386" t="str">
            <v>00.00.0000</v>
          </cell>
          <cell r="BB386" t="str">
            <v>ST</v>
          </cell>
          <cell r="BC386" t="str">
            <v>******</v>
          </cell>
          <cell r="BD386">
            <v>3</v>
          </cell>
          <cell r="BE386">
            <v>5413218567558</v>
          </cell>
        </row>
        <row r="387">
          <cell r="A387" t="str">
            <v>G129557</v>
          </cell>
          <cell r="B387" t="str">
            <v>G129557</v>
          </cell>
          <cell r="C387" t="str">
            <v>D1DBD15D006D004</v>
          </cell>
          <cell r="D387" t="str">
            <v>Prolock Steel 90° ST</v>
          </cell>
          <cell r="E387" t="str">
            <v>D1DB</v>
          </cell>
          <cell r="F387" t="str">
            <v>Toebehoren Platen *</v>
          </cell>
          <cell r="G387" t="str">
            <v>G129557</v>
          </cell>
          <cell r="H387" t="str">
            <v>bestaand</v>
          </cell>
          <cell r="I387" t="str">
            <v>01.01.2013</v>
          </cell>
          <cell r="J387" t="str">
            <v>Yes</v>
          </cell>
          <cell r="K387" t="str">
            <v>Professional</v>
          </cell>
          <cell r="L387" t="str">
            <v>PROLOCK</v>
          </cell>
          <cell r="M387" t="str">
            <v>PROLOCK STEEL 90° DUBBEL</v>
          </cell>
          <cell r="N387" t="str">
            <v>ProLockSteel90° Dubbel/Double 150/150x15</v>
          </cell>
          <cell r="O387" t="str">
            <v>ProLockSteel90° Dubbel/Double 150/150x15</v>
          </cell>
          <cell r="P387" t="str">
            <v>(blanco)</v>
          </cell>
          <cell r="Q387" t="str">
            <v>(blanco)</v>
          </cell>
          <cell r="R387" t="str">
            <v>(blanco)</v>
          </cell>
          <cell r="S387" t="str">
            <v>(blanco)</v>
          </cell>
          <cell r="T387" t="str">
            <v>--</v>
          </cell>
          <cell r="AA387" t="str">
            <v>(blanco)</v>
          </cell>
          <cell r="AC387" t="str">
            <v>(blanco)</v>
          </cell>
          <cell r="AD387" t="str">
            <v>(blanco)</v>
          </cell>
          <cell r="AE387">
            <v>0</v>
          </cell>
          <cell r="AH387" t="str">
            <v>(blanco)</v>
          </cell>
          <cell r="AI387" t="str">
            <v>(blanco)</v>
          </cell>
          <cell r="AJ387" t="str">
            <v>(blanco)</v>
          </cell>
          <cell r="AL387" t="str">
            <v>(blanco)</v>
          </cell>
          <cell r="AM387" t="str">
            <v>(blanco)</v>
          </cell>
          <cell r="AN387" t="str">
            <v>(blanco)</v>
          </cell>
          <cell r="AR387">
            <v>12</v>
          </cell>
          <cell r="AS387">
            <v>12.6</v>
          </cell>
          <cell r="AT387">
            <v>1E-3</v>
          </cell>
          <cell r="AU387" t="str">
            <v>M3</v>
          </cell>
          <cell r="AX387">
            <v>348.28</v>
          </cell>
          <cell r="AY387" t="str">
            <v>01.02.2015</v>
          </cell>
          <cell r="AZ387">
            <v>0</v>
          </cell>
          <cell r="BA387" t="str">
            <v>00.00.0000</v>
          </cell>
          <cell r="BB387" t="str">
            <v>ST</v>
          </cell>
          <cell r="BC387" t="str">
            <v>******</v>
          </cell>
          <cell r="BD387">
            <v>3</v>
          </cell>
          <cell r="BE387">
            <v>5413218567565</v>
          </cell>
        </row>
        <row r="388">
          <cell r="A388" t="str">
            <v>G129558</v>
          </cell>
          <cell r="B388" t="str">
            <v>G129558</v>
          </cell>
          <cell r="C388" t="str">
            <v>D1DBD15D006D004</v>
          </cell>
          <cell r="D388" t="str">
            <v>Prolock Steel 90° ST</v>
          </cell>
          <cell r="E388" t="str">
            <v>D1DB</v>
          </cell>
          <cell r="F388" t="str">
            <v>Toebehoren Platen *</v>
          </cell>
          <cell r="G388" t="str">
            <v>G129558</v>
          </cell>
          <cell r="H388" t="str">
            <v>bestaand</v>
          </cell>
          <cell r="I388" t="str">
            <v>01.01.2013</v>
          </cell>
          <cell r="J388" t="str">
            <v>Yes</v>
          </cell>
          <cell r="K388" t="str">
            <v>Professional</v>
          </cell>
          <cell r="L388" t="str">
            <v>PROLOCK</v>
          </cell>
          <cell r="M388" t="str">
            <v>PROLOCK STEEL 90° DUBBEL</v>
          </cell>
          <cell r="N388" t="str">
            <v>ProLockSteel90° Dubbel/Double 300/150x15</v>
          </cell>
          <cell r="O388" t="str">
            <v>ProLockSteel90° Dubbel/Double 300/150x15</v>
          </cell>
          <cell r="P388" t="str">
            <v>(blanco)</v>
          </cell>
          <cell r="Q388" t="str">
            <v>(blanco)</v>
          </cell>
          <cell r="R388" t="str">
            <v>(blanco)</v>
          </cell>
          <cell r="S388" t="str">
            <v>(blanco)</v>
          </cell>
          <cell r="T388" t="str">
            <v>--</v>
          </cell>
          <cell r="AA388" t="str">
            <v>(blanco)</v>
          </cell>
          <cell r="AC388" t="str">
            <v>(blanco)</v>
          </cell>
          <cell r="AD388" t="str">
            <v>(blanco)</v>
          </cell>
          <cell r="AE388">
            <v>0</v>
          </cell>
          <cell r="AH388" t="str">
            <v>(blanco)</v>
          </cell>
          <cell r="AI388" t="str">
            <v>(blanco)</v>
          </cell>
          <cell r="AJ388" t="str">
            <v>(blanco)</v>
          </cell>
          <cell r="AL388" t="str">
            <v>(blanco)</v>
          </cell>
          <cell r="AM388" t="str">
            <v>(blanco)</v>
          </cell>
          <cell r="AN388" t="str">
            <v>(blanco)</v>
          </cell>
          <cell r="AR388">
            <v>17</v>
          </cell>
          <cell r="AS388">
            <v>17.850000000000001</v>
          </cell>
          <cell r="AT388">
            <v>1E-3</v>
          </cell>
          <cell r="AU388" t="str">
            <v>M3</v>
          </cell>
          <cell r="AX388">
            <v>369.71</v>
          </cell>
          <cell r="AY388" t="str">
            <v>01.02.2015</v>
          </cell>
          <cell r="AZ388">
            <v>0</v>
          </cell>
          <cell r="BA388" t="str">
            <v>00.00.0000</v>
          </cell>
          <cell r="BB388" t="str">
            <v>ST</v>
          </cell>
          <cell r="BC388" t="str">
            <v>******</v>
          </cell>
          <cell r="BD388">
            <v>3</v>
          </cell>
          <cell r="BE388">
            <v>5413218567572</v>
          </cell>
        </row>
        <row r="389">
          <cell r="A389" t="str">
            <v>G129559</v>
          </cell>
          <cell r="B389" t="str">
            <v>G129559</v>
          </cell>
          <cell r="C389" t="str">
            <v>D1DBD15D006D004</v>
          </cell>
          <cell r="D389" t="str">
            <v>Prolock Steel 90° ST</v>
          </cell>
          <cell r="E389" t="str">
            <v>D1DB</v>
          </cell>
          <cell r="F389" t="str">
            <v>Toebehoren Platen *</v>
          </cell>
          <cell r="G389" t="str">
            <v>G129559</v>
          </cell>
          <cell r="H389" t="str">
            <v>bestaand</v>
          </cell>
          <cell r="I389" t="str">
            <v>01.01.2013</v>
          </cell>
          <cell r="J389" t="str">
            <v>Yes</v>
          </cell>
          <cell r="K389" t="str">
            <v>Professional</v>
          </cell>
          <cell r="L389" t="str">
            <v>PROLOCK</v>
          </cell>
          <cell r="M389" t="str">
            <v>PROLOCK STEEL 90° DUBBEL</v>
          </cell>
          <cell r="N389" t="str">
            <v>ProLockSteel90° Dubbel/Double300/300x300</v>
          </cell>
          <cell r="O389" t="str">
            <v>ProLockSteel90° Dubbel/Double300/300x300</v>
          </cell>
          <cell r="P389" t="str">
            <v>(blanco)</v>
          </cell>
          <cell r="Q389" t="str">
            <v>(blanco)</v>
          </cell>
          <cell r="R389" t="str">
            <v>(blanco)</v>
          </cell>
          <cell r="S389" t="str">
            <v>(blanco)</v>
          </cell>
          <cell r="T389" t="str">
            <v>--</v>
          </cell>
          <cell r="AA389" t="str">
            <v>(blanco)</v>
          </cell>
          <cell r="AC389" t="str">
            <v>(blanco)</v>
          </cell>
          <cell r="AD389" t="str">
            <v>(blanco)</v>
          </cell>
          <cell r="AE389">
            <v>0</v>
          </cell>
          <cell r="AH389" t="str">
            <v>(blanco)</v>
          </cell>
          <cell r="AI389" t="str">
            <v>(blanco)</v>
          </cell>
          <cell r="AJ389" t="str">
            <v>(blanco)</v>
          </cell>
          <cell r="AL389" t="str">
            <v>(blanco)</v>
          </cell>
          <cell r="AM389" t="str">
            <v>(blanco)</v>
          </cell>
          <cell r="AN389" t="str">
            <v>(blanco)</v>
          </cell>
          <cell r="AR389">
            <v>22</v>
          </cell>
          <cell r="AS389">
            <v>23.1</v>
          </cell>
          <cell r="AT389">
            <v>2E-3</v>
          </cell>
          <cell r="AU389" t="str">
            <v>M3</v>
          </cell>
          <cell r="AX389">
            <v>380.42</v>
          </cell>
          <cell r="AY389" t="str">
            <v>01.02.2015</v>
          </cell>
          <cell r="AZ389">
            <v>0</v>
          </cell>
          <cell r="BA389" t="str">
            <v>00.00.0000</v>
          </cell>
          <cell r="BB389" t="str">
            <v>ST</v>
          </cell>
          <cell r="BC389" t="str">
            <v>******</v>
          </cell>
          <cell r="BD389">
            <v>3</v>
          </cell>
          <cell r="BE389">
            <v>5413218567589</v>
          </cell>
        </row>
        <row r="390">
          <cell r="A390" t="str">
            <v>G129585</v>
          </cell>
          <cell r="B390" t="str">
            <v>G129585</v>
          </cell>
          <cell r="C390" t="str">
            <v>A1ABA25A003A011</v>
          </cell>
          <cell r="D390" t="str">
            <v>Gyproc SoundBlock BA 13 120 M2</v>
          </cell>
          <cell r="E390" t="str">
            <v>A1AB</v>
          </cell>
          <cell r="F390" t="str">
            <v>Technische platen M2</v>
          </cell>
          <cell r="G390" t="str">
            <v>ZIB00122</v>
          </cell>
          <cell r="H390" t="str">
            <v>bestaand</v>
          </cell>
          <cell r="I390" t="str">
            <v>01.01.2013</v>
          </cell>
          <cell r="J390" t="str">
            <v>Yes</v>
          </cell>
          <cell r="K390" t="str">
            <v>Professional</v>
          </cell>
          <cell r="L390" t="str">
            <v>Gyproc</v>
          </cell>
          <cell r="M390" t="str">
            <v>SOUNDBLOCK</v>
          </cell>
          <cell r="N390" t="str">
            <v>GY ABA dB 12.5 x 3000 x 1200 DP/16 ZOZ</v>
          </cell>
          <cell r="O390" t="str">
            <v>GY ABA dB 12.5 x 3000 x 1200 DP/16 ZOZ</v>
          </cell>
          <cell r="P390" t="str">
            <v>blauw</v>
          </cell>
          <cell r="Q390" t="str">
            <v>bleu</v>
          </cell>
          <cell r="R390" t="str">
            <v>grijs</v>
          </cell>
          <cell r="S390" t="str">
            <v>gris</v>
          </cell>
          <cell r="T390" t="str">
            <v>NBN EN 520:2009</v>
          </cell>
          <cell r="U390" t="str">
            <v>D</v>
          </cell>
          <cell r="V390" t="str">
            <v>dB</v>
          </cell>
          <cell r="Y390" t="str">
            <v>gipsplaat voor droge binnenafbouw</v>
          </cell>
          <cell r="AA390" t="str">
            <v>A2-s1, d0 (B)</v>
          </cell>
          <cell r="AB390" t="str">
            <v>SG_GY_2013_A1ABA25A003</v>
          </cell>
          <cell r="AC390" t="str">
            <v>ABA</v>
          </cell>
          <cell r="AD390" t="str">
            <v>ZOZ: zichtzijde op zichtzijde</v>
          </cell>
          <cell r="AE390">
            <v>12.5</v>
          </cell>
          <cell r="AH390" t="str">
            <v>+/-0.5</v>
          </cell>
          <cell r="AI390">
            <v>0</v>
          </cell>
          <cell r="AJ390">
            <v>0</v>
          </cell>
          <cell r="AL390" t="str">
            <v>&gt; 800</v>
          </cell>
          <cell r="AM390" t="str">
            <v>&gt; 800</v>
          </cell>
          <cell r="AN390" t="str">
            <v>kg/m³</v>
          </cell>
          <cell r="AP390">
            <v>0.25</v>
          </cell>
          <cell r="AQ390">
            <v>0.05</v>
          </cell>
          <cell r="AR390">
            <v>43.2</v>
          </cell>
          <cell r="AS390">
            <v>45.36</v>
          </cell>
          <cell r="AT390">
            <v>46.8</v>
          </cell>
          <cell r="AU390" t="str">
            <v>CD3</v>
          </cell>
          <cell r="AV390" t="str">
            <v>DP : Duitse Pallet</v>
          </cell>
          <cell r="AW390">
            <v>3</v>
          </cell>
          <cell r="AX390">
            <v>5.45</v>
          </cell>
          <cell r="AY390" t="str">
            <v>01.02.2015</v>
          </cell>
          <cell r="AZ390">
            <v>0</v>
          </cell>
          <cell r="BA390" t="str">
            <v>00.00.0000</v>
          </cell>
          <cell r="BB390" t="str">
            <v>M2</v>
          </cell>
          <cell r="BC390" t="str">
            <v>M2</v>
          </cell>
          <cell r="BD390" t="str">
            <v>S</v>
          </cell>
          <cell r="BE390">
            <v>3496250191334</v>
          </cell>
        </row>
        <row r="391">
          <cell r="A391" t="str">
            <v>G129679</v>
          </cell>
          <cell r="B391" t="str">
            <v>G129679</v>
          </cell>
          <cell r="C391" t="str">
            <v>D1DFD05D003D004</v>
          </cell>
          <cell r="D391" t="str">
            <v>Afwerkingsprofielen M</v>
          </cell>
          <cell r="E391" t="str">
            <v>D1DF</v>
          </cell>
          <cell r="F391" t="str">
            <v>Andere Toebehoren *</v>
          </cell>
          <cell r="G391" t="str">
            <v>G129679</v>
          </cell>
          <cell r="H391" t="str">
            <v>bestaand</v>
          </cell>
          <cell r="I391" t="str">
            <v>01.01.2013</v>
          </cell>
          <cell r="J391" t="str">
            <v>Yes</v>
          </cell>
          <cell r="K391" t="str">
            <v>Professional</v>
          </cell>
          <cell r="L391" t="str">
            <v>Gyproc</v>
          </cell>
          <cell r="M391" t="str">
            <v>CONTROL JOINT</v>
          </cell>
          <cell r="N391" t="str">
            <v>CONTROL JOINT 093 3,05 M (KAR/10)</v>
          </cell>
          <cell r="O391" t="str">
            <v>CONTROL JOINT 093 3,05 M (KAR/10)</v>
          </cell>
          <cell r="P391" t="str">
            <v>(blanco)</v>
          </cell>
          <cell r="Q391" t="str">
            <v>(blanco)</v>
          </cell>
          <cell r="R391" t="str">
            <v>(blanco)</v>
          </cell>
          <cell r="S391" t="str">
            <v>(blanco)</v>
          </cell>
          <cell r="T391" t="str">
            <v>NBN EN 14353+A1:2010</v>
          </cell>
          <cell r="U391" t="str">
            <v>PB - FB</v>
          </cell>
          <cell r="V391" t="str">
            <v>--</v>
          </cell>
          <cell r="W391" t="str">
            <v>metalen profiel voor gebruik met gipsplaten</v>
          </cell>
          <cell r="AC391" t="str">
            <v>(blanco)</v>
          </cell>
          <cell r="AD391" t="str">
            <v>(blanco)</v>
          </cell>
          <cell r="AE391" t="str">
            <v>0,35</v>
          </cell>
          <cell r="AL391" t="str">
            <v>(blanco)</v>
          </cell>
          <cell r="AM391" t="str">
            <v>(blanco)</v>
          </cell>
          <cell r="AN391" t="str">
            <v>(blanco)</v>
          </cell>
          <cell r="AP391">
            <v>50</v>
          </cell>
          <cell r="AR391">
            <v>0.30499999999999999</v>
          </cell>
          <cell r="AS391">
            <v>0.32</v>
          </cell>
          <cell r="AT391">
            <v>0</v>
          </cell>
          <cell r="AX391">
            <v>5.27</v>
          </cell>
          <cell r="AY391" t="str">
            <v>01.02.2015</v>
          </cell>
          <cell r="AZ391">
            <v>0</v>
          </cell>
          <cell r="BA391" t="str">
            <v>00.00.0000</v>
          </cell>
          <cell r="BB391" t="str">
            <v>M</v>
          </cell>
          <cell r="BC391" t="str">
            <v>M</v>
          </cell>
          <cell r="BD391" t="str">
            <v>S</v>
          </cell>
          <cell r="BE391">
            <v>5413218566995</v>
          </cell>
        </row>
        <row r="392">
          <cell r="A392" t="str">
            <v>G129715</v>
          </cell>
          <cell r="B392" t="str">
            <v>G129715</v>
          </cell>
          <cell r="C392" t="str">
            <v>D5DAD01D005D008</v>
          </cell>
          <cell r="D392" t="str">
            <v>Promix Airless KG</v>
          </cell>
          <cell r="E392" t="str">
            <v>D5DA</v>
          </cell>
          <cell r="F392" t="str">
            <v>Voegproducten KG</v>
          </cell>
          <cell r="G392" t="str">
            <v>G129715</v>
          </cell>
          <cell r="H392" t="str">
            <v>bestaand</v>
          </cell>
          <cell r="I392" t="str">
            <v>01.01.2013</v>
          </cell>
          <cell r="J392" t="str">
            <v>Yes</v>
          </cell>
          <cell r="K392" t="str">
            <v>Professional</v>
          </cell>
          <cell r="L392" t="str">
            <v>PROMIX</v>
          </cell>
          <cell r="M392" t="str">
            <v>PROMIX AIRLESS F</v>
          </cell>
          <cell r="N392" t="str">
            <v>ProMix Airless F 25 kg EP/33</v>
          </cell>
          <cell r="O392" t="str">
            <v>ProMix Airless F 25 kg EP/33</v>
          </cell>
          <cell r="P392" t="str">
            <v>(blanco)</v>
          </cell>
          <cell r="Q392" t="str">
            <v>(blanco)</v>
          </cell>
          <cell r="R392" t="str">
            <v>(blanco)</v>
          </cell>
          <cell r="S392" t="str">
            <v>(blanco)</v>
          </cell>
          <cell r="T392" t="str">
            <v>NBN EN 13963:2014</v>
          </cell>
          <cell r="U392" t="str">
            <v>3A</v>
          </cell>
          <cell r="V392" t="str">
            <v>--</v>
          </cell>
          <cell r="AA392" t="str">
            <v>A1</v>
          </cell>
          <cell r="AC392" t="str">
            <v>(blanco)</v>
          </cell>
          <cell r="AD392" t="str">
            <v>(blanco)</v>
          </cell>
          <cell r="AH392" t="str">
            <v>(blanco)</v>
          </cell>
          <cell r="AI392" t="str">
            <v>(blanco)</v>
          </cell>
          <cell r="AJ392" t="str">
            <v>(blanco)</v>
          </cell>
          <cell r="AL392" t="str">
            <v>(blanco)</v>
          </cell>
          <cell r="AM392" t="str">
            <v>(blanco)</v>
          </cell>
          <cell r="AN392" t="str">
            <v>(blanco)</v>
          </cell>
          <cell r="AP392">
            <v>0.25</v>
          </cell>
          <cell r="AR392">
            <v>25</v>
          </cell>
          <cell r="AS392">
            <v>25.524999999999999</v>
          </cell>
          <cell r="AT392">
            <v>0</v>
          </cell>
          <cell r="AV392" t="str">
            <v>EP : Euro Pallet</v>
          </cell>
          <cell r="AW392">
            <v>2</v>
          </cell>
          <cell r="AX392">
            <v>1.19</v>
          </cell>
          <cell r="AY392" t="str">
            <v>01.02.2015</v>
          </cell>
          <cell r="AZ392">
            <v>0</v>
          </cell>
          <cell r="BA392" t="str">
            <v>00.00.0000</v>
          </cell>
          <cell r="BB392" t="str">
            <v>KG</v>
          </cell>
          <cell r="BC392" t="str">
            <v>KG</v>
          </cell>
          <cell r="BD392" t="str">
            <v>S</v>
          </cell>
          <cell r="BE392">
            <v>5413218563925</v>
          </cell>
        </row>
        <row r="393">
          <cell r="A393" t="str">
            <v>G129752</v>
          </cell>
          <cell r="B393" t="str">
            <v>G129752</v>
          </cell>
          <cell r="C393" t="str">
            <v>D1DGD01D002D002</v>
          </cell>
          <cell r="D393" t="str">
            <v>Platinum 270 M</v>
          </cell>
          <cell r="E393" t="str">
            <v>D1DG</v>
          </cell>
          <cell r="F393" t="str">
            <v>Toebehoren Pleister *</v>
          </cell>
          <cell r="G393" t="str">
            <v>G129752</v>
          </cell>
          <cell r="H393" t="str">
            <v>bestaand</v>
          </cell>
          <cell r="I393" t="str">
            <v>01.01.2013</v>
          </cell>
          <cell r="J393" t="str">
            <v>Yes</v>
          </cell>
          <cell r="K393" t="str">
            <v>Gyproc Pleisters</v>
          </cell>
          <cell r="L393" t="str">
            <v>PLÂTINUM</v>
          </cell>
          <cell r="M393" t="str">
            <v>PLÂTINUM</v>
          </cell>
          <cell r="N393" t="str">
            <v>Platinum 9mm x 2200 x 270 mm</v>
          </cell>
          <cell r="O393" t="str">
            <v>Platinum 9mm x 2200 x 270 mm</v>
          </cell>
          <cell r="P393" t="str">
            <v>(blanco)</v>
          </cell>
          <cell r="Q393" t="str">
            <v>(blanco)</v>
          </cell>
          <cell r="R393" t="str">
            <v>(blanco)</v>
          </cell>
          <cell r="S393" t="str">
            <v>(blanco)</v>
          </cell>
          <cell r="T393" t="str">
            <v>--</v>
          </cell>
          <cell r="AA393" t="str">
            <v>F</v>
          </cell>
          <cell r="AC393" t="str">
            <v>(blanco)</v>
          </cell>
          <cell r="AD393" t="str">
            <v>(blanco)</v>
          </cell>
          <cell r="AE393">
            <v>9</v>
          </cell>
          <cell r="AH393" t="str">
            <v>+/-0.4</v>
          </cell>
          <cell r="AI393" t="str">
            <v>+/-1</v>
          </cell>
          <cell r="AJ393" t="str">
            <v>+/-5</v>
          </cell>
          <cell r="AL393">
            <v>540</v>
          </cell>
          <cell r="AM393">
            <v>540</v>
          </cell>
          <cell r="AN393" t="str">
            <v>g/m</v>
          </cell>
          <cell r="AP393">
            <v>5.3999999999999999E-2</v>
          </cell>
          <cell r="AQ393">
            <v>0.17</v>
          </cell>
          <cell r="AR393">
            <v>1.52</v>
          </cell>
          <cell r="AS393">
            <v>1.59</v>
          </cell>
          <cell r="AT393">
            <v>0.53500000000000003</v>
          </cell>
          <cell r="AU393" t="str">
            <v>HL</v>
          </cell>
          <cell r="AV393" t="str">
            <v>WP : Wegwerppallet</v>
          </cell>
          <cell r="AW393">
            <v>7</v>
          </cell>
          <cell r="AX393">
            <v>9.7899999999999991</v>
          </cell>
          <cell r="AY393" t="str">
            <v>01.02.2015</v>
          </cell>
          <cell r="AZ393">
            <v>0</v>
          </cell>
          <cell r="BA393" t="str">
            <v>00.00.0000</v>
          </cell>
          <cell r="BB393" t="str">
            <v>M</v>
          </cell>
          <cell r="BC393" t="str">
            <v>M</v>
          </cell>
          <cell r="BD393" t="str">
            <v>S</v>
          </cell>
          <cell r="BE393">
            <v>5413218563932</v>
          </cell>
        </row>
        <row r="394">
          <cell r="A394" t="str">
            <v>G129753</v>
          </cell>
          <cell r="B394" t="str">
            <v>G129753</v>
          </cell>
          <cell r="C394" t="str">
            <v>D1DGD01D002D002</v>
          </cell>
          <cell r="D394" t="str">
            <v>Platinum 270 M</v>
          </cell>
          <cell r="E394" t="str">
            <v>D1DG</v>
          </cell>
          <cell r="F394" t="str">
            <v>Toebehoren Pleister *</v>
          </cell>
          <cell r="G394" t="str">
            <v>G129753</v>
          </cell>
          <cell r="H394" t="str">
            <v>bestaand</v>
          </cell>
          <cell r="I394" t="str">
            <v>01.01.2013</v>
          </cell>
          <cell r="J394" t="str">
            <v>Yes</v>
          </cell>
          <cell r="K394" t="str">
            <v>Gyproc Pleisters</v>
          </cell>
          <cell r="L394" t="str">
            <v>PLÂTINUM</v>
          </cell>
          <cell r="M394" t="str">
            <v>PLÂTINUM</v>
          </cell>
          <cell r="N394" t="str">
            <v>Platinum 9mm x 2600 x 270 mm</v>
          </cell>
          <cell r="O394" t="str">
            <v>Platinum 9mm x 2600 x 270 mm</v>
          </cell>
          <cell r="P394" t="str">
            <v>(blanco)</v>
          </cell>
          <cell r="Q394" t="str">
            <v>(blanco)</v>
          </cell>
          <cell r="R394" t="str">
            <v>(blanco)</v>
          </cell>
          <cell r="S394" t="str">
            <v>(blanco)</v>
          </cell>
          <cell r="T394" t="str">
            <v>--</v>
          </cell>
          <cell r="AA394" t="str">
            <v>F</v>
          </cell>
          <cell r="AC394" t="str">
            <v>(blanco)</v>
          </cell>
          <cell r="AD394" t="str">
            <v>(blanco)</v>
          </cell>
          <cell r="AE394">
            <v>9</v>
          </cell>
          <cell r="AH394" t="str">
            <v>+/-0.4</v>
          </cell>
          <cell r="AI394" t="str">
            <v>+/-1</v>
          </cell>
          <cell r="AJ394" t="str">
            <v>+/-5</v>
          </cell>
          <cell r="AL394">
            <v>540</v>
          </cell>
          <cell r="AM394">
            <v>540</v>
          </cell>
          <cell r="AN394" t="str">
            <v>g/m</v>
          </cell>
          <cell r="AP394">
            <v>5.3999999999999999E-2</v>
          </cell>
          <cell r="AQ394">
            <v>0.17</v>
          </cell>
          <cell r="AR394">
            <v>1.95</v>
          </cell>
          <cell r="AS394">
            <v>2.0499999999999998</v>
          </cell>
          <cell r="AT394">
            <v>0.63200000000000001</v>
          </cell>
          <cell r="AU394" t="str">
            <v>M3</v>
          </cell>
          <cell r="AV394" t="str">
            <v>WP : Wegwerppallet</v>
          </cell>
          <cell r="AW394">
            <v>7</v>
          </cell>
          <cell r="AX394">
            <v>9.7899999999999991</v>
          </cell>
          <cell r="AY394" t="str">
            <v>01.02.2015</v>
          </cell>
          <cell r="AZ394">
            <v>0</v>
          </cell>
          <cell r="BA394" t="str">
            <v>00.00.0000</v>
          </cell>
          <cell r="BB394" t="str">
            <v>M</v>
          </cell>
          <cell r="BC394" t="str">
            <v>M</v>
          </cell>
          <cell r="BD394" t="str">
            <v>S</v>
          </cell>
          <cell r="BE394">
            <v>5413218563949</v>
          </cell>
        </row>
        <row r="395">
          <cell r="A395" t="str">
            <v>G129754</v>
          </cell>
          <cell r="B395" t="str">
            <v>G129754</v>
          </cell>
          <cell r="C395" t="str">
            <v>D1DGD01D002D002</v>
          </cell>
          <cell r="D395" t="str">
            <v>Platinum 270 M</v>
          </cell>
          <cell r="E395" t="str">
            <v>D1DG</v>
          </cell>
          <cell r="F395" t="str">
            <v>Toebehoren Pleister *</v>
          </cell>
          <cell r="G395" t="str">
            <v>G129754</v>
          </cell>
          <cell r="H395" t="str">
            <v>bestaand</v>
          </cell>
          <cell r="I395" t="str">
            <v>01.01.2013</v>
          </cell>
          <cell r="J395" t="str">
            <v>Yes</v>
          </cell>
          <cell r="K395" t="str">
            <v>Gyproc Pleisters</v>
          </cell>
          <cell r="L395" t="str">
            <v>PLÂTINUM</v>
          </cell>
          <cell r="M395" t="str">
            <v>PLÂTINUM</v>
          </cell>
          <cell r="N395" t="str">
            <v>Platinum 9mm x 3000 x 270 mm</v>
          </cell>
          <cell r="O395" t="str">
            <v>Platinum 9mm x 3000 x 270 mm</v>
          </cell>
          <cell r="P395" t="str">
            <v>(blanco)</v>
          </cell>
          <cell r="Q395" t="str">
            <v>(blanco)</v>
          </cell>
          <cell r="R395" t="str">
            <v>(blanco)</v>
          </cell>
          <cell r="S395" t="str">
            <v>(blanco)</v>
          </cell>
          <cell r="T395" t="str">
            <v>--</v>
          </cell>
          <cell r="AA395" t="str">
            <v>F</v>
          </cell>
          <cell r="AC395" t="str">
            <v>(blanco)</v>
          </cell>
          <cell r="AD395" t="str">
            <v>(blanco)</v>
          </cell>
          <cell r="AE395">
            <v>9</v>
          </cell>
          <cell r="AH395" t="str">
            <v>+/-0.4</v>
          </cell>
          <cell r="AI395" t="str">
            <v>+/-1</v>
          </cell>
          <cell r="AJ395" t="str">
            <v>+/-5</v>
          </cell>
          <cell r="AL395">
            <v>540</v>
          </cell>
          <cell r="AM395">
            <v>540</v>
          </cell>
          <cell r="AN395" t="str">
            <v>g/m</v>
          </cell>
          <cell r="AP395">
            <v>5.3999999999999999E-2</v>
          </cell>
          <cell r="AQ395">
            <v>0.17</v>
          </cell>
          <cell r="AR395">
            <v>2.7</v>
          </cell>
          <cell r="AS395">
            <v>2.83</v>
          </cell>
          <cell r="AT395">
            <v>7.2999999999999995E-2</v>
          </cell>
          <cell r="AU395" t="str">
            <v>M3</v>
          </cell>
          <cell r="AV395" t="str">
            <v>WP : Wegwerppallet</v>
          </cell>
          <cell r="AW395">
            <v>7</v>
          </cell>
          <cell r="AX395">
            <v>9.7899999999999991</v>
          </cell>
          <cell r="AY395" t="str">
            <v>01.02.2015</v>
          </cell>
          <cell r="AZ395">
            <v>0</v>
          </cell>
          <cell r="BA395" t="str">
            <v>00.00.0000</v>
          </cell>
          <cell r="BB395" t="str">
            <v>M</v>
          </cell>
          <cell r="BC395" t="str">
            <v>M</v>
          </cell>
          <cell r="BD395" t="str">
            <v>S</v>
          </cell>
          <cell r="BE395">
            <v>5413218563956</v>
          </cell>
        </row>
        <row r="396">
          <cell r="A396" t="str">
            <v>G129755</v>
          </cell>
          <cell r="B396" t="str">
            <v>G129755</v>
          </cell>
          <cell r="C396" t="str">
            <v>A1ABA33A005A012</v>
          </cell>
          <cell r="D396" t="str">
            <v>GY AIR PR 4XABA 13 60 M2</v>
          </cell>
          <cell r="E396" t="str">
            <v>A1AB</v>
          </cell>
          <cell r="F396" t="str">
            <v>Technische platen M2</v>
          </cell>
          <cell r="G396" t="str">
            <v>ZIB00008</v>
          </cell>
          <cell r="H396" t="str">
            <v>bestaand</v>
          </cell>
          <cell r="I396" t="str">
            <v>01.01.2013</v>
          </cell>
          <cell r="J396" t="str">
            <v>Yes</v>
          </cell>
          <cell r="K396" t="str">
            <v>Prof + DIY</v>
          </cell>
          <cell r="L396" t="str">
            <v>Gyproc</v>
          </cell>
          <cell r="M396" t="str">
            <v>GYPROC ACTIV'AIR PREMIUM - A</v>
          </cell>
          <cell r="N396" t="str">
            <v>GY AirPR 4XABA A 12.5X2500X600 DP/40 ZZB</v>
          </cell>
          <cell r="O396" t="str">
            <v>BA Air PR 13 SP 60/250</v>
          </cell>
          <cell r="P396" t="str">
            <v>premium wit</v>
          </cell>
          <cell r="Q396" t="str">
            <v>blanc premium</v>
          </cell>
          <cell r="R396" t="str">
            <v>grijs</v>
          </cell>
          <cell r="S396" t="str">
            <v>gris</v>
          </cell>
          <cell r="T396" t="str">
            <v>NBN EN 14190:2014</v>
          </cell>
          <cell r="U396" t="str">
            <v>A</v>
          </cell>
          <cell r="V396" t="str">
            <v>AP</v>
          </cell>
          <cell r="W396" t="str">
            <v>gipskartonplaat met 4 afgeschuinde boorden</v>
          </cell>
          <cell r="Y396" t="str">
            <v>gipsplaat voor droge binnenafbouw</v>
          </cell>
          <cell r="AA396" t="str">
            <v>A2-s1, d0 (C.2)</v>
          </cell>
          <cell r="AB396" t="str">
            <v>SG GY 2013 A1ABA33A005A012</v>
          </cell>
          <cell r="AC396" t="str">
            <v>4xABA</v>
          </cell>
          <cell r="AD396" t="str">
            <v>ZZB: zichtzijde boven</v>
          </cell>
          <cell r="AE396">
            <v>12.5</v>
          </cell>
          <cell r="AH396" t="str">
            <v>+/-0.5</v>
          </cell>
          <cell r="AI396">
            <v>0</v>
          </cell>
          <cell r="AJ396">
            <v>0</v>
          </cell>
          <cell r="AL396" t="str">
            <v>Geen eisen gesteld</v>
          </cell>
          <cell r="AM396" t="str">
            <v>Pas de exigences</v>
          </cell>
          <cell r="AN396" t="str">
            <v>kg/m³</v>
          </cell>
          <cell r="AP396">
            <v>0.25</v>
          </cell>
          <cell r="AQ396">
            <v>0.05</v>
          </cell>
          <cell r="AR396">
            <v>13.715</v>
          </cell>
          <cell r="AS396">
            <v>13.865</v>
          </cell>
          <cell r="AT396">
            <v>22.5</v>
          </cell>
          <cell r="AU396" t="str">
            <v>CD3</v>
          </cell>
          <cell r="AV396" t="str">
            <v>DP : Duitse Pallet</v>
          </cell>
          <cell r="AW396">
            <v>3</v>
          </cell>
          <cell r="AX396">
            <v>5.14</v>
          </cell>
          <cell r="AY396" t="str">
            <v>01.02.2015</v>
          </cell>
          <cell r="AZ396">
            <v>0</v>
          </cell>
          <cell r="BA396" t="str">
            <v>00.00.0000</v>
          </cell>
          <cell r="BB396" t="str">
            <v>M2</v>
          </cell>
          <cell r="BC396" t="str">
            <v>M2</v>
          </cell>
          <cell r="BD396" t="str">
            <v>S</v>
          </cell>
          <cell r="BE396">
            <v>5413218563987</v>
          </cell>
        </row>
        <row r="397">
          <cell r="A397" t="str">
            <v>G129756</v>
          </cell>
          <cell r="B397" t="str">
            <v>G129756</v>
          </cell>
          <cell r="C397" t="str">
            <v>A1ABA33A005A010</v>
          </cell>
          <cell r="D397" t="str">
            <v>GY AIR PR 4XABA 13 120 M2</v>
          </cell>
          <cell r="E397" t="str">
            <v>A1AB</v>
          </cell>
          <cell r="F397" t="str">
            <v>Technische platen M2</v>
          </cell>
          <cell r="G397" t="str">
            <v>ZIB00011</v>
          </cell>
          <cell r="H397" t="str">
            <v>bestaand</v>
          </cell>
          <cell r="I397" t="str">
            <v>01.01.2013</v>
          </cell>
          <cell r="J397" t="str">
            <v>Yes</v>
          </cell>
          <cell r="K397" t="str">
            <v>Professional</v>
          </cell>
          <cell r="L397" t="str">
            <v>Gyproc</v>
          </cell>
          <cell r="M397" t="str">
            <v>GYPROC ACTIV'AIR PREMIUM - A</v>
          </cell>
          <cell r="N397" t="str">
            <v>GY AirPR 4XABA A 12.5X2500X1200 DP/40ZZB</v>
          </cell>
          <cell r="O397" t="str">
            <v>GY AirPR 4XABA A 12.5X2500X1200 DP/40ZZB</v>
          </cell>
          <cell r="P397" t="str">
            <v>premium wit</v>
          </cell>
          <cell r="Q397" t="str">
            <v>blanc premium</v>
          </cell>
          <cell r="R397" t="str">
            <v>grijs</v>
          </cell>
          <cell r="S397" t="str">
            <v>gris</v>
          </cell>
          <cell r="T397" t="str">
            <v>NBN EN 14190:2014</v>
          </cell>
          <cell r="U397" t="str">
            <v>A</v>
          </cell>
          <cell r="V397" t="str">
            <v>AP</v>
          </cell>
          <cell r="W397" t="str">
            <v>gipskartonplaat met 4 afgeschuinde boorden</v>
          </cell>
          <cell r="Y397" t="str">
            <v>gipsplaat voor droge binnenafbouw</v>
          </cell>
          <cell r="AA397" t="str">
            <v>A2-s1, d0 (C.2)</v>
          </cell>
          <cell r="AB397" t="str">
            <v>SG GY 2013 A1ABA33A005A010</v>
          </cell>
          <cell r="AC397" t="str">
            <v>4xABA</v>
          </cell>
          <cell r="AD397" t="str">
            <v>ZZB: zichtzijde boven</v>
          </cell>
          <cell r="AE397">
            <v>12.5</v>
          </cell>
          <cell r="AH397" t="str">
            <v>+/-0.5</v>
          </cell>
          <cell r="AI397">
            <v>0</v>
          </cell>
          <cell r="AJ397">
            <v>0</v>
          </cell>
          <cell r="AL397" t="str">
            <v>Geen eisen gesteld</v>
          </cell>
          <cell r="AM397" t="str">
            <v>Pas de exigences</v>
          </cell>
          <cell r="AN397" t="str">
            <v>kg/m³</v>
          </cell>
          <cell r="AP397">
            <v>0.25</v>
          </cell>
          <cell r="AQ397">
            <v>0.05</v>
          </cell>
          <cell r="AR397">
            <v>27.3</v>
          </cell>
          <cell r="AS397">
            <v>30</v>
          </cell>
          <cell r="AT397">
            <v>39</v>
          </cell>
          <cell r="AU397" t="str">
            <v>CD3</v>
          </cell>
          <cell r="AV397" t="str">
            <v>DP : Duitse Pallet</v>
          </cell>
          <cell r="AW397">
            <v>3</v>
          </cell>
          <cell r="AX397">
            <v>7.18</v>
          </cell>
          <cell r="AY397" t="str">
            <v>01.02.2015</v>
          </cell>
          <cell r="AZ397">
            <v>0</v>
          </cell>
          <cell r="BA397" t="str">
            <v>00.00.0000</v>
          </cell>
          <cell r="BB397" t="str">
            <v>M2</v>
          </cell>
          <cell r="BC397" t="str">
            <v>M2</v>
          </cell>
          <cell r="BD397" t="str">
            <v>S</v>
          </cell>
          <cell r="BE397">
            <v>5413218564007</v>
          </cell>
        </row>
        <row r="398">
          <cell r="A398" t="str">
            <v>G129757</v>
          </cell>
          <cell r="B398" t="str">
            <v>G129757</v>
          </cell>
          <cell r="C398" t="str">
            <v>A1ABA33A005A008</v>
          </cell>
          <cell r="D398" t="str">
            <v>GY AIR PREMIUM ABA 13 120 M2</v>
          </cell>
          <cell r="E398" t="str">
            <v>A1AB</v>
          </cell>
          <cell r="F398" t="str">
            <v>Technische platen M2</v>
          </cell>
          <cell r="G398" t="str">
            <v>ZIB00027</v>
          </cell>
          <cell r="H398" t="str">
            <v>bestaand</v>
          </cell>
          <cell r="I398" t="str">
            <v>01.01.2013</v>
          </cell>
          <cell r="J398" t="str">
            <v>Yes</v>
          </cell>
          <cell r="K398" t="str">
            <v>Professional</v>
          </cell>
          <cell r="L398" t="str">
            <v>Gyproc</v>
          </cell>
          <cell r="M398" t="str">
            <v>GYPROC ACTIV'AIR PREMIUM - A</v>
          </cell>
          <cell r="N398" t="str">
            <v>GY Air PR ABA A 12.5 X 2600 X 1200 DP/40</v>
          </cell>
          <cell r="O398" t="str">
            <v>GY Air PR ABA A 12.5 X 2600 X 1200 DP/40</v>
          </cell>
          <cell r="P398" t="str">
            <v>premium wit</v>
          </cell>
          <cell r="Q398" t="str">
            <v>blanc premium</v>
          </cell>
          <cell r="R398" t="str">
            <v>grijs</v>
          </cell>
          <cell r="S398" t="str">
            <v>gris</v>
          </cell>
          <cell r="T398" t="str">
            <v>NBN EN 520:2009</v>
          </cell>
          <cell r="U398" t="str">
            <v>A</v>
          </cell>
          <cell r="V398" t="str">
            <v>AP</v>
          </cell>
          <cell r="Y398" t="str">
            <v>gipsplaat voor droge binnenafbouw</v>
          </cell>
          <cell r="AA398" t="str">
            <v>A2-s1, d0 (B)</v>
          </cell>
          <cell r="AB398" t="str">
            <v>SG GY 2013 A1ABA33A005A008</v>
          </cell>
          <cell r="AC398" t="str">
            <v>ABA</v>
          </cell>
          <cell r="AD398" t="str">
            <v>ZOZ: zichtzijde op zichtzijde</v>
          </cell>
          <cell r="AE398">
            <v>12.5</v>
          </cell>
          <cell r="AH398" t="str">
            <v>+/-0.5</v>
          </cell>
          <cell r="AI398">
            <v>0</v>
          </cell>
          <cell r="AJ398">
            <v>0</v>
          </cell>
          <cell r="AK398">
            <v>1183</v>
          </cell>
          <cell r="AL398" t="str">
            <v>Geen eisen gesteld</v>
          </cell>
          <cell r="AM398" t="str">
            <v>Pas de exigences</v>
          </cell>
          <cell r="AN398" t="str">
            <v>kg/m³</v>
          </cell>
          <cell r="AP398">
            <v>0.25</v>
          </cell>
          <cell r="AQ398">
            <v>0.05</v>
          </cell>
          <cell r="AR398">
            <v>28.391999999999999</v>
          </cell>
          <cell r="AS398">
            <v>31.2</v>
          </cell>
          <cell r="AT398">
            <v>40.56</v>
          </cell>
          <cell r="AU398" t="str">
            <v>CD3</v>
          </cell>
          <cell r="AV398" t="str">
            <v>DP : Duitse Pallet</v>
          </cell>
          <cell r="AW398">
            <v>3</v>
          </cell>
          <cell r="AX398">
            <v>5.9</v>
          </cell>
          <cell r="AY398" t="str">
            <v>01.02.2015</v>
          </cell>
          <cell r="AZ398">
            <v>0</v>
          </cell>
          <cell r="BA398" t="str">
            <v>00.00.0000</v>
          </cell>
          <cell r="BB398" t="str">
            <v>M2</v>
          </cell>
          <cell r="BC398" t="str">
            <v>M2</v>
          </cell>
          <cell r="BD398" t="str">
            <v>S</v>
          </cell>
          <cell r="BE398">
            <v>5413218564021</v>
          </cell>
        </row>
        <row r="399">
          <cell r="A399" t="str">
            <v>G129758</v>
          </cell>
          <cell r="B399" t="str">
            <v>G129758</v>
          </cell>
          <cell r="C399" t="str">
            <v>A1ABA33A005A008</v>
          </cell>
          <cell r="D399" t="str">
            <v>GY AIR PREMIUM ABA 13 120 M2</v>
          </cell>
          <cell r="E399" t="str">
            <v>A1AB</v>
          </cell>
          <cell r="F399" t="str">
            <v>Technische platen M2</v>
          </cell>
          <cell r="G399" t="str">
            <v>ZIB00027</v>
          </cell>
          <cell r="H399" t="str">
            <v>bestaand</v>
          </cell>
          <cell r="I399" t="str">
            <v>01.01.2013</v>
          </cell>
          <cell r="J399" t="str">
            <v>Yes</v>
          </cell>
          <cell r="K399" t="str">
            <v>Professional</v>
          </cell>
          <cell r="L399" t="str">
            <v>Gyproc</v>
          </cell>
          <cell r="M399" t="str">
            <v>GYPROC ACTIV'AIR PREMIUM - A</v>
          </cell>
          <cell r="N399" t="str">
            <v>GY Air PR ABA A 12.5 X 3000 X 1200 DP/40</v>
          </cell>
          <cell r="O399" t="str">
            <v>GY Air PR ABA A 12.5 X 3000 X 1200 DP/40</v>
          </cell>
          <cell r="P399" t="str">
            <v>premium wit</v>
          </cell>
          <cell r="Q399" t="str">
            <v>blanc premium</v>
          </cell>
          <cell r="R399" t="str">
            <v>grijs</v>
          </cell>
          <cell r="S399" t="str">
            <v>gris</v>
          </cell>
          <cell r="T399" t="str">
            <v>NBN EN 520:2009</v>
          </cell>
          <cell r="U399" t="str">
            <v>A</v>
          </cell>
          <cell r="V399" t="str">
            <v>AP</v>
          </cell>
          <cell r="Y399" t="str">
            <v>gipsplaat voor droge binnenafbouw</v>
          </cell>
          <cell r="AA399" t="str">
            <v>A2-s1, d0 (B)</v>
          </cell>
          <cell r="AB399" t="str">
            <v>SG GY 2013 A1ABA33A005A008</v>
          </cell>
          <cell r="AC399" t="str">
            <v>ABA</v>
          </cell>
          <cell r="AD399" t="str">
            <v>ZOZ: zichtzijde op zichtzijde</v>
          </cell>
          <cell r="AE399">
            <v>12.5</v>
          </cell>
          <cell r="AH399" t="str">
            <v>+/-0.5</v>
          </cell>
          <cell r="AI399">
            <v>0</v>
          </cell>
          <cell r="AJ399">
            <v>0</v>
          </cell>
          <cell r="AK399">
            <v>1183</v>
          </cell>
          <cell r="AL399" t="str">
            <v>Geen eisen gesteld</v>
          </cell>
          <cell r="AM399" t="str">
            <v>Pas de exigences</v>
          </cell>
          <cell r="AN399" t="str">
            <v>kg/m³</v>
          </cell>
          <cell r="AP399">
            <v>0.25</v>
          </cell>
          <cell r="AQ399">
            <v>0.05</v>
          </cell>
          <cell r="AR399">
            <v>32.76</v>
          </cell>
          <cell r="AS399">
            <v>36</v>
          </cell>
          <cell r="AT399">
            <v>46.8</v>
          </cell>
          <cell r="AU399" t="str">
            <v>CD3</v>
          </cell>
          <cell r="AV399" t="str">
            <v>DP : Duitse Pallet</v>
          </cell>
          <cell r="AW399">
            <v>3</v>
          </cell>
          <cell r="AX399">
            <v>5.9</v>
          </cell>
          <cell r="AY399" t="str">
            <v>01.02.2015</v>
          </cell>
          <cell r="AZ399">
            <v>0</v>
          </cell>
          <cell r="BA399" t="str">
            <v>00.00.0000</v>
          </cell>
          <cell r="BB399" t="str">
            <v>M2</v>
          </cell>
          <cell r="BC399" t="str">
            <v>M2</v>
          </cell>
          <cell r="BD399" t="str">
            <v>S</v>
          </cell>
          <cell r="BE399">
            <v>5413218564045</v>
          </cell>
        </row>
        <row r="400">
          <cell r="A400" t="str">
            <v>G129759</v>
          </cell>
          <cell r="B400" t="str">
            <v>G129759</v>
          </cell>
          <cell r="C400" t="str">
            <v>A1ABA34B001B001</v>
          </cell>
          <cell r="D400" t="str">
            <v>GY AIR ABA 13 120 M2</v>
          </cell>
          <cell r="E400" t="str">
            <v>A1AB</v>
          </cell>
          <cell r="F400" t="str">
            <v>Technische platen M2</v>
          </cell>
          <cell r="G400" t="str">
            <v>ZIB00005</v>
          </cell>
          <cell r="H400" t="str">
            <v>bestaand</v>
          </cell>
          <cell r="I400" t="str">
            <v>01.01.2013</v>
          </cell>
          <cell r="J400" t="str">
            <v>Yes</v>
          </cell>
          <cell r="K400" t="str">
            <v>Professional</v>
          </cell>
          <cell r="L400" t="str">
            <v>Gyproc</v>
          </cell>
          <cell r="M400" t="str">
            <v>GYPROC ACTIV'AIR - A</v>
          </cell>
          <cell r="N400" t="str">
            <v>GY Air ABA A 12.5 X 2600 X 1200 DP/50ZOZ</v>
          </cell>
          <cell r="O400" t="str">
            <v>GY Air ABA A 12.5 X 2600 X 1200 DP/50ZOZ</v>
          </cell>
          <cell r="P400" t="str">
            <v>ivoor</v>
          </cell>
          <cell r="Q400" t="str">
            <v>ivoire</v>
          </cell>
          <cell r="R400" t="str">
            <v>grijs</v>
          </cell>
          <cell r="S400" t="str">
            <v>gris</v>
          </cell>
          <cell r="T400" t="str">
            <v>NBN EN 520:2009</v>
          </cell>
          <cell r="U400" t="str">
            <v>A</v>
          </cell>
          <cell r="V400" t="str">
            <v>AA</v>
          </cell>
          <cell r="Y400" t="str">
            <v>gipsplaat voor droge binnenafbouw</v>
          </cell>
          <cell r="AA400" t="str">
            <v>A2-s1, d0 (B)</v>
          </cell>
          <cell r="AB400" t="str">
            <v>SG GY 2013 A1ABA34B001B001</v>
          </cell>
          <cell r="AC400" t="str">
            <v>ABA</v>
          </cell>
          <cell r="AD400" t="str">
            <v>ZOZ: zichtzijde op zichtzijde</v>
          </cell>
          <cell r="AE400">
            <v>12.5</v>
          </cell>
          <cell r="AH400" t="str">
            <v>+/-0.5</v>
          </cell>
          <cell r="AI400">
            <v>0</v>
          </cell>
          <cell r="AJ400">
            <v>0</v>
          </cell>
          <cell r="AK400">
            <v>1181</v>
          </cell>
          <cell r="AL400" t="str">
            <v>Geen eisen gesteld</v>
          </cell>
          <cell r="AM400" t="str">
            <v>Pas de exigences</v>
          </cell>
          <cell r="AN400" t="str">
            <v>kg/m³</v>
          </cell>
          <cell r="AP400">
            <v>0.25</v>
          </cell>
          <cell r="AQ400">
            <v>0.05</v>
          </cell>
          <cell r="AR400">
            <v>28.391999999999999</v>
          </cell>
          <cell r="AS400">
            <v>29.244</v>
          </cell>
          <cell r="AT400">
            <v>40.56</v>
          </cell>
          <cell r="AU400" t="str">
            <v>CD3</v>
          </cell>
          <cell r="AV400" t="str">
            <v>DP : Duitse Pallet</v>
          </cell>
          <cell r="AW400">
            <v>3</v>
          </cell>
          <cell r="AX400">
            <v>5.4</v>
          </cell>
          <cell r="AY400" t="str">
            <v>01.02.2015</v>
          </cell>
          <cell r="AZ400">
            <v>0</v>
          </cell>
          <cell r="BA400" t="str">
            <v>00.00.0000</v>
          </cell>
          <cell r="BB400" t="str">
            <v>M2</v>
          </cell>
          <cell r="BC400" t="str">
            <v>M2</v>
          </cell>
          <cell r="BD400" t="str">
            <v>S</v>
          </cell>
          <cell r="BE400">
            <v>5413218564069</v>
          </cell>
        </row>
        <row r="401">
          <cell r="A401" t="str">
            <v>G129760</v>
          </cell>
          <cell r="B401" t="str">
            <v>G129760</v>
          </cell>
          <cell r="C401" t="str">
            <v>A1ABA34B001B001</v>
          </cell>
          <cell r="D401" t="str">
            <v>GY AIR ABA 13 120 M2</v>
          </cell>
          <cell r="E401" t="str">
            <v>A1AB</v>
          </cell>
          <cell r="F401" t="str">
            <v>Technische platen M2</v>
          </cell>
          <cell r="G401" t="str">
            <v>ZIB00005</v>
          </cell>
          <cell r="H401" t="str">
            <v>bestaand</v>
          </cell>
          <cell r="I401" t="str">
            <v>01.01.2013</v>
          </cell>
          <cell r="J401" t="str">
            <v>Yes</v>
          </cell>
          <cell r="K401" t="str">
            <v>Professional</v>
          </cell>
          <cell r="L401" t="str">
            <v>Gyproc</v>
          </cell>
          <cell r="M401" t="str">
            <v>GYPROC ACTIV'AIR - A</v>
          </cell>
          <cell r="N401" t="str">
            <v>GY Air ABA A 12.5 X 3000 X 1200 DP/40ZOZ</v>
          </cell>
          <cell r="O401" t="str">
            <v>GY Air ABA A 12.5 X 3000 X 1200 DP/40ZOZ</v>
          </cell>
          <cell r="P401" t="str">
            <v>ivoor</v>
          </cell>
          <cell r="Q401" t="str">
            <v>ivoire</v>
          </cell>
          <cell r="R401" t="str">
            <v>grijs</v>
          </cell>
          <cell r="S401" t="str">
            <v>gris</v>
          </cell>
          <cell r="T401" t="str">
            <v>NBN EN 520:2009</v>
          </cell>
          <cell r="U401" t="str">
            <v>A</v>
          </cell>
          <cell r="V401" t="str">
            <v>AA</v>
          </cell>
          <cell r="Y401" t="str">
            <v>gipsplaat voor droge binnenafbouw</v>
          </cell>
          <cell r="AA401" t="str">
            <v>A2-s1, d0 (B)</v>
          </cell>
          <cell r="AB401" t="str">
            <v>SG GY 2013 A1ABA34B001B001</v>
          </cell>
          <cell r="AC401" t="str">
            <v>ABA</v>
          </cell>
          <cell r="AD401" t="str">
            <v>ZOZ: zichtzijde op zichtzijde</v>
          </cell>
          <cell r="AE401">
            <v>12.5</v>
          </cell>
          <cell r="AH401" t="str">
            <v>+/-0.5</v>
          </cell>
          <cell r="AI401">
            <v>0</v>
          </cell>
          <cell r="AJ401">
            <v>0</v>
          </cell>
          <cell r="AK401">
            <v>1181</v>
          </cell>
          <cell r="AL401" t="str">
            <v>Geen eisen gesteld</v>
          </cell>
          <cell r="AM401" t="str">
            <v>Pas de exigences</v>
          </cell>
          <cell r="AN401" t="str">
            <v>kg/m³</v>
          </cell>
          <cell r="AP401">
            <v>0.25</v>
          </cell>
          <cell r="AQ401">
            <v>0.05</v>
          </cell>
          <cell r="AR401">
            <v>32.76</v>
          </cell>
          <cell r="AS401">
            <v>33.743000000000002</v>
          </cell>
          <cell r="AT401">
            <v>46.8</v>
          </cell>
          <cell r="AU401" t="str">
            <v>CD3</v>
          </cell>
          <cell r="AV401" t="str">
            <v>DP : Duitse Pallet</v>
          </cell>
          <cell r="AW401">
            <v>3</v>
          </cell>
          <cell r="AX401">
            <v>5.4</v>
          </cell>
          <cell r="AY401" t="str">
            <v>01.02.2015</v>
          </cell>
          <cell r="AZ401">
            <v>0</v>
          </cell>
          <cell r="BA401" t="str">
            <v>00.00.0000</v>
          </cell>
          <cell r="BB401" t="str">
            <v>M2</v>
          </cell>
          <cell r="BC401" t="str">
            <v>M2</v>
          </cell>
          <cell r="BD401" t="str">
            <v>S</v>
          </cell>
          <cell r="BE401">
            <v>5413218563963</v>
          </cell>
        </row>
        <row r="402">
          <cell r="A402" t="str">
            <v>G129767</v>
          </cell>
          <cell r="B402" t="str">
            <v>G129767</v>
          </cell>
          <cell r="C402" t="str">
            <v>A1ABA34B001B002</v>
          </cell>
          <cell r="D402" t="str">
            <v>GY AIR ABA 13 60 M2</v>
          </cell>
          <cell r="E402" t="str">
            <v>A1AB</v>
          </cell>
          <cell r="F402" t="str">
            <v>Technische platen M2</v>
          </cell>
          <cell r="G402" t="str">
            <v>ZIB00004</v>
          </cell>
          <cell r="H402" t="str">
            <v>bestaand</v>
          </cell>
          <cell r="I402" t="str">
            <v>01.01.2013</v>
          </cell>
          <cell r="J402" t="str">
            <v>Yes</v>
          </cell>
          <cell r="K402" t="str">
            <v>Prof + DIY</v>
          </cell>
          <cell r="L402" t="str">
            <v>Gyproc</v>
          </cell>
          <cell r="M402" t="str">
            <v>GYPROC ACTIV'AIR - A</v>
          </cell>
          <cell r="N402" t="str">
            <v>GY Air ABA A 12.5 X 2600 X 600 DP/80 ZOZ</v>
          </cell>
          <cell r="O402" t="str">
            <v>GY Air ABA A 12.5 X 2600 X 600 DP/80 ZOZ</v>
          </cell>
          <cell r="P402" t="str">
            <v>ivoor</v>
          </cell>
          <cell r="Q402" t="str">
            <v>ivoire</v>
          </cell>
          <cell r="R402" t="str">
            <v>grijs</v>
          </cell>
          <cell r="S402" t="str">
            <v>gris</v>
          </cell>
          <cell r="T402" t="str">
            <v>NBN EN 520:2009</v>
          </cell>
          <cell r="U402" t="str">
            <v>A</v>
          </cell>
          <cell r="V402" t="str">
            <v>AA</v>
          </cell>
          <cell r="Y402" t="str">
            <v>gipsplaat voor droge binnenafbouw</v>
          </cell>
          <cell r="AA402" t="str">
            <v>A2-s1, d0 (B)</v>
          </cell>
          <cell r="AB402" t="str">
            <v>SG GY 2013 A1ABA34B001B002</v>
          </cell>
          <cell r="AC402" t="str">
            <v>ABA</v>
          </cell>
          <cell r="AD402" t="str">
            <v>ZOZ: zichtzijde op zichtzijde</v>
          </cell>
          <cell r="AE402">
            <v>12.5</v>
          </cell>
          <cell r="AH402" t="str">
            <v>+/-0.5</v>
          </cell>
          <cell r="AI402">
            <v>0</v>
          </cell>
          <cell r="AJ402">
            <v>0</v>
          </cell>
          <cell r="AK402">
            <v>1180</v>
          </cell>
          <cell r="AL402" t="str">
            <v>Geen eisen gesteld</v>
          </cell>
          <cell r="AM402" t="str">
            <v>Pas de exigences</v>
          </cell>
          <cell r="AN402" t="str">
            <v>kg/m³</v>
          </cell>
          <cell r="AP402">
            <v>0.25</v>
          </cell>
          <cell r="AQ402">
            <v>0.05</v>
          </cell>
          <cell r="AR402">
            <v>14.18</v>
          </cell>
          <cell r="AS402">
            <v>14.227</v>
          </cell>
          <cell r="AT402">
            <v>20.28</v>
          </cell>
          <cell r="AU402" t="str">
            <v>CD3</v>
          </cell>
          <cell r="AV402" t="str">
            <v>DP : Duitse Pallet</v>
          </cell>
          <cell r="AW402">
            <v>3</v>
          </cell>
          <cell r="AX402">
            <v>5.4</v>
          </cell>
          <cell r="AY402" t="str">
            <v>01.02.2015</v>
          </cell>
          <cell r="AZ402">
            <v>0</v>
          </cell>
          <cell r="BA402" t="str">
            <v>00.00.0000</v>
          </cell>
          <cell r="BB402" t="str">
            <v>M2</v>
          </cell>
          <cell r="BC402" t="str">
            <v>M2</v>
          </cell>
          <cell r="BD402" t="str">
            <v>S</v>
          </cell>
          <cell r="BE402">
            <v>5413218564083</v>
          </cell>
        </row>
        <row r="403">
          <cell r="A403" t="str">
            <v>G129865</v>
          </cell>
          <cell r="B403" t="str">
            <v>G129865</v>
          </cell>
          <cell r="C403" t="str">
            <v>A1ABA34B001B003</v>
          </cell>
          <cell r="D403" t="str">
            <v>GY AIR 4XABA 13 120 M2</v>
          </cell>
          <cell r="E403" t="str">
            <v>A1AB</v>
          </cell>
          <cell r="F403" t="str">
            <v>Technische platen M2</v>
          </cell>
          <cell r="G403" t="str">
            <v>G129865</v>
          </cell>
          <cell r="H403" t="str">
            <v>bestaand</v>
          </cell>
          <cell r="I403" t="str">
            <v>01.01.2013</v>
          </cell>
          <cell r="J403" t="str">
            <v>Yes</v>
          </cell>
          <cell r="K403" t="str">
            <v>Professional</v>
          </cell>
          <cell r="L403" t="str">
            <v>Gyproc</v>
          </cell>
          <cell r="M403" t="str">
            <v>GYPROC ACTIV'AIR - A</v>
          </cell>
          <cell r="N403" t="str">
            <v>GY Air 4XABA A 12.5X2500X1200 DP/50 ZZB</v>
          </cell>
          <cell r="O403" t="str">
            <v>GY Air 4XABA A 12.5X2500X1200 DP/50 ZZB</v>
          </cell>
          <cell r="P403" t="str">
            <v>ivoor</v>
          </cell>
          <cell r="Q403" t="str">
            <v>ivoire</v>
          </cell>
          <cell r="R403" t="str">
            <v>grijs</v>
          </cell>
          <cell r="S403" t="str">
            <v>gris</v>
          </cell>
          <cell r="T403" t="str">
            <v>NBN EN 14190:2014</v>
          </cell>
          <cell r="U403" t="str">
            <v>A</v>
          </cell>
          <cell r="V403" t="str">
            <v>AA</v>
          </cell>
          <cell r="W403" t="str">
            <v>gipskartonplaat met 4 afgeschuinde boorden</v>
          </cell>
          <cell r="Y403" t="str">
            <v>gipsplaat voor droge binnenafbouw</v>
          </cell>
          <cell r="AA403" t="str">
            <v>A2-s1, d0 (C.2)</v>
          </cell>
          <cell r="AB403" t="str">
            <v>SG GY 2013 A1ABA34B001B003</v>
          </cell>
          <cell r="AC403" t="str">
            <v>4xABA</v>
          </cell>
          <cell r="AD403" t="str">
            <v>ZZB: zichtzijde boven</v>
          </cell>
          <cell r="AE403">
            <v>12.5</v>
          </cell>
          <cell r="AH403" t="str">
            <v>+/-0.5</v>
          </cell>
          <cell r="AI403">
            <v>0</v>
          </cell>
          <cell r="AJ403">
            <v>0</v>
          </cell>
          <cell r="AL403" t="str">
            <v>Geen eisen gesteld</v>
          </cell>
          <cell r="AM403" t="str">
            <v>Pas de exigences</v>
          </cell>
          <cell r="AN403" t="str">
            <v>kg/m³</v>
          </cell>
          <cell r="AP403">
            <v>0.25</v>
          </cell>
          <cell r="AQ403">
            <v>0.05</v>
          </cell>
          <cell r="AR403">
            <v>27.3</v>
          </cell>
          <cell r="AS403">
            <v>28.664999999999999</v>
          </cell>
          <cell r="AT403">
            <v>39</v>
          </cell>
          <cell r="AU403" t="str">
            <v>CD3</v>
          </cell>
          <cell r="AV403" t="str">
            <v>DP : Duitse Pallet</v>
          </cell>
          <cell r="AW403">
            <v>3</v>
          </cell>
          <cell r="AX403">
            <v>6.85</v>
          </cell>
          <cell r="AY403" t="str">
            <v>01.02.2015</v>
          </cell>
          <cell r="AZ403">
            <v>0</v>
          </cell>
          <cell r="BA403" t="str">
            <v>00.00.0000</v>
          </cell>
          <cell r="BB403" t="str">
            <v>M2</v>
          </cell>
          <cell r="BC403" t="str">
            <v>M2</v>
          </cell>
          <cell r="BD403" t="str">
            <v>S</v>
          </cell>
          <cell r="BE403">
            <v>5413218564892</v>
          </cell>
        </row>
        <row r="404">
          <cell r="A404" t="str">
            <v>G129884</v>
          </cell>
          <cell r="B404" t="str">
            <v>G129884</v>
          </cell>
          <cell r="C404" t="str">
            <v>C5CBC18C005C004</v>
          </cell>
          <cell r="D404" t="str">
            <v>MSdB int M</v>
          </cell>
          <cell r="E404" t="str">
            <v>C5CB</v>
          </cell>
          <cell r="F404" t="str">
            <v>Profielen Platen en Wanden M</v>
          </cell>
          <cell r="G404" t="str">
            <v>G129884</v>
          </cell>
          <cell r="H404" t="str">
            <v>bestaand</v>
          </cell>
          <cell r="I404" t="str">
            <v>01.01.2013</v>
          </cell>
          <cell r="J404" t="str">
            <v>Yes</v>
          </cell>
          <cell r="K404" t="str">
            <v>Professional</v>
          </cell>
          <cell r="L404" t="str">
            <v>METAL STUD</v>
          </cell>
          <cell r="M404" t="str">
            <v>MS DB INT</v>
          </cell>
          <cell r="N404" t="str">
            <v>M.S.dB. INT 3.00 M</v>
          </cell>
          <cell r="O404" t="str">
            <v>M.S.dB. INT 3.00 M</v>
          </cell>
          <cell r="P404" t="str">
            <v>(blanco)</v>
          </cell>
          <cell r="Q404" t="str">
            <v>(blanco)</v>
          </cell>
          <cell r="R404" t="str">
            <v>(blanco)</v>
          </cell>
          <cell r="S404" t="str">
            <v>(blanco)</v>
          </cell>
          <cell r="T404" t="str">
            <v>NBN EN 14195:2015</v>
          </cell>
          <cell r="U404" t="str">
            <v>L</v>
          </cell>
          <cell r="V404" t="str">
            <v>--</v>
          </cell>
          <cell r="AA404" t="str">
            <v>A1</v>
          </cell>
          <cell r="AC404" t="str">
            <v>(blanco)</v>
          </cell>
          <cell r="AD404" t="str">
            <v>(blanco)</v>
          </cell>
          <cell r="AL404" t="str">
            <v>(blanco)</v>
          </cell>
          <cell r="AM404" t="str">
            <v>(blanco)</v>
          </cell>
          <cell r="AN404" t="str">
            <v>(blanco)</v>
          </cell>
          <cell r="AP404">
            <v>50</v>
          </cell>
          <cell r="AR404">
            <v>2.5859999999999999</v>
          </cell>
          <cell r="AS404">
            <v>2</v>
          </cell>
          <cell r="AT404">
            <v>0</v>
          </cell>
          <cell r="AX404">
            <v>4.7</v>
          </cell>
          <cell r="AY404" t="str">
            <v>01.02.2015</v>
          </cell>
          <cell r="AZ404">
            <v>0</v>
          </cell>
          <cell r="BA404" t="str">
            <v>00.00.0000</v>
          </cell>
          <cell r="BB404" t="str">
            <v>M</v>
          </cell>
          <cell r="BC404" t="str">
            <v>M</v>
          </cell>
          <cell r="BD404" t="str">
            <v>S</v>
          </cell>
          <cell r="BE404">
            <v>5413218567084</v>
          </cell>
        </row>
        <row r="405">
          <cell r="A405" t="str">
            <v>G129885</v>
          </cell>
          <cell r="B405" t="str">
            <v>G129885</v>
          </cell>
          <cell r="C405" t="str">
            <v>C5CBC18C005C003</v>
          </cell>
          <cell r="D405" t="str">
            <v>MSdB ext M</v>
          </cell>
          <cell r="E405" t="str">
            <v>C5CB</v>
          </cell>
          <cell r="F405" t="str">
            <v>Profielen Platen en Wanden M</v>
          </cell>
          <cell r="G405" t="str">
            <v>G129885</v>
          </cell>
          <cell r="H405" t="str">
            <v>bestaand</v>
          </cell>
          <cell r="I405" t="str">
            <v>01.01.2013</v>
          </cell>
          <cell r="J405" t="str">
            <v>Yes</v>
          </cell>
          <cell r="K405" t="str">
            <v>Professional</v>
          </cell>
          <cell r="L405" t="str">
            <v>METAL STUD</v>
          </cell>
          <cell r="M405" t="str">
            <v>MS DB EXT</v>
          </cell>
          <cell r="N405" t="str">
            <v>M.S.dB. EXT 3.00 M</v>
          </cell>
          <cell r="O405" t="str">
            <v>M.S.dB. EXT 3.00 M</v>
          </cell>
          <cell r="P405" t="str">
            <v>(blanco)</v>
          </cell>
          <cell r="Q405" t="str">
            <v>(blanco)</v>
          </cell>
          <cell r="R405" t="str">
            <v>(blanco)</v>
          </cell>
          <cell r="S405" t="str">
            <v>(blanco)</v>
          </cell>
          <cell r="T405" t="str">
            <v>NBN EN 14195:2015</v>
          </cell>
          <cell r="U405" t="str">
            <v>L</v>
          </cell>
          <cell r="V405" t="str">
            <v>--</v>
          </cell>
          <cell r="AA405" t="str">
            <v>A1</v>
          </cell>
          <cell r="AC405" t="str">
            <v>(blanco)</v>
          </cell>
          <cell r="AD405" t="str">
            <v>(blanco)</v>
          </cell>
          <cell r="AL405" t="str">
            <v>(blanco)</v>
          </cell>
          <cell r="AM405" t="str">
            <v>(blanco)</v>
          </cell>
          <cell r="AN405" t="str">
            <v>(blanco)</v>
          </cell>
          <cell r="AP405">
            <v>50</v>
          </cell>
          <cell r="AR405">
            <v>2.5859999999999999</v>
          </cell>
          <cell r="AS405">
            <v>2.589</v>
          </cell>
          <cell r="AT405">
            <v>0</v>
          </cell>
          <cell r="AX405">
            <v>4.7</v>
          </cell>
          <cell r="AY405" t="str">
            <v>01.02.2015</v>
          </cell>
          <cell r="AZ405">
            <v>0</v>
          </cell>
          <cell r="BA405" t="str">
            <v>00.00.0000</v>
          </cell>
          <cell r="BB405" t="str">
            <v>M</v>
          </cell>
          <cell r="BC405" t="str">
            <v>M</v>
          </cell>
          <cell r="BD405" t="str">
            <v>S</v>
          </cell>
          <cell r="BE405">
            <v>5413218567091</v>
          </cell>
        </row>
        <row r="406">
          <cell r="A406" t="str">
            <v>G130007</v>
          </cell>
          <cell r="B406" t="str">
            <v>G130007</v>
          </cell>
          <cell r="C406" t="str">
            <v>F5FAF01F002F004</v>
          </cell>
          <cell r="D406" t="str">
            <v>Rigitone Montagehulp *</v>
          </cell>
          <cell r="E406" t="str">
            <v>F5FA</v>
          </cell>
          <cell r="F406" t="str">
            <v>Gereedschap bevestigingen *</v>
          </cell>
          <cell r="G406" t="str">
            <v>G130007</v>
          </cell>
          <cell r="H406" t="str">
            <v>bestaand</v>
          </cell>
          <cell r="I406" t="str">
            <v>01.01.2013</v>
          </cell>
          <cell r="J406" t="str">
            <v>Yes</v>
          </cell>
          <cell r="K406" t="str">
            <v>Professional</v>
          </cell>
          <cell r="L406" t="str">
            <v>RIGITONE</v>
          </cell>
          <cell r="M406" t="str">
            <v>RIGITONE FIX VOEGENVULSET</v>
          </cell>
          <cell r="N406" t="str">
            <v>Rigitone Fix voegenvulset</v>
          </cell>
          <cell r="O406" t="str">
            <v>Kit de jointoiement Rigitone Fix</v>
          </cell>
          <cell r="P406" t="str">
            <v>(blanco)</v>
          </cell>
          <cell r="Q406" t="str">
            <v>(blanco)</v>
          </cell>
          <cell r="R406" t="str">
            <v>(blanco)</v>
          </cell>
          <cell r="S406" t="str">
            <v>(blanco)</v>
          </cell>
          <cell r="T406" t="str">
            <v>--</v>
          </cell>
          <cell r="AA406" t="str">
            <v>(blanco)</v>
          </cell>
          <cell r="AC406" t="str">
            <v>(blanco)</v>
          </cell>
          <cell r="AD406" t="str">
            <v>(blanco)</v>
          </cell>
          <cell r="AH406" t="str">
            <v>(blanco)</v>
          </cell>
          <cell r="AI406" t="str">
            <v>(blanco)</v>
          </cell>
          <cell r="AJ406" t="str">
            <v>(blanco)</v>
          </cell>
          <cell r="AL406" t="str">
            <v>(blanco)</v>
          </cell>
          <cell r="AM406" t="str">
            <v>(blanco)</v>
          </cell>
          <cell r="AN406" t="str">
            <v>(blanco)</v>
          </cell>
          <cell r="AR406">
            <v>2.4</v>
          </cell>
          <cell r="AS406">
            <v>2.5</v>
          </cell>
          <cell r="AT406">
            <v>0</v>
          </cell>
          <cell r="AX406">
            <v>140.85</v>
          </cell>
          <cell r="AY406" t="str">
            <v>01.02.2015</v>
          </cell>
          <cell r="AZ406">
            <v>0</v>
          </cell>
          <cell r="BA406" t="str">
            <v>00.00.0000</v>
          </cell>
          <cell r="BB406" t="str">
            <v>ST</v>
          </cell>
          <cell r="BC406" t="str">
            <v>******</v>
          </cell>
          <cell r="BD406" t="str">
            <v>S</v>
          </cell>
          <cell r="BE406">
            <v>4002806736233</v>
          </cell>
        </row>
        <row r="407">
          <cell r="A407" t="str">
            <v>G130009</v>
          </cell>
          <cell r="B407" t="str">
            <v>G130009</v>
          </cell>
          <cell r="C407" t="str">
            <v>D1DFD05D001D001</v>
          </cell>
          <cell r="D407" t="str">
            <v>Andere Toebehoren *</v>
          </cell>
          <cell r="E407" t="str">
            <v>D1DF</v>
          </cell>
          <cell r="F407" t="str">
            <v>Andere Toebehoren *</v>
          </cell>
          <cell r="G407" t="str">
            <v>G130009</v>
          </cell>
          <cell r="H407" t="str">
            <v>bestaand</v>
          </cell>
          <cell r="I407" t="str">
            <v>01.01.2013</v>
          </cell>
          <cell r="J407" t="str">
            <v>Yes</v>
          </cell>
          <cell r="K407" t="str">
            <v>Professional</v>
          </cell>
          <cell r="L407" t="str">
            <v>Gyproc</v>
          </cell>
          <cell r="M407" t="str">
            <v>ZELFKLEVENDE LOODSTRIP</v>
          </cell>
          <cell r="N407" t="str">
            <v>ZELFKL. LOODSTRIP 5 CM 1 MM L:20 M</v>
          </cell>
          <cell r="O407" t="str">
            <v>Bande de plomb autocoll. 5CM 1 MM L:20 M</v>
          </cell>
          <cell r="P407" t="str">
            <v>(blanco)</v>
          </cell>
          <cell r="Q407" t="str">
            <v>(blanco)</v>
          </cell>
          <cell r="R407" t="str">
            <v>(blanco)</v>
          </cell>
          <cell r="S407" t="str">
            <v>(blanco)</v>
          </cell>
          <cell r="T407" t="str">
            <v>NBN EN 12588:2007</v>
          </cell>
          <cell r="U407" t="str">
            <v>--</v>
          </cell>
          <cell r="V407" t="str">
            <v>LP</v>
          </cell>
          <cell r="AC407" t="str">
            <v>(blanco)</v>
          </cell>
          <cell r="AD407" t="str">
            <v>(blanco)</v>
          </cell>
          <cell r="AE407">
            <v>1</v>
          </cell>
          <cell r="AH407" t="str">
            <v>+/-0.05</v>
          </cell>
          <cell r="AI407" t="str">
            <v>+/-5</v>
          </cell>
          <cell r="AJ407" t="e">
            <v>#DIV/0!</v>
          </cell>
          <cell r="AL407">
            <v>11300</v>
          </cell>
          <cell r="AM407">
            <v>11300</v>
          </cell>
          <cell r="AN407" t="str">
            <v>kg/m³</v>
          </cell>
          <cell r="AP407">
            <v>35</v>
          </cell>
          <cell r="AQ407">
            <v>0</v>
          </cell>
          <cell r="AR407">
            <v>11.35</v>
          </cell>
          <cell r="AS407">
            <v>11.92</v>
          </cell>
          <cell r="AT407">
            <v>0</v>
          </cell>
          <cell r="AX407">
            <v>0</v>
          </cell>
          <cell r="AY407" t="str">
            <v>00.00.0000</v>
          </cell>
          <cell r="AZ407">
            <v>0</v>
          </cell>
          <cell r="BA407" t="str">
            <v>00.00.0000</v>
          </cell>
          <cell r="BD407" t="str">
            <v>S</v>
          </cell>
          <cell r="BE407">
            <v>5413218566230</v>
          </cell>
        </row>
        <row r="408">
          <cell r="A408" t="str">
            <v>G130030</v>
          </cell>
          <cell r="B408" t="str">
            <v>G130030</v>
          </cell>
          <cell r="C408" t="str">
            <v>E5EDE01E002E001</v>
          </cell>
          <cell r="D408" t="str">
            <v>Gyprocem 650 TON</v>
          </cell>
          <cell r="E408" t="str">
            <v>E5ED</v>
          </cell>
          <cell r="F408" t="str">
            <v>Andere Pleisters TON</v>
          </cell>
          <cell r="G408" t="str">
            <v>G130030</v>
          </cell>
          <cell r="H408" t="str">
            <v>bestaand</v>
          </cell>
          <cell r="I408" t="str">
            <v>01.01.2013</v>
          </cell>
          <cell r="J408" t="str">
            <v>Yes</v>
          </cell>
          <cell r="K408" t="str">
            <v>Gyproc Pleisters</v>
          </cell>
          <cell r="L408" t="str">
            <v>GYPROCEM</v>
          </cell>
          <cell r="M408" t="str">
            <v>GYPROCEM 650</v>
          </cell>
          <cell r="N408" t="str">
            <v>Gyprocem 650 25 KG EP/42</v>
          </cell>
          <cell r="O408" t="str">
            <v>Gyprocem 650 25 KG EP/42</v>
          </cell>
          <cell r="P408" t="str">
            <v>(blanco)</v>
          </cell>
          <cell r="Q408" t="str">
            <v>(blanco)</v>
          </cell>
          <cell r="R408" t="str">
            <v>(blanco)</v>
          </cell>
          <cell r="S408" t="str">
            <v>(blanco)</v>
          </cell>
          <cell r="T408" t="str">
            <v>NBN EN 998-1:2010</v>
          </cell>
          <cell r="U408" t="str">
            <v>--</v>
          </cell>
          <cell r="V408" t="str">
            <v>--</v>
          </cell>
          <cell r="Y408" t="str">
            <v>cement-bouwpleister voor binnenafbouw</v>
          </cell>
          <cell r="AA408" t="str">
            <v>A1</v>
          </cell>
          <cell r="AC408" t="str">
            <v>(blanco)</v>
          </cell>
          <cell r="AD408" t="str">
            <v>(blanco)</v>
          </cell>
          <cell r="AH408" t="str">
            <v>(blanco)</v>
          </cell>
          <cell r="AI408" t="str">
            <v>(blanco)</v>
          </cell>
          <cell r="AJ408" t="str">
            <v>(blanco)</v>
          </cell>
          <cell r="AN408" t="str">
            <v>kg/m³</v>
          </cell>
          <cell r="AP408">
            <v>0</v>
          </cell>
          <cell r="AR408">
            <v>25</v>
          </cell>
          <cell r="AS408">
            <v>25.475999999999999</v>
          </cell>
          <cell r="AT408">
            <v>48</v>
          </cell>
          <cell r="AU408" t="str">
            <v>CD3</v>
          </cell>
          <cell r="AV408" t="str">
            <v>EP : Euro Pallet</v>
          </cell>
          <cell r="AW408">
            <v>2</v>
          </cell>
          <cell r="AX408">
            <v>287.54000000000002</v>
          </cell>
          <cell r="AY408" t="str">
            <v>01.02.2015</v>
          </cell>
          <cell r="AZ408">
            <v>0</v>
          </cell>
          <cell r="BA408" t="str">
            <v>00.00.0000</v>
          </cell>
          <cell r="BB408" t="str">
            <v>TO</v>
          </cell>
          <cell r="BC408" t="str">
            <v>TO</v>
          </cell>
          <cell r="BD408" t="str">
            <v>S</v>
          </cell>
          <cell r="BE408">
            <v>5413218564229</v>
          </cell>
        </row>
        <row r="409">
          <cell r="A409" t="str">
            <v>G130031</v>
          </cell>
          <cell r="B409" t="str">
            <v>G130031</v>
          </cell>
          <cell r="C409" t="str">
            <v>E5EDE01E002E002</v>
          </cell>
          <cell r="D409" t="str">
            <v>Gyprocem 800 TON</v>
          </cell>
          <cell r="E409" t="str">
            <v>E5ED</v>
          </cell>
          <cell r="F409" t="str">
            <v>Andere Pleisters TON</v>
          </cell>
          <cell r="G409" t="str">
            <v>G130031</v>
          </cell>
          <cell r="H409" t="str">
            <v>bestaand</v>
          </cell>
          <cell r="I409" t="str">
            <v>01.01.2013</v>
          </cell>
          <cell r="J409" t="str">
            <v>Yes</v>
          </cell>
          <cell r="K409" t="str">
            <v>Gyproc Pleisters</v>
          </cell>
          <cell r="L409" t="str">
            <v>GYPROCEM</v>
          </cell>
          <cell r="M409" t="str">
            <v>GYPROCEM 800</v>
          </cell>
          <cell r="N409" t="str">
            <v>Gyprocem 800 25 KG EP/42</v>
          </cell>
          <cell r="O409" t="str">
            <v>Gyprocem 800 25 KG EP/42</v>
          </cell>
          <cell r="P409" t="str">
            <v>(blanco)</v>
          </cell>
          <cell r="Q409" t="str">
            <v>(blanco)</v>
          </cell>
          <cell r="R409" t="str">
            <v>(blanco)</v>
          </cell>
          <cell r="S409" t="str">
            <v>(blanco)</v>
          </cell>
          <cell r="T409" t="str">
            <v>NBN EN 998-1:2010</v>
          </cell>
          <cell r="U409" t="str">
            <v>--</v>
          </cell>
          <cell r="V409" t="str">
            <v>--</v>
          </cell>
          <cell r="Y409" t="str">
            <v>cement-bouwpleister voor binnenafbouw</v>
          </cell>
          <cell r="AA409" t="str">
            <v>A1</v>
          </cell>
          <cell r="AC409" t="str">
            <v>(blanco)</v>
          </cell>
          <cell r="AD409" t="str">
            <v>(blanco)</v>
          </cell>
          <cell r="AH409" t="str">
            <v>(blanco)</v>
          </cell>
          <cell r="AI409" t="str">
            <v>(blanco)</v>
          </cell>
          <cell r="AJ409" t="str">
            <v>(blanco)</v>
          </cell>
          <cell r="AP409">
            <v>0</v>
          </cell>
          <cell r="AR409">
            <v>25</v>
          </cell>
          <cell r="AS409">
            <v>25.475999999999999</v>
          </cell>
          <cell r="AT409">
            <v>48</v>
          </cell>
          <cell r="AU409" t="str">
            <v>CD3</v>
          </cell>
          <cell r="AV409" t="str">
            <v>EP : Euro Pallet</v>
          </cell>
          <cell r="AW409">
            <v>2</v>
          </cell>
          <cell r="AX409">
            <v>290.42</v>
          </cell>
          <cell r="AY409" t="str">
            <v>01.02.2015</v>
          </cell>
          <cell r="AZ409">
            <v>0</v>
          </cell>
          <cell r="BA409" t="str">
            <v>00.00.0000</v>
          </cell>
          <cell r="BB409" t="str">
            <v>TO</v>
          </cell>
          <cell r="BC409" t="str">
            <v>TO</v>
          </cell>
          <cell r="BD409" t="str">
            <v>S</v>
          </cell>
          <cell r="BE409">
            <v>5413218564236</v>
          </cell>
        </row>
        <row r="410">
          <cell r="A410" t="str">
            <v>G130032</v>
          </cell>
          <cell r="B410" t="str">
            <v>G130032</v>
          </cell>
          <cell r="C410" t="str">
            <v>E5EDE01E002E003</v>
          </cell>
          <cell r="D410" t="str">
            <v>Gyprocem 1100 TON</v>
          </cell>
          <cell r="E410" t="str">
            <v>E5ED</v>
          </cell>
          <cell r="F410" t="str">
            <v>Andere Pleisters TON</v>
          </cell>
          <cell r="G410" t="str">
            <v>G130032</v>
          </cell>
          <cell r="H410" t="str">
            <v>bestaand</v>
          </cell>
          <cell r="I410" t="str">
            <v>01.01.2013</v>
          </cell>
          <cell r="J410" t="str">
            <v>Yes</v>
          </cell>
          <cell r="K410" t="str">
            <v>Gyproc Pleisters</v>
          </cell>
          <cell r="L410" t="str">
            <v>GYPROCEM</v>
          </cell>
          <cell r="M410" t="str">
            <v>GYPROCEM 1100</v>
          </cell>
          <cell r="N410" t="str">
            <v>Gyprocem 1100 25 KG EP/42</v>
          </cell>
          <cell r="O410" t="str">
            <v>Gyprocem 1100 25 KG EP/42</v>
          </cell>
          <cell r="P410" t="str">
            <v>(blanco)</v>
          </cell>
          <cell r="Q410" t="str">
            <v>(blanco)</v>
          </cell>
          <cell r="R410" t="str">
            <v>(blanco)</v>
          </cell>
          <cell r="S410" t="str">
            <v>(blanco)</v>
          </cell>
          <cell r="T410" t="str">
            <v>NBN EN 998-1:2010</v>
          </cell>
          <cell r="U410" t="str">
            <v>--</v>
          </cell>
          <cell r="V410" t="str">
            <v>--</v>
          </cell>
          <cell r="Y410" t="str">
            <v>cement-bouwpleister voor binnenafbouw</v>
          </cell>
          <cell r="AA410" t="str">
            <v>A1</v>
          </cell>
          <cell r="AC410" t="str">
            <v>(blanco)</v>
          </cell>
          <cell r="AD410" t="str">
            <v>(blanco)</v>
          </cell>
          <cell r="AH410" t="str">
            <v>(blanco)</v>
          </cell>
          <cell r="AI410" t="str">
            <v>(blanco)</v>
          </cell>
          <cell r="AJ410" t="str">
            <v>(blanco)</v>
          </cell>
          <cell r="AP410">
            <v>0.51</v>
          </cell>
          <cell r="AR410">
            <v>25</v>
          </cell>
          <cell r="AS410">
            <v>25.475999999999999</v>
          </cell>
          <cell r="AT410">
            <v>48</v>
          </cell>
          <cell r="AU410" t="str">
            <v>CD3</v>
          </cell>
          <cell r="AV410" t="str">
            <v>EP : Euro Pallet</v>
          </cell>
          <cell r="AW410">
            <v>2</v>
          </cell>
          <cell r="AX410">
            <v>403.03</v>
          </cell>
          <cell r="AY410" t="str">
            <v>01.02.2015</v>
          </cell>
          <cell r="AZ410">
            <v>0</v>
          </cell>
          <cell r="BA410" t="str">
            <v>00.00.0000</v>
          </cell>
          <cell r="BB410" t="str">
            <v>TO</v>
          </cell>
          <cell r="BC410" t="str">
            <v>TO</v>
          </cell>
          <cell r="BD410" t="str">
            <v>S</v>
          </cell>
          <cell r="BE410">
            <v>5413218564243</v>
          </cell>
        </row>
        <row r="411">
          <cell r="A411" t="str">
            <v>G130033</v>
          </cell>
          <cell r="B411" t="str">
            <v>G130033</v>
          </cell>
          <cell r="C411" t="str">
            <v>E5EDE01E002E004</v>
          </cell>
          <cell r="D411" t="str">
            <v>Gyprocem GRIP TON</v>
          </cell>
          <cell r="E411" t="str">
            <v>E5ED</v>
          </cell>
          <cell r="F411" t="str">
            <v>Andere Pleisters TON</v>
          </cell>
          <cell r="G411" t="str">
            <v>G130033</v>
          </cell>
          <cell r="H411" t="str">
            <v>bestaand</v>
          </cell>
          <cell r="I411" t="str">
            <v>01.01.2013</v>
          </cell>
          <cell r="J411" t="str">
            <v>Yes</v>
          </cell>
          <cell r="K411" t="str">
            <v>Gyproc Pleisters</v>
          </cell>
          <cell r="L411" t="str">
            <v>GYPROCEM</v>
          </cell>
          <cell r="M411" t="str">
            <v>GYPROCEM GRIP</v>
          </cell>
          <cell r="N411" t="str">
            <v>Gyprocem Grip 25 KG EP/42</v>
          </cell>
          <cell r="O411" t="str">
            <v>Gyprocem Grip 25 KG EP/42</v>
          </cell>
          <cell r="P411" t="str">
            <v>(blanco)</v>
          </cell>
          <cell r="Q411" t="str">
            <v>(blanco)</v>
          </cell>
          <cell r="R411" t="str">
            <v>(blanco)</v>
          </cell>
          <cell r="S411" t="str">
            <v>(blanco)</v>
          </cell>
          <cell r="T411" t="str">
            <v>NBN EN 998-1:2010</v>
          </cell>
          <cell r="U411" t="str">
            <v>--</v>
          </cell>
          <cell r="V411" t="str">
            <v>--</v>
          </cell>
          <cell r="Y411" t="str">
            <v>cement-bouwpleister voor binnenafbouw</v>
          </cell>
          <cell r="AA411" t="str">
            <v>A1</v>
          </cell>
          <cell r="AC411" t="str">
            <v>(blanco)</v>
          </cell>
          <cell r="AD411" t="str">
            <v>(blanco)</v>
          </cell>
          <cell r="AH411" t="str">
            <v>(blanco)</v>
          </cell>
          <cell r="AI411" t="str">
            <v>(blanco)</v>
          </cell>
          <cell r="AJ411" t="str">
            <v>(blanco)</v>
          </cell>
          <cell r="AP411">
            <v>0</v>
          </cell>
          <cell r="AR411">
            <v>25</v>
          </cell>
          <cell r="AS411">
            <v>25.475999999999999</v>
          </cell>
          <cell r="AT411">
            <v>48</v>
          </cell>
          <cell r="AU411" t="str">
            <v>CD3</v>
          </cell>
          <cell r="AV411" t="str">
            <v>EP : Euro Pallet</v>
          </cell>
          <cell r="AW411">
            <v>2</v>
          </cell>
          <cell r="AX411">
            <v>825.59</v>
          </cell>
          <cell r="AY411" t="str">
            <v>01.02.2015</v>
          </cell>
          <cell r="AZ411">
            <v>0</v>
          </cell>
          <cell r="BA411" t="str">
            <v>00.00.0000</v>
          </cell>
          <cell r="BB411" t="str">
            <v>TO</v>
          </cell>
          <cell r="BC411" t="str">
            <v>TO</v>
          </cell>
          <cell r="BD411" t="str">
            <v>S</v>
          </cell>
          <cell r="BE411">
            <v>5413218564212</v>
          </cell>
        </row>
        <row r="412">
          <cell r="A412" t="str">
            <v>G130071</v>
          </cell>
          <cell r="B412" t="str">
            <v>G130071</v>
          </cell>
          <cell r="C412" t="str">
            <v>E5EAE03E003E024 </v>
          </cell>
          <cell r="D412" t="str">
            <v>Unique WR  TON </v>
          </cell>
          <cell r="E412" t="str">
            <v>E5EA</v>
          </cell>
          <cell r="F412" t="str">
            <v>BOUWPLEISTERS TON</v>
          </cell>
          <cell r="G412" t="str">
            <v>G130071</v>
          </cell>
          <cell r="H412" t="str">
            <v>nieuw</v>
          </cell>
          <cell r="I412" t="str">
            <v>01.02.2016</v>
          </cell>
          <cell r="J412" t="str">
            <v>Yes</v>
          </cell>
          <cell r="K412" t="str">
            <v>Gyproc Pleisters</v>
          </cell>
          <cell r="L412" t="str">
            <v>Gyproc</v>
          </cell>
          <cell r="M412" t="str">
            <v>UNIQUE WR</v>
          </cell>
          <cell r="N412" t="str">
            <v>GYPROC UNIQUE WR 25 KG/EP45</v>
          </cell>
          <cell r="O412" t="str">
            <v>GYPROC UNIQUE WR 25 KG/EP45</v>
          </cell>
          <cell r="T412" t="str">
            <v>NBN EN 13279-1:2009</v>
          </cell>
          <cell r="U412" t="str">
            <v>B4/50/2</v>
          </cell>
          <cell r="V412" t="str">
            <v>--</v>
          </cell>
          <cell r="AA412" t="str">
            <v>A1</v>
          </cell>
          <cell r="AC412" t="str">
            <v>(blanco)</v>
          </cell>
          <cell r="AD412" t="str">
            <v>(blanco)</v>
          </cell>
          <cell r="AP412">
            <v>0</v>
          </cell>
          <cell r="AR412">
            <v>25</v>
          </cell>
          <cell r="AS412">
            <v>25</v>
          </cell>
          <cell r="AT412">
            <v>25</v>
          </cell>
          <cell r="AU412" t="str">
            <v>CD3</v>
          </cell>
          <cell r="AV412" t="str">
            <v>EP : Euro Pallet</v>
          </cell>
          <cell r="AW412">
            <v>2</v>
          </cell>
          <cell r="AX412">
            <v>468.87</v>
          </cell>
          <cell r="AY412" t="str">
            <v>20.05.2015</v>
          </cell>
          <cell r="AZ412">
            <v>0</v>
          </cell>
          <cell r="BA412" t="str">
            <v>00.00.0000</v>
          </cell>
          <cell r="BB412" t="str">
            <v>TO</v>
          </cell>
          <cell r="BC412" t="str">
            <v>TO</v>
          </cell>
          <cell r="BD412" t="str">
            <v>S</v>
          </cell>
          <cell r="BE412">
            <v>8711149000449</v>
          </cell>
        </row>
        <row r="413">
          <cell r="A413" t="str">
            <v>G130115</v>
          </cell>
          <cell r="B413" t="str">
            <v>G130115</v>
          </cell>
          <cell r="C413" t="str">
            <v>C5CAC01C001C002</v>
          </cell>
          <cell r="D413" t="str">
            <v>Plagyp PC 60/27 M</v>
          </cell>
          <cell r="E413" t="str">
            <v>C5CA</v>
          </cell>
          <cell r="F413" t="str">
            <v>Plafond Profielen</v>
          </cell>
          <cell r="G413" t="str">
            <v>G130115</v>
          </cell>
          <cell r="H413" t="str">
            <v>bestaand</v>
          </cell>
          <cell r="I413" t="str">
            <v>01.01.2013</v>
          </cell>
          <cell r="J413" t="str">
            <v>Yes</v>
          </cell>
          <cell r="K413" t="str">
            <v>Professional</v>
          </cell>
          <cell r="L413" t="str">
            <v>PLAGYP</v>
          </cell>
          <cell r="M413" t="str">
            <v>PC60/27</v>
          </cell>
          <cell r="N413" t="str">
            <v>PLAGYP PLAFONDPROFIEL PC 60/27 3.00 M</v>
          </cell>
          <cell r="O413" t="str">
            <v>Profilé de plafond PlaGyp PC60/27 3.00 M</v>
          </cell>
          <cell r="P413" t="str">
            <v>(blanco)</v>
          </cell>
          <cell r="Q413" t="str">
            <v>(blanco)</v>
          </cell>
          <cell r="R413" t="str">
            <v>(blanco)</v>
          </cell>
          <cell r="S413" t="str">
            <v>(blanco)</v>
          </cell>
          <cell r="T413" t="str">
            <v>NBN EN 14195:2015</v>
          </cell>
          <cell r="U413" t="str">
            <v>C</v>
          </cell>
          <cell r="V413" t="str">
            <v>--</v>
          </cell>
          <cell r="AA413" t="str">
            <v>A1</v>
          </cell>
          <cell r="AC413" t="str">
            <v>(blanco)</v>
          </cell>
          <cell r="AD413" t="str">
            <v>(blanco)</v>
          </cell>
          <cell r="AL413" t="str">
            <v>(blanco)</v>
          </cell>
          <cell r="AM413" t="str">
            <v>(blanco)</v>
          </cell>
          <cell r="AN413" t="str">
            <v>(blanco)</v>
          </cell>
          <cell r="AP413">
            <v>50</v>
          </cell>
          <cell r="AR413">
            <v>1.83</v>
          </cell>
          <cell r="AS413">
            <v>1.921</v>
          </cell>
          <cell r="AT413">
            <v>0</v>
          </cell>
          <cell r="AX413">
            <v>2.88</v>
          </cell>
          <cell r="AY413" t="str">
            <v>01.02.2015</v>
          </cell>
          <cell r="AZ413">
            <v>0</v>
          </cell>
          <cell r="BA413" t="str">
            <v>00.00.0000</v>
          </cell>
          <cell r="BB413" t="str">
            <v>M</v>
          </cell>
          <cell r="BC413" t="str">
            <v>M</v>
          </cell>
          <cell r="BD413" t="str">
            <v>S</v>
          </cell>
          <cell r="BE413">
            <v>5413218576345</v>
          </cell>
        </row>
        <row r="414">
          <cell r="A414" t="str">
            <v>G130137N</v>
          </cell>
          <cell r="C414" t="str">
            <v>C5CBC18C008C008</v>
          </cell>
          <cell r="D414" t="str">
            <v>MSV 150 M</v>
          </cell>
          <cell r="E414" t="str">
            <v>C5CB</v>
          </cell>
          <cell r="F414" t="str">
            <v>Profielen Platen en Wanden M</v>
          </cell>
          <cell r="G414" t="str">
            <v>ZIB00119</v>
          </cell>
          <cell r="H414" t="str">
            <v>bestaand</v>
          </cell>
          <cell r="I414" t="str">
            <v>01.02.2014</v>
          </cell>
          <cell r="J414" t="str">
            <v>Yes</v>
          </cell>
          <cell r="K414" t="str">
            <v>Professional</v>
          </cell>
          <cell r="L414" t="str">
            <v>METAL STUD</v>
          </cell>
          <cell r="M414" t="str">
            <v>MSV150</v>
          </cell>
          <cell r="N414" t="str">
            <v>M.S.VERT.150 MM 3.60 M</v>
          </cell>
          <cell r="O414" t="str">
            <v>M.S.VERT.150 MM 3.60 M</v>
          </cell>
          <cell r="P414" t="str">
            <v>(blanco)</v>
          </cell>
          <cell r="Q414" t="str">
            <v>(blanco)</v>
          </cell>
          <cell r="R414" t="str">
            <v>(blanco)</v>
          </cell>
          <cell r="S414" t="str">
            <v>(blanco)</v>
          </cell>
          <cell r="T414" t="str">
            <v>NBN EN 14195:2015</v>
          </cell>
          <cell r="U414" t="str">
            <v>C</v>
          </cell>
          <cell r="V414" t="str">
            <v>--</v>
          </cell>
          <cell r="AA414" t="str">
            <v>A1</v>
          </cell>
          <cell r="AC414" t="str">
            <v>(blanco)</v>
          </cell>
          <cell r="AD414" t="str">
            <v>(blanco)</v>
          </cell>
          <cell r="AH414">
            <v>-0.5</v>
          </cell>
          <cell r="AI414" t="e">
            <v>#DIV/0!</v>
          </cell>
          <cell r="AJ414">
            <v>0</v>
          </cell>
          <cell r="AL414" t="str">
            <v>(blanco)</v>
          </cell>
          <cell r="AM414" t="str">
            <v>(blanco)</v>
          </cell>
          <cell r="AN414" t="str">
            <v>(blanco)</v>
          </cell>
          <cell r="AP414">
            <v>50</v>
          </cell>
          <cell r="AR414">
            <v>2.5920000000000001</v>
          </cell>
          <cell r="AS414">
            <v>2.722</v>
          </cell>
          <cell r="AT414">
            <v>0</v>
          </cell>
          <cell r="AX414">
            <v>5.9</v>
          </cell>
          <cell r="AY414" t="str">
            <v>01.02.2015</v>
          </cell>
          <cell r="AZ414">
            <v>0</v>
          </cell>
          <cell r="BA414" t="str">
            <v>00.00.0000</v>
          </cell>
          <cell r="BB414" t="str">
            <v>M</v>
          </cell>
          <cell r="BC414" t="str">
            <v>M</v>
          </cell>
          <cell r="BD414" t="str">
            <v>S</v>
          </cell>
          <cell r="BE414">
            <v>0</v>
          </cell>
        </row>
        <row r="415">
          <cell r="A415" t="str">
            <v>G130145N</v>
          </cell>
          <cell r="C415" t="str">
            <v>C5CBC18C008C008</v>
          </cell>
          <cell r="D415" t="str">
            <v>MSV 150 M</v>
          </cell>
          <cell r="E415" t="str">
            <v>C5CB</v>
          </cell>
          <cell r="F415" t="str">
            <v>Profielen Platen en Wanden M</v>
          </cell>
          <cell r="G415" t="str">
            <v>ZIB00119</v>
          </cell>
          <cell r="H415" t="str">
            <v>bestaand</v>
          </cell>
          <cell r="I415" t="str">
            <v>01.02.2014</v>
          </cell>
          <cell r="J415" t="str">
            <v>Yes</v>
          </cell>
          <cell r="K415" t="str">
            <v>Professional</v>
          </cell>
          <cell r="L415" t="str">
            <v>METAL STUD</v>
          </cell>
          <cell r="M415" t="str">
            <v>MSV150</v>
          </cell>
          <cell r="N415" t="str">
            <v>M.S.VERT.150 MM 4.00 M</v>
          </cell>
          <cell r="O415" t="str">
            <v>M.S.VERT.150 MM 4.00 M</v>
          </cell>
          <cell r="P415" t="str">
            <v>(blanco)</v>
          </cell>
          <cell r="Q415" t="str">
            <v>(blanco)</v>
          </cell>
          <cell r="R415" t="str">
            <v>(blanco)</v>
          </cell>
          <cell r="S415" t="str">
            <v>(blanco)</v>
          </cell>
          <cell r="T415" t="str">
            <v>NBN EN 14195:2015</v>
          </cell>
          <cell r="U415" t="str">
            <v>C</v>
          </cell>
          <cell r="V415" t="str">
            <v>--</v>
          </cell>
          <cell r="AA415" t="str">
            <v>A1</v>
          </cell>
          <cell r="AC415" t="str">
            <v>(blanco)</v>
          </cell>
          <cell r="AD415" t="str">
            <v>(blanco)</v>
          </cell>
          <cell r="AH415">
            <v>-0.5</v>
          </cell>
          <cell r="AI415" t="e">
            <v>#DIV/0!</v>
          </cell>
          <cell r="AJ415">
            <v>0</v>
          </cell>
          <cell r="AL415" t="str">
            <v>(blanco)</v>
          </cell>
          <cell r="AM415" t="str">
            <v>(blanco)</v>
          </cell>
          <cell r="AN415" t="str">
            <v>(blanco)</v>
          </cell>
          <cell r="AP415">
            <v>50</v>
          </cell>
          <cell r="AR415">
            <v>2.88</v>
          </cell>
          <cell r="AS415">
            <v>3.024</v>
          </cell>
          <cell r="AT415">
            <v>0</v>
          </cell>
          <cell r="AX415">
            <v>5.9</v>
          </cell>
          <cell r="AY415" t="str">
            <v>01.02.2015</v>
          </cell>
          <cell r="AZ415">
            <v>0</v>
          </cell>
          <cell r="BA415" t="str">
            <v>00.00.0000</v>
          </cell>
          <cell r="BB415" t="str">
            <v>M</v>
          </cell>
          <cell r="BC415" t="str">
            <v>M</v>
          </cell>
          <cell r="BD415" t="str">
            <v>S</v>
          </cell>
          <cell r="BE415">
            <v>5413218572293</v>
          </cell>
        </row>
        <row r="416">
          <cell r="A416" t="str">
            <v>G130192</v>
          </cell>
          <cell r="B416" t="str">
            <v>G130192</v>
          </cell>
          <cell r="C416" t="str">
            <v>D1DCD01D005D032</v>
          </cell>
          <cell r="D416" t="str">
            <v>DIY - Schroeven KAR</v>
          </cell>
          <cell r="E416" t="str">
            <v>D1DC</v>
          </cell>
          <cell r="F416" t="str">
            <v>Toebehoren Bevestigingen *</v>
          </cell>
          <cell r="G416" t="str">
            <v>G130192</v>
          </cell>
          <cell r="H416" t="str">
            <v>bestaand</v>
          </cell>
          <cell r="I416" t="str">
            <v>01.02.2014</v>
          </cell>
          <cell r="J416" t="str">
            <v>Yes</v>
          </cell>
          <cell r="K416" t="str">
            <v>Nee</v>
          </cell>
          <cell r="L416" t="str">
            <v>RIGITONE</v>
          </cell>
          <cell r="M416" t="str">
            <v>CLIMAFIT RIGITONE GOLD TN SCHR</v>
          </cell>
          <cell r="N416" t="str">
            <v>Climafit schroeven TN Gold 45 MM/1000 ST</v>
          </cell>
          <cell r="O416" t="str">
            <v>Climafit vis à fix TN Gold 45 MM/1000 ST</v>
          </cell>
          <cell r="P416" t="str">
            <v>(blanco)</v>
          </cell>
          <cell r="Q416" t="str">
            <v>(blanco)</v>
          </cell>
          <cell r="R416" t="str">
            <v>(blanco)</v>
          </cell>
          <cell r="S416" t="str">
            <v>(blanco)</v>
          </cell>
          <cell r="T416" t="str">
            <v>NBN EN 14566+A1:2009</v>
          </cell>
          <cell r="U416" t="str">
            <v>UMD</v>
          </cell>
          <cell r="V416" t="str">
            <v>--</v>
          </cell>
          <cell r="AA416" t="str">
            <v>A1</v>
          </cell>
          <cell r="AC416" t="str">
            <v>(blanco)</v>
          </cell>
          <cell r="AD416" t="str">
            <v>(blanco)</v>
          </cell>
          <cell r="AE416">
            <v>0</v>
          </cell>
          <cell r="AL416" t="str">
            <v>(blanco)</v>
          </cell>
          <cell r="AM416" t="str">
            <v>(blanco)</v>
          </cell>
          <cell r="AN416" t="str">
            <v>(blanco)</v>
          </cell>
          <cell r="AP416">
            <v>50</v>
          </cell>
          <cell r="AR416">
            <v>2.35</v>
          </cell>
          <cell r="AS416">
            <v>2.468</v>
          </cell>
          <cell r="AT416">
            <v>0</v>
          </cell>
          <cell r="AX416">
            <v>32.770000000000003</v>
          </cell>
          <cell r="AY416" t="str">
            <v>01.02.2015</v>
          </cell>
          <cell r="AZ416">
            <v>0</v>
          </cell>
          <cell r="BA416" t="str">
            <v>00.00.0000</v>
          </cell>
          <cell r="BB416" t="str">
            <v>KAR</v>
          </cell>
          <cell r="BC416" t="str">
            <v>******</v>
          </cell>
          <cell r="BD416">
            <v>2</v>
          </cell>
          <cell r="BE416">
            <v>0</v>
          </cell>
        </row>
        <row r="417">
          <cell r="A417" t="str">
            <v>G130258</v>
          </cell>
          <cell r="B417" t="str">
            <v>G130258</v>
          </cell>
          <cell r="C417" t="str">
            <v>C1CBC01C001C021</v>
          </cell>
          <cell r="D417" t="str">
            <v>Rigitone 8/18 M2</v>
          </cell>
          <cell r="E417" t="str">
            <v>C1CB</v>
          </cell>
          <cell r="F417" t="str">
            <v>Rigitone platen</v>
          </cell>
          <cell r="G417" t="str">
            <v>G130258</v>
          </cell>
          <cell r="H417" t="str">
            <v>bestaand</v>
          </cell>
          <cell r="I417" t="str">
            <v>01.02.2014</v>
          </cell>
          <cell r="J417" t="str">
            <v>Yes</v>
          </cell>
          <cell r="K417" t="str">
            <v>Nee</v>
          </cell>
          <cell r="L417" t="str">
            <v>climafit rigitone</v>
          </cell>
          <cell r="M417" t="str">
            <v>CLIMAFIT RIGITONE 8/18</v>
          </cell>
          <cell r="N417" t="str">
            <v>Climafit Rigitone 8/18 BT 10X1998X1188</v>
          </cell>
          <cell r="O417" t="str">
            <v>Climafit Rigitone 8/18 BT 10X1998X1188</v>
          </cell>
          <cell r="P417" t="str">
            <v>ivoor</v>
          </cell>
          <cell r="Q417" t="str">
            <v>ivoire</v>
          </cell>
          <cell r="R417" t="str">
            <v>zwart vlies</v>
          </cell>
          <cell r="S417" t="str">
            <v>voile noir</v>
          </cell>
          <cell r="T417" t="str">
            <v>NBN EN 14190:2014</v>
          </cell>
          <cell r="U417" t="str">
            <v>A</v>
          </cell>
          <cell r="V417" t="str">
            <v>CR</v>
          </cell>
          <cell r="W417" t="str">
            <v>geperforeerde gipskartonplaat met gesneden boorden</v>
          </cell>
          <cell r="Y417" t="str">
            <v>gipsplaat voor droge binnenafbouw</v>
          </cell>
          <cell r="AA417" t="str">
            <v>A2-s1, d0 (C.4)</v>
          </cell>
          <cell r="AC417" t="str">
            <v>GBC</v>
          </cell>
          <cell r="AE417">
            <v>10</v>
          </cell>
          <cell r="AH417" t="str">
            <v>+/-0.5</v>
          </cell>
          <cell r="AI417">
            <v>0</v>
          </cell>
          <cell r="AJ417">
            <v>0</v>
          </cell>
          <cell r="AL417" t="str">
            <v>Geen eisen gesteld</v>
          </cell>
          <cell r="AM417" t="str">
            <v>Pas de exigences</v>
          </cell>
          <cell r="AN417" t="str">
            <v>kg/m³</v>
          </cell>
          <cell r="AP417">
            <v>0.25</v>
          </cell>
          <cell r="AQ417">
            <v>0.04</v>
          </cell>
          <cell r="AR417">
            <v>20.18</v>
          </cell>
          <cell r="AS417">
            <v>21.18</v>
          </cell>
          <cell r="AT417">
            <v>23.736000000000001</v>
          </cell>
          <cell r="AU417" t="str">
            <v>CD3</v>
          </cell>
          <cell r="AX417">
            <v>27.92</v>
          </cell>
          <cell r="AY417" t="str">
            <v>01.02.2015</v>
          </cell>
          <cell r="AZ417">
            <v>0</v>
          </cell>
          <cell r="BA417" t="str">
            <v>00.00.0000</v>
          </cell>
          <cell r="BB417" t="str">
            <v>M2</v>
          </cell>
          <cell r="BC417" t="str">
            <v>M2</v>
          </cell>
          <cell r="BD417">
            <v>2</v>
          </cell>
          <cell r="BE417">
            <v>4002806698326</v>
          </cell>
        </row>
        <row r="418">
          <cell r="A418" t="str">
            <v>G130260</v>
          </cell>
          <cell r="B418" t="str">
            <v>G130260</v>
          </cell>
          <cell r="C418" t="str">
            <v>A1ABA07A003A022</v>
          </cell>
          <cell r="D418" t="str">
            <v>Gyproc WR 4XABA 13 600 M2</v>
          </cell>
          <cell r="E418" t="str">
            <v>A1AB</v>
          </cell>
          <cell r="F418" t="str">
            <v>Technische platen M2</v>
          </cell>
          <cell r="G418" t="str">
            <v>G130260</v>
          </cell>
          <cell r="H418" t="str">
            <v>bestaand</v>
          </cell>
          <cell r="I418" t="str">
            <v>01.01.2013</v>
          </cell>
          <cell r="J418" t="str">
            <v>Yes</v>
          </cell>
          <cell r="K418" t="str">
            <v>Prof + DIY</v>
          </cell>
          <cell r="L418" t="str">
            <v>Gyproc</v>
          </cell>
          <cell r="M418" t="str">
            <v>Gyproc WR</v>
          </cell>
          <cell r="N418" t="str">
            <v>GY 4XABA WR 12.5 X 2500 X 600 DP/40 ZZB</v>
          </cell>
          <cell r="O418" t="str">
            <v>GY 4XABA WR 12.5 X 2500 X 600 DP/40 ZZB</v>
          </cell>
          <cell r="P418" t="str">
            <v>groen</v>
          </cell>
          <cell r="Q418" t="str">
            <v>vert</v>
          </cell>
          <cell r="R418" t="str">
            <v>grijs</v>
          </cell>
          <cell r="S418" t="str">
            <v>gris</v>
          </cell>
          <cell r="T418" t="str">
            <v>NBN EN 14190:2014</v>
          </cell>
          <cell r="U418" t="str">
            <v>DFH2</v>
          </cell>
          <cell r="V418" t="str">
            <v>WR</v>
          </cell>
          <cell r="W418" t="str">
            <v>gipskartonplaat met 4 afgeschuinde boorden</v>
          </cell>
          <cell r="Y418" t="str">
            <v>gipsplaat voor droge binnenafbouw</v>
          </cell>
          <cell r="AA418" t="str">
            <v>A2-s1, d0 (C.2)</v>
          </cell>
          <cell r="AB418" t="str">
            <v>SG GY 2013 A1ABA07A003A022</v>
          </cell>
          <cell r="AC418" t="str">
            <v>4xABA</v>
          </cell>
          <cell r="AD418" t="str">
            <v>ZZB: zichtzijde boven</v>
          </cell>
          <cell r="AE418">
            <v>12.5</v>
          </cell>
          <cell r="AH418" t="str">
            <v>+/-0.5</v>
          </cell>
          <cell r="AI418">
            <v>0</v>
          </cell>
          <cell r="AJ418">
            <v>0</v>
          </cell>
          <cell r="AL418" t="str">
            <v>&gt; 800</v>
          </cell>
          <cell r="AM418" t="str">
            <v>&gt; 800</v>
          </cell>
          <cell r="AN418" t="str">
            <v>kg/m³</v>
          </cell>
          <cell r="AP418">
            <v>0.25</v>
          </cell>
          <cell r="AQ418">
            <v>0.05</v>
          </cell>
          <cell r="AR418">
            <v>15.75</v>
          </cell>
          <cell r="AS418">
            <v>16.375</v>
          </cell>
          <cell r="AT418">
            <v>19.5</v>
          </cell>
          <cell r="AU418" t="str">
            <v>CD3</v>
          </cell>
          <cell r="AV418" t="str">
            <v>DP : Duitse Pallet</v>
          </cell>
          <cell r="AW418">
            <v>3</v>
          </cell>
          <cell r="AX418">
            <v>8.17</v>
          </cell>
          <cell r="AY418" t="str">
            <v>01.02.2015</v>
          </cell>
          <cell r="AZ418">
            <v>0</v>
          </cell>
          <cell r="BA418" t="str">
            <v>00.00.0000</v>
          </cell>
          <cell r="BB418" t="str">
            <v>M2</v>
          </cell>
          <cell r="BC418" t="str">
            <v>M2</v>
          </cell>
          <cell r="BD418" t="str">
            <v>S</v>
          </cell>
          <cell r="BE418">
            <v>5413218564410</v>
          </cell>
        </row>
        <row r="419">
          <cell r="A419" t="str">
            <v>G130261</v>
          </cell>
          <cell r="B419" t="str">
            <v>G130261</v>
          </cell>
          <cell r="C419" t="str">
            <v>A1ABA07A003A020</v>
          </cell>
          <cell r="D419" t="str">
            <v>Gyproc WR 4XABA 13 1200 M2</v>
          </cell>
          <cell r="E419" t="str">
            <v>A1AB</v>
          </cell>
          <cell r="F419" t="str">
            <v>Technische platen M2</v>
          </cell>
          <cell r="G419" t="str">
            <v>G130261</v>
          </cell>
          <cell r="H419" t="str">
            <v>bestaand</v>
          </cell>
          <cell r="I419" t="str">
            <v>01.01.2013</v>
          </cell>
          <cell r="J419" t="str">
            <v>Yes</v>
          </cell>
          <cell r="K419" t="str">
            <v>Professional</v>
          </cell>
          <cell r="L419" t="str">
            <v>Gyproc</v>
          </cell>
          <cell r="M419" t="str">
            <v>Gyproc WR</v>
          </cell>
          <cell r="N419" t="str">
            <v>GY 4XABA WR 12.5 X 2500 X 1200 DP/40 ZZB</v>
          </cell>
          <cell r="O419" t="str">
            <v>GY 4XABA WR 12.5 X 2500 X 1200 DP/40 ZZB</v>
          </cell>
          <cell r="P419" t="str">
            <v>groen</v>
          </cell>
          <cell r="Q419" t="str">
            <v>vert</v>
          </cell>
          <cell r="R419" t="str">
            <v>grijs</v>
          </cell>
          <cell r="S419" t="str">
            <v>gris</v>
          </cell>
          <cell r="T419" t="str">
            <v>NBN EN 14190:2014</v>
          </cell>
          <cell r="U419" t="str">
            <v>DFH2</v>
          </cell>
          <cell r="V419" t="str">
            <v>WR</v>
          </cell>
          <cell r="W419" t="str">
            <v>gipskartonplaat met 4 afgeschuinde boorden</v>
          </cell>
          <cell r="Y419" t="str">
            <v>gipsplaat voor droge binnenafbouw</v>
          </cell>
          <cell r="AA419" t="str">
            <v>A2-s1, d0 (C.2)</v>
          </cell>
          <cell r="AB419" t="str">
            <v>SG GY 2013 A1ABA07A003A020</v>
          </cell>
          <cell r="AC419" t="str">
            <v>4xABA</v>
          </cell>
          <cell r="AD419" t="str">
            <v>ZZB: zichtzijde boven</v>
          </cell>
          <cell r="AE419">
            <v>12.5</v>
          </cell>
          <cell r="AH419" t="str">
            <v>+/-0.5</v>
          </cell>
          <cell r="AI419">
            <v>0</v>
          </cell>
          <cell r="AJ419">
            <v>0</v>
          </cell>
          <cell r="AL419" t="str">
            <v>&gt; 800</v>
          </cell>
          <cell r="AM419" t="str">
            <v>&gt; 800</v>
          </cell>
          <cell r="AN419" t="str">
            <v>kg/m³</v>
          </cell>
          <cell r="AP419">
            <v>0.25</v>
          </cell>
          <cell r="AQ419">
            <v>0.05</v>
          </cell>
          <cell r="AR419">
            <v>31.8</v>
          </cell>
          <cell r="AS419">
            <v>33.39</v>
          </cell>
          <cell r="AT419">
            <v>39</v>
          </cell>
          <cell r="AU419" t="str">
            <v>CD3</v>
          </cell>
          <cell r="AV419" t="str">
            <v>DP : Duitse Pallet</v>
          </cell>
          <cell r="AW419">
            <v>3</v>
          </cell>
          <cell r="AX419">
            <v>7.95</v>
          </cell>
          <cell r="AY419" t="str">
            <v>01.02.2015</v>
          </cell>
          <cell r="AZ419">
            <v>0</v>
          </cell>
          <cell r="BA419" t="str">
            <v>00.00.0000</v>
          </cell>
          <cell r="BB419" t="str">
            <v>M2</v>
          </cell>
          <cell r="BC419" t="str">
            <v>M2</v>
          </cell>
          <cell r="BD419" t="str">
            <v>S</v>
          </cell>
          <cell r="BE419">
            <v>5413218564427</v>
          </cell>
        </row>
        <row r="420">
          <cell r="A420" t="str">
            <v>G130312</v>
          </cell>
          <cell r="C420" t="str">
            <v>C1CBC01C001C022</v>
          </cell>
          <cell r="D420" t="str">
            <v>Rigitone 8/18 Q M2</v>
          </cell>
          <cell r="E420" t="str">
            <v>C1CB</v>
          </cell>
          <cell r="F420" t="str">
            <v>Rigitone platen</v>
          </cell>
          <cell r="G420" t="str">
            <v>G130312</v>
          </cell>
          <cell r="H420" t="str">
            <v>bestaand</v>
          </cell>
          <cell r="I420" t="str">
            <v>01.02.2014</v>
          </cell>
          <cell r="J420" t="str">
            <v>Yes</v>
          </cell>
          <cell r="K420" t="str">
            <v>Nee</v>
          </cell>
          <cell r="L420" t="str">
            <v>climafit rigitone</v>
          </cell>
          <cell r="M420" t="str">
            <v>CLIMAFIT RIGITONE 8/18Q</v>
          </cell>
          <cell r="N420" t="str">
            <v>Climafit Rigitone 8/18Q BT 10X1998X1188</v>
          </cell>
          <cell r="O420" t="str">
            <v>Climafit Rigitone 8/18Q BT 10X1998X1188</v>
          </cell>
          <cell r="P420" t="str">
            <v>ivoor</v>
          </cell>
          <cell r="Q420" t="str">
            <v>ivoire</v>
          </cell>
          <cell r="R420" t="str">
            <v>zwart vlies</v>
          </cell>
          <cell r="S420" t="str">
            <v>voile noir</v>
          </cell>
          <cell r="T420" t="str">
            <v>NBN EN 14190:2014</v>
          </cell>
          <cell r="U420" t="str">
            <v>A</v>
          </cell>
          <cell r="V420" t="str">
            <v>CR</v>
          </cell>
          <cell r="W420" t="str">
            <v>geperforeerde gipskartonplaat met gesneden boorden</v>
          </cell>
          <cell r="Y420" t="str">
            <v>gipsplaat voor droge binnenafbouw</v>
          </cell>
          <cell r="AA420" t="str">
            <v>A2-s1, d0 (C.4)</v>
          </cell>
          <cell r="AC420" t="str">
            <v>GBC</v>
          </cell>
          <cell r="AE420">
            <v>10</v>
          </cell>
          <cell r="AH420" t="str">
            <v>+/-0.5</v>
          </cell>
          <cell r="AI420">
            <v>0</v>
          </cell>
          <cell r="AJ420">
            <v>0</v>
          </cell>
          <cell r="AL420" t="str">
            <v>Geen eisen gesteld</v>
          </cell>
          <cell r="AM420" t="str">
            <v>Pas de exigences</v>
          </cell>
          <cell r="AN420" t="str">
            <v>kg/m³</v>
          </cell>
          <cell r="AP420">
            <v>0.25</v>
          </cell>
          <cell r="AQ420">
            <v>0.04</v>
          </cell>
          <cell r="AR420">
            <v>20.18</v>
          </cell>
          <cell r="AS420">
            <v>21.18</v>
          </cell>
          <cell r="AT420">
            <v>23.736000000000001</v>
          </cell>
          <cell r="AU420" t="str">
            <v>CD3</v>
          </cell>
          <cell r="AX420">
            <v>27.92</v>
          </cell>
          <cell r="AY420" t="str">
            <v>01.02.2015</v>
          </cell>
          <cell r="AZ420">
            <v>0</v>
          </cell>
          <cell r="BA420" t="str">
            <v>00.00.0000</v>
          </cell>
          <cell r="BB420" t="str">
            <v>M2</v>
          </cell>
          <cell r="BC420" t="str">
            <v>M2</v>
          </cell>
          <cell r="BD420">
            <v>2</v>
          </cell>
          <cell r="BE420">
            <v>4002806663829</v>
          </cell>
        </row>
        <row r="421">
          <cell r="A421" t="str">
            <v>G130318</v>
          </cell>
          <cell r="B421" t="str">
            <v>G130318</v>
          </cell>
          <cell r="C421" t="str">
            <v>D1DCD01D005D032</v>
          </cell>
          <cell r="D421" t="str">
            <v>DIY - Schroeven KAR</v>
          </cell>
          <cell r="E421" t="str">
            <v>D1DC</v>
          </cell>
          <cell r="F421" t="str">
            <v>Toebehoren Bevestigingen *</v>
          </cell>
          <cell r="G421" t="str">
            <v>G130318</v>
          </cell>
          <cell r="H421" t="str">
            <v>bestaand</v>
          </cell>
          <cell r="I421" t="str">
            <v>01.01.2013</v>
          </cell>
          <cell r="J421" t="str">
            <v>Yes</v>
          </cell>
          <cell r="K421" t="str">
            <v>Doe-Het-Zelver</v>
          </cell>
          <cell r="L421" t="str">
            <v>Gyproc</v>
          </cell>
          <cell r="M421" t="str">
            <v>DIY DG-SCHROEVEN</v>
          </cell>
          <cell r="N421" t="str">
            <v>DIY - Gyproc DG-Schroeven 25 MM / 300 ST</v>
          </cell>
          <cell r="O421" t="str">
            <v>Vis Gyproc DG 25 MM / 300 pcs</v>
          </cell>
          <cell r="P421" t="str">
            <v>(blanco)</v>
          </cell>
          <cell r="Q421" t="str">
            <v>(blanco)</v>
          </cell>
          <cell r="R421" t="str">
            <v>(blanco)</v>
          </cell>
          <cell r="S421" t="str">
            <v>(blanco)</v>
          </cell>
          <cell r="T421" t="str">
            <v>NBN EN 14566+A1:2009</v>
          </cell>
          <cell r="U421" t="str">
            <v>USN</v>
          </cell>
          <cell r="V421" t="str">
            <v>--</v>
          </cell>
          <cell r="AA421" t="str">
            <v>A1</v>
          </cell>
          <cell r="AC421" t="str">
            <v>(blanco)</v>
          </cell>
          <cell r="AD421" t="str">
            <v>(blanco)</v>
          </cell>
          <cell r="AL421" t="str">
            <v>(blanco)</v>
          </cell>
          <cell r="AM421" t="str">
            <v>(blanco)</v>
          </cell>
          <cell r="AN421" t="str">
            <v>(blanco)</v>
          </cell>
          <cell r="AP421">
            <v>50</v>
          </cell>
          <cell r="AR421">
            <v>0.5</v>
          </cell>
          <cell r="AS421">
            <v>0.52500000000000002</v>
          </cell>
          <cell r="AT421">
            <v>0</v>
          </cell>
          <cell r="AX421">
            <v>11.27</v>
          </cell>
          <cell r="AY421" t="str">
            <v>01.02.2015</v>
          </cell>
          <cell r="AZ421">
            <v>0</v>
          </cell>
          <cell r="BA421" t="str">
            <v>00.00.0000</v>
          </cell>
          <cell r="BB421" t="str">
            <v>KAR</v>
          </cell>
          <cell r="BC421" t="str">
            <v>******</v>
          </cell>
          <cell r="BD421" t="str">
            <v>S</v>
          </cell>
          <cell r="BE421">
            <v>5413218564380</v>
          </cell>
        </row>
        <row r="422">
          <cell r="A422" t="str">
            <v>G130319</v>
          </cell>
          <cell r="B422" t="str">
            <v>G130319</v>
          </cell>
          <cell r="C422" t="str">
            <v>D1DFD05D003D001</v>
          </cell>
          <cell r="D422" t="str">
            <v>Bandes *</v>
          </cell>
          <cell r="E422" t="str">
            <v>D1DF</v>
          </cell>
          <cell r="F422" t="str">
            <v>Andere Toebehoren *</v>
          </cell>
          <cell r="G422" t="str">
            <v>G130319</v>
          </cell>
          <cell r="H422" t="str">
            <v>bestaand</v>
          </cell>
          <cell r="I422" t="str">
            <v>01.01.2013</v>
          </cell>
          <cell r="J422" t="str">
            <v>Yes</v>
          </cell>
          <cell r="K422" t="str">
            <v>Doe-Het-Zelver</v>
          </cell>
          <cell r="L422" t="str">
            <v>Gyproc</v>
          </cell>
          <cell r="M422" t="str">
            <v>ZELFKLEVENDE VOEGBAND HYDRO</v>
          </cell>
          <cell r="N422" t="str">
            <v>DIY - Zelfklevende Voegband Hydro 30 M</v>
          </cell>
          <cell r="O422" t="str">
            <v>Bande d'armature Hydro autocollant 30 M</v>
          </cell>
          <cell r="P422" t="str">
            <v>(blanco)</v>
          </cell>
          <cell r="Q422" t="str">
            <v>(blanco)</v>
          </cell>
          <cell r="R422" t="str">
            <v>(blanco)</v>
          </cell>
          <cell r="S422" t="str">
            <v>(blanco)</v>
          </cell>
          <cell r="T422" t="str">
            <v>NBN EN 13963:2014</v>
          </cell>
          <cell r="U422" t="str">
            <v>--</v>
          </cell>
          <cell r="V422" t="str">
            <v>--</v>
          </cell>
          <cell r="AC422" t="str">
            <v>(blanco)</v>
          </cell>
          <cell r="AD422" t="str">
            <v>(blanco)</v>
          </cell>
          <cell r="AE422">
            <v>0</v>
          </cell>
          <cell r="AL422" t="str">
            <v>(blanco)</v>
          </cell>
          <cell r="AM422" t="str">
            <v>(blanco)</v>
          </cell>
          <cell r="AN422" t="str">
            <v>(blanco)</v>
          </cell>
          <cell r="AP422">
            <v>0</v>
          </cell>
          <cell r="AR422">
            <v>0.5</v>
          </cell>
          <cell r="AS422">
            <v>0.52500000000000002</v>
          </cell>
          <cell r="AT422">
            <v>0</v>
          </cell>
          <cell r="AX422">
            <v>6.71</v>
          </cell>
          <cell r="AY422" t="str">
            <v>01.02.2015</v>
          </cell>
          <cell r="AZ422">
            <v>0</v>
          </cell>
          <cell r="BA422" t="str">
            <v>00.00.0000</v>
          </cell>
          <cell r="BB422" t="str">
            <v>ST</v>
          </cell>
          <cell r="BC422" t="str">
            <v>******</v>
          </cell>
          <cell r="BD422" t="str">
            <v>S</v>
          </cell>
          <cell r="BE422">
            <v>5413218564373</v>
          </cell>
        </row>
        <row r="423">
          <cell r="A423" t="str">
            <v>G130326</v>
          </cell>
          <cell r="B423" t="str">
            <v>G130326</v>
          </cell>
          <cell r="C423" t="str">
            <v>D5DAD01D005D010</v>
          </cell>
          <cell r="D423" t="str">
            <v>DIY - Hydro Joint Mix KG</v>
          </cell>
          <cell r="E423" t="str">
            <v>D5DA</v>
          </cell>
          <cell r="F423" t="str">
            <v>Voegproducten KG</v>
          </cell>
          <cell r="G423" t="str">
            <v>G130326</v>
          </cell>
          <cell r="H423" t="str">
            <v>bestaand</v>
          </cell>
          <cell r="I423" t="str">
            <v>01.01.2013</v>
          </cell>
          <cell r="J423" t="str">
            <v>Yes</v>
          </cell>
          <cell r="K423" t="str">
            <v>Doe-Het-Zelver</v>
          </cell>
          <cell r="L423" t="str">
            <v>Gyproc</v>
          </cell>
          <cell r="M423" t="str">
            <v>HYDRO JOINTMIX</v>
          </cell>
          <cell r="N423" t="str">
            <v>DIY - Hydro Joint MIX 3,5 KG EP/80</v>
          </cell>
          <cell r="O423" t="str">
            <v>HYDRO JOINT MIX 3,5 KG EP/80</v>
          </cell>
          <cell r="P423" t="str">
            <v>(blanco)</v>
          </cell>
          <cell r="Q423" t="str">
            <v>(blanco)</v>
          </cell>
          <cell r="R423" t="str">
            <v>(blanco)</v>
          </cell>
          <cell r="S423" t="str">
            <v>(blanco)</v>
          </cell>
          <cell r="T423" t="str">
            <v>NBN EN 13963:2014</v>
          </cell>
          <cell r="U423" t="str">
            <v>3A</v>
          </cell>
          <cell r="V423" t="str">
            <v>--</v>
          </cell>
          <cell r="AA423" t="str">
            <v>A1</v>
          </cell>
          <cell r="AC423" t="str">
            <v>(blanco)</v>
          </cell>
          <cell r="AD423" t="str">
            <v>(blanco)</v>
          </cell>
          <cell r="AH423" t="str">
            <v>(blanco)</v>
          </cell>
          <cell r="AI423" t="str">
            <v>(blanco)</v>
          </cell>
          <cell r="AJ423" t="str">
            <v>(blanco)</v>
          </cell>
          <cell r="AL423" t="str">
            <v>(blanco)</v>
          </cell>
          <cell r="AM423" t="str">
            <v>(blanco)</v>
          </cell>
          <cell r="AN423" t="str">
            <v>(blanco)</v>
          </cell>
          <cell r="AP423">
            <v>0.25</v>
          </cell>
          <cell r="AR423">
            <v>3.5</v>
          </cell>
          <cell r="AS423">
            <v>3.6749999999999998</v>
          </cell>
          <cell r="AT423">
            <v>0</v>
          </cell>
          <cell r="AX423">
            <v>14.2</v>
          </cell>
          <cell r="AY423" t="str">
            <v>01.02.2015</v>
          </cell>
          <cell r="AZ423">
            <v>0</v>
          </cell>
          <cell r="BA423" t="str">
            <v>00.00.0000</v>
          </cell>
          <cell r="BB423" t="str">
            <v>ST</v>
          </cell>
          <cell r="BC423" t="str">
            <v>******</v>
          </cell>
          <cell r="BD423" t="str">
            <v>S</v>
          </cell>
          <cell r="BE423">
            <v>5413218564359</v>
          </cell>
        </row>
        <row r="424">
          <cell r="A424" t="str">
            <v>G130336</v>
          </cell>
          <cell r="B424" t="str">
            <v>G130336</v>
          </cell>
          <cell r="C424" t="str">
            <v>A1ABA11A001A008</v>
          </cell>
          <cell r="D424" t="str">
            <v>DuraGyp® BA 13/1200 M2</v>
          </cell>
          <cell r="E424" t="str">
            <v>A1AB</v>
          </cell>
          <cell r="F424" t="str">
            <v>Technische platen M2</v>
          </cell>
          <cell r="G424" t="str">
            <v>G130336</v>
          </cell>
          <cell r="H424" t="str">
            <v>bestaand</v>
          </cell>
          <cell r="I424" t="str">
            <v>01.01.2013</v>
          </cell>
          <cell r="J424" t="str">
            <v>No</v>
          </cell>
          <cell r="K424" t="str">
            <v>Nee</v>
          </cell>
          <cell r="L424" t="str">
            <v>Gyproc</v>
          </cell>
          <cell r="M424" t="str">
            <v>Duragyp Standaard</v>
          </cell>
          <cell r="N424" t="str">
            <v>DURA ABA STD 12.5 X 3000X1200 DP/20 ZOZ</v>
          </cell>
          <cell r="O424" t="str">
            <v>DURA ABA STD 12.5 X 3000X1200 DP/20 ZOZ</v>
          </cell>
          <cell r="P424" t="str">
            <v>geel</v>
          </cell>
          <cell r="Q424" t="str">
            <v>jaune</v>
          </cell>
          <cell r="R424" t="str">
            <v>grijs</v>
          </cell>
          <cell r="S424" t="str">
            <v>gris</v>
          </cell>
          <cell r="T424" t="str">
            <v>NBN EN 520:2009</v>
          </cell>
          <cell r="U424" t="str">
            <v>DFH2IR</v>
          </cell>
          <cell r="V424" t="str">
            <v>DG</v>
          </cell>
          <cell r="Y424" t="str">
            <v>gipsplaat voor droge binnenafbouw</v>
          </cell>
          <cell r="AA424" t="str">
            <v>A2-s1, d0 (B)</v>
          </cell>
          <cell r="AB424" t="str">
            <v>SG GY 2013 A1ABA11A001</v>
          </cell>
          <cell r="AC424" t="str">
            <v>ABA</v>
          </cell>
          <cell r="AD424" t="str">
            <v>ZOZ: zichtzijde op zichtzijde</v>
          </cell>
          <cell r="AE424">
            <v>12.5</v>
          </cell>
          <cell r="AH424" t="str">
            <v>+/-0.5</v>
          </cell>
          <cell r="AI424">
            <v>0</v>
          </cell>
          <cell r="AJ424">
            <v>0</v>
          </cell>
          <cell r="AK424">
            <v>1205</v>
          </cell>
          <cell r="AL424" t="str">
            <v>&gt; 800</v>
          </cell>
          <cell r="AM424" t="str">
            <v>&gt; 800</v>
          </cell>
          <cell r="AN424" t="str">
            <v>kg/m³</v>
          </cell>
          <cell r="AP424">
            <v>0.25</v>
          </cell>
          <cell r="AQ424">
            <v>0.05</v>
          </cell>
          <cell r="AR424">
            <v>44.64</v>
          </cell>
          <cell r="AS424">
            <v>46.872</v>
          </cell>
          <cell r="AT424">
            <v>64.8</v>
          </cell>
          <cell r="AU424" t="str">
            <v>CD3</v>
          </cell>
          <cell r="AV424" t="str">
            <v>DP : Duitse Pallet</v>
          </cell>
          <cell r="AW424">
            <v>3</v>
          </cell>
          <cell r="AX424">
            <v>0</v>
          </cell>
          <cell r="AY424" t="str">
            <v>00.00.0000</v>
          </cell>
          <cell r="AZ424">
            <v>0</v>
          </cell>
          <cell r="BA424" t="str">
            <v>00.00.0000</v>
          </cell>
          <cell r="BD424" t="str">
            <v>S</v>
          </cell>
          <cell r="BE424">
            <v>5413218570060</v>
          </cell>
        </row>
        <row r="425">
          <cell r="A425" t="str">
            <v>G130337</v>
          </cell>
          <cell r="B425" t="str">
            <v>G130337</v>
          </cell>
          <cell r="C425" t="str">
            <v>A1ABA11A001A008</v>
          </cell>
          <cell r="D425" t="str">
            <v>DuraGyp® BA 13/1200 M2</v>
          </cell>
          <cell r="E425" t="str">
            <v>A1AB</v>
          </cell>
          <cell r="F425" t="str">
            <v>Technische platen M2</v>
          </cell>
          <cell r="G425" t="str">
            <v>ZIB00022</v>
          </cell>
          <cell r="H425" t="str">
            <v>bestaand</v>
          </cell>
          <cell r="I425" t="str">
            <v>01.01.2013</v>
          </cell>
          <cell r="J425" t="str">
            <v>Yes</v>
          </cell>
          <cell r="K425" t="str">
            <v>Professional</v>
          </cell>
          <cell r="L425" t="str">
            <v>Gyproc</v>
          </cell>
          <cell r="M425" t="str">
            <v>Duragyp Comfort</v>
          </cell>
          <cell r="N425" t="str">
            <v>DURA ABA COMFORT 12.5 X 3000X1200 DP/20</v>
          </cell>
          <cell r="O425" t="str">
            <v>DURA ABA COMFORT 12.5 X 3000X1200 DP/20</v>
          </cell>
          <cell r="P425" t="str">
            <v>geel</v>
          </cell>
          <cell r="Q425" t="str">
            <v>jaune</v>
          </cell>
          <cell r="R425" t="str">
            <v>grijs</v>
          </cell>
          <cell r="S425" t="str">
            <v>gris</v>
          </cell>
          <cell r="T425" t="str">
            <v>NBN EN 520:2009</v>
          </cell>
          <cell r="U425" t="str">
            <v>DFH1IR</v>
          </cell>
          <cell r="V425" t="str">
            <v>DG</v>
          </cell>
          <cell r="Y425" t="str">
            <v>gipsplaat voor droge binnenafbouw</v>
          </cell>
          <cell r="AA425" t="str">
            <v>A2-s1, d0 (B)</v>
          </cell>
          <cell r="AB425" t="str">
            <v>SG GY 2013 A1ABA11A001</v>
          </cell>
          <cell r="AC425" t="str">
            <v>ABA</v>
          </cell>
          <cell r="AD425" t="str">
            <v>ZOZ: zichtzijde op zichtzijde</v>
          </cell>
          <cell r="AE425">
            <v>12.5</v>
          </cell>
          <cell r="AH425" t="str">
            <v>+/-0.5</v>
          </cell>
          <cell r="AI425">
            <v>0</v>
          </cell>
          <cell r="AJ425">
            <v>0</v>
          </cell>
          <cell r="AK425">
            <v>1201</v>
          </cell>
          <cell r="AL425" t="str">
            <v>&gt; 800</v>
          </cell>
          <cell r="AM425" t="str">
            <v>&gt; 800</v>
          </cell>
          <cell r="AN425" t="str">
            <v>kg/m³</v>
          </cell>
          <cell r="AP425">
            <v>0.25</v>
          </cell>
          <cell r="AQ425">
            <v>0.05</v>
          </cell>
          <cell r="AR425">
            <v>46.08</v>
          </cell>
          <cell r="AS425">
            <v>48.384</v>
          </cell>
          <cell r="AT425">
            <v>46.8</v>
          </cell>
          <cell r="AU425" t="str">
            <v>CD3</v>
          </cell>
          <cell r="AV425" t="str">
            <v>DP : Duitse Pallet</v>
          </cell>
          <cell r="AW425">
            <v>3</v>
          </cell>
          <cell r="AX425">
            <v>8.26</v>
          </cell>
          <cell r="AY425" t="str">
            <v>01.02.2015</v>
          </cell>
          <cell r="AZ425">
            <v>0</v>
          </cell>
          <cell r="BA425" t="str">
            <v>00.00.0000</v>
          </cell>
          <cell r="BB425" t="str">
            <v>M2</v>
          </cell>
          <cell r="BC425" t="str">
            <v>M2</v>
          </cell>
          <cell r="BD425" t="str">
            <v>S</v>
          </cell>
          <cell r="BE425">
            <v>5413218570046</v>
          </cell>
        </row>
        <row r="426">
          <cell r="A426" t="str">
            <v>G130355</v>
          </cell>
          <cell r="B426" t="str">
            <v>G130355</v>
          </cell>
          <cell r="C426" t="str">
            <v>A1ABA11A001A008</v>
          </cell>
          <cell r="D426" t="str">
            <v>DuraGyp® BA 13/1200 M2</v>
          </cell>
          <cell r="E426" t="str">
            <v>A1AB</v>
          </cell>
          <cell r="F426" t="str">
            <v>Technische platen M2</v>
          </cell>
          <cell r="G426" t="str">
            <v>ZIB00022</v>
          </cell>
          <cell r="H426" t="str">
            <v>bestaand</v>
          </cell>
          <cell r="I426" t="str">
            <v>01.01.2013</v>
          </cell>
          <cell r="J426" t="str">
            <v>Yes</v>
          </cell>
          <cell r="K426" t="str">
            <v>Professional</v>
          </cell>
          <cell r="L426" t="str">
            <v>Gyproc</v>
          </cell>
          <cell r="M426" t="str">
            <v>Duragyp Comfort</v>
          </cell>
          <cell r="N426" t="str">
            <v>DURA ABA COMFORT 12.5 X 2600X1200 DP/20</v>
          </cell>
          <cell r="O426" t="str">
            <v>DURA ABA COMFORT 12.5 X 2600X1200 DP/20</v>
          </cell>
          <cell r="P426" t="str">
            <v>geel</v>
          </cell>
          <cell r="Q426" t="str">
            <v>jaune</v>
          </cell>
          <cell r="R426" t="str">
            <v>grijs</v>
          </cell>
          <cell r="S426" t="str">
            <v>gris</v>
          </cell>
          <cell r="T426" t="str">
            <v>NBN EN 520:2009</v>
          </cell>
          <cell r="U426" t="str">
            <v>DFH1IR</v>
          </cell>
          <cell r="V426" t="str">
            <v>DG</v>
          </cell>
          <cell r="Y426" t="str">
            <v>gipsplaat voor droge binnenafbouw</v>
          </cell>
          <cell r="AA426" t="str">
            <v>A2-s1, d0 (B)</v>
          </cell>
          <cell r="AB426" t="str">
            <v>SG GY 2013 A1ABA11A001</v>
          </cell>
          <cell r="AC426" t="str">
            <v>ABA</v>
          </cell>
          <cell r="AD426" t="str">
            <v>ZOZ: zichtzijde op zichtzijde</v>
          </cell>
          <cell r="AE426">
            <v>12.5</v>
          </cell>
          <cell r="AH426" t="str">
            <v>+/-0.5</v>
          </cell>
          <cell r="AI426">
            <v>0</v>
          </cell>
          <cell r="AJ426">
            <v>0</v>
          </cell>
          <cell r="AK426">
            <v>1201</v>
          </cell>
          <cell r="AL426" t="str">
            <v>&gt; 800</v>
          </cell>
          <cell r="AM426" t="str">
            <v>&gt; 800</v>
          </cell>
          <cell r="AN426" t="str">
            <v>kg/m³</v>
          </cell>
          <cell r="AP426">
            <v>0.25</v>
          </cell>
          <cell r="AQ426">
            <v>0.05</v>
          </cell>
          <cell r="AR426">
            <v>39.936</v>
          </cell>
          <cell r="AS426">
            <v>41.933</v>
          </cell>
          <cell r="AT426">
            <v>56.16</v>
          </cell>
          <cell r="AU426" t="str">
            <v>CD3</v>
          </cell>
          <cell r="AV426" t="str">
            <v>DP : Duitse Pallet</v>
          </cell>
          <cell r="AW426">
            <v>3</v>
          </cell>
          <cell r="AX426">
            <v>8.26</v>
          </cell>
          <cell r="AY426" t="str">
            <v>01.02.2015</v>
          </cell>
          <cell r="AZ426">
            <v>0</v>
          </cell>
          <cell r="BA426" t="str">
            <v>00.00.0000</v>
          </cell>
          <cell r="BB426" t="str">
            <v>M2</v>
          </cell>
          <cell r="BC426" t="str">
            <v>M2</v>
          </cell>
          <cell r="BD426" t="str">
            <v>S</v>
          </cell>
          <cell r="BE426">
            <v>5413218564540</v>
          </cell>
        </row>
        <row r="427">
          <cell r="A427" t="str">
            <v>G130356</v>
          </cell>
          <cell r="B427" t="str">
            <v>G130356</v>
          </cell>
          <cell r="C427" t="str">
            <v>A1ABA11A001A008</v>
          </cell>
          <cell r="D427" t="str">
            <v>DuraGyp® BA 13/1200 M2</v>
          </cell>
          <cell r="E427" t="str">
            <v>A1AB</v>
          </cell>
          <cell r="F427" t="str">
            <v>Technische platen M2</v>
          </cell>
          <cell r="G427" t="str">
            <v>G130336</v>
          </cell>
          <cell r="H427" t="str">
            <v>bestaand</v>
          </cell>
          <cell r="I427" t="str">
            <v>01.01.2013</v>
          </cell>
          <cell r="J427" t="str">
            <v>No</v>
          </cell>
          <cell r="K427" t="str">
            <v>Nee</v>
          </cell>
          <cell r="L427" t="str">
            <v>Gyproc</v>
          </cell>
          <cell r="M427" t="str">
            <v>Duragyp Standaard</v>
          </cell>
          <cell r="N427" t="str">
            <v>DURA ABA STD 12.5 X 2600X1200 DP/20 ZOZ</v>
          </cell>
          <cell r="O427" t="str">
            <v>DURA ABA STD 12.5 X 2600X1200 DP/20 ZOZ</v>
          </cell>
          <cell r="P427" t="str">
            <v>geel</v>
          </cell>
          <cell r="Q427" t="str">
            <v>jaune</v>
          </cell>
          <cell r="R427" t="str">
            <v>grijs</v>
          </cell>
          <cell r="S427" t="str">
            <v>gris</v>
          </cell>
          <cell r="T427" t="str">
            <v>NBN EN 520:2009</v>
          </cell>
          <cell r="U427" t="str">
            <v>DFH2IR</v>
          </cell>
          <cell r="V427" t="str">
            <v>DG</v>
          </cell>
          <cell r="Y427" t="str">
            <v>gipsplaat voor droge binnenafbouw</v>
          </cell>
          <cell r="AA427" t="str">
            <v>A2-s1, d0 (B)</v>
          </cell>
          <cell r="AB427" t="str">
            <v>SG GY 2013 A1ABA11A001</v>
          </cell>
          <cell r="AC427" t="str">
            <v>ABA</v>
          </cell>
          <cell r="AD427" t="str">
            <v>ZOZ: zichtzijde op zichtzijde</v>
          </cell>
          <cell r="AE427">
            <v>12.5</v>
          </cell>
          <cell r="AH427" t="str">
            <v>+/-0.5</v>
          </cell>
          <cell r="AI427">
            <v>0</v>
          </cell>
          <cell r="AJ427">
            <v>0</v>
          </cell>
          <cell r="AK427">
            <v>1205</v>
          </cell>
          <cell r="AL427" t="str">
            <v>&gt; 800</v>
          </cell>
          <cell r="AM427" t="str">
            <v>&gt; 800</v>
          </cell>
          <cell r="AN427" t="str">
            <v>kg/m³</v>
          </cell>
          <cell r="AP427">
            <v>0.25</v>
          </cell>
          <cell r="AQ427">
            <v>0.05</v>
          </cell>
          <cell r="AR427">
            <v>39.936</v>
          </cell>
          <cell r="AS427">
            <v>41.933</v>
          </cell>
          <cell r="AT427">
            <v>56.16</v>
          </cell>
          <cell r="AU427" t="str">
            <v>CD3</v>
          </cell>
          <cell r="AV427" t="str">
            <v>DP : Duitse Pallet</v>
          </cell>
          <cell r="AW427">
            <v>3</v>
          </cell>
          <cell r="AX427">
            <v>0</v>
          </cell>
          <cell r="AY427" t="str">
            <v>00.00.0000</v>
          </cell>
          <cell r="AZ427">
            <v>0</v>
          </cell>
          <cell r="BA427" t="str">
            <v>00.00.0000</v>
          </cell>
          <cell r="BD427" t="str">
            <v>S</v>
          </cell>
          <cell r="BE427">
            <v>5413218564557</v>
          </cell>
        </row>
        <row r="428">
          <cell r="A428" t="str">
            <v>G130371</v>
          </cell>
          <cell r="B428" t="str">
            <v>G130371</v>
          </cell>
          <cell r="C428" t="str">
            <v>D1DFD05D003D001</v>
          </cell>
          <cell r="D428" t="str">
            <v>Bandes *</v>
          </cell>
          <cell r="E428" t="str">
            <v>D1DF</v>
          </cell>
          <cell r="F428" t="str">
            <v>Andere Toebehoren *</v>
          </cell>
          <cell r="G428" t="str">
            <v>G130371</v>
          </cell>
          <cell r="H428" t="str">
            <v>bestaand</v>
          </cell>
          <cell r="I428" t="str">
            <v>01.01.2013</v>
          </cell>
          <cell r="J428" t="str">
            <v>Yes</v>
          </cell>
          <cell r="K428" t="str">
            <v>Doe-Het-Zelver</v>
          </cell>
          <cell r="L428" t="str">
            <v>Gyproc</v>
          </cell>
          <cell r="M428" t="str">
            <v>FLEXIBELE VOEGBAND 70 MM</v>
          </cell>
          <cell r="N428" t="str">
            <v>DIY - Flexibele Voegband 70 MM - 10 M</v>
          </cell>
          <cell r="O428" t="str">
            <v>Bande d'armature Flexible 70 mm - 10 m</v>
          </cell>
          <cell r="P428" t="str">
            <v>(blanco)</v>
          </cell>
          <cell r="Q428" t="str">
            <v>(blanco)</v>
          </cell>
          <cell r="R428" t="str">
            <v>(blanco)</v>
          </cell>
          <cell r="S428" t="str">
            <v>(blanco)</v>
          </cell>
          <cell r="T428" t="str">
            <v>NBN EN 13963:2014</v>
          </cell>
          <cell r="U428" t="str">
            <v>--</v>
          </cell>
          <cell r="V428" t="str">
            <v>--</v>
          </cell>
          <cell r="AC428" t="str">
            <v>(blanco)</v>
          </cell>
          <cell r="AD428" t="str">
            <v>(blanco)</v>
          </cell>
          <cell r="AE428">
            <v>0</v>
          </cell>
          <cell r="AL428" t="str">
            <v>(blanco)</v>
          </cell>
          <cell r="AM428" t="str">
            <v>(blanco)</v>
          </cell>
          <cell r="AN428" t="str">
            <v>(blanco)</v>
          </cell>
          <cell r="AP428">
            <v>0</v>
          </cell>
          <cell r="AR428">
            <v>0.2</v>
          </cell>
          <cell r="AS428">
            <v>0.22</v>
          </cell>
          <cell r="AT428">
            <v>0</v>
          </cell>
          <cell r="AX428">
            <v>20.99</v>
          </cell>
          <cell r="AY428" t="str">
            <v>01.02.2015</v>
          </cell>
          <cell r="AZ428">
            <v>0</v>
          </cell>
          <cell r="BA428" t="str">
            <v>00.00.0000</v>
          </cell>
          <cell r="BB428" t="str">
            <v>ST</v>
          </cell>
          <cell r="BC428" t="str">
            <v>******</v>
          </cell>
          <cell r="BD428" t="str">
            <v>S</v>
          </cell>
          <cell r="BE428">
            <v>5413218564601</v>
          </cell>
        </row>
        <row r="429">
          <cell r="A429" t="str">
            <v>G130372</v>
          </cell>
          <cell r="B429" t="str">
            <v>G130372</v>
          </cell>
          <cell r="C429" t="str">
            <v>A1ABA11A001A008</v>
          </cell>
          <cell r="D429" t="str">
            <v>DuraGyp® BA 13/1200 M2</v>
          </cell>
          <cell r="E429" t="str">
            <v>A1AB</v>
          </cell>
          <cell r="F429" t="str">
            <v>Technische platen M2</v>
          </cell>
          <cell r="G429" t="str">
            <v>G130336</v>
          </cell>
          <cell r="H429" t="str">
            <v>bestaand</v>
          </cell>
          <cell r="I429" t="str">
            <v>01.01.2013</v>
          </cell>
          <cell r="J429" t="str">
            <v>No</v>
          </cell>
          <cell r="K429" t="str">
            <v>Nee</v>
          </cell>
          <cell r="L429" t="str">
            <v>Gyproc</v>
          </cell>
          <cell r="M429" t="str">
            <v>Duragyp Standaard</v>
          </cell>
          <cell r="N429" t="str">
            <v>DURA ABA STD 12.5 X 2800X1200 DP/20 ZOZ</v>
          </cell>
          <cell r="O429" t="str">
            <v>DURA ABA STD 12.5 X 2800X1200 DP/20 ZOZ</v>
          </cell>
          <cell r="P429" t="str">
            <v>geel</v>
          </cell>
          <cell r="Q429" t="str">
            <v>jaune</v>
          </cell>
          <cell r="R429" t="str">
            <v>grijs</v>
          </cell>
          <cell r="S429" t="str">
            <v>gris</v>
          </cell>
          <cell r="T429" t="str">
            <v>NBN EN 520:2009</v>
          </cell>
          <cell r="U429" t="str">
            <v>DFH2IR</v>
          </cell>
          <cell r="V429" t="str">
            <v>DG</v>
          </cell>
          <cell r="Y429" t="str">
            <v>gipsplaat voor droge binnenafbouw</v>
          </cell>
          <cell r="AA429" t="str">
            <v>A2-s1, d0 (B)</v>
          </cell>
          <cell r="AB429" t="str">
            <v>SG GY 2013 A1ABA11A001</v>
          </cell>
          <cell r="AC429" t="str">
            <v>ABA</v>
          </cell>
          <cell r="AD429" t="str">
            <v>ZOZ: zichtzijde op zichtzijde</v>
          </cell>
          <cell r="AE429">
            <v>12.5</v>
          </cell>
          <cell r="AH429" t="str">
            <v>+/-0.5</v>
          </cell>
          <cell r="AI429">
            <v>0</v>
          </cell>
          <cell r="AJ429">
            <v>0</v>
          </cell>
          <cell r="AK429">
            <v>1205</v>
          </cell>
          <cell r="AL429" t="str">
            <v>&gt; 800</v>
          </cell>
          <cell r="AM429" t="str">
            <v>&gt; 800</v>
          </cell>
          <cell r="AN429" t="str">
            <v>kg/m³</v>
          </cell>
          <cell r="AP429">
            <v>0.25</v>
          </cell>
          <cell r="AQ429">
            <v>0.05</v>
          </cell>
          <cell r="AR429">
            <v>41.664000000000001</v>
          </cell>
          <cell r="AS429">
            <v>43.747</v>
          </cell>
          <cell r="AT429">
            <v>43.68</v>
          </cell>
          <cell r="AU429" t="str">
            <v>CD3</v>
          </cell>
          <cell r="AV429" t="str">
            <v>DP : Duitse Pallet</v>
          </cell>
          <cell r="AW429">
            <v>3</v>
          </cell>
          <cell r="AX429">
            <v>0</v>
          </cell>
          <cell r="AY429" t="str">
            <v>00.00.0000</v>
          </cell>
          <cell r="AZ429">
            <v>0</v>
          </cell>
          <cell r="BA429" t="str">
            <v>00.00.0000</v>
          </cell>
          <cell r="BD429" t="str">
            <v>S</v>
          </cell>
          <cell r="BE429">
            <v>5413218564618</v>
          </cell>
        </row>
        <row r="430">
          <cell r="A430" t="str">
            <v>G130390</v>
          </cell>
          <cell r="B430" t="str">
            <v>G130390</v>
          </cell>
          <cell r="C430" t="str">
            <v>A1ABA11A003A002</v>
          </cell>
          <cell r="D430" t="str">
            <v>DuraGyp® BA 15/1200 M2</v>
          </cell>
          <cell r="E430" t="str">
            <v>A1AB</v>
          </cell>
          <cell r="F430" t="str">
            <v>Technische platen M2</v>
          </cell>
          <cell r="G430" t="str">
            <v>ZIB00023</v>
          </cell>
          <cell r="H430" t="str">
            <v>bestaand</v>
          </cell>
          <cell r="I430" t="str">
            <v>01.01.2013</v>
          </cell>
          <cell r="J430" t="str">
            <v>Yes</v>
          </cell>
          <cell r="K430" t="str">
            <v>Professional</v>
          </cell>
          <cell r="L430" t="str">
            <v>Gyproc</v>
          </cell>
          <cell r="M430" t="str">
            <v>Duragyp Comfort</v>
          </cell>
          <cell r="N430" t="str">
            <v>DURA ABA COMFORT 15X2650X1200 DP/20 ZZB</v>
          </cell>
          <cell r="O430" t="str">
            <v>DURA ABA COMFORT 15X2650X1200 DP/20 ZZB</v>
          </cell>
          <cell r="P430" t="str">
            <v>geel</v>
          </cell>
          <cell r="Q430" t="str">
            <v>jaune</v>
          </cell>
          <cell r="R430" t="str">
            <v>grijs</v>
          </cell>
          <cell r="S430" t="str">
            <v>gris</v>
          </cell>
          <cell r="T430" t="str">
            <v>NBN EN 520:2009</v>
          </cell>
          <cell r="U430" t="str">
            <v>DFH1IR</v>
          </cell>
          <cell r="V430" t="str">
            <v>DG</v>
          </cell>
          <cell r="Y430" t="str">
            <v>gipsplaat voor droge binnenafbouw</v>
          </cell>
          <cell r="AA430" t="str">
            <v>A2-s1, d0 (B)</v>
          </cell>
          <cell r="AB430" t="str">
            <v>SG GY 2013 A1ABA11A003</v>
          </cell>
          <cell r="AC430" t="str">
            <v>ABA</v>
          </cell>
          <cell r="AD430" t="str">
            <v>ZZB: zichtzijde boven</v>
          </cell>
          <cell r="AE430">
            <v>15</v>
          </cell>
          <cell r="AH430" t="str">
            <v>+/-0.5</v>
          </cell>
          <cell r="AI430">
            <v>0</v>
          </cell>
          <cell r="AJ430">
            <v>0</v>
          </cell>
          <cell r="AK430">
            <v>1204</v>
          </cell>
          <cell r="AL430" t="str">
            <v>&gt; 800</v>
          </cell>
          <cell r="AM430" t="str">
            <v>&gt; 800</v>
          </cell>
          <cell r="AN430" t="str">
            <v>kg/m³</v>
          </cell>
          <cell r="AP430">
            <v>0.25</v>
          </cell>
          <cell r="AQ430">
            <v>0.06</v>
          </cell>
          <cell r="AR430">
            <v>48.335999999999999</v>
          </cell>
          <cell r="AS430">
            <v>50.753</v>
          </cell>
          <cell r="AT430">
            <v>47.7</v>
          </cell>
          <cell r="AU430" t="str">
            <v>CD3</v>
          </cell>
          <cell r="AV430" t="str">
            <v>DP : Duitse Pallet</v>
          </cell>
          <cell r="AW430">
            <v>3</v>
          </cell>
          <cell r="AX430">
            <v>9.76</v>
          </cell>
          <cell r="AY430" t="str">
            <v>01.02.2015</v>
          </cell>
          <cell r="AZ430">
            <v>0</v>
          </cell>
          <cell r="BA430" t="str">
            <v>00.00.0000</v>
          </cell>
          <cell r="BB430" t="str">
            <v>M2</v>
          </cell>
          <cell r="BC430" t="str">
            <v>M2</v>
          </cell>
          <cell r="BD430" t="str">
            <v>S</v>
          </cell>
          <cell r="BE430">
            <v>5413218564793</v>
          </cell>
        </row>
        <row r="431">
          <cell r="A431" t="str">
            <v>G130391</v>
          </cell>
          <cell r="B431" t="str">
            <v>G130391</v>
          </cell>
          <cell r="C431" t="str">
            <v>A1ABA11A003A002</v>
          </cell>
          <cell r="D431" t="str">
            <v>DuraGyp® BA 15/1200 M2</v>
          </cell>
          <cell r="E431" t="str">
            <v>A1AB</v>
          </cell>
          <cell r="F431" t="str">
            <v>Technische platen M2</v>
          </cell>
          <cell r="G431" t="str">
            <v>G130391</v>
          </cell>
          <cell r="H431" t="str">
            <v>bestaand</v>
          </cell>
          <cell r="I431" t="str">
            <v>01.01.2013</v>
          </cell>
          <cell r="J431" t="str">
            <v>No</v>
          </cell>
          <cell r="K431" t="str">
            <v>Nee</v>
          </cell>
          <cell r="L431" t="str">
            <v>Gyproc</v>
          </cell>
          <cell r="M431" t="str">
            <v>Duragyp Standaard</v>
          </cell>
          <cell r="N431" t="str">
            <v>DURA ABA STD 15 X 2650 X 1200 DP/20 ZZB</v>
          </cell>
          <cell r="O431" t="str">
            <v>DURA ABA STD 15 X 2650 X 1200 DP/20 ZZB</v>
          </cell>
          <cell r="P431" t="str">
            <v>geel</v>
          </cell>
          <cell r="Q431" t="str">
            <v>jaune</v>
          </cell>
          <cell r="R431" t="str">
            <v>grijs</v>
          </cell>
          <cell r="S431" t="str">
            <v>gris</v>
          </cell>
          <cell r="T431" t="str">
            <v>NBN EN 520:2009</v>
          </cell>
          <cell r="U431" t="str">
            <v>DFH2IR</v>
          </cell>
          <cell r="V431" t="str">
            <v>DG</v>
          </cell>
          <cell r="Y431" t="str">
            <v>gipsplaat voor droge binnenafbouw</v>
          </cell>
          <cell r="AA431" t="str">
            <v>A2-s1, d0 (B)</v>
          </cell>
          <cell r="AB431" t="str">
            <v>SG GY 2013 A1ABA11A003</v>
          </cell>
          <cell r="AC431" t="str">
            <v>ABA</v>
          </cell>
          <cell r="AD431" t="str">
            <v>ZZB: zichtzijde boven</v>
          </cell>
          <cell r="AE431">
            <v>15</v>
          </cell>
          <cell r="AH431" t="str">
            <v>+/-0.5</v>
          </cell>
          <cell r="AI431">
            <v>0</v>
          </cell>
          <cell r="AJ431">
            <v>0</v>
          </cell>
          <cell r="AK431">
            <v>1203</v>
          </cell>
          <cell r="AL431" t="str">
            <v>&gt; 800</v>
          </cell>
          <cell r="AM431" t="str">
            <v>&gt; 800</v>
          </cell>
          <cell r="AN431" t="str">
            <v>kg/m³</v>
          </cell>
          <cell r="AP431">
            <v>0.25</v>
          </cell>
          <cell r="AQ431">
            <v>0.06</v>
          </cell>
          <cell r="AR431">
            <v>48.335999999999999</v>
          </cell>
          <cell r="AS431">
            <v>50.753</v>
          </cell>
          <cell r="AT431">
            <v>47.7</v>
          </cell>
          <cell r="AU431" t="str">
            <v>CD3</v>
          </cell>
          <cell r="AV431" t="str">
            <v>DP : Duitse Pallet</v>
          </cell>
          <cell r="AW431">
            <v>3</v>
          </cell>
          <cell r="AX431">
            <v>0</v>
          </cell>
          <cell r="AY431" t="str">
            <v>00.00.0000</v>
          </cell>
          <cell r="AZ431">
            <v>0</v>
          </cell>
          <cell r="BA431" t="str">
            <v>00.00.0000</v>
          </cell>
          <cell r="BD431" t="str">
            <v>S</v>
          </cell>
          <cell r="BE431">
            <v>5413218564816</v>
          </cell>
        </row>
        <row r="432">
          <cell r="A432" t="str">
            <v>G130399</v>
          </cell>
          <cell r="B432" t="str">
            <v>G130399</v>
          </cell>
          <cell r="C432" t="str">
            <v>D5DAD01D007D002</v>
          </cell>
          <cell r="D432" t="str">
            <v>DIY - ABA-Joint KG</v>
          </cell>
          <cell r="E432" t="str">
            <v>D5DA</v>
          </cell>
          <cell r="F432" t="str">
            <v>Voegproducten KG</v>
          </cell>
          <cell r="G432" t="str">
            <v>G130399</v>
          </cell>
          <cell r="H432" t="str">
            <v>bestaand</v>
          </cell>
          <cell r="I432" t="str">
            <v>01.01.2013</v>
          </cell>
          <cell r="J432" t="str">
            <v>Yes</v>
          </cell>
          <cell r="K432" t="str">
            <v>Doe-Het-Zelver</v>
          </cell>
          <cell r="L432" t="str">
            <v>Gyproc</v>
          </cell>
          <cell r="M432" t="str">
            <v>ABA-JOINT</v>
          </cell>
          <cell r="N432" t="str">
            <v>ABA-Joint 5 KG BOX EP/175</v>
          </cell>
          <cell r="O432" t="str">
            <v>DIY - ABA-Joint 5 KG BOX EP/175</v>
          </cell>
          <cell r="P432" t="str">
            <v>(blanco)</v>
          </cell>
          <cell r="Q432" t="str">
            <v>(blanco)</v>
          </cell>
          <cell r="R432" t="str">
            <v>(blanco)</v>
          </cell>
          <cell r="S432" t="str">
            <v>(blanco)</v>
          </cell>
          <cell r="T432" t="str">
            <v>NBN EN 13963:2014</v>
          </cell>
          <cell r="U432" t="str">
            <v>3B</v>
          </cell>
          <cell r="V432" t="str">
            <v>--</v>
          </cell>
          <cell r="AA432" t="str">
            <v>A1</v>
          </cell>
          <cell r="AC432" t="str">
            <v>(blanco)</v>
          </cell>
          <cell r="AD432" t="str">
            <v>(blanco)</v>
          </cell>
          <cell r="AH432" t="str">
            <v>(blanco)</v>
          </cell>
          <cell r="AI432" t="str">
            <v>(blanco)</v>
          </cell>
          <cell r="AJ432" t="str">
            <v>(blanco)</v>
          </cell>
          <cell r="AN432" t="str">
            <v>kg/m³</v>
          </cell>
          <cell r="AP432">
            <v>0.25</v>
          </cell>
          <cell r="AR432">
            <v>5</v>
          </cell>
          <cell r="AS432">
            <v>5.25</v>
          </cell>
          <cell r="AT432">
            <v>0</v>
          </cell>
          <cell r="AX432">
            <v>10.5</v>
          </cell>
          <cell r="AY432" t="str">
            <v>01.02.2015</v>
          </cell>
          <cell r="AZ432">
            <v>0</v>
          </cell>
          <cell r="BA432" t="str">
            <v>00.00.0000</v>
          </cell>
          <cell r="BB432" t="str">
            <v>ST</v>
          </cell>
          <cell r="BC432" t="str">
            <v>******</v>
          </cell>
          <cell r="BD432" t="str">
            <v>S</v>
          </cell>
          <cell r="BE432">
            <v>5413218561518</v>
          </cell>
        </row>
        <row r="433">
          <cell r="A433" t="str">
            <v>G130400</v>
          </cell>
          <cell r="B433" t="str">
            <v>G130400</v>
          </cell>
          <cell r="C433" t="str">
            <v>D5DAD01D007D008</v>
          </cell>
          <cell r="D433" t="str">
            <v>DIY - Vulmiddel KG</v>
          </cell>
          <cell r="E433" t="str">
            <v>D5DA</v>
          </cell>
          <cell r="F433" t="str">
            <v>Voegproducten KG</v>
          </cell>
          <cell r="G433" t="str">
            <v>G130400</v>
          </cell>
          <cell r="H433" t="str">
            <v>bestaand</v>
          </cell>
          <cell r="I433" t="str">
            <v>01.01.2013</v>
          </cell>
          <cell r="J433" t="str">
            <v>Yes</v>
          </cell>
          <cell r="K433" t="str">
            <v>Doe-Het-Zelver</v>
          </cell>
          <cell r="L433" t="str">
            <v>Gyproc</v>
          </cell>
          <cell r="M433" t="str">
            <v>VULMIDDEL</v>
          </cell>
          <cell r="N433" t="str">
            <v>Vulmiddel 5 KG BOX EP/175</v>
          </cell>
          <cell r="O433" t="str">
            <v>DIY - Vulmiddel 5 KG BOX EP/175</v>
          </cell>
          <cell r="P433" t="str">
            <v>(blanco)</v>
          </cell>
          <cell r="Q433" t="str">
            <v>(blanco)</v>
          </cell>
          <cell r="R433" t="str">
            <v>(blanco)</v>
          </cell>
          <cell r="S433" t="str">
            <v>(blanco)</v>
          </cell>
          <cell r="T433" t="str">
            <v>NBN EN 13963:2014</v>
          </cell>
          <cell r="U433" t="str">
            <v>3B</v>
          </cell>
          <cell r="V433" t="str">
            <v>--</v>
          </cell>
          <cell r="AA433" t="str">
            <v>A1</v>
          </cell>
          <cell r="AC433" t="str">
            <v>(blanco)</v>
          </cell>
          <cell r="AD433" t="str">
            <v>(blanco)</v>
          </cell>
          <cell r="AH433" t="str">
            <v>(blanco)</v>
          </cell>
          <cell r="AI433" t="str">
            <v>(blanco)</v>
          </cell>
          <cell r="AJ433" t="str">
            <v>(blanco)</v>
          </cell>
          <cell r="AP433">
            <v>0.25</v>
          </cell>
          <cell r="AR433">
            <v>5</v>
          </cell>
          <cell r="AS433">
            <v>5.25</v>
          </cell>
          <cell r="AT433">
            <v>0</v>
          </cell>
          <cell r="AX433">
            <v>14</v>
          </cell>
          <cell r="AY433" t="str">
            <v>01.02.2015</v>
          </cell>
          <cell r="AZ433">
            <v>0</v>
          </cell>
          <cell r="BA433" t="str">
            <v>00.00.0000</v>
          </cell>
          <cell r="BB433" t="str">
            <v>ST</v>
          </cell>
          <cell r="BC433" t="str">
            <v>******</v>
          </cell>
          <cell r="BD433" t="str">
            <v>S</v>
          </cell>
          <cell r="BE433">
            <v>5413218561617</v>
          </cell>
        </row>
        <row r="434">
          <cell r="A434" t="str">
            <v>G130401</v>
          </cell>
          <cell r="B434" t="str">
            <v>G130401</v>
          </cell>
          <cell r="C434" t="str">
            <v>D5DAD01D007D007</v>
          </cell>
          <cell r="D434" t="str">
            <v>DIY - Plamuur KG</v>
          </cell>
          <cell r="E434" t="str">
            <v>D5DA</v>
          </cell>
          <cell r="F434" t="str">
            <v>Voegproducten KG</v>
          </cell>
          <cell r="G434" t="str">
            <v>G130401</v>
          </cell>
          <cell r="H434" t="str">
            <v>bestaand</v>
          </cell>
          <cell r="I434" t="str">
            <v>01.01.2013</v>
          </cell>
          <cell r="J434" t="str">
            <v>Yes</v>
          </cell>
          <cell r="K434" t="str">
            <v>Doe-Het-Zelver</v>
          </cell>
          <cell r="L434" t="str">
            <v>Gyproc</v>
          </cell>
          <cell r="M434" t="str">
            <v>PLAMUUR</v>
          </cell>
          <cell r="N434" t="str">
            <v>Plamuur 5 KG BOX EP/175</v>
          </cell>
          <cell r="O434" t="str">
            <v>Enduit 5 KG BOX EP/175</v>
          </cell>
          <cell r="P434" t="str">
            <v>(blanco)</v>
          </cell>
          <cell r="Q434" t="str">
            <v>(blanco)</v>
          </cell>
          <cell r="R434" t="str">
            <v>(blanco)</v>
          </cell>
          <cell r="S434" t="str">
            <v>(blanco)</v>
          </cell>
          <cell r="T434" t="str">
            <v>NBN EN 13963:2014</v>
          </cell>
          <cell r="U434" t="str">
            <v>3B</v>
          </cell>
          <cell r="V434" t="str">
            <v>--</v>
          </cell>
          <cell r="AA434" t="str">
            <v>A1</v>
          </cell>
          <cell r="AC434" t="str">
            <v>(blanco)</v>
          </cell>
          <cell r="AD434" t="str">
            <v>(blanco)</v>
          </cell>
          <cell r="AH434" t="str">
            <v>(blanco)</v>
          </cell>
          <cell r="AI434" t="str">
            <v>(blanco)</v>
          </cell>
          <cell r="AJ434" t="str">
            <v>(blanco)</v>
          </cell>
          <cell r="AP434">
            <v>0.25</v>
          </cell>
          <cell r="AR434">
            <v>5</v>
          </cell>
          <cell r="AS434">
            <v>5.25</v>
          </cell>
          <cell r="AT434">
            <v>0</v>
          </cell>
          <cell r="AX434">
            <v>15.12</v>
          </cell>
          <cell r="AY434" t="str">
            <v>01.02.2015</v>
          </cell>
          <cell r="AZ434">
            <v>0</v>
          </cell>
          <cell r="BA434" t="str">
            <v>00.00.0000</v>
          </cell>
          <cell r="BB434" t="str">
            <v>ST</v>
          </cell>
          <cell r="BC434" t="str">
            <v>******</v>
          </cell>
          <cell r="BD434" t="str">
            <v>S</v>
          </cell>
          <cell r="BE434">
            <v>5413218561655</v>
          </cell>
        </row>
        <row r="435">
          <cell r="A435" t="str">
            <v>G130402</v>
          </cell>
          <cell r="B435" t="str">
            <v>G130402</v>
          </cell>
          <cell r="C435" t="str">
            <v>E5EAE01E001E024</v>
          </cell>
          <cell r="D435" t="str">
            <v>DIY - Snelwerkend Gips KG</v>
          </cell>
          <cell r="E435" t="str">
            <v>E5EA</v>
          </cell>
          <cell r="F435" t="str">
            <v>BOUWPLEISTERS TON</v>
          </cell>
          <cell r="G435" t="str">
            <v>G130402</v>
          </cell>
          <cell r="H435" t="str">
            <v>bestaand</v>
          </cell>
          <cell r="I435" t="str">
            <v>01.01.2013</v>
          </cell>
          <cell r="J435" t="str">
            <v>Yes</v>
          </cell>
          <cell r="K435" t="str">
            <v>Doe-Het-Zelver</v>
          </cell>
          <cell r="L435" t="str">
            <v>Gyproc</v>
          </cell>
          <cell r="M435" t="str">
            <v>SNELWERKEND GIPS</v>
          </cell>
          <cell r="N435" t="str">
            <v>Snelwerkend Gips 5 KG BOX EP/175</v>
          </cell>
          <cell r="O435" t="str">
            <v>Plâtre à Prise Rapide 5 KG BOX EP/175</v>
          </cell>
          <cell r="P435" t="str">
            <v>(blanco)</v>
          </cell>
          <cell r="Q435" t="str">
            <v>(blanco)</v>
          </cell>
          <cell r="R435" t="str">
            <v>(blanco)</v>
          </cell>
          <cell r="S435" t="str">
            <v>(blanco)</v>
          </cell>
          <cell r="T435" t="str">
            <v>NBN EN 13279-1:2009</v>
          </cell>
          <cell r="U435" t="str">
            <v>A2</v>
          </cell>
          <cell r="AA435" t="str">
            <v>A1</v>
          </cell>
          <cell r="AC435" t="str">
            <v>(blanco)</v>
          </cell>
          <cell r="AD435" t="str">
            <v>(blanco)</v>
          </cell>
          <cell r="AH435" t="str">
            <v>(blanco)</v>
          </cell>
          <cell r="AI435" t="str">
            <v>(blanco)</v>
          </cell>
          <cell r="AJ435" t="str">
            <v>(blanco)</v>
          </cell>
          <cell r="AP435">
            <v>0.25</v>
          </cell>
          <cell r="AR435">
            <v>5</v>
          </cell>
          <cell r="AS435">
            <v>5.25</v>
          </cell>
          <cell r="AT435">
            <v>0</v>
          </cell>
          <cell r="AX435">
            <v>5.22</v>
          </cell>
          <cell r="AY435" t="str">
            <v>01.02.2015</v>
          </cell>
          <cell r="AZ435">
            <v>0</v>
          </cell>
          <cell r="BA435" t="str">
            <v>00.00.0000</v>
          </cell>
          <cell r="BB435" t="str">
            <v>ST</v>
          </cell>
          <cell r="BC435" t="str">
            <v>******</v>
          </cell>
          <cell r="BD435" t="str">
            <v>S</v>
          </cell>
          <cell r="BE435">
            <v>5413218562195</v>
          </cell>
        </row>
        <row r="436">
          <cell r="A436" t="str">
            <v>G130403</v>
          </cell>
          <cell r="B436" t="str">
            <v>G130403</v>
          </cell>
          <cell r="C436" t="str">
            <v>E5EAE01E001E032</v>
          </cell>
          <cell r="D436" t="str">
            <v>DIY - Universeel Gips KG</v>
          </cell>
          <cell r="E436" t="str">
            <v>E5EA</v>
          </cell>
          <cell r="F436" t="str">
            <v>BOUWPLEISTERS TON</v>
          </cell>
          <cell r="G436" t="str">
            <v>G130403</v>
          </cell>
          <cell r="H436" t="str">
            <v>bestaand</v>
          </cell>
          <cell r="I436" t="str">
            <v>01.01.2013</v>
          </cell>
          <cell r="J436" t="str">
            <v>Yes</v>
          </cell>
          <cell r="K436" t="str">
            <v>Doe-Het-Zelver</v>
          </cell>
          <cell r="L436" t="str">
            <v>Gyproc</v>
          </cell>
          <cell r="M436" t="str">
            <v>UNIVERSEEL GIPS</v>
          </cell>
          <cell r="N436" t="str">
            <v>Universeel Gips 5 KG BOX EP/175</v>
          </cell>
          <cell r="O436" t="str">
            <v>Plâtre Universel 5 KG BOX EP/175</v>
          </cell>
          <cell r="P436" t="str">
            <v>(blanco)</v>
          </cell>
          <cell r="Q436" t="str">
            <v>(blanco)</v>
          </cell>
          <cell r="R436" t="str">
            <v>(blanco)</v>
          </cell>
          <cell r="S436" t="str">
            <v>(blanco)</v>
          </cell>
          <cell r="T436" t="str">
            <v>NBN EN 13279-1:2009</v>
          </cell>
          <cell r="U436" t="str">
            <v>B2/20/2</v>
          </cell>
          <cell r="AA436" t="str">
            <v>A1</v>
          </cell>
          <cell r="AC436" t="str">
            <v>(blanco)</v>
          </cell>
          <cell r="AD436" t="str">
            <v>(blanco)</v>
          </cell>
          <cell r="AH436" t="str">
            <v>(blanco)</v>
          </cell>
          <cell r="AI436" t="str">
            <v>(blanco)</v>
          </cell>
          <cell r="AJ436" t="str">
            <v>(blanco)</v>
          </cell>
          <cell r="AP436">
            <v>0.25</v>
          </cell>
          <cell r="AR436">
            <v>5</v>
          </cell>
          <cell r="AS436">
            <v>5.25</v>
          </cell>
          <cell r="AT436">
            <v>0</v>
          </cell>
          <cell r="AX436">
            <v>13.93</v>
          </cell>
          <cell r="AY436" t="str">
            <v>01.02.2015</v>
          </cell>
          <cell r="AZ436">
            <v>0</v>
          </cell>
          <cell r="BA436" t="str">
            <v>00.00.0000</v>
          </cell>
          <cell r="BB436" t="str">
            <v>ST</v>
          </cell>
          <cell r="BC436" t="str">
            <v>******</v>
          </cell>
          <cell r="BD436" t="str">
            <v>S</v>
          </cell>
          <cell r="BE436">
            <v>5413218561556</v>
          </cell>
        </row>
        <row r="437">
          <cell r="A437" t="str">
            <v>G130416</v>
          </cell>
          <cell r="B437" t="str">
            <v>G130416</v>
          </cell>
          <cell r="C437" t="str">
            <v>D1DBD01D012D001</v>
          </cell>
          <cell r="D437" t="str">
            <v>ACC PLAGYP *</v>
          </cell>
          <cell r="E437" t="str">
            <v>D1DB</v>
          </cell>
          <cell r="F437" t="str">
            <v>Toebehoren Platen *</v>
          </cell>
          <cell r="G437" t="str">
            <v>ZIB00231</v>
          </cell>
          <cell r="H437" t="str">
            <v>bestaand</v>
          </cell>
          <cell r="I437" t="str">
            <v>01.01.2013</v>
          </cell>
          <cell r="J437" t="str">
            <v>Yes</v>
          </cell>
          <cell r="K437" t="str">
            <v>Professional</v>
          </cell>
          <cell r="L437" t="str">
            <v>PLAGYP</v>
          </cell>
          <cell r="M437" t="str">
            <v>PV60/120 QL</v>
          </cell>
          <cell r="N437" t="str">
            <v>PLAGYP VEERKLEMPLAF.HANGER PV60/120 QL</v>
          </cell>
          <cell r="O437" t="str">
            <v>Suspente PlaGyp PV60/120 QL</v>
          </cell>
          <cell r="P437" t="str">
            <v>(blanco)</v>
          </cell>
          <cell r="Q437" t="str">
            <v>(blanco)</v>
          </cell>
          <cell r="R437" t="str">
            <v>(blanco)</v>
          </cell>
          <cell r="S437" t="str">
            <v>(blanco)</v>
          </cell>
          <cell r="T437" t="str">
            <v>NBN EN 14195:2015</v>
          </cell>
          <cell r="U437" t="str">
            <v>--</v>
          </cell>
          <cell r="V437" t="str">
            <v>--</v>
          </cell>
          <cell r="AA437" t="str">
            <v>A1</v>
          </cell>
          <cell r="AC437" t="str">
            <v>(blanco)</v>
          </cell>
          <cell r="AD437" t="str">
            <v>(blanco)</v>
          </cell>
          <cell r="AE437">
            <v>0</v>
          </cell>
          <cell r="AL437" t="str">
            <v>(blanco)</v>
          </cell>
          <cell r="AM437" t="str">
            <v>(blanco)</v>
          </cell>
          <cell r="AN437" t="str">
            <v>(blanco)</v>
          </cell>
          <cell r="AP437">
            <v>50</v>
          </cell>
          <cell r="AR437">
            <v>4.2240000000000002</v>
          </cell>
          <cell r="AS437">
            <v>4.3</v>
          </cell>
          <cell r="AT437">
            <v>0</v>
          </cell>
          <cell r="AX437">
            <v>1.33</v>
          </cell>
          <cell r="AY437" t="str">
            <v>01.02.2015</v>
          </cell>
          <cell r="AZ437">
            <v>0</v>
          </cell>
          <cell r="BA437" t="str">
            <v>00.00.0000</v>
          </cell>
          <cell r="BB437" t="str">
            <v>ST</v>
          </cell>
          <cell r="BC437" t="str">
            <v>******</v>
          </cell>
          <cell r="BD437" t="str">
            <v>S</v>
          </cell>
          <cell r="BE437">
            <v>5413218564960</v>
          </cell>
        </row>
        <row r="438">
          <cell r="A438" t="str">
            <v>G130417</v>
          </cell>
          <cell r="B438" t="str">
            <v>G130417</v>
          </cell>
          <cell r="C438" t="str">
            <v>A1ABA07A001A004</v>
          </cell>
          <cell r="D438" t="str">
            <v>Gyproc® Handyboard 10 M2</v>
          </cell>
          <cell r="E438" t="str">
            <v>A1AB</v>
          </cell>
          <cell r="F438" t="str">
            <v>Technische platen M2</v>
          </cell>
          <cell r="G438" t="str">
            <v>ZIB00012</v>
          </cell>
          <cell r="H438" t="str">
            <v>bestaand</v>
          </cell>
          <cell r="I438" t="str">
            <v>01.01.2013</v>
          </cell>
          <cell r="J438" t="str">
            <v>Yes</v>
          </cell>
          <cell r="K438" t="str">
            <v>Prof + DIY</v>
          </cell>
          <cell r="L438" t="str">
            <v>Gyproc</v>
          </cell>
          <cell r="M438" t="str">
            <v>GYPROC HANDYBOARD</v>
          </cell>
          <cell r="N438" t="str">
            <v>GY RBR HANDYBOARD 9.5 X 1200 X 600 WP/72</v>
          </cell>
          <cell r="O438" t="str">
            <v>GY RBR HANDYBOARD 9.5 X 1200 X 600 WP/72</v>
          </cell>
          <cell r="P438" t="str">
            <v>groen</v>
          </cell>
          <cell r="Q438" t="str">
            <v>vert</v>
          </cell>
          <cell r="R438" t="str">
            <v>grijs</v>
          </cell>
          <cell r="S438" t="str">
            <v>gris</v>
          </cell>
          <cell r="T438" t="str">
            <v>NBN EN 520:2009</v>
          </cell>
          <cell r="U438" t="str">
            <v>H2</v>
          </cell>
          <cell r="V438" t="str">
            <v>WR</v>
          </cell>
          <cell r="Y438" t="str">
            <v>gipsplaat voor droge binnenafbouw</v>
          </cell>
          <cell r="AA438" t="str">
            <v>A2-s1, d0 (B)</v>
          </cell>
          <cell r="AB438" t="str">
            <v>SG GY 2013 A1ABA07A001</v>
          </cell>
          <cell r="AC438" t="str">
            <v>RBR</v>
          </cell>
          <cell r="AD438" t="str">
            <v>ZOZ: zichtzijde op zichtzijde</v>
          </cell>
          <cell r="AE438">
            <v>9.5</v>
          </cell>
          <cell r="AH438" t="str">
            <v>+/-0.5</v>
          </cell>
          <cell r="AI438">
            <v>0</v>
          </cell>
          <cell r="AJ438">
            <v>0</v>
          </cell>
          <cell r="AL438" t="str">
            <v>Geen eisen gesteld</v>
          </cell>
          <cell r="AM438" t="str">
            <v>Pas de exigences</v>
          </cell>
          <cell r="AN438" t="str">
            <v>kg/m³</v>
          </cell>
          <cell r="AP438">
            <v>0.25</v>
          </cell>
          <cell r="AQ438">
            <v>0.04</v>
          </cell>
          <cell r="AR438">
            <v>6.12</v>
          </cell>
          <cell r="AS438">
            <v>6.4260000000000002</v>
          </cell>
          <cell r="AT438">
            <v>7.2</v>
          </cell>
          <cell r="AU438" t="str">
            <v>CD3</v>
          </cell>
          <cell r="AV438" t="str">
            <v>WP : Wegwerppallet</v>
          </cell>
          <cell r="AW438">
            <v>7</v>
          </cell>
          <cell r="AX438">
            <v>5.76</v>
          </cell>
          <cell r="AY438" t="str">
            <v>01.02.2015</v>
          </cell>
          <cell r="AZ438">
            <v>0</v>
          </cell>
          <cell r="BA438" t="str">
            <v>00.00.0000</v>
          </cell>
          <cell r="BB438" t="str">
            <v>M2</v>
          </cell>
          <cell r="BC438" t="str">
            <v>M2</v>
          </cell>
          <cell r="BD438" t="str">
            <v>S</v>
          </cell>
          <cell r="BE438">
            <v>5413218567763</v>
          </cell>
        </row>
        <row r="439">
          <cell r="A439" t="str">
            <v>G130454</v>
          </cell>
          <cell r="B439" t="str">
            <v>G130454</v>
          </cell>
          <cell r="C439" t="str">
            <v>C1CGC03C004C001</v>
          </cell>
          <cell r="D439" t="str">
            <v>Gyptone Activ'Air Sixto SP platen M2</v>
          </cell>
          <cell r="E439" t="str">
            <v>C1CG</v>
          </cell>
          <cell r="F439" t="str">
            <v>Gyptone platen M2</v>
          </cell>
          <cell r="G439" t="str">
            <v>G130454</v>
          </cell>
          <cell r="H439" t="str">
            <v>bestaand</v>
          </cell>
          <cell r="I439" t="str">
            <v>01.01.2013</v>
          </cell>
          <cell r="J439" t="str">
            <v>Yes</v>
          </cell>
          <cell r="K439" t="str">
            <v>Professional</v>
          </cell>
          <cell r="L439" t="str">
            <v>GYPTONE</v>
          </cell>
          <cell r="M439" t="str">
            <v>GYPTONE BIG SIXTO 63</v>
          </cell>
          <cell r="N439" t="str">
            <v>Gyptone®Activ'Air®Sixto63 13 120/240</v>
          </cell>
          <cell r="O439" t="str">
            <v>Gyptone®Activ'Air®Sixto63 13 120/240</v>
          </cell>
          <cell r="P439" t="str">
            <v>ivoor</v>
          </cell>
          <cell r="Q439" t="str">
            <v>ivoire</v>
          </cell>
          <cell r="R439" t="str">
            <v>wit vlies</v>
          </cell>
          <cell r="S439" t="str">
            <v>voile blanc</v>
          </cell>
          <cell r="T439" t="str">
            <v>NBN EN 14190:2014</v>
          </cell>
          <cell r="U439" t="str">
            <v>A</v>
          </cell>
          <cell r="V439" t="str">
            <v>GT</v>
          </cell>
          <cell r="W439" t="str">
            <v>geperforeerde gipskartonplaat met 4 afgeschuinde boorden</v>
          </cell>
          <cell r="Y439" t="str">
            <v>gipsplaat voor droge binnenafbouw</v>
          </cell>
          <cell r="AA439" t="str">
            <v>A2-s1, d0 (C.4)</v>
          </cell>
          <cell r="AB439" t="str">
            <v>DoP_GYP_14190-2-v1</v>
          </cell>
          <cell r="AC439" t="str">
            <v>4xABA</v>
          </cell>
          <cell r="AE439">
            <v>12.5</v>
          </cell>
          <cell r="AH439" t="str">
            <v>+/-0.5</v>
          </cell>
          <cell r="AI439">
            <v>0</v>
          </cell>
          <cell r="AJ439">
            <v>0</v>
          </cell>
          <cell r="AL439" t="str">
            <v>Geen eisen gesteld</v>
          </cell>
          <cell r="AM439" t="str">
            <v>Pas de exigences</v>
          </cell>
          <cell r="AN439" t="str">
            <v>kg/m³</v>
          </cell>
          <cell r="AP439">
            <v>0.25</v>
          </cell>
          <cell r="AR439">
            <v>25.92</v>
          </cell>
          <cell r="AS439">
            <v>27.22</v>
          </cell>
          <cell r="AT439">
            <v>30</v>
          </cell>
          <cell r="AU439" t="str">
            <v>CD3</v>
          </cell>
          <cell r="AX439">
            <v>20.86</v>
          </cell>
          <cell r="AY439" t="str">
            <v>01.02.2015</v>
          </cell>
          <cell r="AZ439">
            <v>0</v>
          </cell>
          <cell r="BA439" t="str">
            <v>00.00.0000</v>
          </cell>
          <cell r="BB439" t="str">
            <v>M2</v>
          </cell>
          <cell r="BC439" t="str">
            <v>M2</v>
          </cell>
          <cell r="BD439">
            <v>3</v>
          </cell>
          <cell r="BE439">
            <v>7318936584338</v>
          </cell>
        </row>
        <row r="440">
          <cell r="A440" t="str">
            <v>G130462</v>
          </cell>
          <cell r="B440" t="str">
            <v>G130462</v>
          </cell>
          <cell r="C440" t="str">
            <v>C5CBC18C005C005</v>
          </cell>
          <cell r="D440" t="str">
            <v>MSdB 100 M</v>
          </cell>
          <cell r="E440" t="str">
            <v>C5CB</v>
          </cell>
          <cell r="F440" t="str">
            <v>Profielen Platen en Wanden M</v>
          </cell>
          <cell r="G440" t="str">
            <v>ZIB00125</v>
          </cell>
          <cell r="H440" t="str">
            <v>bestaand</v>
          </cell>
          <cell r="I440" t="str">
            <v>01.02.2014</v>
          </cell>
          <cell r="J440" t="str">
            <v>Yes</v>
          </cell>
          <cell r="K440" t="str">
            <v>Professional</v>
          </cell>
          <cell r="L440" t="str">
            <v>METAL STUD</v>
          </cell>
          <cell r="M440" t="str">
            <v>MS DB 100</v>
          </cell>
          <cell r="N440" t="str">
            <v>M.S.dB.100 MM 2.60 M</v>
          </cell>
          <cell r="O440" t="str">
            <v>M.S.dB.100 MM 2.60 M</v>
          </cell>
          <cell r="P440" t="str">
            <v>(blanco)</v>
          </cell>
          <cell r="Q440" t="str">
            <v>(blanco)</v>
          </cell>
          <cell r="R440" t="str">
            <v>(blanco)</v>
          </cell>
          <cell r="S440" t="str">
            <v>(blanco)</v>
          </cell>
          <cell r="T440" t="str">
            <v>NBN EN 14195:2015</v>
          </cell>
          <cell r="U440" t="str">
            <v>C</v>
          </cell>
          <cell r="V440" t="str">
            <v>--</v>
          </cell>
          <cell r="AA440" t="str">
            <v>A1</v>
          </cell>
          <cell r="AC440" t="str">
            <v>(blanco)</v>
          </cell>
          <cell r="AD440" t="str">
            <v>(blanco)</v>
          </cell>
          <cell r="AL440" t="str">
            <v>(blanco)</v>
          </cell>
          <cell r="AM440" t="str">
            <v>(blanco)</v>
          </cell>
          <cell r="AN440" t="str">
            <v>(blanco)</v>
          </cell>
          <cell r="AP440">
            <v>50</v>
          </cell>
          <cell r="AR440">
            <v>4.4820000000000002</v>
          </cell>
          <cell r="AS440">
            <v>4.4820000000000002</v>
          </cell>
          <cell r="AT440">
            <v>0</v>
          </cell>
          <cell r="AX440">
            <v>4.95</v>
          </cell>
          <cell r="AY440" t="str">
            <v>01.02.2015</v>
          </cell>
          <cell r="AZ440">
            <v>0</v>
          </cell>
          <cell r="BA440" t="str">
            <v>00.00.0000</v>
          </cell>
          <cell r="BB440" t="str">
            <v>M</v>
          </cell>
          <cell r="BC440" t="str">
            <v>M</v>
          </cell>
          <cell r="BD440" t="str">
            <v>S</v>
          </cell>
          <cell r="BE440">
            <v>0</v>
          </cell>
        </row>
        <row r="441">
          <cell r="A441" t="str">
            <v>G130463</v>
          </cell>
          <cell r="B441" t="str">
            <v>G130463</v>
          </cell>
          <cell r="C441" t="str">
            <v>C5CBC18C005C005</v>
          </cell>
          <cell r="D441" t="str">
            <v>MSdB 100 M</v>
          </cell>
          <cell r="E441" t="str">
            <v>C5CB</v>
          </cell>
          <cell r="F441" t="str">
            <v>Profielen Platen en Wanden M</v>
          </cell>
          <cell r="G441" t="str">
            <v>ZIB00125</v>
          </cell>
          <cell r="H441" t="str">
            <v>bestaand</v>
          </cell>
          <cell r="I441" t="str">
            <v>01.02.2014</v>
          </cell>
          <cell r="J441" t="str">
            <v>Yes</v>
          </cell>
          <cell r="K441" t="str">
            <v>Professional</v>
          </cell>
          <cell r="L441" t="str">
            <v>METAL STUD</v>
          </cell>
          <cell r="M441" t="str">
            <v>MS DB 100</v>
          </cell>
          <cell r="N441" t="str">
            <v>M.S.dB.100 MM 3.00 M</v>
          </cell>
          <cell r="O441" t="str">
            <v>M.S.dB.100 MM 3.00 M</v>
          </cell>
          <cell r="P441" t="str">
            <v>(blanco)</v>
          </cell>
          <cell r="Q441" t="str">
            <v>(blanco)</v>
          </cell>
          <cell r="R441" t="str">
            <v>(blanco)</v>
          </cell>
          <cell r="S441" t="str">
            <v>(blanco)</v>
          </cell>
          <cell r="T441" t="str">
            <v>NBN EN 14195:2015</v>
          </cell>
          <cell r="U441" t="str">
            <v>C</v>
          </cell>
          <cell r="V441" t="str">
            <v>--</v>
          </cell>
          <cell r="AA441" t="str">
            <v>A1</v>
          </cell>
          <cell r="AC441" t="str">
            <v>(blanco)</v>
          </cell>
          <cell r="AD441" t="str">
            <v>(blanco)</v>
          </cell>
          <cell r="AL441" t="str">
            <v>(blanco)</v>
          </cell>
          <cell r="AM441" t="str">
            <v>(blanco)</v>
          </cell>
          <cell r="AN441" t="str">
            <v>(blanco)</v>
          </cell>
          <cell r="AP441">
            <v>50</v>
          </cell>
          <cell r="AR441">
            <v>5.1779999999999999</v>
          </cell>
          <cell r="AS441">
            <v>5.1779999999999999</v>
          </cell>
          <cell r="AT441">
            <v>0</v>
          </cell>
          <cell r="AX441">
            <v>4.95</v>
          </cell>
          <cell r="AY441" t="str">
            <v>01.02.2015</v>
          </cell>
          <cell r="AZ441">
            <v>0</v>
          </cell>
          <cell r="BA441" t="str">
            <v>00.00.0000</v>
          </cell>
          <cell r="BB441" t="str">
            <v>M</v>
          </cell>
          <cell r="BC441" t="str">
            <v>M</v>
          </cell>
          <cell r="BD441" t="str">
            <v>S</v>
          </cell>
          <cell r="BE441">
            <v>5413218565134</v>
          </cell>
        </row>
        <row r="442">
          <cell r="A442" t="str">
            <v>G130467</v>
          </cell>
          <cell r="B442" t="str">
            <v>G130467</v>
          </cell>
          <cell r="C442" t="str">
            <v>D1DCD01D005D032</v>
          </cell>
          <cell r="D442" t="str">
            <v>DIY - Schroeven KAR</v>
          </cell>
          <cell r="E442" t="str">
            <v>D1DC</v>
          </cell>
          <cell r="F442" t="str">
            <v>Toebehoren Bevestigingen *</v>
          </cell>
          <cell r="G442" t="str">
            <v>G130467</v>
          </cell>
          <cell r="H442" t="str">
            <v>bestaand</v>
          </cell>
          <cell r="I442" t="str">
            <v>01.02.2014</v>
          </cell>
          <cell r="J442" t="str">
            <v>Yes</v>
          </cell>
          <cell r="K442" t="str">
            <v>Nee</v>
          </cell>
          <cell r="L442" t="str">
            <v>RIGITONE</v>
          </cell>
          <cell r="M442" t="str">
            <v>CLIMAFIT RIGITONE GOLD TB SCHR</v>
          </cell>
          <cell r="N442" t="str">
            <v>Climafit schroeven TB GOLD 23 MM/1000 ST</v>
          </cell>
          <cell r="O442" t="str">
            <v>Climafit schroeven TB GOLD 23 MM/1000 ST</v>
          </cell>
          <cell r="P442" t="str">
            <v>(blanco)</v>
          </cell>
          <cell r="Q442" t="str">
            <v>(blanco)</v>
          </cell>
          <cell r="R442" t="str">
            <v>(blanco)</v>
          </cell>
          <cell r="S442" t="str">
            <v>(blanco)</v>
          </cell>
          <cell r="T442" t="str">
            <v>NBN EN 14566+A1:2009</v>
          </cell>
          <cell r="U442" t="str">
            <v>UMD</v>
          </cell>
          <cell r="V442" t="str">
            <v>--</v>
          </cell>
          <cell r="AA442" t="str">
            <v>A1</v>
          </cell>
          <cell r="AC442" t="str">
            <v>(blanco)</v>
          </cell>
          <cell r="AD442" t="str">
            <v>(blanco)</v>
          </cell>
          <cell r="AE442">
            <v>0</v>
          </cell>
          <cell r="AL442" t="str">
            <v>(blanco)</v>
          </cell>
          <cell r="AM442" t="str">
            <v>(blanco)</v>
          </cell>
          <cell r="AN442" t="str">
            <v>(blanco)</v>
          </cell>
          <cell r="AP442">
            <v>50</v>
          </cell>
          <cell r="AR442">
            <v>1.87</v>
          </cell>
          <cell r="AS442">
            <v>1.964</v>
          </cell>
          <cell r="AT442">
            <v>0</v>
          </cell>
          <cell r="AX442">
            <v>24.03</v>
          </cell>
          <cell r="AY442" t="str">
            <v>01.02.2015</v>
          </cell>
          <cell r="AZ442">
            <v>0</v>
          </cell>
          <cell r="BA442" t="str">
            <v>00.00.0000</v>
          </cell>
          <cell r="BB442" t="str">
            <v>KAR</v>
          </cell>
          <cell r="BC442" t="str">
            <v>******</v>
          </cell>
          <cell r="BD442">
            <v>2</v>
          </cell>
          <cell r="BE442">
            <v>5413218565141</v>
          </cell>
        </row>
        <row r="443">
          <cell r="A443" t="str">
            <v>G130471</v>
          </cell>
          <cell r="B443" t="str">
            <v>G130471</v>
          </cell>
          <cell r="C443" t="str">
            <v>A1ABA11A003A002</v>
          </cell>
          <cell r="D443" t="str">
            <v>DuraGyp® BA 15/1200 M2</v>
          </cell>
          <cell r="E443" t="str">
            <v>A1AB</v>
          </cell>
          <cell r="F443" t="str">
            <v>Technische platen M2</v>
          </cell>
          <cell r="G443" t="str">
            <v>G130471</v>
          </cell>
          <cell r="H443" t="str">
            <v>bestaand</v>
          </cell>
          <cell r="I443" t="str">
            <v>01.01.2013</v>
          </cell>
          <cell r="J443" t="str">
            <v>No</v>
          </cell>
          <cell r="K443" t="str">
            <v>Nee</v>
          </cell>
          <cell r="L443" t="str">
            <v>Gyproc</v>
          </cell>
          <cell r="M443" t="str">
            <v>DURAGYP STANDAARD OSM</v>
          </cell>
          <cell r="N443" t="str">
            <v>DURA ABA STD 15 X2650X1200 DP/20 ZZB OSM</v>
          </cell>
          <cell r="O443" t="str">
            <v>DURA ABA STD 15 X2650X1200 DP/20 ZZB OSM</v>
          </cell>
          <cell r="P443" t="str">
            <v>geel</v>
          </cell>
          <cell r="Q443" t="str">
            <v>jaune</v>
          </cell>
          <cell r="R443" t="str">
            <v>grijs</v>
          </cell>
          <cell r="S443" t="str">
            <v>gris</v>
          </cell>
          <cell r="T443" t="str">
            <v>NBN EN 520:2009</v>
          </cell>
          <cell r="U443" t="str">
            <v>DFH2IR</v>
          </cell>
          <cell r="V443" t="str">
            <v>DG</v>
          </cell>
          <cell r="Y443" t="str">
            <v>gipsplaat voor droge binnenafbouw</v>
          </cell>
          <cell r="AA443" t="str">
            <v>A2-s1, d0 (B)</v>
          </cell>
          <cell r="AB443" t="str">
            <v>SG GY 2013 A1ABA11A003</v>
          </cell>
          <cell r="AC443" t="str">
            <v>ABA</v>
          </cell>
          <cell r="AD443" t="str">
            <v>ZZB: zichtzijde boven</v>
          </cell>
          <cell r="AE443">
            <v>15</v>
          </cell>
          <cell r="AH443" t="str">
            <v>+/-0.5</v>
          </cell>
          <cell r="AI443">
            <v>0</v>
          </cell>
          <cell r="AJ443">
            <v>0</v>
          </cell>
          <cell r="AK443">
            <v>1206</v>
          </cell>
          <cell r="AL443" t="str">
            <v>&gt; 800</v>
          </cell>
          <cell r="AM443" t="str">
            <v>&gt; 800</v>
          </cell>
          <cell r="AN443" t="str">
            <v>kg/m³</v>
          </cell>
          <cell r="AP443">
            <v>0.25</v>
          </cell>
          <cell r="AQ443">
            <v>0.06</v>
          </cell>
          <cell r="AR443">
            <v>46.427999999999997</v>
          </cell>
          <cell r="AS443">
            <v>48.749000000000002</v>
          </cell>
          <cell r="AT443">
            <v>47.7</v>
          </cell>
          <cell r="AU443" t="str">
            <v>CD3</v>
          </cell>
          <cell r="AV443" t="str">
            <v>DP : Duitse Pallet</v>
          </cell>
          <cell r="AW443">
            <v>3</v>
          </cell>
          <cell r="AX443">
            <v>0</v>
          </cell>
          <cell r="AY443" t="str">
            <v>00.00.0000</v>
          </cell>
          <cell r="AZ443">
            <v>0</v>
          </cell>
          <cell r="BA443" t="str">
            <v>00.00.0000</v>
          </cell>
          <cell r="BD443">
            <v>5</v>
          </cell>
          <cell r="BE443">
            <v>5413218565974</v>
          </cell>
        </row>
        <row r="444">
          <cell r="A444" t="str">
            <v>G130485</v>
          </cell>
          <cell r="B444" t="str">
            <v>G130485</v>
          </cell>
          <cell r="C444" t="str">
            <v>A1ABA11A003A002</v>
          </cell>
          <cell r="D444" t="str">
            <v>DuraGyp® BA 15/1200 M2</v>
          </cell>
          <cell r="E444" t="str">
            <v>A1AB</v>
          </cell>
          <cell r="F444" t="str">
            <v>Technische platen M2</v>
          </cell>
          <cell r="G444" t="str">
            <v>G130485</v>
          </cell>
          <cell r="H444" t="str">
            <v>bestaand</v>
          </cell>
          <cell r="I444" t="str">
            <v>01.01.2013</v>
          </cell>
          <cell r="J444" t="str">
            <v>No</v>
          </cell>
          <cell r="K444" t="str">
            <v>Nee</v>
          </cell>
          <cell r="L444" t="str">
            <v>Gyproc</v>
          </cell>
          <cell r="M444" t="str">
            <v>DURAGYP STANDAARD OSM</v>
          </cell>
          <cell r="N444" t="str">
            <v>DURA ABA STD 15X2600X1200 DP/20 ZZB OSM</v>
          </cell>
          <cell r="O444" t="str">
            <v>DURA ABA STD 15X2600X1200 DP/20 ZZB OSM</v>
          </cell>
          <cell r="P444" t="str">
            <v>geel</v>
          </cell>
          <cell r="Q444" t="str">
            <v>jaune</v>
          </cell>
          <cell r="R444" t="str">
            <v>grijs</v>
          </cell>
          <cell r="S444" t="str">
            <v>gris</v>
          </cell>
          <cell r="T444" t="str">
            <v>NBN EN 520:2009</v>
          </cell>
          <cell r="U444" t="str">
            <v>DFH2IR</v>
          </cell>
          <cell r="V444" t="str">
            <v>DG</v>
          </cell>
          <cell r="Y444" t="str">
            <v>gipsplaat voor droge binnenafbouw</v>
          </cell>
          <cell r="AA444" t="str">
            <v>A2-s1, d0 (B)</v>
          </cell>
          <cell r="AB444" t="str">
            <v>SG GY 2013 A1ABA11A003</v>
          </cell>
          <cell r="AC444" t="str">
            <v>ABA</v>
          </cell>
          <cell r="AD444" t="str">
            <v>ZZB: zichtzijde boven</v>
          </cell>
          <cell r="AE444">
            <v>15</v>
          </cell>
          <cell r="AH444" t="str">
            <v>+/-0.5</v>
          </cell>
          <cell r="AI444">
            <v>0</v>
          </cell>
          <cell r="AJ444">
            <v>0</v>
          </cell>
          <cell r="AK444">
            <v>1206</v>
          </cell>
          <cell r="AL444" t="str">
            <v>&gt; 800</v>
          </cell>
          <cell r="AM444" t="str">
            <v>&gt; 800</v>
          </cell>
          <cell r="AN444" t="str">
            <v>kg/m³</v>
          </cell>
          <cell r="AP444">
            <v>0.25</v>
          </cell>
          <cell r="AQ444">
            <v>0.06</v>
          </cell>
          <cell r="AR444">
            <v>45.552</v>
          </cell>
          <cell r="AS444">
            <v>47.83</v>
          </cell>
          <cell r="AT444">
            <v>46.8</v>
          </cell>
          <cell r="AU444" t="str">
            <v>CD3</v>
          </cell>
          <cell r="AV444" t="str">
            <v>DP : Duitse Pallet</v>
          </cell>
          <cell r="AW444">
            <v>3</v>
          </cell>
          <cell r="AX444">
            <v>0</v>
          </cell>
          <cell r="AY444" t="str">
            <v>00.00.0000</v>
          </cell>
          <cell r="AZ444">
            <v>0</v>
          </cell>
          <cell r="BA444" t="str">
            <v>00.00.0000</v>
          </cell>
          <cell r="BD444" t="str">
            <v>S</v>
          </cell>
          <cell r="BE444">
            <v>5413218566018</v>
          </cell>
        </row>
        <row r="445">
          <cell r="A445" t="str">
            <v>G130782</v>
          </cell>
          <cell r="B445" t="str">
            <v>G130782</v>
          </cell>
          <cell r="C445" t="str">
            <v>D1DCD01D005D034</v>
          </cell>
          <cell r="D445" t="str">
            <v>Ophangdraden *</v>
          </cell>
          <cell r="E445" t="str">
            <v>D1DC</v>
          </cell>
          <cell r="F445" t="str">
            <v>Toebehoren Bevestigingen *</v>
          </cell>
          <cell r="G445" t="str">
            <v>G130782</v>
          </cell>
          <cell r="H445" t="str">
            <v>bestaand</v>
          </cell>
          <cell r="I445" t="str">
            <v>01.01.2013</v>
          </cell>
          <cell r="J445" t="str">
            <v>Yes</v>
          </cell>
          <cell r="K445" t="str">
            <v>Professional</v>
          </cell>
          <cell r="L445" t="str">
            <v>PLAGYP</v>
          </cell>
          <cell r="M445" t="str">
            <v>R155/3000</v>
          </cell>
          <cell r="N445" t="str">
            <v>OPHANGDRAAD Z.OOG R155/3000</v>
          </cell>
          <cell r="O445" t="str">
            <v>Fil de suspension R155/3000</v>
          </cell>
          <cell r="P445" t="str">
            <v>(blanco)</v>
          </cell>
          <cell r="Q445" t="str">
            <v>(blanco)</v>
          </cell>
          <cell r="R445" t="str">
            <v>(blanco)</v>
          </cell>
          <cell r="S445" t="str">
            <v>(blanco)</v>
          </cell>
          <cell r="T445" t="str">
            <v>NBN EN 14195:2015</v>
          </cell>
          <cell r="U445" t="str">
            <v>--</v>
          </cell>
          <cell r="V445" t="str">
            <v>--</v>
          </cell>
          <cell r="AA445" t="str">
            <v>A1</v>
          </cell>
          <cell r="AC445" t="str">
            <v>(blanco)</v>
          </cell>
          <cell r="AD445" t="str">
            <v>(blanco)</v>
          </cell>
          <cell r="AE445">
            <v>4</v>
          </cell>
          <cell r="AL445" t="str">
            <v>(blanco)</v>
          </cell>
          <cell r="AM445" t="str">
            <v>(blanco)</v>
          </cell>
          <cell r="AN445" t="str">
            <v>(blanco)</v>
          </cell>
          <cell r="AP445">
            <v>50</v>
          </cell>
          <cell r="AR445">
            <v>0.125</v>
          </cell>
          <cell r="AS445">
            <v>0.13100000000000001</v>
          </cell>
          <cell r="AT445">
            <v>0</v>
          </cell>
          <cell r="AX445">
            <v>1.51</v>
          </cell>
          <cell r="AY445" t="str">
            <v>01.02.2015</v>
          </cell>
          <cell r="AZ445">
            <v>0</v>
          </cell>
          <cell r="BA445" t="str">
            <v>00.00.0000</v>
          </cell>
          <cell r="BB445" t="str">
            <v>ST</v>
          </cell>
          <cell r="BC445" t="str">
            <v>******</v>
          </cell>
          <cell r="BD445" t="str">
            <v>S</v>
          </cell>
          <cell r="BE445">
            <v>5413218568005</v>
          </cell>
        </row>
        <row r="446">
          <cell r="A446" t="str">
            <v>G130872</v>
          </cell>
          <cell r="C446" t="str">
            <v>C1CBC01C001C018</v>
          </cell>
          <cell r="D446" t="str">
            <v>Rigitone 6/18 M2</v>
          </cell>
          <cell r="E446" t="str">
            <v>C1CB</v>
          </cell>
          <cell r="F446" t="str">
            <v>Rigitone platen</v>
          </cell>
          <cell r="G446" t="str">
            <v>G130872</v>
          </cell>
          <cell r="H446" t="str">
            <v>bestaand</v>
          </cell>
          <cell r="I446" t="str">
            <v>01.02.2014</v>
          </cell>
          <cell r="J446" t="str">
            <v>Yes</v>
          </cell>
          <cell r="K446" t="str">
            <v>Nee</v>
          </cell>
          <cell r="L446" t="str">
            <v>climafit rigitone</v>
          </cell>
          <cell r="M446" t="str">
            <v>CLIMAFIT RIGITONE 6/18</v>
          </cell>
          <cell r="N446" t="str">
            <v>Climafit Rigitone 6/18 BT 10X1998X1188</v>
          </cell>
          <cell r="O446" t="str">
            <v>Climafit Rigitone 6/18 BT 10X1998X1188</v>
          </cell>
          <cell r="P446" t="str">
            <v>ivoor</v>
          </cell>
          <cell r="Q446" t="str">
            <v>ivoire</v>
          </cell>
          <cell r="R446" t="str">
            <v>zwart vlies</v>
          </cell>
          <cell r="S446" t="str">
            <v>voile noir</v>
          </cell>
          <cell r="T446" t="str">
            <v>NBN EN 14190:2014</v>
          </cell>
          <cell r="U446" t="str">
            <v>A</v>
          </cell>
          <cell r="V446" t="str">
            <v>CR</v>
          </cell>
          <cell r="W446" t="str">
            <v>geperforeerde gipskartonplaat met gesneden boorden</v>
          </cell>
          <cell r="Y446" t="str">
            <v>gipsplaat voor droge binnenafbouw</v>
          </cell>
          <cell r="AA446" t="str">
            <v>A2-s1, d0 (C.4)</v>
          </cell>
          <cell r="AC446" t="str">
            <v>GBC</v>
          </cell>
          <cell r="AE446">
            <v>10</v>
          </cell>
          <cell r="AH446" t="str">
            <v>+/-0.5</v>
          </cell>
          <cell r="AI446">
            <v>0</v>
          </cell>
          <cell r="AJ446">
            <v>0</v>
          </cell>
          <cell r="AL446" t="str">
            <v>Geen eisen gesteld</v>
          </cell>
          <cell r="AM446" t="str">
            <v>Pas de exigences</v>
          </cell>
          <cell r="AN446" t="str">
            <v>kg/m³</v>
          </cell>
          <cell r="AP446">
            <v>0.25</v>
          </cell>
          <cell r="AQ446">
            <v>0.04</v>
          </cell>
          <cell r="AR446">
            <v>20.18</v>
          </cell>
          <cell r="AS446">
            <v>21.18</v>
          </cell>
          <cell r="AT446">
            <v>23.736000000000001</v>
          </cell>
          <cell r="AU446" t="str">
            <v>CD3</v>
          </cell>
          <cell r="AX446">
            <v>30.49</v>
          </cell>
          <cell r="AY446" t="str">
            <v>01.02.2015</v>
          </cell>
          <cell r="AZ446">
            <v>0</v>
          </cell>
          <cell r="BA446" t="str">
            <v>00.00.0000</v>
          </cell>
          <cell r="BB446" t="str">
            <v>M2</v>
          </cell>
          <cell r="BC446" t="str">
            <v>M2</v>
          </cell>
          <cell r="BD446">
            <v>2</v>
          </cell>
          <cell r="BE446">
            <v>0</v>
          </cell>
        </row>
        <row r="447">
          <cell r="A447" t="str">
            <v>G130904</v>
          </cell>
          <cell r="C447" t="str">
            <v>A1ABA11A003A002</v>
          </cell>
          <cell r="D447" t="str">
            <v>DuraGyp® BA 15/1200 M2</v>
          </cell>
          <cell r="E447" t="str">
            <v>A1AB</v>
          </cell>
          <cell r="F447" t="str">
            <v>Technische platen M2</v>
          </cell>
          <cell r="G447" t="str">
            <v>G130904</v>
          </cell>
          <cell r="H447" t="str">
            <v>bestaand</v>
          </cell>
          <cell r="I447" t="str">
            <v>01.01.2013</v>
          </cell>
          <cell r="J447" t="str">
            <v>No</v>
          </cell>
          <cell r="K447" t="str">
            <v>Nee</v>
          </cell>
          <cell r="L447" t="str">
            <v>Gyproc</v>
          </cell>
          <cell r="M447" t="str">
            <v>DURAGYP STANDAARD OSM</v>
          </cell>
          <cell r="N447" t="str">
            <v>DURA ABA STD 15X2800X1200 DP/20 ZZB OSM</v>
          </cell>
          <cell r="O447" t="str">
            <v>DURA ABA STD 15X2800X1200 DP/20 ZZB OSM</v>
          </cell>
          <cell r="P447" t="str">
            <v>geel</v>
          </cell>
          <cell r="Q447" t="str">
            <v>jaune</v>
          </cell>
          <cell r="R447" t="str">
            <v>grijs</v>
          </cell>
          <cell r="S447" t="str">
            <v>gris</v>
          </cell>
          <cell r="T447" t="str">
            <v>NBN EN 520:2009</v>
          </cell>
          <cell r="U447" t="str">
            <v>DFH2IR</v>
          </cell>
          <cell r="V447" t="str">
            <v>DG</v>
          </cell>
          <cell r="Y447" t="str">
            <v>gipsplaat voor droge binnenafbouw</v>
          </cell>
          <cell r="AA447" t="str">
            <v>A2-s1, d0 (B)</v>
          </cell>
          <cell r="AB447" t="str">
            <v>SG GY 2013 A1ABA11A003</v>
          </cell>
          <cell r="AC447" t="str">
            <v>ABA</v>
          </cell>
          <cell r="AD447" t="str">
            <v>ZZB: zichtzijde boven</v>
          </cell>
          <cell r="AE447">
            <v>15</v>
          </cell>
          <cell r="AH447" t="str">
            <v>+/-0.5</v>
          </cell>
          <cell r="AI447">
            <v>0</v>
          </cell>
          <cell r="AJ447">
            <v>0</v>
          </cell>
          <cell r="AK447">
            <v>1206</v>
          </cell>
          <cell r="AL447" t="str">
            <v>&gt; 800</v>
          </cell>
          <cell r="AM447" t="str">
            <v>&gt; 800</v>
          </cell>
          <cell r="AN447" t="str">
            <v>kg/m³</v>
          </cell>
          <cell r="AP447">
            <v>0.25</v>
          </cell>
          <cell r="AQ447">
            <v>0.06</v>
          </cell>
          <cell r="AR447">
            <v>49.055999999999997</v>
          </cell>
          <cell r="AS447">
            <v>51.808999999999997</v>
          </cell>
          <cell r="AT447">
            <v>50.4</v>
          </cell>
          <cell r="AU447" t="str">
            <v>CD3</v>
          </cell>
          <cell r="AV447" t="str">
            <v>DP : Duitse Pallet</v>
          </cell>
          <cell r="AW447">
            <v>3</v>
          </cell>
          <cell r="AX447">
            <v>0</v>
          </cell>
          <cell r="AY447" t="str">
            <v>00.00.0000</v>
          </cell>
          <cell r="AZ447">
            <v>0</v>
          </cell>
          <cell r="BA447" t="str">
            <v>00.00.0000</v>
          </cell>
          <cell r="BD447">
            <v>5</v>
          </cell>
          <cell r="BE447">
            <v>5413218568517</v>
          </cell>
        </row>
        <row r="448">
          <cell r="A448" t="str">
            <v>G130917N</v>
          </cell>
          <cell r="C448" t="str">
            <v>C5CBC18C008C008</v>
          </cell>
          <cell r="D448" t="str">
            <v>MSV 150 M</v>
          </cell>
          <cell r="E448" t="str">
            <v>C5CB</v>
          </cell>
          <cell r="F448" t="str">
            <v>Profielen Platen en Wanden M</v>
          </cell>
          <cell r="G448" t="str">
            <v>ZIB00119</v>
          </cell>
          <cell r="H448" t="str">
            <v>bestaand</v>
          </cell>
          <cell r="I448" t="str">
            <v>01.02.2014</v>
          </cell>
          <cell r="J448" t="str">
            <v>Yes</v>
          </cell>
          <cell r="K448" t="str">
            <v>Professional</v>
          </cell>
          <cell r="L448" t="str">
            <v>METAL STUD</v>
          </cell>
          <cell r="M448" t="str">
            <v>MSV150</v>
          </cell>
          <cell r="N448" t="str">
            <v>M.S.VERT.150 MM 2.80 M</v>
          </cell>
          <cell r="O448" t="str">
            <v>M.S.VERT.150 MM 2.80 M</v>
          </cell>
          <cell r="P448" t="str">
            <v>(blanco)</v>
          </cell>
          <cell r="Q448" t="str">
            <v>(blanco)</v>
          </cell>
          <cell r="R448" t="str">
            <v>(blanco)</v>
          </cell>
          <cell r="S448" t="str">
            <v>(blanco)</v>
          </cell>
          <cell r="T448" t="str">
            <v>NBN EN 14195:2015</v>
          </cell>
          <cell r="U448" t="str">
            <v>C</v>
          </cell>
          <cell r="V448" t="str">
            <v>--</v>
          </cell>
          <cell r="AA448" t="str">
            <v>A1</v>
          </cell>
          <cell r="AC448" t="str">
            <v>(blanco)</v>
          </cell>
          <cell r="AD448" t="str">
            <v>(blanco)</v>
          </cell>
          <cell r="AH448">
            <v>-0.5</v>
          </cell>
          <cell r="AI448" t="e">
            <v>#DIV/0!</v>
          </cell>
          <cell r="AJ448">
            <v>0</v>
          </cell>
          <cell r="AL448" t="str">
            <v>(blanco)</v>
          </cell>
          <cell r="AM448" t="str">
            <v>(blanco)</v>
          </cell>
          <cell r="AN448" t="str">
            <v>(blanco)</v>
          </cell>
          <cell r="AP448">
            <v>50</v>
          </cell>
          <cell r="AR448">
            <v>2.016</v>
          </cell>
          <cell r="AS448">
            <v>2.117</v>
          </cell>
          <cell r="AT448">
            <v>0</v>
          </cell>
          <cell r="AX448">
            <v>5.9</v>
          </cell>
          <cell r="AY448" t="str">
            <v>01.02.2015</v>
          </cell>
          <cell r="AZ448">
            <v>0</v>
          </cell>
          <cell r="BA448" t="str">
            <v>00.00.0000</v>
          </cell>
          <cell r="BB448" t="str">
            <v>M</v>
          </cell>
          <cell r="BC448" t="str">
            <v>M</v>
          </cell>
          <cell r="BD448" t="str">
            <v>S</v>
          </cell>
          <cell r="BE448">
            <v>5413218572286</v>
          </cell>
        </row>
        <row r="449">
          <cell r="A449" t="str">
            <v>G130943</v>
          </cell>
          <cell r="C449" t="str">
            <v>D5DAD01D005D001</v>
          </cell>
          <cell r="D449" t="str">
            <v>DIY - ABA-Joint Mix KG</v>
          </cell>
          <cell r="E449" t="str">
            <v>D5DA</v>
          </cell>
          <cell r="F449" t="str">
            <v>Voegproducten KG</v>
          </cell>
          <cell r="G449" t="str">
            <v>G130943</v>
          </cell>
          <cell r="H449" t="str">
            <v>bestaand</v>
          </cell>
          <cell r="I449" t="str">
            <v>01.01.2013</v>
          </cell>
          <cell r="J449" t="str">
            <v>Yes</v>
          </cell>
          <cell r="K449" t="str">
            <v>Doe-Het-Zelver</v>
          </cell>
          <cell r="L449" t="str">
            <v>Gyproc</v>
          </cell>
          <cell r="M449" t="str">
            <v>ABA-JOINT MIX</v>
          </cell>
          <cell r="N449" t="str">
            <v>DIY - ABA-Joint MIX 15 KG EP/33</v>
          </cell>
          <cell r="O449" t="str">
            <v>DIY - ABA Joint MIX 15 KG EP/33</v>
          </cell>
          <cell r="P449" t="str">
            <v>(blanco)</v>
          </cell>
          <cell r="Q449" t="str">
            <v>(blanco)</v>
          </cell>
          <cell r="R449" t="str">
            <v>(blanco)</v>
          </cell>
          <cell r="S449" t="str">
            <v>(blanco)</v>
          </cell>
          <cell r="T449" t="str">
            <v>NBN EN 13963:2014</v>
          </cell>
          <cell r="U449" t="str">
            <v>3A</v>
          </cell>
          <cell r="V449" t="str">
            <v>--</v>
          </cell>
          <cell r="AA449" t="str">
            <v>A1</v>
          </cell>
          <cell r="AC449" t="str">
            <v>(blanco)</v>
          </cell>
          <cell r="AD449" t="str">
            <v>(blanco)</v>
          </cell>
          <cell r="AH449" t="str">
            <v>(blanco)</v>
          </cell>
          <cell r="AI449" t="str">
            <v>(blanco)</v>
          </cell>
          <cell r="AJ449" t="str">
            <v>(blanco)</v>
          </cell>
          <cell r="AL449" t="str">
            <v>(blanco)</v>
          </cell>
          <cell r="AM449" t="str">
            <v>(blanco)</v>
          </cell>
          <cell r="AN449" t="str">
            <v>(blanco)</v>
          </cell>
          <cell r="AP449">
            <v>0.25</v>
          </cell>
          <cell r="AR449">
            <v>15</v>
          </cell>
          <cell r="AS449">
            <v>16.838000000000001</v>
          </cell>
          <cell r="AT449">
            <v>0</v>
          </cell>
          <cell r="AX449">
            <v>42.81</v>
          </cell>
          <cell r="AY449" t="str">
            <v>01.02.2015</v>
          </cell>
          <cell r="AZ449">
            <v>0</v>
          </cell>
          <cell r="BA449" t="str">
            <v>00.00.0000</v>
          </cell>
          <cell r="BB449" t="str">
            <v>ST</v>
          </cell>
          <cell r="BC449" t="str">
            <v>******</v>
          </cell>
          <cell r="BD449" t="str">
            <v>S</v>
          </cell>
          <cell r="BE449">
            <v>5413218568722</v>
          </cell>
        </row>
        <row r="450">
          <cell r="A450" t="str">
            <v>G130959N</v>
          </cell>
          <cell r="B450" t="str">
            <v>G130959</v>
          </cell>
          <cell r="C450" t="str">
            <v>C5CBC18C008C003</v>
          </cell>
          <cell r="D450" t="str">
            <v>MSV 50 M</v>
          </cell>
          <cell r="E450" t="str">
            <v>C5CB</v>
          </cell>
          <cell r="F450" t="str">
            <v>Profielen Platen en Wanden M</v>
          </cell>
          <cell r="G450" t="str">
            <v>ZIB00101</v>
          </cell>
          <cell r="H450" t="str">
            <v>bestaand</v>
          </cell>
          <cell r="I450" t="str">
            <v>01.02.2014</v>
          </cell>
          <cell r="J450" t="str">
            <v>Yes</v>
          </cell>
          <cell r="K450" t="str">
            <v>Professional</v>
          </cell>
          <cell r="L450" t="str">
            <v>METAL STUD</v>
          </cell>
          <cell r="M450" t="str">
            <v>MSV50</v>
          </cell>
          <cell r="N450" t="str">
            <v>M.S.VERT.50 MM 2.50 M</v>
          </cell>
          <cell r="O450" t="str">
            <v>M.S.VERT.50 MM 2.50 M</v>
          </cell>
          <cell r="P450" t="str">
            <v>(blanco)</v>
          </cell>
          <cell r="Q450" t="str">
            <v>(blanco)</v>
          </cell>
          <cell r="R450" t="str">
            <v>(blanco)</v>
          </cell>
          <cell r="S450" t="str">
            <v>(blanco)</v>
          </cell>
          <cell r="T450" t="str">
            <v>NBN EN 14195:2015</v>
          </cell>
          <cell r="U450" t="str">
            <v>C</v>
          </cell>
          <cell r="V450" t="str">
            <v>--</v>
          </cell>
          <cell r="AA450" t="str">
            <v>A1</v>
          </cell>
          <cell r="AC450" t="str">
            <v>(blanco)</v>
          </cell>
          <cell r="AD450" t="str">
            <v>(blanco)</v>
          </cell>
          <cell r="AH450">
            <v>-0.5</v>
          </cell>
          <cell r="AI450" t="e">
            <v>#DIV/0!</v>
          </cell>
          <cell r="AJ450">
            <v>0</v>
          </cell>
          <cell r="AL450" t="str">
            <v>(blanco)</v>
          </cell>
          <cell r="AM450" t="str">
            <v>(blanco)</v>
          </cell>
          <cell r="AN450" t="str">
            <v>(blanco)</v>
          </cell>
          <cell r="AP450">
            <v>50</v>
          </cell>
          <cell r="AR450">
            <v>1.8480000000000001</v>
          </cell>
          <cell r="AS450">
            <v>1.85</v>
          </cell>
          <cell r="AT450">
            <v>0</v>
          </cell>
          <cell r="AX450">
            <v>2.9</v>
          </cell>
          <cell r="AY450" t="str">
            <v>01.02.2015</v>
          </cell>
          <cell r="AZ450">
            <v>0</v>
          </cell>
          <cell r="BA450" t="str">
            <v>00.00.0000</v>
          </cell>
          <cell r="BB450" t="str">
            <v>M</v>
          </cell>
          <cell r="BC450" t="str">
            <v>M</v>
          </cell>
          <cell r="BD450" t="str">
            <v>S</v>
          </cell>
          <cell r="BE450">
            <v>0</v>
          </cell>
        </row>
        <row r="451">
          <cell r="A451" t="str">
            <v>G130974</v>
          </cell>
          <cell r="C451" t="str">
            <v>A1ABA35A003A007</v>
          </cell>
          <cell r="D451" t="str">
            <v>Rigidur H 13 ABA M2</v>
          </cell>
          <cell r="E451" t="str">
            <v>A1AB</v>
          </cell>
          <cell r="F451" t="str">
            <v>Technische platen M2</v>
          </cell>
          <cell r="G451" t="str">
            <v>G130974</v>
          </cell>
          <cell r="H451" t="str">
            <v>bestaand</v>
          </cell>
          <cell r="I451" t="str">
            <v>01.01.2013</v>
          </cell>
          <cell r="J451" t="str">
            <v>Yes</v>
          </cell>
          <cell r="K451" t="str">
            <v>Professional</v>
          </cell>
          <cell r="L451" t="str">
            <v>Rigidur</v>
          </cell>
          <cell r="M451" t="str">
            <v>RIGIDUR GF-H MET ACTIV AIR</v>
          </cell>
          <cell r="N451" t="str">
            <v>Rigidur GF-H 13 AIR ABA 2600X 1200 DP/30</v>
          </cell>
          <cell r="O451" t="str">
            <v>Rigidur GF-H 13 AIR ABA 2600X 1200 DP/30</v>
          </cell>
          <cell r="P451" t="str">
            <v>bruin</v>
          </cell>
          <cell r="Q451" t="str">
            <v>brun</v>
          </cell>
          <cell r="R451" t="str">
            <v>bruin</v>
          </cell>
          <cell r="S451" t="str">
            <v>brun</v>
          </cell>
          <cell r="T451" t="str">
            <v>NBN EN 15283-2:2009</v>
          </cell>
          <cell r="U451" t="str">
            <v>GF-C1-I-W2</v>
          </cell>
          <cell r="V451" t="str">
            <v>RDA</v>
          </cell>
          <cell r="W451" t="str">
            <v>gipsplaat versterkt met glasvliesmat</v>
          </cell>
          <cell r="Y451" t="str">
            <v>gipsvezelplaat voor droge binnenafbouw</v>
          </cell>
          <cell r="AA451" t="str">
            <v>A2-s1, d0</v>
          </cell>
          <cell r="AB451" t="str">
            <v>Rigidur_H_12,5_LE_0413</v>
          </cell>
          <cell r="AC451" t="str">
            <v>ABA</v>
          </cell>
          <cell r="AD451" t="str">
            <v>ZZO: zichtzijde onder</v>
          </cell>
          <cell r="AE451">
            <v>12.5</v>
          </cell>
          <cell r="AH451" t="str">
            <v>+/-0.2</v>
          </cell>
          <cell r="AI451">
            <v>0</v>
          </cell>
          <cell r="AJ451">
            <v>0</v>
          </cell>
          <cell r="AL451" t="str">
            <v>Geen eisen gesteld</v>
          </cell>
          <cell r="AM451" t="str">
            <v>Pas de exigences</v>
          </cell>
          <cell r="AN451" t="str">
            <v>kg/m³</v>
          </cell>
          <cell r="AP451">
            <v>0.35</v>
          </cell>
          <cell r="AQ451">
            <v>0.04</v>
          </cell>
          <cell r="AR451">
            <v>46.8</v>
          </cell>
          <cell r="AS451">
            <v>49.14</v>
          </cell>
          <cell r="AT451">
            <v>40.390999999999998</v>
          </cell>
          <cell r="AU451" t="str">
            <v>CD3</v>
          </cell>
          <cell r="AV451" t="str">
            <v>DP : Duitse Pallet</v>
          </cell>
          <cell r="AW451">
            <v>3</v>
          </cell>
          <cell r="AX451">
            <v>10</v>
          </cell>
          <cell r="AY451" t="str">
            <v>01.02.2015</v>
          </cell>
          <cell r="AZ451">
            <v>0</v>
          </cell>
          <cell r="BA451" t="str">
            <v>00.00.0000</v>
          </cell>
          <cell r="BB451" t="str">
            <v>M2</v>
          </cell>
          <cell r="BC451" t="str">
            <v>M2</v>
          </cell>
          <cell r="BD451">
            <v>5</v>
          </cell>
          <cell r="BE451">
            <v>4002806873501</v>
          </cell>
        </row>
        <row r="452">
          <cell r="A452" t="str">
            <v>G131008</v>
          </cell>
          <cell r="C452" t="str">
            <v>D1DGD01D002D003</v>
          </cell>
          <cell r="D452" t="str">
            <v>Platinum 210 M</v>
          </cell>
          <cell r="E452" t="str">
            <v>D1DG</v>
          </cell>
          <cell r="F452" t="str">
            <v>Toebehoren Pleister *</v>
          </cell>
          <cell r="G452" t="str">
            <v>G131008</v>
          </cell>
          <cell r="H452" t="str">
            <v>bestaand</v>
          </cell>
          <cell r="I452" t="str">
            <v>01.01.2013</v>
          </cell>
          <cell r="J452" t="str">
            <v>Yes</v>
          </cell>
          <cell r="K452" t="str">
            <v>Gyproc Pleisters</v>
          </cell>
          <cell r="L452" t="str">
            <v>PLÂTINUM</v>
          </cell>
          <cell r="M452" t="str">
            <v>PLÂTINUM</v>
          </cell>
          <cell r="N452" t="str">
            <v>Platinum 9mm x 2200 x 210 mm</v>
          </cell>
          <cell r="O452" t="str">
            <v>Platinum 9mm x 2200 x 210 mm</v>
          </cell>
          <cell r="P452" t="str">
            <v>(blanco)</v>
          </cell>
          <cell r="Q452" t="str">
            <v>(blanco)</v>
          </cell>
          <cell r="R452" t="str">
            <v>(blanco)</v>
          </cell>
          <cell r="S452" t="str">
            <v>(blanco)</v>
          </cell>
          <cell r="T452" t="str">
            <v>--</v>
          </cell>
          <cell r="AA452" t="str">
            <v>F</v>
          </cell>
          <cell r="AC452" t="str">
            <v>(blanco)</v>
          </cell>
          <cell r="AD452" t="str">
            <v>(blanco)</v>
          </cell>
          <cell r="AE452">
            <v>9</v>
          </cell>
          <cell r="AH452" t="str">
            <v>+/-0.4</v>
          </cell>
          <cell r="AI452" t="str">
            <v>+/-1</v>
          </cell>
          <cell r="AJ452" t="str">
            <v>+/-5</v>
          </cell>
          <cell r="AL452">
            <v>400</v>
          </cell>
          <cell r="AM452">
            <v>400</v>
          </cell>
          <cell r="AN452" t="str">
            <v>g/m</v>
          </cell>
          <cell r="AP452">
            <v>5.3999999999999999E-2</v>
          </cell>
          <cell r="AQ452">
            <v>0.17</v>
          </cell>
          <cell r="AR452">
            <v>1.52</v>
          </cell>
          <cell r="AS452">
            <v>1.59</v>
          </cell>
          <cell r="AT452">
            <v>0.53500000000000003</v>
          </cell>
          <cell r="AU452" t="str">
            <v>HL</v>
          </cell>
          <cell r="AV452" t="str">
            <v>WP : Wegwerppallet</v>
          </cell>
          <cell r="AW452">
            <v>7</v>
          </cell>
          <cell r="AX452">
            <v>6.49</v>
          </cell>
          <cell r="AY452" t="str">
            <v>01.02.2015</v>
          </cell>
          <cell r="AZ452">
            <v>0</v>
          </cell>
          <cell r="BA452" t="str">
            <v>00.00.0000</v>
          </cell>
          <cell r="BB452" t="str">
            <v>M</v>
          </cell>
          <cell r="BC452" t="str">
            <v>M</v>
          </cell>
          <cell r="BD452" t="str">
            <v>S</v>
          </cell>
          <cell r="BE452">
            <v>5413218569279</v>
          </cell>
        </row>
        <row r="453">
          <cell r="A453" t="str">
            <v>G131009</v>
          </cell>
          <cell r="C453" t="str">
            <v>D1DGD01D002D003</v>
          </cell>
          <cell r="D453" t="str">
            <v>Platinum 210 M</v>
          </cell>
          <cell r="E453" t="str">
            <v>D1DG</v>
          </cell>
          <cell r="F453" t="str">
            <v>Toebehoren Pleister *</v>
          </cell>
          <cell r="G453" t="str">
            <v>G131009</v>
          </cell>
          <cell r="H453" t="str">
            <v>bestaand</v>
          </cell>
          <cell r="I453" t="str">
            <v>01.01.2013</v>
          </cell>
          <cell r="J453" t="str">
            <v>Yes</v>
          </cell>
          <cell r="K453" t="str">
            <v>Gyproc Pleisters</v>
          </cell>
          <cell r="L453" t="str">
            <v>PLÂTINUM</v>
          </cell>
          <cell r="M453" t="str">
            <v>PLÂTINUM</v>
          </cell>
          <cell r="N453" t="str">
            <v>Platinum 9mm x 2600 x 210 mm</v>
          </cell>
          <cell r="O453" t="str">
            <v>Platinum 9mm x 2600 x 210 mm</v>
          </cell>
          <cell r="P453" t="str">
            <v>(blanco)</v>
          </cell>
          <cell r="Q453" t="str">
            <v>(blanco)</v>
          </cell>
          <cell r="R453" t="str">
            <v>(blanco)</v>
          </cell>
          <cell r="S453" t="str">
            <v>(blanco)</v>
          </cell>
          <cell r="T453" t="str">
            <v>--</v>
          </cell>
          <cell r="AA453" t="str">
            <v>F</v>
          </cell>
          <cell r="AC453" t="str">
            <v>(blanco)</v>
          </cell>
          <cell r="AD453" t="str">
            <v>(blanco)</v>
          </cell>
          <cell r="AE453">
            <v>9</v>
          </cell>
          <cell r="AH453" t="str">
            <v>+/-0.4</v>
          </cell>
          <cell r="AI453" t="str">
            <v>+/-1</v>
          </cell>
          <cell r="AJ453" t="str">
            <v>+/-5</v>
          </cell>
          <cell r="AL453">
            <v>400</v>
          </cell>
          <cell r="AM453">
            <v>400</v>
          </cell>
          <cell r="AN453" t="str">
            <v>g/m</v>
          </cell>
          <cell r="AP453">
            <v>5.3999999999999999E-2</v>
          </cell>
          <cell r="AQ453">
            <v>0.17</v>
          </cell>
          <cell r="AR453">
            <v>1.95</v>
          </cell>
          <cell r="AS453">
            <v>2.0499999999999998</v>
          </cell>
          <cell r="AT453">
            <v>0.63200000000000001</v>
          </cell>
          <cell r="AU453" t="str">
            <v>M3</v>
          </cell>
          <cell r="AV453" t="str">
            <v>WP : Wegwerppallet</v>
          </cell>
          <cell r="AW453">
            <v>7</v>
          </cell>
          <cell r="AX453">
            <v>6.49</v>
          </cell>
          <cell r="AY453" t="str">
            <v>01.02.2015</v>
          </cell>
          <cell r="AZ453">
            <v>0</v>
          </cell>
          <cell r="BA453" t="str">
            <v>00.00.0000</v>
          </cell>
          <cell r="BB453" t="str">
            <v>M</v>
          </cell>
          <cell r="BC453" t="str">
            <v>M</v>
          </cell>
          <cell r="BD453" t="str">
            <v>S</v>
          </cell>
          <cell r="BE453">
            <v>5413218569286</v>
          </cell>
        </row>
        <row r="454">
          <cell r="A454" t="str">
            <v>G131010</v>
          </cell>
          <cell r="C454" t="str">
            <v>D1DGD01D002D003</v>
          </cell>
          <cell r="D454" t="str">
            <v>Platinum 210 M</v>
          </cell>
          <cell r="E454" t="str">
            <v>D1DG</v>
          </cell>
          <cell r="F454" t="str">
            <v>Toebehoren Pleister *</v>
          </cell>
          <cell r="G454" t="str">
            <v>G131010</v>
          </cell>
          <cell r="H454" t="str">
            <v>bestaand</v>
          </cell>
          <cell r="I454" t="str">
            <v>01.01.2013</v>
          </cell>
          <cell r="J454" t="str">
            <v>Yes</v>
          </cell>
          <cell r="K454" t="str">
            <v>Gyproc Pleisters</v>
          </cell>
          <cell r="L454" t="str">
            <v>PLÂTINUM</v>
          </cell>
          <cell r="M454" t="str">
            <v>PLÂTINUM</v>
          </cell>
          <cell r="N454" t="str">
            <v>Platinum 9mm x 3000 x 210 mm</v>
          </cell>
          <cell r="O454" t="str">
            <v>Platinum 9mm x 3000 x 210 mm</v>
          </cell>
          <cell r="P454" t="str">
            <v>(blanco)</v>
          </cell>
          <cell r="Q454" t="str">
            <v>(blanco)</v>
          </cell>
          <cell r="R454" t="str">
            <v>(blanco)</v>
          </cell>
          <cell r="S454" t="str">
            <v>(blanco)</v>
          </cell>
          <cell r="T454" t="str">
            <v>--</v>
          </cell>
          <cell r="AA454" t="str">
            <v>F</v>
          </cell>
          <cell r="AC454" t="str">
            <v>(blanco)</v>
          </cell>
          <cell r="AD454" t="str">
            <v>(blanco)</v>
          </cell>
          <cell r="AE454">
            <v>9</v>
          </cell>
          <cell r="AH454" t="str">
            <v>+/-0.4</v>
          </cell>
          <cell r="AI454" t="str">
            <v>+/-1</v>
          </cell>
          <cell r="AJ454" t="str">
            <v>+/-5</v>
          </cell>
          <cell r="AL454">
            <v>400</v>
          </cell>
          <cell r="AM454">
            <v>400</v>
          </cell>
          <cell r="AN454" t="str">
            <v>g/m</v>
          </cell>
          <cell r="AP454">
            <v>5.3999999999999999E-2</v>
          </cell>
          <cell r="AQ454">
            <v>0.17</v>
          </cell>
          <cell r="AR454">
            <v>2.7</v>
          </cell>
          <cell r="AS454">
            <v>2.83</v>
          </cell>
          <cell r="AT454">
            <v>7.2999999999999995E-2</v>
          </cell>
          <cell r="AU454" t="str">
            <v>M3</v>
          </cell>
          <cell r="AV454" t="str">
            <v>WP : Wegwerppallet</v>
          </cell>
          <cell r="AW454">
            <v>7</v>
          </cell>
          <cell r="AX454">
            <v>6.49</v>
          </cell>
          <cell r="AY454" t="str">
            <v>01.02.2015</v>
          </cell>
          <cell r="AZ454">
            <v>0</v>
          </cell>
          <cell r="BA454" t="str">
            <v>00.00.0000</v>
          </cell>
          <cell r="BB454" t="str">
            <v>M</v>
          </cell>
          <cell r="BC454" t="str">
            <v>M</v>
          </cell>
          <cell r="BD454" t="str">
            <v>S</v>
          </cell>
          <cell r="BE454">
            <v>5413218569293</v>
          </cell>
        </row>
        <row r="455">
          <cell r="A455" t="str">
            <v>G131024</v>
          </cell>
          <cell r="C455" t="str">
            <v>C1CGC01C003C014</v>
          </cell>
          <cell r="D455" t="str">
            <v>Gyptone® Big Curve M2</v>
          </cell>
          <cell r="E455" t="str">
            <v>C1CG</v>
          </cell>
          <cell r="F455" t="str">
            <v>Gyptone platen M2</v>
          </cell>
          <cell r="G455" t="str">
            <v>G131024</v>
          </cell>
          <cell r="H455" t="str">
            <v>bestaand</v>
          </cell>
          <cell r="I455" t="str">
            <v>01.01.2013</v>
          </cell>
          <cell r="J455" t="str">
            <v>Yes</v>
          </cell>
          <cell r="K455" t="str">
            <v>Professional</v>
          </cell>
          <cell r="L455" t="str">
            <v>GYPTONE</v>
          </cell>
          <cell r="M455" t="str">
            <v>GYPTONE BIG CURVE BASE 31</v>
          </cell>
          <cell r="N455" t="str">
            <v>GYPT BIG CURVE Base 31 6.5X2400X1200</v>
          </cell>
          <cell r="O455" t="str">
            <v>Gyptone® Quattro 46 13 120/240</v>
          </cell>
          <cell r="P455" t="str">
            <v>ivoor</v>
          </cell>
          <cell r="Q455" t="str">
            <v>ivoire</v>
          </cell>
          <cell r="R455" t="str">
            <v>grijs</v>
          </cell>
          <cell r="S455" t="str">
            <v>gris</v>
          </cell>
          <cell r="T455" t="str">
            <v>NBN EN 14190:2014</v>
          </cell>
          <cell r="U455" t="str">
            <v>A</v>
          </cell>
          <cell r="V455" t="str">
            <v>GTC</v>
          </cell>
          <cell r="W455" t="str">
            <v>geperforeerde gipskartonplaat met 2 afgeschuinde boorden</v>
          </cell>
          <cell r="Y455" t="str">
            <v>gipsplaat voor droge binnenafbouw</v>
          </cell>
          <cell r="AA455" t="str">
            <v>B-s1, d0 (C.4)</v>
          </cell>
          <cell r="AB455" t="str">
            <v>DoP_GYP_14190-5-v1</v>
          </cell>
          <cell r="AC455" t="str">
            <v>ABA</v>
          </cell>
          <cell r="AE455">
            <v>6.5</v>
          </cell>
          <cell r="AH455" t="str">
            <v>+/-0.5</v>
          </cell>
          <cell r="AI455">
            <v>0</v>
          </cell>
          <cell r="AJ455">
            <v>0</v>
          </cell>
          <cell r="AL455" t="str">
            <v>Geen eisen gesteld</v>
          </cell>
          <cell r="AM455" t="str">
            <v>Pas de exigences</v>
          </cell>
          <cell r="AN455" t="str">
            <v>kg/m³</v>
          </cell>
          <cell r="AP455">
            <v>0.25</v>
          </cell>
          <cell r="AR455">
            <v>18.72</v>
          </cell>
          <cell r="AS455">
            <v>19.655999999999999</v>
          </cell>
          <cell r="AT455">
            <v>36</v>
          </cell>
          <cell r="AU455" t="str">
            <v>CD3</v>
          </cell>
          <cell r="AX455">
            <v>10.71</v>
          </cell>
          <cell r="AY455" t="str">
            <v>01.02.2015</v>
          </cell>
          <cell r="AZ455">
            <v>0</v>
          </cell>
          <cell r="BA455" t="str">
            <v>00.00.0000</v>
          </cell>
          <cell r="BB455" t="str">
            <v>M2</v>
          </cell>
          <cell r="BC455" t="str">
            <v>M2</v>
          </cell>
          <cell r="BD455">
            <v>3</v>
          </cell>
          <cell r="BE455">
            <v>7318936623877</v>
          </cell>
        </row>
        <row r="456">
          <cell r="A456" t="str">
            <v>G131025</v>
          </cell>
          <cell r="C456" t="str">
            <v>C1CGC03C005C002</v>
          </cell>
          <cell r="D456" t="str">
            <v>Gyptone Activ'Air Curve Quattro platen M</v>
          </cell>
          <cell r="E456" t="str">
            <v>C1CG</v>
          </cell>
          <cell r="F456" t="str">
            <v>Gyptone platen M2</v>
          </cell>
          <cell r="G456" t="str">
            <v>G131025</v>
          </cell>
          <cell r="H456" t="str">
            <v>bestaand</v>
          </cell>
          <cell r="I456" t="str">
            <v>01.01.2013</v>
          </cell>
          <cell r="J456" t="str">
            <v>Yes</v>
          </cell>
          <cell r="K456" t="str">
            <v>Professional</v>
          </cell>
          <cell r="L456" t="str">
            <v>GYPTONE</v>
          </cell>
          <cell r="M456" t="str">
            <v>GYPTONE BIG CURVE QUATTRO 41</v>
          </cell>
          <cell r="N456" t="str">
            <v>GYPT BIG CURVE Quattro 41 6.5 2400X1200</v>
          </cell>
          <cell r="O456" t="str">
            <v>GYPT BIG CURVE Quattro 41 6.5 2400X1200</v>
          </cell>
          <cell r="P456" t="str">
            <v>ivoor</v>
          </cell>
          <cell r="Q456" t="str">
            <v>ivoire</v>
          </cell>
          <cell r="R456" t="str">
            <v>wit vlies</v>
          </cell>
          <cell r="S456" t="str">
            <v>voile blanc</v>
          </cell>
          <cell r="T456" t="str">
            <v>NBN EN 14190:2014</v>
          </cell>
          <cell r="U456" t="str">
            <v>A</v>
          </cell>
          <cell r="V456" t="str">
            <v>GTC</v>
          </cell>
          <cell r="W456" t="str">
            <v>geperforeerde gipskartonplaat met 2 afgeschuinde boorden</v>
          </cell>
          <cell r="Y456" t="str">
            <v>gipsplaat voor droge binnenafbouw</v>
          </cell>
          <cell r="AA456" t="str">
            <v>B-s1, d0 (C.4)</v>
          </cell>
          <cell r="AB456" t="str">
            <v>DoP_GYP_14190-5-v1</v>
          </cell>
          <cell r="AC456" t="str">
            <v>ABA</v>
          </cell>
          <cell r="AE456">
            <v>6.5</v>
          </cell>
          <cell r="AH456" t="str">
            <v>+/-0.5</v>
          </cell>
          <cell r="AI456">
            <v>0</v>
          </cell>
          <cell r="AJ456">
            <v>0</v>
          </cell>
          <cell r="AL456" t="str">
            <v>Geen eisen gesteld</v>
          </cell>
          <cell r="AM456" t="str">
            <v>Pas de exigences</v>
          </cell>
          <cell r="AN456" t="str">
            <v>kg/m³</v>
          </cell>
          <cell r="AP456">
            <v>0.25</v>
          </cell>
          <cell r="AR456">
            <v>15.84</v>
          </cell>
          <cell r="AS456">
            <v>16.632000000000001</v>
          </cell>
          <cell r="AT456">
            <v>36</v>
          </cell>
          <cell r="AU456" t="str">
            <v>CD3</v>
          </cell>
          <cell r="AX456">
            <v>24.53</v>
          </cell>
          <cell r="AY456" t="str">
            <v>01.02.2015</v>
          </cell>
          <cell r="AZ456">
            <v>0</v>
          </cell>
          <cell r="BA456" t="str">
            <v>00.00.0000</v>
          </cell>
          <cell r="BB456" t="str">
            <v>M2</v>
          </cell>
          <cell r="BC456" t="str">
            <v>M2</v>
          </cell>
          <cell r="BD456" t="str">
            <v>S</v>
          </cell>
          <cell r="BE456">
            <v>7318936623853</v>
          </cell>
        </row>
        <row r="457">
          <cell r="A457" t="str">
            <v>G131026</v>
          </cell>
          <cell r="C457" t="str">
            <v>C1CGC01C003C014</v>
          </cell>
          <cell r="D457" t="str">
            <v>Gyptone® Big Curve M2</v>
          </cell>
          <cell r="E457" t="str">
            <v>C1CG</v>
          </cell>
          <cell r="F457" t="str">
            <v>Gyptone platen M2</v>
          </cell>
          <cell r="G457" t="str">
            <v>G131026</v>
          </cell>
          <cell r="H457" t="str">
            <v>bestaand</v>
          </cell>
          <cell r="I457" t="str">
            <v>01.01.2013</v>
          </cell>
          <cell r="J457" t="str">
            <v>Yes</v>
          </cell>
          <cell r="K457" t="str">
            <v>Professional</v>
          </cell>
          <cell r="L457" t="str">
            <v>GYPTONE</v>
          </cell>
          <cell r="M457" t="str">
            <v>GYPTONE BIG CURVE LINE 6</v>
          </cell>
          <cell r="N457" t="str">
            <v>GYPT BIG CURVE Line 6 6.5 2400X1200</v>
          </cell>
          <cell r="O457" t="str">
            <v>GYPT BIG CURVE Line 6 6.5 2400X1200</v>
          </cell>
          <cell r="P457" t="str">
            <v>ivoor</v>
          </cell>
          <cell r="Q457" t="str">
            <v>ivoire</v>
          </cell>
          <cell r="R457" t="str">
            <v>wit vlies</v>
          </cell>
          <cell r="S457" t="str">
            <v>voile blanc</v>
          </cell>
          <cell r="T457" t="str">
            <v>NBN EN 14190:2014</v>
          </cell>
          <cell r="U457" t="str">
            <v>A</v>
          </cell>
          <cell r="V457" t="str">
            <v>GTC</v>
          </cell>
          <cell r="W457" t="str">
            <v>geperforeerde gipskartonplaat met 2 afgeschuinde boorden</v>
          </cell>
          <cell r="Y457" t="str">
            <v>gipsplaat voor droge binnenafbouw</v>
          </cell>
          <cell r="AA457" t="str">
            <v>B-s1, d0 (C.4)</v>
          </cell>
          <cell r="AB457" t="str">
            <v>DoP_GYP_14190-5-v1</v>
          </cell>
          <cell r="AC457" t="str">
            <v>ABA</v>
          </cell>
          <cell r="AE457">
            <v>6.5</v>
          </cell>
          <cell r="AH457" t="str">
            <v>+/-0.5</v>
          </cell>
          <cell r="AI457">
            <v>0</v>
          </cell>
          <cell r="AJ457">
            <v>0</v>
          </cell>
          <cell r="AL457" t="str">
            <v>Geen eisen gesteld</v>
          </cell>
          <cell r="AM457" t="str">
            <v>Pas de exigences</v>
          </cell>
          <cell r="AN457" t="str">
            <v>kg/m³</v>
          </cell>
          <cell r="AP457">
            <v>0.25</v>
          </cell>
          <cell r="AR457">
            <v>16.416</v>
          </cell>
          <cell r="AS457">
            <v>17.236999999999998</v>
          </cell>
          <cell r="AT457">
            <v>36</v>
          </cell>
          <cell r="AU457" t="str">
            <v>CD3</v>
          </cell>
          <cell r="AX457">
            <v>24.53</v>
          </cell>
          <cell r="AY457" t="str">
            <v>01.02.2015</v>
          </cell>
          <cell r="AZ457">
            <v>0</v>
          </cell>
          <cell r="BA457" t="str">
            <v>00.00.0000</v>
          </cell>
          <cell r="BB457" t="str">
            <v>M2</v>
          </cell>
          <cell r="BC457" t="str">
            <v>M2</v>
          </cell>
          <cell r="BD457">
            <v>3</v>
          </cell>
          <cell r="BE457">
            <v>7318936623846</v>
          </cell>
        </row>
        <row r="458">
          <cell r="A458" t="str">
            <v>G131027</v>
          </cell>
          <cell r="C458" t="str">
            <v>C1CGC01C003C014</v>
          </cell>
          <cell r="D458" t="str">
            <v>Gyptone® Big Curve M2</v>
          </cell>
          <cell r="E458" t="str">
            <v>C1CG</v>
          </cell>
          <cell r="F458" t="str">
            <v>Gyptone platen M2</v>
          </cell>
          <cell r="G458" t="str">
            <v>G131027</v>
          </cell>
          <cell r="H458" t="str">
            <v>bestaand</v>
          </cell>
          <cell r="I458" t="str">
            <v>01.01.2013</v>
          </cell>
          <cell r="J458" t="str">
            <v>Yes</v>
          </cell>
          <cell r="K458" t="str">
            <v>Professional</v>
          </cell>
          <cell r="L458" t="str">
            <v>GYPTONE</v>
          </cell>
          <cell r="M458" t="str">
            <v>GYPTONE BIG CURVE SIXTO 63</v>
          </cell>
          <cell r="N458" t="str">
            <v>GYPT BIG CURVE Sixto 63 6.5 2400X1200</v>
          </cell>
          <cell r="O458" t="str">
            <v>GYPT BIG CURVE Sixto 63 6.5 2400X1200</v>
          </cell>
          <cell r="P458" t="str">
            <v>ivoor</v>
          </cell>
          <cell r="Q458" t="str">
            <v>ivoire</v>
          </cell>
          <cell r="R458" t="str">
            <v>wit vlies</v>
          </cell>
          <cell r="S458" t="str">
            <v>voile blanc</v>
          </cell>
          <cell r="T458" t="str">
            <v>NBN EN 14190:2014</v>
          </cell>
          <cell r="U458" t="str">
            <v>A</v>
          </cell>
          <cell r="V458" t="str">
            <v>GTC</v>
          </cell>
          <cell r="W458" t="str">
            <v>geperforeerde gipskartonplaat met 2 afgeschuinde boorden</v>
          </cell>
          <cell r="Y458" t="str">
            <v>gipsplaat voor droge binnenafbouw</v>
          </cell>
          <cell r="AA458" t="str">
            <v>B-s1, d0 (C.4)</v>
          </cell>
          <cell r="AB458" t="str">
            <v>DoP_GYP_14190-5-v1</v>
          </cell>
          <cell r="AC458" t="str">
            <v>ABA</v>
          </cell>
          <cell r="AE458">
            <v>6.5</v>
          </cell>
          <cell r="AH458" t="str">
            <v>+/-0.5</v>
          </cell>
          <cell r="AI458">
            <v>0</v>
          </cell>
          <cell r="AJ458">
            <v>0</v>
          </cell>
          <cell r="AL458" t="str">
            <v>Geen eisen gesteld</v>
          </cell>
          <cell r="AM458" t="str">
            <v>Pas de exigences</v>
          </cell>
          <cell r="AN458" t="str">
            <v>kg/m³</v>
          </cell>
          <cell r="AP458">
            <v>0.25</v>
          </cell>
          <cell r="AR458">
            <v>15.84</v>
          </cell>
          <cell r="AS458">
            <v>16.632000000000001</v>
          </cell>
          <cell r="AT458">
            <v>36</v>
          </cell>
          <cell r="AU458" t="str">
            <v>CD3</v>
          </cell>
          <cell r="AX458">
            <v>24.53</v>
          </cell>
          <cell r="AY458" t="str">
            <v>01.02.2015</v>
          </cell>
          <cell r="AZ458">
            <v>0</v>
          </cell>
          <cell r="BA458" t="str">
            <v>00.00.0000</v>
          </cell>
          <cell r="BB458" t="str">
            <v>M2</v>
          </cell>
          <cell r="BC458" t="str">
            <v>M2</v>
          </cell>
          <cell r="BD458">
            <v>3</v>
          </cell>
          <cell r="BE458">
            <v>7318936623860</v>
          </cell>
        </row>
        <row r="459">
          <cell r="A459" t="str">
            <v>G131034</v>
          </cell>
          <cell r="C459" t="str">
            <v>C1CAC01C003C005</v>
          </cell>
          <cell r="D459" t="str">
            <v>Line Instant pakket *</v>
          </cell>
          <cell r="E459" t="str">
            <v>C1CA</v>
          </cell>
          <cell r="F459" t="str">
            <v>Gyptone plafonds</v>
          </cell>
          <cell r="G459" t="str">
            <v>ZIB00236</v>
          </cell>
          <cell r="H459" t="str">
            <v>bestaand</v>
          </cell>
          <cell r="I459" t="str">
            <v>01.02.2014</v>
          </cell>
          <cell r="J459" t="str">
            <v>Yes</v>
          </cell>
          <cell r="K459" t="str">
            <v>Prof + DIY</v>
          </cell>
          <cell r="L459" t="str">
            <v>GYPTONE</v>
          </cell>
          <cell r="M459" t="str">
            <v>GYPTONE INSTANT</v>
          </cell>
          <cell r="N459" t="str">
            <v>Gyptone INSTANT Line 4 wit pakket</v>
          </cell>
          <cell r="O459" t="str">
            <v>Kit Gyptone® Instant Line 4</v>
          </cell>
          <cell r="P459" t="str">
            <v>ivoor</v>
          </cell>
          <cell r="Q459" t="str">
            <v>ivoire</v>
          </cell>
          <cell r="R459" t="str">
            <v>geel MW</v>
          </cell>
          <cell r="S459" t="str">
            <v>MW jaune</v>
          </cell>
          <cell r="T459" t="str">
            <v>--</v>
          </cell>
          <cell r="AA459" t="str">
            <v>(blanco)</v>
          </cell>
          <cell r="AC459" t="str">
            <v>B</v>
          </cell>
          <cell r="AE459">
            <v>12.5</v>
          </cell>
          <cell r="AH459" t="str">
            <v>+/-0.5</v>
          </cell>
          <cell r="AI459" t="str">
            <v>(blanco)</v>
          </cell>
          <cell r="AJ459" t="str">
            <v>(blanco)</v>
          </cell>
          <cell r="AL459" t="str">
            <v>Geen eisen gesteld</v>
          </cell>
          <cell r="AM459" t="str">
            <v>Pas de exigences</v>
          </cell>
          <cell r="AN459" t="str">
            <v>kg/m³</v>
          </cell>
          <cell r="AR459">
            <v>6</v>
          </cell>
          <cell r="AS459">
            <v>16</v>
          </cell>
          <cell r="AT459">
            <v>18.72</v>
          </cell>
          <cell r="AU459" t="str">
            <v>CD3</v>
          </cell>
          <cell r="AX459">
            <v>207.04</v>
          </cell>
          <cell r="AY459" t="str">
            <v>01.02.2015</v>
          </cell>
          <cell r="AZ459">
            <v>0</v>
          </cell>
          <cell r="BA459" t="str">
            <v>00.00.0000</v>
          </cell>
          <cell r="BB459" t="str">
            <v>ST</v>
          </cell>
          <cell r="BC459" t="str">
            <v>******</v>
          </cell>
          <cell r="BD459">
            <v>1</v>
          </cell>
          <cell r="BE459">
            <v>5413218570947</v>
          </cell>
        </row>
        <row r="460">
          <cell r="A460" t="str">
            <v>G131035</v>
          </cell>
          <cell r="C460" t="str">
            <v>C1CAC01C001C009</v>
          </cell>
          <cell r="D460" t="str">
            <v>Quattro Instant pakket *</v>
          </cell>
          <cell r="E460" t="str">
            <v>C1CA</v>
          </cell>
          <cell r="F460" t="str">
            <v>Gyptone plafonds</v>
          </cell>
          <cell r="G460" t="str">
            <v>ZIB00236</v>
          </cell>
          <cell r="H460" t="str">
            <v>bestaand</v>
          </cell>
          <cell r="I460" t="str">
            <v>01.02.2014</v>
          </cell>
          <cell r="J460" t="str">
            <v>Yes</v>
          </cell>
          <cell r="K460" t="str">
            <v>Prof + DIY</v>
          </cell>
          <cell r="L460" t="str">
            <v>GYPTONE</v>
          </cell>
          <cell r="M460" t="str">
            <v>GYPTONE INSTANT</v>
          </cell>
          <cell r="N460" t="str">
            <v>Gyptone INSTANT Quattro 20 wit pakket</v>
          </cell>
          <cell r="O460" t="str">
            <v>Kit Gyptone® Instant Quattro 20</v>
          </cell>
          <cell r="P460" t="str">
            <v>ivoor</v>
          </cell>
          <cell r="Q460" t="str">
            <v>ivoire</v>
          </cell>
          <cell r="R460" t="str">
            <v>geel MW</v>
          </cell>
          <cell r="S460" t="str">
            <v>MW jaune</v>
          </cell>
          <cell r="T460" t="str">
            <v>--</v>
          </cell>
          <cell r="AA460" t="str">
            <v>(blanco)</v>
          </cell>
          <cell r="AC460" t="str">
            <v>B</v>
          </cell>
          <cell r="AE460">
            <v>12.5</v>
          </cell>
          <cell r="AH460" t="str">
            <v>+/-0.5</v>
          </cell>
          <cell r="AI460" t="str">
            <v>(blanco)</v>
          </cell>
          <cell r="AJ460" t="str">
            <v>(blanco)</v>
          </cell>
          <cell r="AL460" t="str">
            <v>Geen eisen gesteld</v>
          </cell>
          <cell r="AM460" t="str">
            <v>Pas de exigences</v>
          </cell>
          <cell r="AN460" t="str">
            <v>kg/m³</v>
          </cell>
          <cell r="AR460">
            <v>6</v>
          </cell>
          <cell r="AS460">
            <v>16</v>
          </cell>
          <cell r="AT460">
            <v>18.72</v>
          </cell>
          <cell r="AU460" t="str">
            <v>CD3</v>
          </cell>
          <cell r="AX460">
            <v>207.04</v>
          </cell>
          <cell r="AY460" t="str">
            <v>01.02.2015</v>
          </cell>
          <cell r="AZ460">
            <v>0</v>
          </cell>
          <cell r="BA460" t="str">
            <v>00.00.0000</v>
          </cell>
          <cell r="BB460" t="str">
            <v>ST</v>
          </cell>
          <cell r="BC460" t="str">
            <v>******</v>
          </cell>
          <cell r="BD460">
            <v>1</v>
          </cell>
          <cell r="BE460">
            <v>5413218570954</v>
          </cell>
        </row>
        <row r="461">
          <cell r="A461" t="str">
            <v>G131036</v>
          </cell>
          <cell r="C461" t="str">
            <v>C1CAC01C005C009</v>
          </cell>
          <cell r="D461" t="str">
            <v>Point Instant pakket *</v>
          </cell>
          <cell r="E461" t="str">
            <v>C1CA</v>
          </cell>
          <cell r="F461" t="str">
            <v>Gyptone plafonds</v>
          </cell>
          <cell r="G461" t="str">
            <v>ZIB00236</v>
          </cell>
          <cell r="H461" t="str">
            <v>bestaand</v>
          </cell>
          <cell r="I461" t="str">
            <v>01.02.2014</v>
          </cell>
          <cell r="J461" t="str">
            <v>Yes</v>
          </cell>
          <cell r="K461" t="str">
            <v>Prof + DIY</v>
          </cell>
          <cell r="L461" t="str">
            <v>GYPTONE</v>
          </cell>
          <cell r="M461" t="str">
            <v>GYPTONE INSTANT</v>
          </cell>
          <cell r="N461" t="str">
            <v>Gyptone INSTANT Point 11 wit pakket</v>
          </cell>
          <cell r="O461" t="str">
            <v>Kit Gyptone® Instant Point 11</v>
          </cell>
          <cell r="P461" t="str">
            <v>ivoor</v>
          </cell>
          <cell r="Q461" t="str">
            <v>ivoire</v>
          </cell>
          <cell r="R461" t="str">
            <v>geel MW</v>
          </cell>
          <cell r="S461" t="str">
            <v>MW jaune</v>
          </cell>
          <cell r="T461" t="str">
            <v>--</v>
          </cell>
          <cell r="AA461" t="str">
            <v>(blanco)</v>
          </cell>
          <cell r="AC461" t="str">
            <v>B</v>
          </cell>
          <cell r="AE461">
            <v>12.5</v>
          </cell>
          <cell r="AH461" t="str">
            <v>+/-0.5</v>
          </cell>
          <cell r="AI461" t="str">
            <v>(blanco)</v>
          </cell>
          <cell r="AJ461" t="str">
            <v>(blanco)</v>
          </cell>
          <cell r="AL461" t="str">
            <v>Geen eisen gesteld</v>
          </cell>
          <cell r="AM461" t="str">
            <v>Pas de exigences</v>
          </cell>
          <cell r="AN461" t="str">
            <v>kg/m³</v>
          </cell>
          <cell r="AR461">
            <v>6</v>
          </cell>
          <cell r="AS461">
            <v>16</v>
          </cell>
          <cell r="AT461">
            <v>18.72</v>
          </cell>
          <cell r="AU461" t="str">
            <v>CD3</v>
          </cell>
          <cell r="AX461">
            <v>207.04</v>
          </cell>
          <cell r="AY461" t="str">
            <v>01.02.2015</v>
          </cell>
          <cell r="AZ461">
            <v>0</v>
          </cell>
          <cell r="BA461" t="str">
            <v>00.00.0000</v>
          </cell>
          <cell r="BB461" t="str">
            <v>ST</v>
          </cell>
          <cell r="BC461" t="str">
            <v>******</v>
          </cell>
          <cell r="BD461">
            <v>1</v>
          </cell>
          <cell r="BE461">
            <v>5413218570961</v>
          </cell>
        </row>
        <row r="462">
          <cell r="A462" t="str">
            <v>G131037</v>
          </cell>
          <cell r="C462" t="str">
            <v>C1CAC01C009C006</v>
          </cell>
          <cell r="D462" t="str">
            <v>Sixto Instant pakket *</v>
          </cell>
          <cell r="E462" t="str">
            <v>C1CA</v>
          </cell>
          <cell r="F462" t="str">
            <v>Gyptone plafonds</v>
          </cell>
          <cell r="G462" t="str">
            <v>ZIB00236</v>
          </cell>
          <cell r="H462" t="str">
            <v>bestaand</v>
          </cell>
          <cell r="I462" t="str">
            <v>01.02.2014</v>
          </cell>
          <cell r="J462" t="str">
            <v>Yes</v>
          </cell>
          <cell r="K462" t="str">
            <v>Prof + DIY</v>
          </cell>
          <cell r="L462" t="str">
            <v>GYPTONE</v>
          </cell>
          <cell r="M462" t="str">
            <v>GYPTONE INSTANT</v>
          </cell>
          <cell r="N462" t="str">
            <v>Gyptone INSTANT Sixto 60 wit pakket</v>
          </cell>
          <cell r="O462" t="str">
            <v>Kit Gyptone® Instant Sixto 60</v>
          </cell>
          <cell r="P462" t="str">
            <v>ivoor</v>
          </cell>
          <cell r="Q462" t="str">
            <v>ivoire</v>
          </cell>
          <cell r="R462" t="str">
            <v>geel MW</v>
          </cell>
          <cell r="S462" t="str">
            <v>MW jaune</v>
          </cell>
          <cell r="T462" t="str">
            <v>--</v>
          </cell>
          <cell r="AA462" t="str">
            <v>(blanco)</v>
          </cell>
          <cell r="AC462" t="str">
            <v>B</v>
          </cell>
          <cell r="AE462">
            <v>12.5</v>
          </cell>
          <cell r="AH462" t="str">
            <v>+/-0.5</v>
          </cell>
          <cell r="AI462" t="str">
            <v>(blanco)</v>
          </cell>
          <cell r="AJ462" t="str">
            <v>(blanco)</v>
          </cell>
          <cell r="AL462" t="str">
            <v>Geen eisen gesteld</v>
          </cell>
          <cell r="AM462" t="str">
            <v>Pas de exigences</v>
          </cell>
          <cell r="AN462" t="str">
            <v>kg/m³</v>
          </cell>
          <cell r="AR462">
            <v>6</v>
          </cell>
          <cell r="AS462">
            <v>16</v>
          </cell>
          <cell r="AT462">
            <v>18.72</v>
          </cell>
          <cell r="AU462" t="str">
            <v>CD3</v>
          </cell>
          <cell r="AX462">
            <v>207.04</v>
          </cell>
          <cell r="AY462" t="str">
            <v>01.02.2015</v>
          </cell>
          <cell r="AZ462">
            <v>0</v>
          </cell>
          <cell r="BA462" t="str">
            <v>00.00.0000</v>
          </cell>
          <cell r="BB462" t="str">
            <v>ST</v>
          </cell>
          <cell r="BC462" t="str">
            <v>******</v>
          </cell>
          <cell r="BD462">
            <v>1</v>
          </cell>
          <cell r="BE462">
            <v>5413218570978</v>
          </cell>
        </row>
        <row r="463">
          <cell r="A463" t="str">
            <v>G131059</v>
          </cell>
          <cell r="C463" t="str">
            <v>F5FAF01F002F004</v>
          </cell>
          <cell r="D463" t="str">
            <v>Rigitone Montagehulp *</v>
          </cell>
          <cell r="E463" t="str">
            <v>F5FA</v>
          </cell>
          <cell r="F463" t="str">
            <v>Gereedschap bevestigingen *</v>
          </cell>
          <cell r="G463" t="str">
            <v>G131059</v>
          </cell>
          <cell r="H463" t="str">
            <v>bestaand</v>
          </cell>
          <cell r="I463" t="str">
            <v>01.01.2013</v>
          </cell>
          <cell r="J463" t="str">
            <v>Yes</v>
          </cell>
          <cell r="K463" t="str">
            <v>Professional</v>
          </cell>
          <cell r="L463" t="str">
            <v>RIGITONE</v>
          </cell>
          <cell r="M463" t="str">
            <v>RIGITONE FIX KOKERDEKSEL</v>
          </cell>
          <cell r="N463" t="str">
            <v>Rigitone Fix kokerdeksel Grijs</v>
          </cell>
          <cell r="O463" t="str">
            <v>Couvercle de cartouche Rigit. Fix Gris</v>
          </cell>
          <cell r="P463" t="str">
            <v>(blanco)</v>
          </cell>
          <cell r="Q463" t="str">
            <v>(blanco)</v>
          </cell>
          <cell r="R463" t="str">
            <v>(blanco)</v>
          </cell>
          <cell r="S463" t="str">
            <v>(blanco)</v>
          </cell>
          <cell r="T463" t="str">
            <v>--</v>
          </cell>
          <cell r="AA463" t="str">
            <v>(blanco)</v>
          </cell>
          <cell r="AC463" t="str">
            <v>(blanco)</v>
          </cell>
          <cell r="AD463" t="str">
            <v>(blanco)</v>
          </cell>
          <cell r="AH463" t="str">
            <v>(blanco)</v>
          </cell>
          <cell r="AI463" t="str">
            <v>(blanco)</v>
          </cell>
          <cell r="AJ463" t="str">
            <v>(blanco)</v>
          </cell>
          <cell r="AL463" t="str">
            <v>(blanco)</v>
          </cell>
          <cell r="AM463" t="str">
            <v>(blanco)</v>
          </cell>
          <cell r="AN463" t="str">
            <v>(blanco)</v>
          </cell>
          <cell r="AR463">
            <v>0.5</v>
          </cell>
          <cell r="AS463">
            <v>0.5</v>
          </cell>
          <cell r="AT463">
            <v>0</v>
          </cell>
          <cell r="AX463">
            <v>6.27</v>
          </cell>
          <cell r="AY463" t="str">
            <v>01.02.2015</v>
          </cell>
          <cell r="AZ463">
            <v>0</v>
          </cell>
          <cell r="BA463" t="str">
            <v>00.00.0000</v>
          </cell>
          <cell r="BB463" t="str">
            <v>KAR</v>
          </cell>
          <cell r="BC463" t="str">
            <v>******</v>
          </cell>
          <cell r="BD463" t="str">
            <v>S</v>
          </cell>
          <cell r="BE463">
            <v>0</v>
          </cell>
        </row>
        <row r="464">
          <cell r="A464" t="str">
            <v>G131060</v>
          </cell>
          <cell r="C464" t="str">
            <v>F5FAF01F002F004</v>
          </cell>
          <cell r="D464" t="str">
            <v>Rigitone Montagehulp *</v>
          </cell>
          <cell r="E464" t="str">
            <v>F5FA</v>
          </cell>
          <cell r="F464" t="str">
            <v>Gereedschap bevestigingen *</v>
          </cell>
          <cell r="G464" t="str">
            <v>G131060</v>
          </cell>
          <cell r="H464" t="str">
            <v>bestaand</v>
          </cell>
          <cell r="I464" t="str">
            <v>01.01.2013</v>
          </cell>
          <cell r="J464" t="str">
            <v>Yes</v>
          </cell>
          <cell r="K464" t="str">
            <v>Professional</v>
          </cell>
          <cell r="L464" t="str">
            <v>RIGITONE</v>
          </cell>
          <cell r="M464" t="str">
            <v>RIGITONE FIX SPUITKOKER</v>
          </cell>
          <cell r="N464" t="str">
            <v>Rigitone Fix Spuitkoker Zwart</v>
          </cell>
          <cell r="O464" t="str">
            <v>Cartouche Rigitone Fix Noire</v>
          </cell>
          <cell r="P464" t="str">
            <v>(blanco)</v>
          </cell>
          <cell r="Q464" t="str">
            <v>(blanco)</v>
          </cell>
          <cell r="R464" t="str">
            <v>(blanco)</v>
          </cell>
          <cell r="S464" t="str">
            <v>(blanco)</v>
          </cell>
          <cell r="T464" t="str">
            <v>--</v>
          </cell>
          <cell r="AA464" t="str">
            <v>(blanco)</v>
          </cell>
          <cell r="AC464" t="str">
            <v>(blanco)</v>
          </cell>
          <cell r="AD464" t="str">
            <v>(blanco)</v>
          </cell>
          <cell r="AH464" t="str">
            <v>(blanco)</v>
          </cell>
          <cell r="AI464" t="str">
            <v>(blanco)</v>
          </cell>
          <cell r="AJ464" t="str">
            <v>(blanco)</v>
          </cell>
          <cell r="AL464" t="str">
            <v>(blanco)</v>
          </cell>
          <cell r="AM464" t="str">
            <v>(blanco)</v>
          </cell>
          <cell r="AN464" t="str">
            <v>(blanco)</v>
          </cell>
          <cell r="AR464">
            <v>0.5</v>
          </cell>
          <cell r="AS464">
            <v>0.5</v>
          </cell>
          <cell r="AT464">
            <v>0</v>
          </cell>
          <cell r="AX464">
            <v>22.35</v>
          </cell>
          <cell r="AY464" t="str">
            <v>01.02.2015</v>
          </cell>
          <cell r="AZ464">
            <v>0</v>
          </cell>
          <cell r="BA464" t="str">
            <v>00.00.0000</v>
          </cell>
          <cell r="BB464" t="str">
            <v>KAR</v>
          </cell>
          <cell r="BC464" t="str">
            <v>******</v>
          </cell>
          <cell r="BD464" t="str">
            <v>S</v>
          </cell>
          <cell r="BE464">
            <v>0</v>
          </cell>
        </row>
        <row r="465">
          <cell r="A465" t="str">
            <v>G131061</v>
          </cell>
          <cell r="C465" t="str">
            <v>F5FAF01F002F004</v>
          </cell>
          <cell r="D465" t="str">
            <v>Rigitone Montagehulp *</v>
          </cell>
          <cell r="E465" t="str">
            <v>F5FA</v>
          </cell>
          <cell r="F465" t="str">
            <v>Gereedschap bevestigingen *</v>
          </cell>
          <cell r="G465" t="str">
            <v>G131061</v>
          </cell>
          <cell r="H465" t="str">
            <v>bestaand</v>
          </cell>
          <cell r="I465" t="str">
            <v>01.01.2013</v>
          </cell>
          <cell r="J465" t="str">
            <v>Yes</v>
          </cell>
          <cell r="K465" t="str">
            <v>Professional</v>
          </cell>
          <cell r="L465" t="str">
            <v>RIGITONE</v>
          </cell>
          <cell r="M465" t="str">
            <v>RIGITONE FIX SPUITMOND</v>
          </cell>
          <cell r="N465" t="str">
            <v>Rigitone Fix Spuitmond Blauw</v>
          </cell>
          <cell r="O465" t="str">
            <v>Embout Rigitone Fix Bleu</v>
          </cell>
          <cell r="P465" t="str">
            <v>(blanco)</v>
          </cell>
          <cell r="Q465" t="str">
            <v>(blanco)</v>
          </cell>
          <cell r="R465" t="str">
            <v>(blanco)</v>
          </cell>
          <cell r="S465" t="str">
            <v>(blanco)</v>
          </cell>
          <cell r="T465" t="str">
            <v>--</v>
          </cell>
          <cell r="AA465" t="str">
            <v>(blanco)</v>
          </cell>
          <cell r="AC465" t="str">
            <v>(blanco)</v>
          </cell>
          <cell r="AD465" t="str">
            <v>(blanco)</v>
          </cell>
          <cell r="AH465" t="str">
            <v>(blanco)</v>
          </cell>
          <cell r="AI465" t="str">
            <v>(blanco)</v>
          </cell>
          <cell r="AJ465" t="str">
            <v>(blanco)</v>
          </cell>
          <cell r="AL465" t="str">
            <v>(blanco)</v>
          </cell>
          <cell r="AM465" t="str">
            <v>(blanco)</v>
          </cell>
          <cell r="AN465" t="str">
            <v>(blanco)</v>
          </cell>
          <cell r="AR465">
            <v>0.5</v>
          </cell>
          <cell r="AS465">
            <v>0.5</v>
          </cell>
          <cell r="AT465">
            <v>0</v>
          </cell>
          <cell r="AX465">
            <v>5.95</v>
          </cell>
          <cell r="AY465" t="str">
            <v>01.02.2015</v>
          </cell>
          <cell r="AZ465">
            <v>0</v>
          </cell>
          <cell r="BA465" t="str">
            <v>00.00.0000</v>
          </cell>
          <cell r="BB465" t="str">
            <v>KAR</v>
          </cell>
          <cell r="BC465" t="str">
            <v>******</v>
          </cell>
          <cell r="BD465" t="str">
            <v>S</v>
          </cell>
          <cell r="BE465">
            <v>0</v>
          </cell>
        </row>
        <row r="466">
          <cell r="A466" t="str">
            <v>G131062</v>
          </cell>
          <cell r="C466" t="str">
            <v>F5FAF01F002F004</v>
          </cell>
          <cell r="D466" t="str">
            <v>Rigitone Montagehulp *</v>
          </cell>
          <cell r="E466" t="str">
            <v>F5FA</v>
          </cell>
          <cell r="F466" t="str">
            <v>Gereedschap bevestigingen *</v>
          </cell>
          <cell r="G466" t="str">
            <v>G131062</v>
          </cell>
          <cell r="H466" t="str">
            <v>bestaand</v>
          </cell>
          <cell r="I466" t="str">
            <v>01.01.2013</v>
          </cell>
          <cell r="J466" t="str">
            <v>Yes</v>
          </cell>
          <cell r="K466" t="str">
            <v>Professional</v>
          </cell>
          <cell r="L466" t="str">
            <v>RIGITONE</v>
          </cell>
          <cell r="M466" t="str">
            <v>RIGITONE FIX PLUNJERSCHIJF</v>
          </cell>
          <cell r="N466" t="str">
            <v>Rigitone Fix Plunjerschijf Grijs</v>
          </cell>
          <cell r="O466" t="str">
            <v>Disque Poinçon Rigitone Fix Gris</v>
          </cell>
          <cell r="P466" t="str">
            <v>(blanco)</v>
          </cell>
          <cell r="Q466" t="str">
            <v>(blanco)</v>
          </cell>
          <cell r="R466" t="str">
            <v>(blanco)</v>
          </cell>
          <cell r="S466" t="str">
            <v>(blanco)</v>
          </cell>
          <cell r="T466" t="str">
            <v>--</v>
          </cell>
          <cell r="AA466" t="str">
            <v>(blanco)</v>
          </cell>
          <cell r="AC466" t="str">
            <v>(blanco)</v>
          </cell>
          <cell r="AD466" t="str">
            <v>(blanco)</v>
          </cell>
          <cell r="AH466" t="str">
            <v>(blanco)</v>
          </cell>
          <cell r="AI466" t="str">
            <v>(blanco)</v>
          </cell>
          <cell r="AJ466" t="str">
            <v>(blanco)</v>
          </cell>
          <cell r="AL466" t="str">
            <v>(blanco)</v>
          </cell>
          <cell r="AM466" t="str">
            <v>(blanco)</v>
          </cell>
          <cell r="AN466" t="str">
            <v>(blanco)</v>
          </cell>
          <cell r="AR466">
            <v>0.5</v>
          </cell>
          <cell r="AS466">
            <v>0.5</v>
          </cell>
          <cell r="AT466">
            <v>0</v>
          </cell>
          <cell r="AX466">
            <v>6.11</v>
          </cell>
          <cell r="AY466" t="str">
            <v>01.02.2015</v>
          </cell>
          <cell r="AZ466">
            <v>0</v>
          </cell>
          <cell r="BA466" t="str">
            <v>00.00.0000</v>
          </cell>
          <cell r="BB466" t="str">
            <v>KAR</v>
          </cell>
          <cell r="BC466" t="str">
            <v>******</v>
          </cell>
          <cell r="BD466" t="str">
            <v>S</v>
          </cell>
          <cell r="BE466">
            <v>0</v>
          </cell>
        </row>
        <row r="467">
          <cell r="A467" t="str">
            <v>G131074</v>
          </cell>
          <cell r="C467" t="str">
            <v>C1CGC03C002C001</v>
          </cell>
          <cell r="D467" t="str">
            <v>Gyptone Activ'Air Line SP platen M2</v>
          </cell>
          <cell r="E467" t="str">
            <v>C1CG</v>
          </cell>
          <cell r="F467" t="str">
            <v>Gyptone platen M2</v>
          </cell>
          <cell r="G467" t="str">
            <v>G131074</v>
          </cell>
          <cell r="H467" t="str">
            <v>bestaand</v>
          </cell>
          <cell r="I467" t="str">
            <v>01.01.2013</v>
          </cell>
          <cell r="J467" t="str">
            <v>Yes</v>
          </cell>
          <cell r="K467" t="str">
            <v>Professional</v>
          </cell>
          <cell r="L467" t="str">
            <v>GYPTONE</v>
          </cell>
          <cell r="M467" t="str">
            <v>GYPTONE BIG LINE 5</v>
          </cell>
          <cell r="N467" t="str">
            <v>Gyptone®Activ'Air®Line5 13 90/270</v>
          </cell>
          <cell r="O467" t="str">
            <v>Gyptone®Activ'Air®Line5 13 90/270</v>
          </cell>
          <cell r="P467" t="str">
            <v>ivoor</v>
          </cell>
          <cell r="Q467" t="str">
            <v>ivoire</v>
          </cell>
          <cell r="R467" t="str">
            <v>wit vlies</v>
          </cell>
          <cell r="S467" t="str">
            <v>voile blanc</v>
          </cell>
          <cell r="T467" t="str">
            <v>NBN EN 14190:2014</v>
          </cell>
          <cell r="U467" t="str">
            <v>A</v>
          </cell>
          <cell r="V467" t="str">
            <v>GT</v>
          </cell>
          <cell r="W467" t="str">
            <v>geperforeerde gipskartonplaat met 4 afgeschuinde boorden</v>
          </cell>
          <cell r="Y467" t="str">
            <v>gipsplaat voor droge binnenafbouw</v>
          </cell>
          <cell r="AA467" t="str">
            <v>A2-s1, d0 (C.4)</v>
          </cell>
          <cell r="AB467" t="str">
            <v>DoP_GYP_14190-2-v1</v>
          </cell>
          <cell r="AC467" t="str">
            <v>4xABA</v>
          </cell>
          <cell r="AE467">
            <v>12.5</v>
          </cell>
          <cell r="AH467" t="str">
            <v>+/-0.5</v>
          </cell>
          <cell r="AI467">
            <v>0</v>
          </cell>
          <cell r="AJ467">
            <v>0</v>
          </cell>
          <cell r="AL467" t="str">
            <v>Geen eisen gesteld</v>
          </cell>
          <cell r="AM467" t="str">
            <v>Pas de exigences</v>
          </cell>
          <cell r="AN467" t="str">
            <v>kg/m³</v>
          </cell>
          <cell r="AP467">
            <v>0.25</v>
          </cell>
          <cell r="AR467">
            <v>19.440000000000001</v>
          </cell>
          <cell r="AS467">
            <v>20.411999999999999</v>
          </cell>
          <cell r="AT467">
            <v>31.59</v>
          </cell>
          <cell r="AU467" t="str">
            <v>CD3</v>
          </cell>
          <cell r="AX467">
            <v>18.440000000000001</v>
          </cell>
          <cell r="AY467" t="str">
            <v>01.02.2015</v>
          </cell>
          <cell r="AZ467">
            <v>0</v>
          </cell>
          <cell r="BA467" t="str">
            <v>00.00.0000</v>
          </cell>
          <cell r="BB467" t="str">
            <v>M2</v>
          </cell>
          <cell r="BC467" t="str">
            <v>M2</v>
          </cell>
          <cell r="BD467">
            <v>3</v>
          </cell>
          <cell r="BE467">
            <v>7318936605934</v>
          </cell>
        </row>
        <row r="468">
          <cell r="A468" t="str">
            <v>G131075</v>
          </cell>
          <cell r="C468" t="str">
            <v>C1CGC03C001C001</v>
          </cell>
          <cell r="D468" t="str">
            <v>Gyptone Activ'Air Quattro SP platen M2</v>
          </cell>
          <cell r="E468" t="str">
            <v>C1CG</v>
          </cell>
          <cell r="F468" t="str">
            <v>Gyptone platen M2</v>
          </cell>
          <cell r="G468" t="str">
            <v>G131075</v>
          </cell>
          <cell r="H468" t="str">
            <v>bestaand</v>
          </cell>
          <cell r="I468" t="str">
            <v>01.01.2013</v>
          </cell>
          <cell r="J468" t="str">
            <v>Yes</v>
          </cell>
          <cell r="K468" t="str">
            <v>Professional</v>
          </cell>
          <cell r="L468" t="str">
            <v>GYPTONE</v>
          </cell>
          <cell r="M468" t="str">
            <v>GYPTONE BIG QUATTRO 40</v>
          </cell>
          <cell r="N468" t="str">
            <v>Gyptone®Activ'Air®Quat40 13 120/240</v>
          </cell>
          <cell r="O468" t="str">
            <v>Gyptone®Activ'Air®Quat40 13 120/240</v>
          </cell>
          <cell r="P468" t="str">
            <v>ivoor</v>
          </cell>
          <cell r="Q468" t="str">
            <v>ivoire</v>
          </cell>
          <cell r="R468" t="str">
            <v>wit vlies</v>
          </cell>
          <cell r="S468" t="str">
            <v>voile blanc</v>
          </cell>
          <cell r="T468" t="str">
            <v>NBN EN 14190:2014</v>
          </cell>
          <cell r="U468" t="str">
            <v>A</v>
          </cell>
          <cell r="V468" t="str">
            <v>GT</v>
          </cell>
          <cell r="W468" t="str">
            <v>geperforeerde gipskartonplaat met 4 afgeschuinde boorden</v>
          </cell>
          <cell r="Y468" t="str">
            <v>gipsplaat voor droge binnenafbouw</v>
          </cell>
          <cell r="AA468" t="str">
            <v>A2-s1, d0 (C.4)</v>
          </cell>
          <cell r="AB468" t="str">
            <v>DoP_GYP_14190-2-v1</v>
          </cell>
          <cell r="AC468" t="str">
            <v>4xABA</v>
          </cell>
          <cell r="AE468">
            <v>12.5</v>
          </cell>
          <cell r="AH468" t="str">
            <v>+/-0.5</v>
          </cell>
          <cell r="AI468">
            <v>0</v>
          </cell>
          <cell r="AJ468">
            <v>0</v>
          </cell>
          <cell r="AL468" t="str">
            <v>Geen eisen gesteld</v>
          </cell>
          <cell r="AM468" t="str">
            <v>Pas de exigences</v>
          </cell>
          <cell r="AN468" t="str">
            <v>kg/m³</v>
          </cell>
          <cell r="AP468">
            <v>0.25</v>
          </cell>
          <cell r="AR468">
            <v>25.1</v>
          </cell>
          <cell r="AS468">
            <v>25.12</v>
          </cell>
          <cell r="AT468">
            <v>37.44</v>
          </cell>
          <cell r="AU468" t="str">
            <v>CD3</v>
          </cell>
          <cell r="AX468">
            <v>20.13</v>
          </cell>
          <cell r="AY468" t="str">
            <v>01.02.2015</v>
          </cell>
          <cell r="AZ468">
            <v>0</v>
          </cell>
          <cell r="BA468" t="str">
            <v>00.00.0000</v>
          </cell>
          <cell r="BB468" t="str">
            <v>M2</v>
          </cell>
          <cell r="BC468" t="str">
            <v>M2</v>
          </cell>
          <cell r="BD468" t="str">
            <v>S</v>
          </cell>
          <cell r="BE468">
            <v>7318936641741</v>
          </cell>
        </row>
        <row r="469">
          <cell r="A469" t="str">
            <v>G131076</v>
          </cell>
          <cell r="C469" t="str">
            <v>C1CGC03C001C001</v>
          </cell>
          <cell r="D469" t="str">
            <v>Gyptone Activ'Air Quattro SP platen M2</v>
          </cell>
          <cell r="E469" t="str">
            <v>C1CG</v>
          </cell>
          <cell r="F469" t="str">
            <v>Gyptone platen M2</v>
          </cell>
          <cell r="G469" t="str">
            <v>G131076</v>
          </cell>
          <cell r="H469" t="str">
            <v>bestaand</v>
          </cell>
          <cell r="I469" t="str">
            <v>01.01.2013</v>
          </cell>
          <cell r="J469" t="str">
            <v>Yes</v>
          </cell>
          <cell r="K469" t="str">
            <v>Professional</v>
          </cell>
          <cell r="L469" t="str">
            <v>GYPTONE</v>
          </cell>
          <cell r="M469" t="str">
            <v>GYPTONE BIG QUATTRO 43</v>
          </cell>
          <cell r="N469" t="str">
            <v>Gyptone®Activ'Air®Quat43 13 90/270</v>
          </cell>
          <cell r="O469" t="str">
            <v>Gyptone®Activ'Air®Quat43 13 90/270</v>
          </cell>
          <cell r="P469" t="str">
            <v>ivoor</v>
          </cell>
          <cell r="Q469" t="str">
            <v>ivoire</v>
          </cell>
          <cell r="R469" t="str">
            <v>wit vlies</v>
          </cell>
          <cell r="S469" t="str">
            <v>voile blanc</v>
          </cell>
          <cell r="T469" t="str">
            <v>NBN EN 14190:2014</v>
          </cell>
          <cell r="U469" t="str">
            <v>A</v>
          </cell>
          <cell r="V469" t="str">
            <v>GT</v>
          </cell>
          <cell r="W469" t="str">
            <v>geperforeerde gipskartonplaat met 4 afgeschuinde boorden</v>
          </cell>
          <cell r="Y469" t="str">
            <v>gipsplaat voor droge binnenafbouw</v>
          </cell>
          <cell r="AA469" t="str">
            <v>A2-s1, d0 (C.4)</v>
          </cell>
          <cell r="AB469" t="str">
            <v>DoP_GYP_14190-2-v1</v>
          </cell>
          <cell r="AC469" t="str">
            <v>4xABA</v>
          </cell>
          <cell r="AE469">
            <v>12.5</v>
          </cell>
          <cell r="AH469" t="str">
            <v>+/-0.5</v>
          </cell>
          <cell r="AI469">
            <v>0</v>
          </cell>
          <cell r="AJ469">
            <v>0</v>
          </cell>
          <cell r="AL469" t="str">
            <v>Geen eisen gesteld</v>
          </cell>
          <cell r="AM469" t="str">
            <v>Pas de exigences</v>
          </cell>
          <cell r="AN469" t="str">
            <v>kg/m³</v>
          </cell>
          <cell r="AP469">
            <v>0.25</v>
          </cell>
          <cell r="AR469">
            <v>19.239999999999998</v>
          </cell>
          <cell r="AS469">
            <v>19.564</v>
          </cell>
          <cell r="AT469">
            <v>31.59</v>
          </cell>
          <cell r="AU469" t="str">
            <v>CD3</v>
          </cell>
          <cell r="AX469">
            <v>18.440000000000001</v>
          </cell>
          <cell r="AY469" t="str">
            <v>01.02.2015</v>
          </cell>
          <cell r="AZ469">
            <v>0</v>
          </cell>
          <cell r="BA469" t="str">
            <v>00.00.0000</v>
          </cell>
          <cell r="BB469" t="str">
            <v>M2</v>
          </cell>
          <cell r="BC469" t="str">
            <v>M2</v>
          </cell>
          <cell r="BD469">
            <v>3</v>
          </cell>
          <cell r="BE469">
            <v>7318936632527</v>
          </cell>
        </row>
        <row r="470">
          <cell r="A470" t="str">
            <v>G131077</v>
          </cell>
          <cell r="C470" t="str">
            <v>C1CGC03C001C001</v>
          </cell>
          <cell r="D470" t="str">
            <v>Gyptone Activ'Air Quattro SP platen M2</v>
          </cell>
          <cell r="E470" t="str">
            <v>C1CG</v>
          </cell>
          <cell r="F470" t="str">
            <v>Gyptone platen M2</v>
          </cell>
          <cell r="G470" t="str">
            <v>G131077</v>
          </cell>
          <cell r="H470" t="str">
            <v>bestaand</v>
          </cell>
          <cell r="I470" t="str">
            <v>01.01.2013</v>
          </cell>
          <cell r="J470" t="str">
            <v>Yes</v>
          </cell>
          <cell r="K470" t="str">
            <v>Professional</v>
          </cell>
          <cell r="L470" t="str">
            <v>GYPTONE</v>
          </cell>
          <cell r="M470" t="str">
            <v>GYPTONE BIG QUATTRO 44</v>
          </cell>
          <cell r="N470" t="str">
            <v>Gyptone®Activ'Air®Quat44 13 120/240</v>
          </cell>
          <cell r="O470" t="str">
            <v>Gyptone®Activ'Air®Quat 44 13 120/240</v>
          </cell>
          <cell r="P470" t="str">
            <v>ivoor</v>
          </cell>
          <cell r="Q470" t="str">
            <v>ivoire</v>
          </cell>
          <cell r="R470" t="str">
            <v>wit vlies</v>
          </cell>
          <cell r="S470" t="str">
            <v>voile blanc</v>
          </cell>
          <cell r="T470" t="str">
            <v>NBN EN 14190:2014</v>
          </cell>
          <cell r="U470" t="str">
            <v>A</v>
          </cell>
          <cell r="V470" t="str">
            <v>GT</v>
          </cell>
          <cell r="W470" t="str">
            <v>geperforeerde gipskartonplaat met 4 afgeschuinde boorden</v>
          </cell>
          <cell r="Y470" t="str">
            <v>gipsplaat voor droge binnenafbouw</v>
          </cell>
          <cell r="AA470" t="str">
            <v>A2-s1, d0 (C.4)</v>
          </cell>
          <cell r="AB470" t="str">
            <v>DoP_GYP_14190-2-v1</v>
          </cell>
          <cell r="AC470" t="str">
            <v>4xABA</v>
          </cell>
          <cell r="AE470">
            <v>12.5</v>
          </cell>
          <cell r="AH470" t="str">
            <v>+/-0.5</v>
          </cell>
          <cell r="AI470">
            <v>0</v>
          </cell>
          <cell r="AJ470">
            <v>0</v>
          </cell>
          <cell r="AL470" t="str">
            <v>Geen eisen gesteld</v>
          </cell>
          <cell r="AM470" t="str">
            <v>Pas de exigences</v>
          </cell>
          <cell r="AN470" t="str">
            <v>kg/m³</v>
          </cell>
          <cell r="AP470">
            <v>0.25</v>
          </cell>
          <cell r="AR470">
            <v>25.1</v>
          </cell>
          <cell r="AS470">
            <v>25.12</v>
          </cell>
          <cell r="AT470">
            <v>37.44</v>
          </cell>
          <cell r="AU470" t="str">
            <v>CD3</v>
          </cell>
          <cell r="AX470">
            <v>20.13</v>
          </cell>
          <cell r="AY470" t="str">
            <v>01.02.2015</v>
          </cell>
          <cell r="AZ470">
            <v>0</v>
          </cell>
          <cell r="BA470" t="str">
            <v>00.00.0000</v>
          </cell>
          <cell r="BB470" t="str">
            <v>M2</v>
          </cell>
          <cell r="BC470" t="str">
            <v>M2</v>
          </cell>
          <cell r="BD470" t="str">
            <v>S</v>
          </cell>
          <cell r="BE470">
            <v>7318936637218</v>
          </cell>
        </row>
        <row r="471">
          <cell r="A471" t="str">
            <v>G131086</v>
          </cell>
          <cell r="C471" t="str">
            <v>A1ABA35A001A001</v>
          </cell>
          <cell r="D471" t="str">
            <v>Rigidur® H 10 M2</v>
          </cell>
          <cell r="E471" t="str">
            <v>A1AB</v>
          </cell>
          <cell r="F471" t="str">
            <v>Technische platen M2</v>
          </cell>
          <cell r="G471" t="str">
            <v>G131086</v>
          </cell>
          <cell r="H471" t="str">
            <v>bestaand</v>
          </cell>
          <cell r="I471" t="str">
            <v>01.01.2013</v>
          </cell>
          <cell r="J471" t="str">
            <v>Yes</v>
          </cell>
          <cell r="K471" t="str">
            <v>Professional</v>
          </cell>
          <cell r="L471" t="str">
            <v>Rigidur</v>
          </cell>
          <cell r="M471" t="str">
            <v>RIGIDUR GF-H MET ACTIV AIR</v>
          </cell>
          <cell r="N471" t="str">
            <v>Rigidur GF-H 10 AIR GBC 1500X1000 DP/70</v>
          </cell>
          <cell r="O471" t="str">
            <v>Rigidur GF-H 10 AIR GBC 1500X1000 DP/70</v>
          </cell>
          <cell r="P471" t="str">
            <v>bruin</v>
          </cell>
          <cell r="Q471" t="str">
            <v>brun</v>
          </cell>
          <cell r="R471" t="str">
            <v>bruin</v>
          </cell>
          <cell r="S471" t="str">
            <v>brun</v>
          </cell>
          <cell r="T471" t="str">
            <v>NBN EN 15283-2:2009</v>
          </cell>
          <cell r="U471" t="str">
            <v>GF-C1-I-W2</v>
          </cell>
          <cell r="V471" t="str">
            <v>RDA</v>
          </cell>
          <cell r="W471" t="str">
            <v>gipsplaat versterkt met glasvliesmat</v>
          </cell>
          <cell r="Y471" t="str">
            <v>gipsvezelplaat voor droge binnenafbouw</v>
          </cell>
          <cell r="AA471" t="str">
            <v>A2-s1, d0</v>
          </cell>
          <cell r="AB471" t="str">
            <v>Rigidur_H_10_LE_0413</v>
          </cell>
          <cell r="AC471" t="str">
            <v>GBC</v>
          </cell>
          <cell r="AD471" t="str">
            <v>ZZO: zichtzijde onder</v>
          </cell>
          <cell r="AE471">
            <v>10</v>
          </cell>
          <cell r="AH471" t="str">
            <v>+/-0.2</v>
          </cell>
          <cell r="AI471">
            <v>0</v>
          </cell>
          <cell r="AJ471">
            <v>0</v>
          </cell>
          <cell r="AL471" t="str">
            <v>Geen eisen gesteld</v>
          </cell>
          <cell r="AM471" t="str">
            <v>Pas de exigences</v>
          </cell>
          <cell r="AN471" t="str">
            <v>kg/m³</v>
          </cell>
          <cell r="AP471">
            <v>0.35</v>
          </cell>
          <cell r="AQ471">
            <v>0.03</v>
          </cell>
          <cell r="AR471">
            <v>18</v>
          </cell>
          <cell r="AS471">
            <v>18.899999999999999</v>
          </cell>
          <cell r="AT471">
            <v>19.420000000000002</v>
          </cell>
          <cell r="AU471" t="str">
            <v>CD3</v>
          </cell>
          <cell r="AV471" t="str">
            <v>DP : Duitse Pallet</v>
          </cell>
          <cell r="AW471">
            <v>3</v>
          </cell>
          <cell r="AX471">
            <v>8.1999999999999993</v>
          </cell>
          <cell r="AY471" t="str">
            <v>01.02.2015</v>
          </cell>
          <cell r="AZ471">
            <v>0</v>
          </cell>
          <cell r="BA471" t="str">
            <v>00.00.0000</v>
          </cell>
          <cell r="BB471" t="str">
            <v>M2</v>
          </cell>
          <cell r="BC471" t="str">
            <v>M2</v>
          </cell>
          <cell r="BD471">
            <v>5</v>
          </cell>
          <cell r="BE471">
            <v>0</v>
          </cell>
        </row>
        <row r="472">
          <cell r="A472" t="str">
            <v>G131087</v>
          </cell>
          <cell r="C472" t="str">
            <v>A1ABA35A001A001</v>
          </cell>
          <cell r="D472" t="str">
            <v>Rigidur® H 10 M2</v>
          </cell>
          <cell r="E472" t="str">
            <v>A1AB</v>
          </cell>
          <cell r="F472" t="str">
            <v>Technische platen M2</v>
          </cell>
          <cell r="G472" t="str">
            <v>G131087</v>
          </cell>
          <cell r="H472" t="str">
            <v>bestaand</v>
          </cell>
          <cell r="I472" t="str">
            <v>01.01.2013</v>
          </cell>
          <cell r="J472" t="str">
            <v>Yes</v>
          </cell>
          <cell r="K472" t="str">
            <v>Professional</v>
          </cell>
          <cell r="L472" t="str">
            <v>Rigidur</v>
          </cell>
          <cell r="M472" t="str">
            <v>RIGIDUR GF-H MET ACTIV AIR</v>
          </cell>
          <cell r="N472" t="str">
            <v>Rigidur GF-H 10 AIR GBC 2600X1195 DP/50</v>
          </cell>
          <cell r="O472" t="str">
            <v>Rigidur GF-H 10 AIR GBC 2600X 1195 DP/50</v>
          </cell>
          <cell r="P472" t="str">
            <v>bruin</v>
          </cell>
          <cell r="Q472" t="str">
            <v>brun</v>
          </cell>
          <cell r="R472" t="str">
            <v>bruin</v>
          </cell>
          <cell r="S472" t="str">
            <v>brun</v>
          </cell>
          <cell r="T472" t="str">
            <v>NBN EN 15283-2:2009</v>
          </cell>
          <cell r="U472" t="str">
            <v>GF-C1-I-W2</v>
          </cell>
          <cell r="V472" t="str">
            <v>RDA</v>
          </cell>
          <cell r="W472" t="str">
            <v>gipsplaat versterkt met glasvliesmat</v>
          </cell>
          <cell r="Y472" t="str">
            <v>gipsvezelplaat voor droge binnenafbouw</v>
          </cell>
          <cell r="AA472" t="str">
            <v>A2-s1, d0</v>
          </cell>
          <cell r="AB472" t="str">
            <v>Rigidur_H_10_LE_0413</v>
          </cell>
          <cell r="AC472" t="str">
            <v>GBC</v>
          </cell>
          <cell r="AD472" t="str">
            <v>ZZO: zichtzijde onder</v>
          </cell>
          <cell r="AE472">
            <v>10</v>
          </cell>
          <cell r="AH472" t="str">
            <v>+/-0.2</v>
          </cell>
          <cell r="AI472">
            <v>0</v>
          </cell>
          <cell r="AJ472">
            <v>0</v>
          </cell>
          <cell r="AL472" t="str">
            <v>Geen eisen gesteld</v>
          </cell>
          <cell r="AM472" t="str">
            <v>Pas de exigences</v>
          </cell>
          <cell r="AN472" t="str">
            <v>kg/m³</v>
          </cell>
          <cell r="AP472">
            <v>0.35</v>
          </cell>
          <cell r="AQ472">
            <v>0.03</v>
          </cell>
          <cell r="AR472">
            <v>46.8</v>
          </cell>
          <cell r="AS472">
            <v>49.14</v>
          </cell>
          <cell r="AT472">
            <v>40.390999999999998</v>
          </cell>
          <cell r="AU472" t="str">
            <v>CD3</v>
          </cell>
          <cell r="AV472" t="str">
            <v>DP : Duitse Pallet</v>
          </cell>
          <cell r="AW472">
            <v>3</v>
          </cell>
          <cell r="AX472">
            <v>7.91</v>
          </cell>
          <cell r="AY472" t="str">
            <v>01.02.2015</v>
          </cell>
          <cell r="AZ472">
            <v>0</v>
          </cell>
          <cell r="BA472" t="str">
            <v>00.00.0000</v>
          </cell>
          <cell r="BB472" t="str">
            <v>M2</v>
          </cell>
          <cell r="BC472" t="str">
            <v>M2</v>
          </cell>
          <cell r="BD472">
            <v>5</v>
          </cell>
          <cell r="BE472">
            <v>0</v>
          </cell>
        </row>
        <row r="473">
          <cell r="A473" t="str">
            <v>G131088</v>
          </cell>
          <cell r="C473" t="str">
            <v>A1ABA35A003A006</v>
          </cell>
          <cell r="D473" t="str">
            <v>Rigidur H 13 M2</v>
          </cell>
          <cell r="E473" t="str">
            <v>A1AB</v>
          </cell>
          <cell r="F473" t="str">
            <v>Technische platen M2</v>
          </cell>
          <cell r="G473" t="str">
            <v>G131088</v>
          </cell>
          <cell r="H473" t="str">
            <v>bestaand</v>
          </cell>
          <cell r="I473" t="str">
            <v>01.01.2013</v>
          </cell>
          <cell r="J473" t="str">
            <v>Yes</v>
          </cell>
          <cell r="K473" t="str">
            <v>Professional</v>
          </cell>
          <cell r="L473" t="str">
            <v>Rigidur</v>
          </cell>
          <cell r="M473" t="str">
            <v>RIGIDUR GF-H MET ACTIV AIR</v>
          </cell>
          <cell r="N473" t="str">
            <v>Rigidur GF-H 13 AIR GBC 2600X1195 DP/30</v>
          </cell>
          <cell r="O473" t="str">
            <v>Rigidur GF-H 13 AIR GBC 2600X 1195 DP/30</v>
          </cell>
          <cell r="P473" t="str">
            <v>bruin</v>
          </cell>
          <cell r="Q473" t="str">
            <v>brun</v>
          </cell>
          <cell r="R473" t="str">
            <v>bruin</v>
          </cell>
          <cell r="S473" t="str">
            <v>brun</v>
          </cell>
          <cell r="T473" t="str">
            <v>NBN EN 15283-2:2009</v>
          </cell>
          <cell r="U473" t="str">
            <v>GF-C1-I-W2</v>
          </cell>
          <cell r="V473" t="str">
            <v>RDA</v>
          </cell>
          <cell r="W473" t="str">
            <v>gipsplaat versterkt met glasvliesmat</v>
          </cell>
          <cell r="Y473" t="str">
            <v>gipsvezelplaat voor droge binnenafbouw</v>
          </cell>
          <cell r="AA473" t="str">
            <v>A2-s1, d0</v>
          </cell>
          <cell r="AB473" t="str">
            <v>Rigidur_H_12,5_LE_0413</v>
          </cell>
          <cell r="AC473" t="str">
            <v>GBC</v>
          </cell>
          <cell r="AD473" t="str">
            <v>ZZO: zichtzijde onder</v>
          </cell>
          <cell r="AE473">
            <v>12.5</v>
          </cell>
          <cell r="AH473" t="str">
            <v>+/-0.2</v>
          </cell>
          <cell r="AI473">
            <v>0</v>
          </cell>
          <cell r="AJ473">
            <v>0</v>
          </cell>
          <cell r="AL473" t="str">
            <v>Geen eisen gesteld</v>
          </cell>
          <cell r="AM473" t="str">
            <v>Pas de exigences</v>
          </cell>
          <cell r="AN473" t="str">
            <v>kg/m³</v>
          </cell>
          <cell r="AP473">
            <v>0.35</v>
          </cell>
          <cell r="AQ473">
            <v>0.04</v>
          </cell>
          <cell r="AR473">
            <v>46.8</v>
          </cell>
          <cell r="AS473">
            <v>49.14</v>
          </cell>
          <cell r="AT473">
            <v>40.390999999999998</v>
          </cell>
          <cell r="AU473" t="str">
            <v>CD3</v>
          </cell>
          <cell r="AV473" t="str">
            <v>DP : Duitse Pallet</v>
          </cell>
          <cell r="AW473">
            <v>3</v>
          </cell>
          <cell r="AX473">
            <v>9.44</v>
          </cell>
          <cell r="AY473" t="str">
            <v>01.02.2015</v>
          </cell>
          <cell r="AZ473">
            <v>0</v>
          </cell>
          <cell r="BA473" t="str">
            <v>00.00.0000</v>
          </cell>
          <cell r="BB473" t="str">
            <v>M2</v>
          </cell>
          <cell r="BC473" t="str">
            <v>M2</v>
          </cell>
          <cell r="BD473">
            <v>5</v>
          </cell>
          <cell r="BE473">
            <v>0</v>
          </cell>
        </row>
        <row r="474">
          <cell r="A474" t="str">
            <v>G131094</v>
          </cell>
          <cell r="B474" t="str">
            <v>G125766</v>
          </cell>
          <cell r="C474" t="str">
            <v>D1DGD01D005D005</v>
          </cell>
          <cell r="D474" t="str">
            <v>X Prim L</v>
          </cell>
          <cell r="E474" t="str">
            <v>D1DG</v>
          </cell>
          <cell r="F474" t="str">
            <v>Toebehoren Pleister *</v>
          </cell>
          <cell r="G474" t="str">
            <v>G131094</v>
          </cell>
          <cell r="H474" t="str">
            <v>bestaand</v>
          </cell>
          <cell r="I474" t="str">
            <v>01.01.2013</v>
          </cell>
          <cell r="J474" t="str">
            <v>Yes</v>
          </cell>
          <cell r="K474" t="str">
            <v>Prof + Pleis</v>
          </cell>
          <cell r="L474" t="str">
            <v>Gyproc</v>
          </cell>
          <cell r="M474" t="str">
            <v>X PRIM</v>
          </cell>
          <cell r="N474" t="str">
            <v>X PRIM 15 L EP/24</v>
          </cell>
          <cell r="O474" t="str">
            <v>X PRIM 15 L EP/24</v>
          </cell>
          <cell r="P474" t="str">
            <v>(blanco)</v>
          </cell>
          <cell r="Q474" t="str">
            <v>(blanco)</v>
          </cell>
          <cell r="R474" t="str">
            <v>(blanco)</v>
          </cell>
          <cell r="S474" t="str">
            <v>(blanco)</v>
          </cell>
          <cell r="T474" t="str">
            <v>--</v>
          </cell>
          <cell r="AA474" t="str">
            <v>(blanco)</v>
          </cell>
          <cell r="AC474" t="str">
            <v>(blanco)</v>
          </cell>
          <cell r="AD474" t="str">
            <v>(blanco)</v>
          </cell>
          <cell r="AH474" t="str">
            <v>(blanco)</v>
          </cell>
          <cell r="AI474" t="str">
            <v>(blanco)</v>
          </cell>
          <cell r="AJ474" t="str">
            <v>(blanco)</v>
          </cell>
          <cell r="AL474" t="str">
            <v>1,04</v>
          </cell>
          <cell r="AM474" t="str">
            <v>1,04</v>
          </cell>
          <cell r="AN474" t="str">
            <v>kg/l</v>
          </cell>
          <cell r="AR474">
            <v>1</v>
          </cell>
          <cell r="AS474">
            <v>1</v>
          </cell>
          <cell r="AT474">
            <v>0</v>
          </cell>
          <cell r="AV474" t="str">
            <v>EP : Euro Pallet</v>
          </cell>
          <cell r="AW474">
            <v>2</v>
          </cell>
          <cell r="AX474">
            <v>6.9</v>
          </cell>
          <cell r="AY474" t="str">
            <v>22.06.2015</v>
          </cell>
          <cell r="AZ474">
            <v>0</v>
          </cell>
          <cell r="BA474" t="str">
            <v>00.00.0000</v>
          </cell>
          <cell r="BB474" t="str">
            <v>L</v>
          </cell>
          <cell r="BC474" t="str">
            <v>L</v>
          </cell>
          <cell r="BD474" t="str">
            <v>S</v>
          </cell>
          <cell r="BE474">
            <v>0</v>
          </cell>
        </row>
        <row r="475">
          <cell r="A475" t="str">
            <v>G131159</v>
          </cell>
          <cell r="C475" t="str">
            <v>A1ABA11A003A002</v>
          </cell>
          <cell r="D475" t="str">
            <v>DuraGyp® BA 15/1200 M2</v>
          </cell>
          <cell r="E475" t="str">
            <v>A1AB</v>
          </cell>
          <cell r="F475" t="str">
            <v>Technische platen M2</v>
          </cell>
          <cell r="G475" t="str">
            <v>G131159</v>
          </cell>
          <cell r="H475" t="str">
            <v>bestaand</v>
          </cell>
          <cell r="I475" t="str">
            <v>01.01.2013</v>
          </cell>
          <cell r="J475" t="str">
            <v>No</v>
          </cell>
          <cell r="K475" t="str">
            <v>Nee</v>
          </cell>
          <cell r="L475" t="str">
            <v>Gyproc</v>
          </cell>
          <cell r="M475" t="str">
            <v>DURAGYP STANDAARD OSM</v>
          </cell>
          <cell r="N475" t="str">
            <v>DURA ABA STD 15X3000X1200 DP/20 ZZB OSM</v>
          </cell>
          <cell r="O475" t="str">
            <v>DURA ABA STD 15X3000X1200 DP/20 ZZB OSM</v>
          </cell>
          <cell r="P475" t="str">
            <v>geel</v>
          </cell>
          <cell r="Q475" t="str">
            <v>jaune</v>
          </cell>
          <cell r="R475" t="str">
            <v>grijs</v>
          </cell>
          <cell r="S475" t="str">
            <v>gris</v>
          </cell>
          <cell r="T475" t="str">
            <v>NBN EN 520:2009</v>
          </cell>
          <cell r="U475" t="str">
            <v>DFH2IR</v>
          </cell>
          <cell r="V475" t="str">
            <v>DG</v>
          </cell>
          <cell r="Y475" t="str">
            <v>gipsplaat voor droge binnenafbouw</v>
          </cell>
          <cell r="AA475" t="str">
            <v>A2-s1, d0 (B)</v>
          </cell>
          <cell r="AB475" t="str">
            <v>SG GY 2013 A1ABA11A003</v>
          </cell>
          <cell r="AC475" t="str">
            <v>ABA</v>
          </cell>
          <cell r="AD475" t="str">
            <v>ZZB: zichtzijde boven</v>
          </cell>
          <cell r="AE475">
            <v>15</v>
          </cell>
          <cell r="AH475" t="str">
            <v>+/-0.5</v>
          </cell>
          <cell r="AI475">
            <v>0</v>
          </cell>
          <cell r="AJ475">
            <v>0</v>
          </cell>
          <cell r="AK475">
            <v>1206</v>
          </cell>
          <cell r="AL475" t="str">
            <v>&gt; 800</v>
          </cell>
          <cell r="AM475" t="str">
            <v>&gt; 800</v>
          </cell>
          <cell r="AN475" t="str">
            <v>kg/m³</v>
          </cell>
          <cell r="AP475">
            <v>0.25</v>
          </cell>
          <cell r="AQ475">
            <v>0.06</v>
          </cell>
          <cell r="AR475">
            <v>52.56</v>
          </cell>
          <cell r="AS475">
            <v>55.189</v>
          </cell>
          <cell r="AT475">
            <v>54</v>
          </cell>
          <cell r="AU475" t="str">
            <v>CD3</v>
          </cell>
          <cell r="AV475" t="str">
            <v>DP : Duitse Pallet</v>
          </cell>
          <cell r="AW475">
            <v>3</v>
          </cell>
          <cell r="AX475">
            <v>0</v>
          </cell>
          <cell r="AY475" t="str">
            <v>00.00.0000</v>
          </cell>
          <cell r="AZ475">
            <v>0</v>
          </cell>
          <cell r="BA475" t="str">
            <v>00.00.0000</v>
          </cell>
          <cell r="BD475">
            <v>5</v>
          </cell>
          <cell r="BE475">
            <v>0</v>
          </cell>
        </row>
        <row r="476">
          <cell r="A476" t="str">
            <v>G131278</v>
          </cell>
          <cell r="C476" t="str">
            <v>D1DGD01D005D005</v>
          </cell>
          <cell r="D476" t="str">
            <v>X Prim L</v>
          </cell>
          <cell r="E476" t="str">
            <v>D1DG</v>
          </cell>
          <cell r="F476" t="str">
            <v>Toebehoren Pleister *</v>
          </cell>
          <cell r="G476" t="str">
            <v>G131278</v>
          </cell>
          <cell r="H476" t="str">
            <v>bestaand</v>
          </cell>
          <cell r="I476" t="str">
            <v>01.01.2013</v>
          </cell>
          <cell r="J476" t="str">
            <v>Yes</v>
          </cell>
          <cell r="K476" t="str">
            <v>Prof + Pleis</v>
          </cell>
          <cell r="L476" t="str">
            <v>Gyproc</v>
          </cell>
          <cell r="M476" t="str">
            <v>X PRIM</v>
          </cell>
          <cell r="N476" t="str">
            <v>X PRIM 15 L EP/12</v>
          </cell>
          <cell r="O476" t="str">
            <v>X PRIM 15 L EP/12</v>
          </cell>
          <cell r="P476" t="str">
            <v>(blanco)</v>
          </cell>
          <cell r="Q476" t="str">
            <v>(blanco)</v>
          </cell>
          <cell r="R476" t="str">
            <v>(blanco)</v>
          </cell>
          <cell r="S476" t="str">
            <v>(blanco)</v>
          </cell>
          <cell r="T476" t="str">
            <v>--</v>
          </cell>
          <cell r="AA476" t="str">
            <v>(blanco)</v>
          </cell>
          <cell r="AC476" t="str">
            <v>(blanco)</v>
          </cell>
          <cell r="AD476" t="str">
            <v>(blanco)</v>
          </cell>
          <cell r="AH476" t="str">
            <v>(blanco)</v>
          </cell>
          <cell r="AI476" t="str">
            <v>(blanco)</v>
          </cell>
          <cell r="AJ476" t="str">
            <v>(blanco)</v>
          </cell>
          <cell r="AL476" t="str">
            <v>1,04</v>
          </cell>
          <cell r="AM476" t="str">
            <v>1,04</v>
          </cell>
          <cell r="AN476" t="str">
            <v>kg/l</v>
          </cell>
          <cell r="AR476">
            <v>1</v>
          </cell>
          <cell r="AS476">
            <v>1</v>
          </cell>
          <cell r="AT476">
            <v>0</v>
          </cell>
          <cell r="AV476" t="str">
            <v>EP : Euro Pallet</v>
          </cell>
          <cell r="AW476">
            <v>2</v>
          </cell>
          <cell r="AX476">
            <v>7.24</v>
          </cell>
          <cell r="AY476" t="str">
            <v>01.02.2015</v>
          </cell>
          <cell r="AZ476">
            <v>0</v>
          </cell>
          <cell r="BA476" t="str">
            <v>00.00.0000</v>
          </cell>
          <cell r="BB476" t="str">
            <v>L</v>
          </cell>
          <cell r="BC476" t="str">
            <v>L</v>
          </cell>
          <cell r="BD476" t="str">
            <v>S</v>
          </cell>
          <cell r="BE476">
            <v>0</v>
          </cell>
        </row>
        <row r="477">
          <cell r="A477" t="str">
            <v>G131295</v>
          </cell>
          <cell r="C477" t="str">
            <v>A1ABA20A005A001</v>
          </cell>
          <cell r="D477" t="str">
            <v>Glasroc® H 13 M2</v>
          </cell>
          <cell r="E477" t="str">
            <v>A1AB</v>
          </cell>
          <cell r="F477" t="str">
            <v>Technische platen M2</v>
          </cell>
          <cell r="G477" t="str">
            <v>ZIB00238</v>
          </cell>
          <cell r="H477" t="str">
            <v>bestaand</v>
          </cell>
          <cell r="I477" t="str">
            <v>01.02.2014</v>
          </cell>
          <cell r="J477" t="str">
            <v>Yes</v>
          </cell>
          <cell r="K477" t="str">
            <v>Professional</v>
          </cell>
          <cell r="L477" t="str">
            <v>GLASROC H</v>
          </cell>
          <cell r="M477" t="str">
            <v>GLASROC H</v>
          </cell>
          <cell r="N477" t="str">
            <v>GLASROC H ABA 12.5 X 2600 X 1200 DP/40</v>
          </cell>
          <cell r="O477" t="str">
            <v>GLASROC H ABA 12.5 X 2600 X 1200 DP/40</v>
          </cell>
          <cell r="P477" t="str">
            <v>blauw</v>
          </cell>
          <cell r="Q477" t="str">
            <v>bleu</v>
          </cell>
          <cell r="R477" t="str">
            <v>blauw</v>
          </cell>
          <cell r="S477" t="str">
            <v>bleu</v>
          </cell>
          <cell r="T477" t="str">
            <v>NBN EN 15283-1:2009</v>
          </cell>
          <cell r="U477" t="str">
            <v>GM-F-H1</v>
          </cell>
          <cell r="V477" t="str">
            <v>GH</v>
          </cell>
          <cell r="W477" t="str">
            <v>verzaagde en ingefreesde gipskartonplaat</v>
          </cell>
          <cell r="Y477" t="str">
            <v>gipsvezelplaat voor droge binnenafbouw</v>
          </cell>
          <cell r="AA477" t="str">
            <v>A1</v>
          </cell>
          <cell r="AC477" t="str">
            <v>ABA</v>
          </cell>
          <cell r="AD477" t="str">
            <v>ZZO: zichtzijde onder</v>
          </cell>
          <cell r="AE477">
            <v>12.5</v>
          </cell>
          <cell r="AH477" t="str">
            <v>+/-0.7</v>
          </cell>
          <cell r="AI477">
            <v>0</v>
          </cell>
          <cell r="AJ477">
            <v>0</v>
          </cell>
          <cell r="AL477" t="str">
            <v>&gt; 800</v>
          </cell>
          <cell r="AM477" t="str">
            <v>&gt; 800</v>
          </cell>
          <cell r="AN477" t="str">
            <v>kg/m³</v>
          </cell>
          <cell r="AP477">
            <v>0.187</v>
          </cell>
          <cell r="AQ477">
            <v>7.0000000000000007E-2</v>
          </cell>
          <cell r="AR477">
            <v>32.92</v>
          </cell>
          <cell r="AS477">
            <v>32.92</v>
          </cell>
          <cell r="AT477">
            <v>48</v>
          </cell>
          <cell r="AU477" t="str">
            <v>CD3</v>
          </cell>
          <cell r="AV477" t="str">
            <v>WP : Wegwerppallet</v>
          </cell>
          <cell r="AW477">
            <v>7</v>
          </cell>
          <cell r="AX477">
            <v>9.4700000000000006</v>
          </cell>
          <cell r="AY477" t="str">
            <v>01.02.2015</v>
          </cell>
          <cell r="AZ477">
            <v>0</v>
          </cell>
          <cell r="BA477" t="str">
            <v>00.00.0000</v>
          </cell>
          <cell r="BB477" t="str">
            <v>M2</v>
          </cell>
          <cell r="BC477" t="str">
            <v>M2</v>
          </cell>
          <cell r="BD477" t="str">
            <v>S</v>
          </cell>
          <cell r="BE477">
            <v>5413218571784</v>
          </cell>
        </row>
        <row r="478">
          <cell r="A478" t="str">
            <v>G131296</v>
          </cell>
          <cell r="C478" t="str">
            <v>A1ABA20A005A001</v>
          </cell>
          <cell r="D478" t="str">
            <v>Glasroc® H 13 M2</v>
          </cell>
          <cell r="E478" t="str">
            <v>A1AB</v>
          </cell>
          <cell r="F478" t="str">
            <v>Technische platen M2</v>
          </cell>
          <cell r="G478" t="str">
            <v>ZIB00238</v>
          </cell>
          <cell r="H478" t="str">
            <v>bestaand</v>
          </cell>
          <cell r="I478" t="str">
            <v>01.02.2014</v>
          </cell>
          <cell r="J478" t="str">
            <v>Yes</v>
          </cell>
          <cell r="K478" t="str">
            <v>Professional</v>
          </cell>
          <cell r="L478" t="str">
            <v>GLASROC H</v>
          </cell>
          <cell r="M478" t="str">
            <v>GLASROC H</v>
          </cell>
          <cell r="N478" t="str">
            <v>GLASROC H ABA 12.5 X 3000 X 1200 DP/40</v>
          </cell>
          <cell r="O478" t="str">
            <v>GLASROC H ABA 12.5 X 3000 X 1200 DP/40</v>
          </cell>
          <cell r="P478" t="str">
            <v>blauw</v>
          </cell>
          <cell r="Q478" t="str">
            <v>bleu</v>
          </cell>
          <cell r="R478" t="str">
            <v>blauw</v>
          </cell>
          <cell r="S478" t="str">
            <v>bleu</v>
          </cell>
          <cell r="T478" t="str">
            <v>NBN EN 15283-1:2009</v>
          </cell>
          <cell r="U478" t="str">
            <v>GM-F-H1</v>
          </cell>
          <cell r="V478" t="str">
            <v>GH</v>
          </cell>
          <cell r="W478" t="str">
            <v>verzaagde en ingefreesde gipskartonplaat</v>
          </cell>
          <cell r="Y478" t="str">
            <v>gipsvezelplaat voor droge binnenafbouw</v>
          </cell>
          <cell r="AA478" t="str">
            <v>A1</v>
          </cell>
          <cell r="AC478" t="str">
            <v>ABA</v>
          </cell>
          <cell r="AD478" t="str">
            <v>ZZO: zichtzijde onder</v>
          </cell>
          <cell r="AE478">
            <v>12.5</v>
          </cell>
          <cell r="AH478" t="str">
            <v>+/-0.7</v>
          </cell>
          <cell r="AI478">
            <v>0</v>
          </cell>
          <cell r="AJ478">
            <v>0</v>
          </cell>
          <cell r="AL478" t="str">
            <v>&gt; 800</v>
          </cell>
          <cell r="AM478" t="str">
            <v>&gt; 800</v>
          </cell>
          <cell r="AN478" t="str">
            <v>kg/m³</v>
          </cell>
          <cell r="AP478">
            <v>0.187</v>
          </cell>
          <cell r="AQ478">
            <v>7.0000000000000007E-2</v>
          </cell>
          <cell r="AR478">
            <v>37.979999999999997</v>
          </cell>
          <cell r="AS478">
            <v>37.979999999999997</v>
          </cell>
          <cell r="AT478">
            <v>48</v>
          </cell>
          <cell r="AU478" t="str">
            <v>CD3</v>
          </cell>
          <cell r="AV478" t="str">
            <v>WP : Wegwerppallet</v>
          </cell>
          <cell r="AW478">
            <v>7</v>
          </cell>
          <cell r="AX478">
            <v>9.4700000000000006</v>
          </cell>
          <cell r="AY478" t="str">
            <v>01.02.2015</v>
          </cell>
          <cell r="AZ478">
            <v>0</v>
          </cell>
          <cell r="BA478" t="str">
            <v>00.00.0000</v>
          </cell>
          <cell r="BB478" t="str">
            <v>M2</v>
          </cell>
          <cell r="BC478" t="str">
            <v>M2</v>
          </cell>
          <cell r="BD478" t="str">
            <v>S</v>
          </cell>
          <cell r="BE478">
            <v>5413218571807</v>
          </cell>
        </row>
        <row r="479">
          <cell r="A479" t="str">
            <v>G131315</v>
          </cell>
          <cell r="C479" t="str">
            <v>C1CBC01C001C024</v>
          </cell>
          <cell r="D479" t="str">
            <v>Rigitone 15/30 M2</v>
          </cell>
          <cell r="E479" t="str">
            <v>C1CB</v>
          </cell>
          <cell r="F479" t="str">
            <v>Rigitone platen</v>
          </cell>
          <cell r="G479" t="str">
            <v>G131315</v>
          </cell>
          <cell r="H479" t="str">
            <v>bestaand</v>
          </cell>
          <cell r="I479" t="str">
            <v>01.02.2014</v>
          </cell>
          <cell r="J479" t="str">
            <v>Yes</v>
          </cell>
          <cell r="K479" t="str">
            <v>Nee</v>
          </cell>
          <cell r="L479" t="str">
            <v>climafit rigitone</v>
          </cell>
          <cell r="M479" t="str">
            <v>CLIMAFIT RIGITONE 15/30</v>
          </cell>
          <cell r="N479" t="str">
            <v>Climafit Rigitone 15/30 WT 10X2000X1200</v>
          </cell>
          <cell r="O479" t="str">
            <v>Climafit Rigitone 15/30 WT 10X2000X1200</v>
          </cell>
          <cell r="P479" t="str">
            <v>ivoor</v>
          </cell>
          <cell r="Q479" t="str">
            <v>ivoire</v>
          </cell>
          <cell r="R479" t="str">
            <v>wit vlies</v>
          </cell>
          <cell r="S479" t="str">
            <v>voile blanc</v>
          </cell>
          <cell r="T479" t="str">
            <v>NBN EN 14190:2014</v>
          </cell>
          <cell r="U479" t="str">
            <v>A</v>
          </cell>
          <cell r="V479" t="str">
            <v>CR</v>
          </cell>
          <cell r="W479" t="str">
            <v>geperforeerde gipskartonplaat met gesneden boorden</v>
          </cell>
          <cell r="Y479" t="str">
            <v>gipsplaat voor droge binnenafbouw</v>
          </cell>
          <cell r="AA479" t="str">
            <v>A2-s1, d0 (C.4)</v>
          </cell>
          <cell r="AC479" t="str">
            <v>GBC</v>
          </cell>
          <cell r="AE479">
            <v>10</v>
          </cell>
          <cell r="AH479" t="str">
            <v>+/-0.5</v>
          </cell>
          <cell r="AI479">
            <v>0</v>
          </cell>
          <cell r="AJ479">
            <v>0</v>
          </cell>
          <cell r="AL479" t="str">
            <v>Geen eisen gesteld</v>
          </cell>
          <cell r="AM479" t="str">
            <v>Pas de exigences</v>
          </cell>
          <cell r="AN479" t="str">
            <v>kg/m³</v>
          </cell>
          <cell r="AP479">
            <v>0.25</v>
          </cell>
          <cell r="AQ479">
            <v>0.04</v>
          </cell>
          <cell r="AR479">
            <v>20.5</v>
          </cell>
          <cell r="AS479">
            <v>21.53</v>
          </cell>
          <cell r="AT479">
            <v>24.12</v>
          </cell>
          <cell r="AU479" t="str">
            <v>CD3</v>
          </cell>
          <cell r="AX479">
            <v>27.92</v>
          </cell>
          <cell r="AY479" t="str">
            <v>01.02.2015</v>
          </cell>
          <cell r="AZ479">
            <v>0</v>
          </cell>
          <cell r="BA479" t="str">
            <v>00.00.0000</v>
          </cell>
          <cell r="BB479" t="str">
            <v>M2</v>
          </cell>
          <cell r="BC479" t="str">
            <v>M2</v>
          </cell>
          <cell r="BD479">
            <v>5</v>
          </cell>
          <cell r="BE479">
            <v>0</v>
          </cell>
        </row>
        <row r="480">
          <cell r="A480" t="str">
            <v>G131328</v>
          </cell>
          <cell r="C480" t="str">
            <v>E5EAE01E001E034</v>
          </cell>
          <cell r="D480" t="str">
            <v>SPRYLITH zakgoed TON</v>
          </cell>
          <cell r="E480" t="str">
            <v>E5EA</v>
          </cell>
          <cell r="F480" t="str">
            <v>BOUWPLEISTERS TON</v>
          </cell>
          <cell r="G480" t="str">
            <v>G131328</v>
          </cell>
          <cell r="H480" t="str">
            <v>bestaand</v>
          </cell>
          <cell r="I480" t="str">
            <v>01.01.2013</v>
          </cell>
          <cell r="J480" t="str">
            <v>Yes</v>
          </cell>
          <cell r="K480" t="str">
            <v>Gyproc Pleisters</v>
          </cell>
          <cell r="L480" t="str">
            <v>Gyproc</v>
          </cell>
          <cell r="M480" t="str">
            <v>SPRYLITH</v>
          </cell>
          <cell r="N480" t="str">
            <v>SPRYLITH 25 KG EP/48</v>
          </cell>
          <cell r="O480" t="str">
            <v>SPRYLITH 25 KG EP/48</v>
          </cell>
          <cell r="P480" t="str">
            <v>(blanco)</v>
          </cell>
          <cell r="Q480" t="str">
            <v>(blanco)</v>
          </cell>
          <cell r="R480" t="str">
            <v>(blanco)</v>
          </cell>
          <cell r="S480" t="str">
            <v>(blanco)</v>
          </cell>
          <cell r="T480" t="str">
            <v>NBN EN 13279-1:2009</v>
          </cell>
          <cell r="U480" t="str">
            <v>B4/20/2</v>
          </cell>
          <cell r="V480" t="str">
            <v>--</v>
          </cell>
          <cell r="AA480" t="str">
            <v>A1</v>
          </cell>
          <cell r="AC480" t="str">
            <v>(blanco)</v>
          </cell>
          <cell r="AD480" t="str">
            <v>(blanco)</v>
          </cell>
          <cell r="AH480" t="str">
            <v>(blanco)</v>
          </cell>
          <cell r="AI480" t="str">
            <v>(blanco)</v>
          </cell>
          <cell r="AJ480" t="str">
            <v>(blanco)</v>
          </cell>
          <cell r="AL480" t="str">
            <v>+/- 0.65</v>
          </cell>
          <cell r="AM480" t="str">
            <v>+/- 0.65</v>
          </cell>
          <cell r="AN480" t="str">
            <v>kg/l</v>
          </cell>
          <cell r="AP480">
            <v>0</v>
          </cell>
          <cell r="AR480">
            <v>25</v>
          </cell>
          <cell r="AS480">
            <v>26.25</v>
          </cell>
          <cell r="AT480">
            <v>0</v>
          </cell>
          <cell r="AV480" t="str">
            <v>EP : Euro Pallet</v>
          </cell>
          <cell r="AW480">
            <v>2</v>
          </cell>
          <cell r="AX480">
            <v>441.8</v>
          </cell>
          <cell r="AY480" t="str">
            <v>01.02.2014</v>
          </cell>
          <cell r="AZ480">
            <v>0</v>
          </cell>
          <cell r="BA480" t="str">
            <v>00.00.0000</v>
          </cell>
          <cell r="BB480" t="str">
            <v>TO</v>
          </cell>
          <cell r="BC480" t="str">
            <v>TO</v>
          </cell>
          <cell r="BD480" t="str">
            <v>S</v>
          </cell>
          <cell r="BE480">
            <v>5413218563178</v>
          </cell>
        </row>
        <row r="481">
          <cell r="A481" t="str">
            <v>G131412</v>
          </cell>
          <cell r="C481" t="str">
            <v>F5FAF01F002F002</v>
          </cell>
          <cell r="D481" t="str">
            <v>DIY - Gyproc gereedschappen ST</v>
          </cell>
          <cell r="E481" t="str">
            <v>F5FA</v>
          </cell>
          <cell r="F481" t="str">
            <v>Gereedschap bevestigingen *</v>
          </cell>
          <cell r="G481" t="str">
            <v>G131412</v>
          </cell>
          <cell r="H481" t="str">
            <v>bestaand</v>
          </cell>
          <cell r="I481" t="str">
            <v>01.02.2015</v>
          </cell>
          <cell r="J481" t="str">
            <v>Yes</v>
          </cell>
          <cell r="K481" t="str">
            <v>Professional</v>
          </cell>
          <cell r="L481" t="str">
            <v>Gyproc</v>
          </cell>
          <cell r="M481" t="str">
            <v>SKIMBLADE</v>
          </cell>
          <cell r="N481" t="str">
            <v>Gyproc Skimblade 1 m</v>
          </cell>
          <cell r="O481" t="str">
            <v>Gyproc Skimblade 1 m</v>
          </cell>
          <cell r="P481" t="str">
            <v>(blanco)</v>
          </cell>
          <cell r="Q481" t="str">
            <v>(blanco)</v>
          </cell>
          <cell r="R481" t="str">
            <v>(blanco)</v>
          </cell>
          <cell r="S481" t="str">
            <v>(blanco)</v>
          </cell>
          <cell r="T481" t="str">
            <v>--</v>
          </cell>
          <cell r="AA481" t="str">
            <v>(blanco)</v>
          </cell>
          <cell r="AC481" t="str">
            <v>(blanco)</v>
          </cell>
          <cell r="AD481" t="str">
            <v>(blanco)</v>
          </cell>
          <cell r="AH481" t="str">
            <v>(blanco)</v>
          </cell>
          <cell r="AI481" t="str">
            <v>(blanco)</v>
          </cell>
          <cell r="AJ481" t="str">
            <v>(blanco)</v>
          </cell>
          <cell r="AL481" t="str">
            <v>(blanco)</v>
          </cell>
          <cell r="AM481" t="str">
            <v>(blanco)</v>
          </cell>
          <cell r="AN481" t="str">
            <v>(blanco)</v>
          </cell>
          <cell r="AR481">
            <v>1.1000000000000001</v>
          </cell>
          <cell r="AS481">
            <v>1.2</v>
          </cell>
          <cell r="AT481">
            <v>0</v>
          </cell>
          <cell r="AX481">
            <v>61.2</v>
          </cell>
          <cell r="AY481" t="str">
            <v>01.02.2015</v>
          </cell>
          <cell r="AZ481">
            <v>0</v>
          </cell>
          <cell r="BA481" t="str">
            <v>00.00.0000</v>
          </cell>
          <cell r="BB481" t="str">
            <v>ST</v>
          </cell>
          <cell r="BC481" t="str">
            <v>******</v>
          </cell>
          <cell r="BD481" t="str">
            <v>S</v>
          </cell>
          <cell r="BE481">
            <v>8711149001538</v>
          </cell>
        </row>
        <row r="482">
          <cell r="A482" t="str">
            <v>G131413</v>
          </cell>
          <cell r="C482" t="str">
            <v>F5FAF01F002F002</v>
          </cell>
          <cell r="D482" t="str">
            <v>DIY - Gyproc gereedschappen ST</v>
          </cell>
          <cell r="E482" t="str">
            <v>F5FA</v>
          </cell>
          <cell r="F482" t="str">
            <v>Gereedschap bevestigingen *</v>
          </cell>
          <cell r="G482" t="str">
            <v>G131413</v>
          </cell>
          <cell r="H482" t="str">
            <v>bestaand</v>
          </cell>
          <cell r="I482" t="str">
            <v>01.02.2015</v>
          </cell>
          <cell r="J482" t="str">
            <v>Yes</v>
          </cell>
          <cell r="K482" t="str">
            <v>Professional</v>
          </cell>
          <cell r="L482" t="str">
            <v>Gyproc</v>
          </cell>
          <cell r="M482" t="str">
            <v>SKIMBLADE</v>
          </cell>
          <cell r="N482" t="str">
            <v>Gyproc Skimblade 1,5 m</v>
          </cell>
          <cell r="O482" t="str">
            <v>Gyproc Skimblade 1,5 m</v>
          </cell>
          <cell r="P482" t="str">
            <v>(blanco)</v>
          </cell>
          <cell r="Q482" t="str">
            <v>(blanco)</v>
          </cell>
          <cell r="R482" t="str">
            <v>(blanco)</v>
          </cell>
          <cell r="S482" t="str">
            <v>(blanco)</v>
          </cell>
          <cell r="T482" t="str">
            <v>--</v>
          </cell>
          <cell r="AA482" t="str">
            <v>(blanco)</v>
          </cell>
          <cell r="AC482" t="str">
            <v>(blanco)</v>
          </cell>
          <cell r="AD482" t="str">
            <v>(blanco)</v>
          </cell>
          <cell r="AH482" t="str">
            <v>(blanco)</v>
          </cell>
          <cell r="AI482" t="str">
            <v>(blanco)</v>
          </cell>
          <cell r="AJ482" t="str">
            <v>(blanco)</v>
          </cell>
          <cell r="AL482" t="str">
            <v>(blanco)</v>
          </cell>
          <cell r="AM482" t="str">
            <v>(blanco)</v>
          </cell>
          <cell r="AN482" t="str">
            <v>(blanco)</v>
          </cell>
          <cell r="AR482">
            <v>1.1000000000000001</v>
          </cell>
          <cell r="AS482">
            <v>1.2</v>
          </cell>
          <cell r="AT482">
            <v>0</v>
          </cell>
          <cell r="AX482">
            <v>89.25</v>
          </cell>
          <cell r="AY482" t="str">
            <v>01.02.2015</v>
          </cell>
          <cell r="AZ482">
            <v>0</v>
          </cell>
          <cell r="BA482" t="str">
            <v>00.00.0000</v>
          </cell>
          <cell r="BB482" t="str">
            <v>ST</v>
          </cell>
          <cell r="BC482" t="str">
            <v>******</v>
          </cell>
          <cell r="BD482" t="str">
            <v>S</v>
          </cell>
          <cell r="BE482">
            <v>8711149001545</v>
          </cell>
        </row>
        <row r="483">
          <cell r="A483" t="str">
            <v>G131437</v>
          </cell>
          <cell r="C483" t="str">
            <v>A1ABA15A003A008</v>
          </cell>
          <cell r="D483" t="str">
            <v>Gyproc® RF BA 15 600 (4xaba) M2</v>
          </cell>
          <cell r="E483" t="str">
            <v>A1AB</v>
          </cell>
          <cell r="F483" t="str">
            <v>Technische platen M2</v>
          </cell>
          <cell r="G483" t="str">
            <v>G131437</v>
          </cell>
          <cell r="H483" t="str">
            <v>bestaand</v>
          </cell>
          <cell r="I483" t="str">
            <v>01.02.2014</v>
          </cell>
          <cell r="J483" t="str">
            <v>Yes</v>
          </cell>
          <cell r="K483" t="str">
            <v>Professional</v>
          </cell>
          <cell r="L483" t="str">
            <v>Gyproc</v>
          </cell>
          <cell r="M483" t="str">
            <v>Gyproc RF</v>
          </cell>
          <cell r="N483" t="str">
            <v>GY 4XABA RF 15.0 X 2500 X 600 DP/40 ZZB</v>
          </cell>
          <cell r="O483" t="str">
            <v>GY 4XABA RF 15.0 X 2500 X 600 DP/40 ZZB</v>
          </cell>
          <cell r="P483" t="str">
            <v>roze</v>
          </cell>
          <cell r="Q483" t="str">
            <v>rose</v>
          </cell>
          <cell r="R483" t="str">
            <v>grijs</v>
          </cell>
          <cell r="S483" t="str">
            <v>gris</v>
          </cell>
          <cell r="T483" t="str">
            <v>NBN EN 14190:2014</v>
          </cell>
          <cell r="U483" t="str">
            <v>DF</v>
          </cell>
          <cell r="V483" t="str">
            <v>Rf</v>
          </cell>
          <cell r="W483" t="str">
            <v>gipskartonplaat met 4 afgeschuinde boorden</v>
          </cell>
          <cell r="Y483" t="str">
            <v>gipsplaat voor droge binnenafbouw</v>
          </cell>
          <cell r="AA483" t="str">
            <v>A2-s1, d0 (C.2)</v>
          </cell>
          <cell r="AB483" t="str">
            <v>SG GY 2013 A1ABA15A003A006</v>
          </cell>
          <cell r="AC483" t="str">
            <v>4xABA</v>
          </cell>
          <cell r="AD483" t="str">
            <v>ZZB: zichtzijde boven</v>
          </cell>
          <cell r="AE483">
            <v>15</v>
          </cell>
          <cell r="AH483" t="str">
            <v>+/-0.5</v>
          </cell>
          <cell r="AI483">
            <v>0</v>
          </cell>
          <cell r="AJ483">
            <v>0</v>
          </cell>
          <cell r="AL483" t="str">
            <v>&gt; 800</v>
          </cell>
          <cell r="AM483" t="str">
            <v>&gt; 800</v>
          </cell>
          <cell r="AN483" t="str">
            <v>kg/m³</v>
          </cell>
          <cell r="AP483">
            <v>0.25</v>
          </cell>
          <cell r="AQ483">
            <v>0.06</v>
          </cell>
          <cell r="AR483">
            <v>20.399999999999999</v>
          </cell>
          <cell r="AS483">
            <v>21.012</v>
          </cell>
          <cell r="AT483">
            <v>22.5</v>
          </cell>
          <cell r="AU483" t="str">
            <v>CD3</v>
          </cell>
          <cell r="AV483" t="str">
            <v>DP : Duitse Pallet</v>
          </cell>
          <cell r="AW483">
            <v>3</v>
          </cell>
          <cell r="AX483">
            <v>6.83</v>
          </cell>
          <cell r="AY483" t="str">
            <v>01.02.2015</v>
          </cell>
          <cell r="AZ483">
            <v>0</v>
          </cell>
          <cell r="BA483" t="str">
            <v>00.00.0000</v>
          </cell>
          <cell r="BB483" t="str">
            <v>M2</v>
          </cell>
          <cell r="BC483" t="str">
            <v>M2</v>
          </cell>
          <cell r="BD483" t="str">
            <v>S</v>
          </cell>
          <cell r="BE483">
            <v>5413218572149</v>
          </cell>
        </row>
        <row r="484">
          <cell r="A484" t="str">
            <v>G131492</v>
          </cell>
          <cell r="C484" t="str">
            <v>D5DAD01D005D009</v>
          </cell>
          <cell r="D484" t="str">
            <v>ProMix Premium KG</v>
          </cell>
          <cell r="E484" t="str">
            <v>D5DA</v>
          </cell>
          <cell r="F484" t="str">
            <v>Voegproducten KG</v>
          </cell>
          <cell r="G484" t="str">
            <v>G131492</v>
          </cell>
          <cell r="H484" t="str">
            <v>bestaand</v>
          </cell>
          <cell r="I484" t="str">
            <v>01.01.2013</v>
          </cell>
          <cell r="J484" t="str">
            <v>Yes</v>
          </cell>
          <cell r="K484" t="str">
            <v>Professional</v>
          </cell>
          <cell r="L484" t="str">
            <v>PROMIX</v>
          </cell>
          <cell r="M484" t="str">
            <v>PROMIX PREMIUM</v>
          </cell>
          <cell r="N484" t="str">
            <v>GYPROC PROMIX PREMIUM 20kg EP/33</v>
          </cell>
          <cell r="O484" t="str">
            <v>GYPROC PROMIX PREMIUM 20kg EP/33</v>
          </cell>
          <cell r="P484" t="str">
            <v>(blanco)</v>
          </cell>
          <cell r="Q484" t="str">
            <v>(blanco)</v>
          </cell>
          <cell r="R484" t="str">
            <v>(blanco)</v>
          </cell>
          <cell r="S484" t="str">
            <v>(blanco)</v>
          </cell>
          <cell r="T484" t="str">
            <v>NBN EN 13963:2014</v>
          </cell>
          <cell r="U484" t="str">
            <v>3A</v>
          </cell>
          <cell r="V484" t="str">
            <v>--</v>
          </cell>
          <cell r="AA484" t="str">
            <v>A1</v>
          </cell>
          <cell r="AC484" t="str">
            <v>(blanco)</v>
          </cell>
          <cell r="AD484" t="str">
            <v>(blanco)</v>
          </cell>
          <cell r="AH484" t="str">
            <v>(blanco)</v>
          </cell>
          <cell r="AI484" t="str">
            <v>(blanco)</v>
          </cell>
          <cell r="AJ484" t="str">
            <v>(blanco)</v>
          </cell>
          <cell r="AL484" t="str">
            <v>(blanco)</v>
          </cell>
          <cell r="AM484" t="str">
            <v>(blanco)</v>
          </cell>
          <cell r="AN484" t="str">
            <v>(blanco)</v>
          </cell>
          <cell r="AP484">
            <v>0.25</v>
          </cell>
          <cell r="AR484">
            <v>20.399999999999999</v>
          </cell>
          <cell r="AS484">
            <v>20.524999999999999</v>
          </cell>
          <cell r="AT484">
            <v>33.469000000000001</v>
          </cell>
          <cell r="AU484" t="str">
            <v>CD3</v>
          </cell>
          <cell r="AV484" t="str">
            <v>EP : Euro Pallet</v>
          </cell>
          <cell r="AW484">
            <v>2</v>
          </cell>
          <cell r="AX484">
            <v>2.35</v>
          </cell>
          <cell r="AY484" t="str">
            <v>01.02.2015</v>
          </cell>
          <cell r="AZ484">
            <v>0</v>
          </cell>
          <cell r="BA484" t="str">
            <v>00.00.0000</v>
          </cell>
          <cell r="BB484" t="str">
            <v>KG</v>
          </cell>
          <cell r="BC484" t="str">
            <v>KG</v>
          </cell>
          <cell r="BD484" t="str">
            <v>S</v>
          </cell>
          <cell r="BE484">
            <v>3496250112193</v>
          </cell>
        </row>
        <row r="485">
          <cell r="A485" t="str">
            <v>G131498</v>
          </cell>
          <cell r="C485" t="str">
            <v>C1CBC01C001C024</v>
          </cell>
          <cell r="D485" t="str">
            <v>Rigitone 15/30 M2</v>
          </cell>
          <cell r="E485" t="str">
            <v>C1CB</v>
          </cell>
          <cell r="F485" t="str">
            <v>Rigitone platen</v>
          </cell>
          <cell r="G485" t="str">
            <v>G131498</v>
          </cell>
          <cell r="H485" t="str">
            <v>bestaand</v>
          </cell>
          <cell r="I485" t="str">
            <v>01.02.2014</v>
          </cell>
          <cell r="J485" t="str">
            <v>Yes</v>
          </cell>
          <cell r="K485" t="str">
            <v>Nee</v>
          </cell>
          <cell r="L485" t="str">
            <v>climafit rigitone</v>
          </cell>
          <cell r="M485" t="str">
            <v>CLIMAFIT RIGITONE 12/25</v>
          </cell>
          <cell r="N485" t="str">
            <v>Climafit Rigitone 12/25 WT 10X2000X1200</v>
          </cell>
          <cell r="O485" t="str">
            <v>Climafit Rigitone 12/25 WT 10X2000X1200</v>
          </cell>
          <cell r="P485" t="str">
            <v>ivoor</v>
          </cell>
          <cell r="Q485" t="str">
            <v>ivoire</v>
          </cell>
          <cell r="R485" t="str">
            <v>wit vlies</v>
          </cell>
          <cell r="S485" t="str">
            <v>voile blanc</v>
          </cell>
          <cell r="T485" t="str">
            <v>NBN EN 14190:2014</v>
          </cell>
          <cell r="U485" t="str">
            <v>A</v>
          </cell>
          <cell r="V485" t="str">
            <v>CR</v>
          </cell>
          <cell r="W485" t="str">
            <v>geperforeerde gipskartonplaat met gesneden boorden</v>
          </cell>
          <cell r="Y485" t="str">
            <v>gipsplaat voor droge binnenafbouw</v>
          </cell>
          <cell r="AA485" t="str">
            <v>A2-s1, d0 (C.4)</v>
          </cell>
          <cell r="AC485" t="str">
            <v>GBC</v>
          </cell>
          <cell r="AE485">
            <v>10</v>
          </cell>
          <cell r="AH485" t="str">
            <v>+/-0.5</v>
          </cell>
          <cell r="AI485">
            <v>0</v>
          </cell>
          <cell r="AJ485">
            <v>0</v>
          </cell>
          <cell r="AL485" t="str">
            <v>Geen eisen gesteld</v>
          </cell>
          <cell r="AM485" t="str">
            <v>Pas de exigences</v>
          </cell>
          <cell r="AN485" t="str">
            <v>kg/m³</v>
          </cell>
          <cell r="AP485">
            <v>0.25</v>
          </cell>
          <cell r="AQ485">
            <v>0.04</v>
          </cell>
          <cell r="AR485">
            <v>20.5</v>
          </cell>
          <cell r="AS485">
            <v>21.53</v>
          </cell>
          <cell r="AT485">
            <v>24.12</v>
          </cell>
          <cell r="AU485" t="str">
            <v>CD3</v>
          </cell>
          <cell r="AX485">
            <v>27.92</v>
          </cell>
          <cell r="AY485" t="str">
            <v>01.02.2015</v>
          </cell>
          <cell r="AZ485">
            <v>0</v>
          </cell>
          <cell r="BA485" t="str">
            <v>00.00.0000</v>
          </cell>
          <cell r="BB485" t="str">
            <v>M2</v>
          </cell>
          <cell r="BC485" t="str">
            <v>M2</v>
          </cell>
          <cell r="BD485">
            <v>5</v>
          </cell>
          <cell r="BE485">
            <v>0</v>
          </cell>
        </row>
        <row r="486">
          <cell r="A486" t="str">
            <v>G131530</v>
          </cell>
          <cell r="B486" t="str">
            <v>G124506</v>
          </cell>
          <cell r="C486" t="str">
            <v>D1DCD01D005D032</v>
          </cell>
          <cell r="D486" t="str">
            <v>DIY - Schroeven KAR</v>
          </cell>
          <cell r="E486" t="str">
            <v>D1DC</v>
          </cell>
          <cell r="F486" t="str">
            <v>Toebehoren Bevestigingen *</v>
          </cell>
          <cell r="G486" t="str">
            <v>G131530</v>
          </cell>
          <cell r="H486" t="str">
            <v>bestaand</v>
          </cell>
          <cell r="I486" t="str">
            <v>01.02.2014</v>
          </cell>
          <cell r="J486" t="str">
            <v>Yes</v>
          </cell>
          <cell r="K486" t="str">
            <v>Professional</v>
          </cell>
          <cell r="L486" t="str">
            <v>GYPTONE</v>
          </cell>
          <cell r="M486" t="str">
            <v>SNELBOUWSCHROEVEN QSC</v>
          </cell>
          <cell r="N486" t="str">
            <v>SNELBOUWSCHROEVEN GYPT QSC 25 MM/1000 ST</v>
          </cell>
          <cell r="O486" t="str">
            <v>Vis à fixation rapide gypt QSC 25 MM</v>
          </cell>
          <cell r="P486" t="str">
            <v>(blanco)</v>
          </cell>
          <cell r="Q486" t="str">
            <v>(blanco)</v>
          </cell>
          <cell r="R486" t="str">
            <v>(blanco)</v>
          </cell>
          <cell r="S486" t="str">
            <v>(blanco)</v>
          </cell>
          <cell r="T486" t="str">
            <v>NBN EN 14566+A1:2009</v>
          </cell>
          <cell r="U486" t="str">
            <v>TMN</v>
          </cell>
          <cell r="V486" t="str">
            <v>--</v>
          </cell>
          <cell r="AA486" t="str">
            <v>A1</v>
          </cell>
          <cell r="AC486" t="str">
            <v>(blanco)</v>
          </cell>
          <cell r="AD486" t="str">
            <v>(blanco)</v>
          </cell>
          <cell r="AE486">
            <v>15</v>
          </cell>
          <cell r="AI486" t="str">
            <v>--</v>
          </cell>
          <cell r="AL486" t="str">
            <v>(blanco)</v>
          </cell>
          <cell r="AM486" t="str">
            <v>(blanco)</v>
          </cell>
          <cell r="AN486" t="str">
            <v>(blanco)</v>
          </cell>
          <cell r="AP486">
            <v>17</v>
          </cell>
          <cell r="AR486">
            <v>2.5</v>
          </cell>
          <cell r="AS486">
            <v>2.5099999999999998</v>
          </cell>
          <cell r="AT486">
            <v>0</v>
          </cell>
          <cell r="AX486">
            <v>24.94</v>
          </cell>
          <cell r="AY486" t="str">
            <v>01.02.2015</v>
          </cell>
          <cell r="AZ486">
            <v>0</v>
          </cell>
          <cell r="BA486" t="str">
            <v>00.00.0000</v>
          </cell>
          <cell r="BB486" t="str">
            <v>KAR</v>
          </cell>
          <cell r="BC486" t="str">
            <v>******</v>
          </cell>
          <cell r="BD486">
            <v>2</v>
          </cell>
          <cell r="BE486">
            <v>0</v>
          </cell>
        </row>
        <row r="487">
          <cell r="A487" t="str">
            <v>G131562</v>
          </cell>
          <cell r="C487" t="str">
            <v>D5DAD01D005D012</v>
          </cell>
          <cell r="D487" t="str">
            <v>ProMix Hydro KG</v>
          </cell>
          <cell r="E487" t="str">
            <v>D5DA</v>
          </cell>
          <cell r="F487" t="str">
            <v>Voegproducten KG</v>
          </cell>
          <cell r="G487" t="str">
            <v>G131562</v>
          </cell>
          <cell r="H487" t="str">
            <v>nieuw</v>
          </cell>
          <cell r="I487" t="str">
            <v>01.05.2014</v>
          </cell>
          <cell r="J487" t="str">
            <v>Yes</v>
          </cell>
          <cell r="K487" t="str">
            <v>Professional</v>
          </cell>
          <cell r="L487" t="str">
            <v>PROMIX</v>
          </cell>
          <cell r="M487" t="str">
            <v>PROMIX HYDRO</v>
          </cell>
          <cell r="N487" t="str">
            <v>GYPROC PROMIX HYDRO 15kg EP/33</v>
          </cell>
          <cell r="O487" t="str">
            <v>GYPROC PROMIX HYDRO 15kg EP/33</v>
          </cell>
          <cell r="P487" t="str">
            <v>(blanco)</v>
          </cell>
          <cell r="Q487" t="str">
            <v>(blanco)</v>
          </cell>
          <cell r="R487" t="str">
            <v>(blanco)</v>
          </cell>
          <cell r="S487" t="str">
            <v>(blanco)</v>
          </cell>
          <cell r="T487" t="str">
            <v>NBN EN 13963:2014</v>
          </cell>
          <cell r="U487" t="str">
            <v>3A</v>
          </cell>
          <cell r="V487" t="str">
            <v>--</v>
          </cell>
          <cell r="AA487" t="str">
            <v>A1</v>
          </cell>
          <cell r="AC487" t="str">
            <v>(blanco)</v>
          </cell>
          <cell r="AD487" t="str">
            <v>(blanco)</v>
          </cell>
          <cell r="AH487" t="str">
            <v>(blanco)</v>
          </cell>
          <cell r="AI487" t="str">
            <v>(blanco)</v>
          </cell>
          <cell r="AJ487" t="str">
            <v>(blanco)</v>
          </cell>
          <cell r="AL487" t="str">
            <v>(blanco)</v>
          </cell>
          <cell r="AM487" t="str">
            <v>(blanco)</v>
          </cell>
          <cell r="AN487" t="str">
            <v>(blanco)</v>
          </cell>
          <cell r="AP487">
            <v>0.25</v>
          </cell>
          <cell r="AR487">
            <v>15</v>
          </cell>
          <cell r="AS487">
            <v>15.75</v>
          </cell>
          <cell r="AT487">
            <v>33.469000000000001</v>
          </cell>
          <cell r="AU487" t="str">
            <v>CD3</v>
          </cell>
          <cell r="AV487" t="str">
            <v>EP : Euro Pallet</v>
          </cell>
          <cell r="AW487">
            <v>2</v>
          </cell>
          <cell r="AX487">
            <v>2.2000000000000002</v>
          </cell>
          <cell r="AY487" t="str">
            <v>01.02.2015</v>
          </cell>
          <cell r="AZ487">
            <v>0</v>
          </cell>
          <cell r="BA487" t="str">
            <v>00.00.0000</v>
          </cell>
          <cell r="BB487" t="str">
            <v>KG</v>
          </cell>
          <cell r="BC487" t="str">
            <v>KG</v>
          </cell>
          <cell r="BD487" t="str">
            <v>S</v>
          </cell>
          <cell r="BE487">
            <v>5413218572200</v>
          </cell>
        </row>
        <row r="488">
          <cell r="A488" t="str">
            <v>G131615</v>
          </cell>
          <cell r="C488" t="str">
            <v>A1ABA15A003A007</v>
          </cell>
          <cell r="D488" t="str">
            <v>Gyproc® RF BA 15 600 M2</v>
          </cell>
          <cell r="E488" t="str">
            <v>A1AB</v>
          </cell>
          <cell r="F488" t="str">
            <v>Technische platen M2</v>
          </cell>
          <cell r="G488" t="str">
            <v>G131615</v>
          </cell>
          <cell r="H488" t="str">
            <v>bestaand</v>
          </cell>
          <cell r="I488" t="str">
            <v>01.02.2014</v>
          </cell>
          <cell r="J488" t="str">
            <v>Yes</v>
          </cell>
          <cell r="K488" t="str">
            <v>Professional</v>
          </cell>
          <cell r="L488" t="str">
            <v>Gyproc</v>
          </cell>
          <cell r="M488" t="str">
            <v>Gyproc RF</v>
          </cell>
          <cell r="N488" t="str">
            <v>GY ABA RF 15.0 X 2600 X 600 DP/32 ZOZ</v>
          </cell>
          <cell r="O488" t="str">
            <v>GY ABA RF 15.0 X 2600 X 600 DP/32 ZOZ</v>
          </cell>
          <cell r="P488" t="str">
            <v>roze</v>
          </cell>
          <cell r="Q488" t="str">
            <v>rose</v>
          </cell>
          <cell r="R488" t="str">
            <v>grijs</v>
          </cell>
          <cell r="S488" t="str">
            <v>gris</v>
          </cell>
          <cell r="T488" t="str">
            <v>NBN EN 520:2009</v>
          </cell>
          <cell r="U488" t="str">
            <v>DF</v>
          </cell>
          <cell r="V488" t="str">
            <v>Rf</v>
          </cell>
          <cell r="Y488" t="str">
            <v>gipsplaat voor droge binnenafbouw</v>
          </cell>
          <cell r="AA488" t="str">
            <v>A2-s1, d0 (B)</v>
          </cell>
          <cell r="AB488" t="str">
            <v>SG GY 2013 A1ABA15A003A007</v>
          </cell>
          <cell r="AC488" t="str">
            <v>ABA</v>
          </cell>
          <cell r="AD488" t="str">
            <v>ZOZ: zichtzijde op zichtzijde</v>
          </cell>
          <cell r="AH488" t="str">
            <v>+/-0.5</v>
          </cell>
          <cell r="AI488">
            <v>0</v>
          </cell>
          <cell r="AJ488">
            <v>0</v>
          </cell>
          <cell r="AK488">
            <v>1257</v>
          </cell>
          <cell r="AL488" t="str">
            <v>&gt; 800</v>
          </cell>
          <cell r="AM488" t="str">
            <v>&gt; 800</v>
          </cell>
          <cell r="AN488" t="str">
            <v>kg/m³</v>
          </cell>
          <cell r="AP488">
            <v>0.25</v>
          </cell>
          <cell r="AQ488">
            <v>0.06</v>
          </cell>
          <cell r="AR488">
            <v>19.187999999999999</v>
          </cell>
          <cell r="AS488">
            <v>20.146999999999998</v>
          </cell>
          <cell r="AT488">
            <v>23.4</v>
          </cell>
          <cell r="AU488" t="str">
            <v>CD3</v>
          </cell>
          <cell r="AV488" t="str">
            <v>DP : Duitse Pallet</v>
          </cell>
          <cell r="AW488">
            <v>3</v>
          </cell>
          <cell r="AX488">
            <v>6.03</v>
          </cell>
          <cell r="AY488" t="str">
            <v>01.02.2015</v>
          </cell>
          <cell r="AZ488">
            <v>0</v>
          </cell>
          <cell r="BA488" t="str">
            <v>00.00.0000</v>
          </cell>
          <cell r="BB488" t="str">
            <v>M2</v>
          </cell>
          <cell r="BC488" t="str">
            <v>M2</v>
          </cell>
          <cell r="BD488" t="str">
            <v>S</v>
          </cell>
          <cell r="BE488">
            <v>0</v>
          </cell>
        </row>
        <row r="489">
          <cell r="A489" t="str">
            <v>G131646</v>
          </cell>
          <cell r="C489" t="str">
            <v>D5DAD01D005D011</v>
          </cell>
          <cell r="D489" t="str">
            <v>Promix Light    KG</v>
          </cell>
          <cell r="E489" t="str">
            <v>D5DA</v>
          </cell>
          <cell r="F489" t="str">
            <v>Voegproducten KG</v>
          </cell>
          <cell r="G489" t="str">
            <v>G131646</v>
          </cell>
          <cell r="H489" t="str">
            <v>nieuw</v>
          </cell>
          <cell r="I489" t="str">
            <v>01.02.2016</v>
          </cell>
          <cell r="J489" t="str">
            <v>Yes</v>
          </cell>
          <cell r="K489" t="str">
            <v>Professional</v>
          </cell>
          <cell r="L489" t="str">
            <v>PROMIX</v>
          </cell>
          <cell r="M489" t="str">
            <v>PROMIX LIGHT</v>
          </cell>
          <cell r="N489" t="str">
            <v>GYPROC PROMIX Light 17,5 kg EP/33</v>
          </cell>
          <cell r="O489" t="str">
            <v>GYPROC PROMIX Light 17,5 kg EP/33</v>
          </cell>
          <cell r="P489" t="str">
            <v>(blanco)</v>
          </cell>
          <cell r="Q489" t="str">
            <v>(blanco)</v>
          </cell>
          <cell r="R489" t="str">
            <v>(blanco)</v>
          </cell>
          <cell r="S489" t="str">
            <v>(blanco)</v>
          </cell>
          <cell r="T489" t="str">
            <v>NBN EN 13963:2014</v>
          </cell>
          <cell r="U489" t="str">
            <v>3A</v>
          </cell>
          <cell r="AC489" t="str">
            <v>(blanco)</v>
          </cell>
          <cell r="AD489" t="str">
            <v>(blanco)</v>
          </cell>
          <cell r="AH489" t="str">
            <v>(blanco)</v>
          </cell>
          <cell r="AI489" t="str">
            <v>(blanco)</v>
          </cell>
          <cell r="AJ489" t="str">
            <v>(blanco)</v>
          </cell>
          <cell r="AL489" t="str">
            <v>(blanco)</v>
          </cell>
          <cell r="AM489" t="str">
            <v>(blanco)</v>
          </cell>
          <cell r="AN489" t="str">
            <v>(blanco)</v>
          </cell>
          <cell r="AP489">
            <v>0.25</v>
          </cell>
          <cell r="AR489">
            <v>17.5</v>
          </cell>
          <cell r="AS489">
            <v>18.5</v>
          </cell>
          <cell r="AT489">
            <v>33.469000000000001</v>
          </cell>
          <cell r="AU489" t="str">
            <v>CD3</v>
          </cell>
          <cell r="AV489" t="str">
            <v>EP : Euro Pallet</v>
          </cell>
          <cell r="AW489">
            <v>2</v>
          </cell>
          <cell r="AX489">
            <v>1.5</v>
          </cell>
          <cell r="AY489" t="str">
            <v>22.05.2015</v>
          </cell>
          <cell r="AZ489">
            <v>0</v>
          </cell>
          <cell r="BA489" t="str">
            <v>00.00.0000</v>
          </cell>
          <cell r="BB489" t="str">
            <v>KG</v>
          </cell>
          <cell r="BC489" t="str">
            <v>KG</v>
          </cell>
          <cell r="BD489" t="str">
            <v>S</v>
          </cell>
          <cell r="BE489">
            <v>8711149001552</v>
          </cell>
        </row>
        <row r="490">
          <cell r="A490" t="str">
            <v>G131677</v>
          </cell>
          <cell r="C490" t="str">
            <v>A1AAA01A001A011</v>
          </cell>
          <cell r="D490" t="str">
            <v>Gyproc® A BA 10 60 M2</v>
          </cell>
          <cell r="E490" t="str">
            <v>A1AA</v>
          </cell>
          <cell r="F490" t="str">
            <v>Platen Standaard M2</v>
          </cell>
          <cell r="G490" t="str">
            <v>G131677</v>
          </cell>
          <cell r="H490" t="str">
            <v>bestaand</v>
          </cell>
          <cell r="I490" t="str">
            <v>01.02.2014</v>
          </cell>
          <cell r="J490" t="str">
            <v>No</v>
          </cell>
          <cell r="K490" t="str">
            <v>Nee</v>
          </cell>
          <cell r="N490" t="str">
            <v>BUDGETBOARD 9.5 x 2600 x 600 DP/100</v>
          </cell>
          <cell r="O490" t="str">
            <v>BUDGETBOARD 9.5 x 2600 x 600 DP/100</v>
          </cell>
          <cell r="P490" t="str">
            <v>ivoor</v>
          </cell>
          <cell r="Q490" t="str">
            <v>ivoire</v>
          </cell>
          <cell r="R490" t="str">
            <v>grijs</v>
          </cell>
          <cell r="S490" t="str">
            <v>gris</v>
          </cell>
          <cell r="T490" t="str">
            <v>NBN EN 520:2009</v>
          </cell>
          <cell r="U490" t="str">
            <v>A</v>
          </cell>
          <cell r="V490" t="str">
            <v>A</v>
          </cell>
          <cell r="Y490" t="str">
            <v>gipsplaat voor droge binnenafbouw</v>
          </cell>
          <cell r="AA490" t="str">
            <v>A2-s1, d0 (B)</v>
          </cell>
          <cell r="AC490" t="str">
            <v>ABA</v>
          </cell>
          <cell r="AD490" t="str">
            <v>ZOZ: zichtzijde op zichtzijde</v>
          </cell>
          <cell r="AE490">
            <v>9.5</v>
          </cell>
          <cell r="AH490" t="str">
            <v>+/-0.5</v>
          </cell>
          <cell r="AI490">
            <v>0</v>
          </cell>
          <cell r="AJ490">
            <v>0</v>
          </cell>
          <cell r="AK490">
            <v>1152</v>
          </cell>
          <cell r="AL490" t="str">
            <v>Geen eisen gesteld</v>
          </cell>
          <cell r="AM490" t="str">
            <v>Pas de exigences</v>
          </cell>
          <cell r="AN490" t="str">
            <v>kg/m³</v>
          </cell>
          <cell r="AP490">
            <v>0.25</v>
          </cell>
          <cell r="AQ490">
            <v>0.04</v>
          </cell>
          <cell r="AR490">
            <v>11.076000000000001</v>
          </cell>
          <cell r="AS490">
            <v>11.404</v>
          </cell>
          <cell r="AT490">
            <v>15.6</v>
          </cell>
          <cell r="AU490" t="str">
            <v>CD3</v>
          </cell>
          <cell r="AV490" t="str">
            <v>DP : Duitse Pallet</v>
          </cell>
          <cell r="AW490">
            <v>3</v>
          </cell>
          <cell r="AX490">
            <v>4.0199999999999996</v>
          </cell>
          <cell r="AY490" t="str">
            <v>01.02.2015</v>
          </cell>
          <cell r="AZ490">
            <v>0</v>
          </cell>
          <cell r="BA490" t="str">
            <v>00.00.0000</v>
          </cell>
          <cell r="BB490" t="str">
            <v>M2</v>
          </cell>
          <cell r="BC490" t="str">
            <v>M2</v>
          </cell>
          <cell r="BD490" t="str">
            <v>S</v>
          </cell>
          <cell r="BE490">
            <v>5413218572729</v>
          </cell>
        </row>
        <row r="491">
          <cell r="A491" t="str">
            <v>G131737</v>
          </cell>
          <cell r="C491" t="str">
            <v>D1DFD05D003D004</v>
          </cell>
          <cell r="D491" t="str">
            <v>Afwerkingsprofielen M</v>
          </cell>
          <cell r="E491" t="str">
            <v>D1DF</v>
          </cell>
          <cell r="F491" t="str">
            <v>Andere Toebehoren *</v>
          </cell>
          <cell r="G491" t="str">
            <v>G131737</v>
          </cell>
          <cell r="H491" t="str">
            <v>nieuw</v>
          </cell>
          <cell r="I491" t="str">
            <v>01.07.2014</v>
          </cell>
          <cell r="J491" t="str">
            <v>Yes</v>
          </cell>
          <cell r="K491" t="str">
            <v>Professional</v>
          </cell>
          <cell r="L491" t="str">
            <v>Gyproc</v>
          </cell>
          <cell r="M491" t="str">
            <v>OPTIMUS L-TRIM</v>
          </cell>
          <cell r="N491" t="str">
            <v>Optimus L-Trim 12 mm / 3.00 M</v>
          </cell>
          <cell r="O491" t="str">
            <v>Optimus L-Trim 12 mm / 3.00 M</v>
          </cell>
          <cell r="P491" t="str">
            <v>(blanco)</v>
          </cell>
          <cell r="Q491" t="str">
            <v>(blanco)</v>
          </cell>
          <cell r="R491" t="str">
            <v>(blanco)</v>
          </cell>
          <cell r="S491" t="str">
            <v>(blanco)</v>
          </cell>
          <cell r="T491" t="str">
            <v>--</v>
          </cell>
          <cell r="AC491" t="str">
            <v>(blanco)</v>
          </cell>
          <cell r="AD491" t="str">
            <v>(blanco)</v>
          </cell>
          <cell r="AL491" t="str">
            <v>(blanco)</v>
          </cell>
          <cell r="AM491" t="str">
            <v>(blanco)</v>
          </cell>
          <cell r="AN491" t="str">
            <v>(blanco)</v>
          </cell>
          <cell r="AP491">
            <v>0</v>
          </cell>
          <cell r="AR491">
            <v>0.30499999999999999</v>
          </cell>
          <cell r="AS491">
            <v>0.32</v>
          </cell>
          <cell r="AT491">
            <v>0</v>
          </cell>
          <cell r="AX491">
            <v>2.14</v>
          </cell>
          <cell r="AY491" t="str">
            <v>01.02.2015</v>
          </cell>
          <cell r="AZ491">
            <v>0</v>
          </cell>
          <cell r="BA491" t="str">
            <v>00.00.0000</v>
          </cell>
          <cell r="BB491" t="str">
            <v>M</v>
          </cell>
          <cell r="BC491" t="str">
            <v>M</v>
          </cell>
          <cell r="BD491" t="str">
            <v>S</v>
          </cell>
          <cell r="BE491">
            <v>0</v>
          </cell>
        </row>
        <row r="492">
          <cell r="A492" t="str">
            <v>G131738</v>
          </cell>
          <cell r="C492" t="str">
            <v>D1DFD05D003D001</v>
          </cell>
          <cell r="D492" t="str">
            <v>Bandes *</v>
          </cell>
          <cell r="E492" t="str">
            <v>D1DF</v>
          </cell>
          <cell r="F492" t="str">
            <v>Andere Toebehoren *</v>
          </cell>
          <cell r="G492" t="str">
            <v>G131738</v>
          </cell>
          <cell r="H492" t="str">
            <v>nieuw</v>
          </cell>
          <cell r="I492" t="str">
            <v>01.07.2014</v>
          </cell>
          <cell r="J492" t="str">
            <v>Yes</v>
          </cell>
          <cell r="K492" t="str">
            <v>Professional</v>
          </cell>
          <cell r="L492" t="str">
            <v>Gyproc</v>
          </cell>
          <cell r="M492" t="str">
            <v>OPTIMUS ARCH</v>
          </cell>
          <cell r="N492" t="str">
            <v>Optimus Arch</v>
          </cell>
          <cell r="O492" t="str">
            <v>Optimus Arch</v>
          </cell>
          <cell r="P492" t="str">
            <v>(blanco)</v>
          </cell>
          <cell r="Q492" t="str">
            <v>(blanco)</v>
          </cell>
          <cell r="R492" t="str">
            <v>(blanco)</v>
          </cell>
          <cell r="S492" t="str">
            <v>(blanco)</v>
          </cell>
          <cell r="T492" t="str">
            <v>--</v>
          </cell>
          <cell r="AC492" t="str">
            <v>(blanco)</v>
          </cell>
          <cell r="AD492" t="str">
            <v>(blanco)</v>
          </cell>
          <cell r="AL492" t="str">
            <v>(blanco)</v>
          </cell>
          <cell r="AM492" t="str">
            <v>(blanco)</v>
          </cell>
          <cell r="AN492" t="str">
            <v>(blanco)</v>
          </cell>
          <cell r="AP492">
            <v>0</v>
          </cell>
          <cell r="AR492">
            <v>0.3</v>
          </cell>
          <cell r="AS492">
            <v>0.45</v>
          </cell>
          <cell r="AT492">
            <v>0</v>
          </cell>
          <cell r="AX492">
            <v>2.64</v>
          </cell>
          <cell r="AY492" t="str">
            <v>01.02.2015</v>
          </cell>
          <cell r="AZ492">
            <v>0</v>
          </cell>
          <cell r="BA492" t="str">
            <v>00.00.0000</v>
          </cell>
          <cell r="BB492" t="str">
            <v>M</v>
          </cell>
          <cell r="BC492" t="str">
            <v>M</v>
          </cell>
          <cell r="BD492" t="str">
            <v>S</v>
          </cell>
          <cell r="BE492">
            <v>0</v>
          </cell>
        </row>
        <row r="493">
          <cell r="A493" t="str">
            <v>G131739</v>
          </cell>
          <cell r="C493" t="str">
            <v>D1DFD05D003D001</v>
          </cell>
          <cell r="D493" t="str">
            <v>Bandes *</v>
          </cell>
          <cell r="E493" t="str">
            <v>D1DF</v>
          </cell>
          <cell r="F493" t="str">
            <v>Andere Toebehoren *</v>
          </cell>
          <cell r="G493" t="str">
            <v>G131739</v>
          </cell>
          <cell r="H493" t="str">
            <v>nieuw</v>
          </cell>
          <cell r="I493" t="str">
            <v>01.07.2014</v>
          </cell>
          <cell r="J493" t="str">
            <v>Yes</v>
          </cell>
          <cell r="K493" t="str">
            <v>Professional</v>
          </cell>
          <cell r="L493" t="str">
            <v>Gyproc</v>
          </cell>
          <cell r="M493" t="str">
            <v>AQUABEAD BUITENHOEK</v>
          </cell>
          <cell r="N493" t="str">
            <v>Aquabead Buitenhoek 90° 3.00 M</v>
          </cell>
          <cell r="O493" t="str">
            <v>AquaBead pour angle extérieur 90° 3.00 M</v>
          </cell>
          <cell r="P493" t="str">
            <v>(blanco)</v>
          </cell>
          <cell r="Q493" t="str">
            <v>(blanco)</v>
          </cell>
          <cell r="R493" t="str">
            <v>(blanco)</v>
          </cell>
          <cell r="S493" t="str">
            <v>(blanco)</v>
          </cell>
          <cell r="T493" t="str">
            <v>--</v>
          </cell>
          <cell r="AC493" t="str">
            <v>(blanco)</v>
          </cell>
          <cell r="AD493" t="str">
            <v>(blanco)</v>
          </cell>
          <cell r="AE493">
            <v>0</v>
          </cell>
          <cell r="AL493" t="str">
            <v>(blanco)</v>
          </cell>
          <cell r="AM493" t="str">
            <v>(blanco)</v>
          </cell>
          <cell r="AN493" t="str">
            <v>(blanco)</v>
          </cell>
          <cell r="AP493">
            <v>0</v>
          </cell>
          <cell r="AR493">
            <v>0.26500000000000001</v>
          </cell>
          <cell r="AS493">
            <v>0.27800000000000002</v>
          </cell>
          <cell r="AT493">
            <v>371.47</v>
          </cell>
          <cell r="AU493" t="str">
            <v>CCM</v>
          </cell>
          <cell r="AX493">
            <v>1.97</v>
          </cell>
          <cell r="AY493" t="str">
            <v>01.02.2015</v>
          </cell>
          <cell r="AZ493">
            <v>0</v>
          </cell>
          <cell r="BA493" t="str">
            <v>00.00.0000</v>
          </cell>
          <cell r="BB493" t="str">
            <v>M</v>
          </cell>
          <cell r="BC493" t="str">
            <v>M</v>
          </cell>
          <cell r="BD493" t="str">
            <v>S</v>
          </cell>
          <cell r="BE493">
            <v>0</v>
          </cell>
        </row>
        <row r="494">
          <cell r="A494" t="str">
            <v>G131740</v>
          </cell>
          <cell r="C494" t="str">
            <v>D1DFD05D003D004</v>
          </cell>
          <cell r="D494" t="str">
            <v>Afwerkingsprofielen M</v>
          </cell>
          <cell r="E494" t="str">
            <v>D1DF</v>
          </cell>
          <cell r="F494" t="str">
            <v>Andere Toebehoren *</v>
          </cell>
          <cell r="G494" t="str">
            <v>G131740</v>
          </cell>
          <cell r="H494" t="str">
            <v>nieuw</v>
          </cell>
          <cell r="I494" t="str">
            <v>01.07.2014</v>
          </cell>
          <cell r="J494" t="str">
            <v>Yes</v>
          </cell>
          <cell r="K494" t="str">
            <v>Professional</v>
          </cell>
          <cell r="L494" t="str">
            <v>Gyproc</v>
          </cell>
          <cell r="M494" t="str">
            <v>AQUABEAD L-TRIM</v>
          </cell>
          <cell r="N494" t="str">
            <v>Aquabead L-Trim 12mm 3.00 M</v>
          </cell>
          <cell r="O494" t="str">
            <v>Aquabead L-Trim 12mm 3.00 M</v>
          </cell>
          <cell r="P494" t="str">
            <v>(blanco)</v>
          </cell>
          <cell r="Q494" t="str">
            <v>(blanco)</v>
          </cell>
          <cell r="R494" t="str">
            <v>(blanco)</v>
          </cell>
          <cell r="S494" t="str">
            <v>(blanco)</v>
          </cell>
          <cell r="T494" t="str">
            <v>--</v>
          </cell>
          <cell r="AC494" t="str">
            <v>(blanco)</v>
          </cell>
          <cell r="AD494" t="str">
            <v>(blanco)</v>
          </cell>
          <cell r="AL494" t="str">
            <v>(blanco)</v>
          </cell>
          <cell r="AM494" t="str">
            <v>(blanco)</v>
          </cell>
          <cell r="AN494" t="str">
            <v>(blanco)</v>
          </cell>
          <cell r="AP494">
            <v>0</v>
          </cell>
          <cell r="AR494">
            <v>0.30499999999999999</v>
          </cell>
          <cell r="AS494">
            <v>0.32</v>
          </cell>
          <cell r="AT494">
            <v>0</v>
          </cell>
          <cell r="AX494">
            <v>2.2999999999999998</v>
          </cell>
          <cell r="AY494" t="str">
            <v>01.02.2015</v>
          </cell>
          <cell r="AZ494">
            <v>0</v>
          </cell>
          <cell r="BA494" t="str">
            <v>00.00.0000</v>
          </cell>
          <cell r="BB494" t="str">
            <v>M</v>
          </cell>
          <cell r="BC494" t="str">
            <v>M</v>
          </cell>
          <cell r="BD494" t="str">
            <v>S</v>
          </cell>
          <cell r="BE494">
            <v>0</v>
          </cell>
        </row>
        <row r="495">
          <cell r="A495" t="str">
            <v>G131741</v>
          </cell>
          <cell r="C495" t="str">
            <v>D1DFD05D003D001</v>
          </cell>
          <cell r="D495" t="str">
            <v>Bandes *</v>
          </cell>
          <cell r="E495" t="str">
            <v>D1DF</v>
          </cell>
          <cell r="F495" t="str">
            <v>Andere Toebehoren *</v>
          </cell>
          <cell r="G495" t="str">
            <v>G131741</v>
          </cell>
          <cell r="H495" t="str">
            <v>nieuw</v>
          </cell>
          <cell r="I495" t="str">
            <v>01.07.2014</v>
          </cell>
          <cell r="J495" t="str">
            <v>Yes</v>
          </cell>
          <cell r="K495" t="str">
            <v>Professional</v>
          </cell>
          <cell r="L495" t="str">
            <v>Gyproc</v>
          </cell>
          <cell r="M495" t="str">
            <v>EASYFLEX PRO</v>
          </cell>
          <cell r="N495" t="str">
            <v>Easyflex PRO 79mm / 30 M</v>
          </cell>
          <cell r="O495" t="str">
            <v>Easyflex PRO 79mm / 30 M</v>
          </cell>
          <cell r="P495" t="str">
            <v>(blanco)</v>
          </cell>
          <cell r="Q495" t="str">
            <v>(blanco)</v>
          </cell>
          <cell r="R495" t="str">
            <v>(blanco)</v>
          </cell>
          <cell r="S495" t="str">
            <v>(blanco)</v>
          </cell>
          <cell r="T495" t="str">
            <v>--</v>
          </cell>
          <cell r="AC495" t="str">
            <v>(blanco)</v>
          </cell>
          <cell r="AD495" t="str">
            <v>(blanco)</v>
          </cell>
          <cell r="AL495" t="str">
            <v>(blanco)</v>
          </cell>
          <cell r="AM495" t="str">
            <v>(blanco)</v>
          </cell>
          <cell r="AN495" t="str">
            <v>(blanco)</v>
          </cell>
          <cell r="AP495">
            <v>0</v>
          </cell>
          <cell r="AR495">
            <v>1.5</v>
          </cell>
          <cell r="AS495">
            <v>1.9</v>
          </cell>
          <cell r="AT495">
            <v>0</v>
          </cell>
          <cell r="AX495">
            <v>1.82</v>
          </cell>
          <cell r="AY495" t="str">
            <v>01.02.2015</v>
          </cell>
          <cell r="AZ495">
            <v>0</v>
          </cell>
          <cell r="BA495" t="str">
            <v>00.00.0000</v>
          </cell>
          <cell r="BB495" t="str">
            <v>M</v>
          </cell>
          <cell r="BC495" t="str">
            <v>M</v>
          </cell>
          <cell r="BD495" t="str">
            <v>S</v>
          </cell>
          <cell r="BE495">
            <v>0</v>
          </cell>
        </row>
        <row r="496">
          <cell r="A496" t="str">
            <v>G131742</v>
          </cell>
          <cell r="C496" t="str">
            <v>F5FAF01F001F002</v>
          </cell>
          <cell r="D496" t="str">
            <v>Gereedschap divers *</v>
          </cell>
          <cell r="E496" t="str">
            <v>F5FA</v>
          </cell>
          <cell r="F496" t="str">
            <v>Gereedschap bevestigingen *</v>
          </cell>
          <cell r="G496" t="str">
            <v>G131742</v>
          </cell>
          <cell r="H496" t="str">
            <v>nieuw</v>
          </cell>
          <cell r="I496" t="str">
            <v>01.07.2014</v>
          </cell>
          <cell r="J496" t="str">
            <v>Yes</v>
          </cell>
          <cell r="K496" t="str">
            <v>Professional</v>
          </cell>
          <cell r="L496" t="str">
            <v>Gyproc</v>
          </cell>
          <cell r="M496" t="str">
            <v>BINNENHOEKROLLER - STAINLESS S</v>
          </cell>
          <cell r="N496" t="str">
            <v>Binnenhoekroller Staal</v>
          </cell>
          <cell r="O496" t="str">
            <v>Rouleau d'angle int. Stainless Steel</v>
          </cell>
          <cell r="P496" t="str">
            <v>(blanco)</v>
          </cell>
          <cell r="Q496" t="str">
            <v>(blanco)</v>
          </cell>
          <cell r="R496" t="str">
            <v>(blanco)</v>
          </cell>
          <cell r="S496" t="str">
            <v>(blanco)</v>
          </cell>
          <cell r="T496" t="str">
            <v>--</v>
          </cell>
          <cell r="AA496" t="str">
            <v>(blanco)</v>
          </cell>
          <cell r="AC496" t="str">
            <v>(blanco)</v>
          </cell>
          <cell r="AD496" t="str">
            <v>(blanco)</v>
          </cell>
          <cell r="AH496" t="str">
            <v>(blanco)</v>
          </cell>
          <cell r="AI496" t="str">
            <v>(blanco)</v>
          </cell>
          <cell r="AJ496" t="str">
            <v>(blanco)</v>
          </cell>
          <cell r="AL496" t="str">
            <v>(blanco)</v>
          </cell>
          <cell r="AM496" t="str">
            <v>(blanco)</v>
          </cell>
          <cell r="AN496" t="str">
            <v>(blanco)</v>
          </cell>
          <cell r="AR496">
            <v>0.84</v>
          </cell>
          <cell r="AS496">
            <v>0.85</v>
          </cell>
          <cell r="AT496">
            <v>0</v>
          </cell>
          <cell r="AX496">
            <v>205.95</v>
          </cell>
          <cell r="AY496" t="str">
            <v>01.02.2015</v>
          </cell>
          <cell r="AZ496">
            <v>0</v>
          </cell>
          <cell r="BA496" t="str">
            <v>00.00.0000</v>
          </cell>
          <cell r="BB496" t="str">
            <v>ST</v>
          </cell>
          <cell r="BC496" t="str">
            <v>******</v>
          </cell>
          <cell r="BD496" t="str">
            <v>S</v>
          </cell>
          <cell r="BE496">
            <v>7318936671786</v>
          </cell>
        </row>
        <row r="497">
          <cell r="A497" t="str">
            <v>G131743</v>
          </cell>
          <cell r="C497" t="str">
            <v>F5FAF01F002F002</v>
          </cell>
          <cell r="D497" t="str">
            <v>DIY - Gyproc gereedschappen ST</v>
          </cell>
          <cell r="E497" t="str">
            <v>F5FA</v>
          </cell>
          <cell r="F497" t="str">
            <v>Gereedschap bevestigingen *</v>
          </cell>
          <cell r="G497" t="str">
            <v>G131743</v>
          </cell>
          <cell r="H497" t="str">
            <v>nieuw</v>
          </cell>
          <cell r="I497" t="str">
            <v>01.07.2014</v>
          </cell>
          <cell r="J497" t="str">
            <v>Yes</v>
          </cell>
          <cell r="K497" t="str">
            <v>Professional</v>
          </cell>
          <cell r="L497" t="str">
            <v>Gyproc</v>
          </cell>
          <cell r="M497" t="str">
            <v>BUITENHOEKROLLER - STAINLESS S</v>
          </cell>
          <cell r="N497" t="str">
            <v>Buitenhoekroller Staal</v>
          </cell>
          <cell r="O497" t="str">
            <v>Rouleau d'angle ext. Stainless Steel</v>
          </cell>
          <cell r="P497" t="str">
            <v>(blanco)</v>
          </cell>
          <cell r="Q497" t="str">
            <v>(blanco)</v>
          </cell>
          <cell r="R497" t="str">
            <v>(blanco)</v>
          </cell>
          <cell r="S497" t="str">
            <v>(blanco)</v>
          </cell>
          <cell r="T497" t="str">
            <v>--</v>
          </cell>
          <cell r="AA497" t="str">
            <v>(blanco)</v>
          </cell>
          <cell r="AC497" t="str">
            <v>(blanco)</v>
          </cell>
          <cell r="AD497" t="str">
            <v>(blanco)</v>
          </cell>
          <cell r="AH497" t="str">
            <v>(blanco)</v>
          </cell>
          <cell r="AI497" t="str">
            <v>(blanco)</v>
          </cell>
          <cell r="AJ497" t="str">
            <v>(blanco)</v>
          </cell>
          <cell r="AL497" t="str">
            <v>(blanco)</v>
          </cell>
          <cell r="AM497" t="str">
            <v>(blanco)</v>
          </cell>
          <cell r="AN497" t="str">
            <v>(blanco)</v>
          </cell>
          <cell r="AR497">
            <v>0.9</v>
          </cell>
          <cell r="AS497">
            <v>0.95</v>
          </cell>
          <cell r="AT497">
            <v>0</v>
          </cell>
          <cell r="AX497">
            <v>209.56</v>
          </cell>
          <cell r="AY497" t="str">
            <v>01.02.2015</v>
          </cell>
          <cell r="AZ497">
            <v>0</v>
          </cell>
          <cell r="BA497" t="str">
            <v>00.00.0000</v>
          </cell>
          <cell r="BB497" t="str">
            <v>ST</v>
          </cell>
          <cell r="BC497" t="str">
            <v>******</v>
          </cell>
          <cell r="BD497" t="str">
            <v>S</v>
          </cell>
          <cell r="BE497">
            <v>7318936654550</v>
          </cell>
        </row>
        <row r="498">
          <cell r="A498" t="str">
            <v>G131744</v>
          </cell>
          <cell r="C498" t="str">
            <v>F5FAF01F001F002</v>
          </cell>
          <cell r="D498" t="str">
            <v>Gereedschap divers *</v>
          </cell>
          <cell r="E498" t="str">
            <v>F5FA</v>
          </cell>
          <cell r="F498" t="str">
            <v>Gereedschap bevestigingen *</v>
          </cell>
          <cell r="G498" t="str">
            <v>G131744</v>
          </cell>
          <cell r="H498" t="str">
            <v>nieuw</v>
          </cell>
          <cell r="I498" t="str">
            <v>01.07.2014</v>
          </cell>
          <cell r="J498" t="str">
            <v>Yes</v>
          </cell>
          <cell r="K498" t="str">
            <v>Professional</v>
          </cell>
          <cell r="L498" t="str">
            <v>Gyproc</v>
          </cell>
          <cell r="M498" t="str">
            <v>Eenkantroller - stainless stee</v>
          </cell>
          <cell r="N498" t="str">
            <v>Eénkantroller Staal</v>
          </cell>
          <cell r="O498" t="str">
            <v>Roller 1-side Stainless steel</v>
          </cell>
          <cell r="P498" t="str">
            <v>(blanco)</v>
          </cell>
          <cell r="Q498" t="str">
            <v>(blanco)</v>
          </cell>
          <cell r="R498" t="str">
            <v>(blanco)</v>
          </cell>
          <cell r="S498" t="str">
            <v>(blanco)</v>
          </cell>
          <cell r="T498" t="str">
            <v>--</v>
          </cell>
          <cell r="AA498" t="str">
            <v>(blanco)</v>
          </cell>
          <cell r="AC498" t="str">
            <v>(blanco)</v>
          </cell>
          <cell r="AD498" t="str">
            <v>(blanco)</v>
          </cell>
          <cell r="AH498" t="str">
            <v>(blanco)</v>
          </cell>
          <cell r="AI498" t="str">
            <v>(blanco)</v>
          </cell>
          <cell r="AJ498" t="str">
            <v>(blanco)</v>
          </cell>
          <cell r="AL498" t="str">
            <v>(blanco)</v>
          </cell>
          <cell r="AM498" t="str">
            <v>(blanco)</v>
          </cell>
          <cell r="AN498" t="str">
            <v>(blanco)</v>
          </cell>
          <cell r="AR498">
            <v>0.84</v>
          </cell>
          <cell r="AS498">
            <v>0.85</v>
          </cell>
          <cell r="AT498">
            <v>0</v>
          </cell>
          <cell r="AX498">
            <v>205.95</v>
          </cell>
          <cell r="AY498" t="str">
            <v>01.02.2015</v>
          </cell>
          <cell r="AZ498">
            <v>0</v>
          </cell>
          <cell r="BA498" t="str">
            <v>00.00.0000</v>
          </cell>
          <cell r="BB498" t="str">
            <v>ST</v>
          </cell>
          <cell r="BC498" t="str">
            <v>******</v>
          </cell>
          <cell r="BD498" t="str">
            <v>S</v>
          </cell>
          <cell r="BE498">
            <v>7318936671793</v>
          </cell>
        </row>
        <row r="499">
          <cell r="A499" t="str">
            <v>G131745</v>
          </cell>
          <cell r="C499" t="str">
            <v>F5FAF01F001F002</v>
          </cell>
          <cell r="D499" t="str">
            <v>Gereedschap divers *</v>
          </cell>
          <cell r="E499" t="str">
            <v>F5FA</v>
          </cell>
          <cell r="F499" t="str">
            <v>Gereedschap bevestigingen *</v>
          </cell>
          <cell r="G499" t="str">
            <v>G131745</v>
          </cell>
          <cell r="H499" t="str">
            <v>nieuw</v>
          </cell>
          <cell r="I499" t="str">
            <v>01.07.2014</v>
          </cell>
          <cell r="J499" t="str">
            <v>Yes</v>
          </cell>
          <cell r="K499" t="str">
            <v>Professional</v>
          </cell>
          <cell r="L499" t="str">
            <v>Gyproc</v>
          </cell>
          <cell r="M499" t="str">
            <v>HOPPER</v>
          </cell>
          <cell r="N499" t="str">
            <v>Hopper Gyproc</v>
          </cell>
          <cell r="O499" t="str">
            <v>Trémie Gyproc</v>
          </cell>
          <cell r="P499" t="str">
            <v>(blanco)</v>
          </cell>
          <cell r="Q499" t="str">
            <v>(blanco)</v>
          </cell>
          <cell r="R499" t="str">
            <v>(blanco)</v>
          </cell>
          <cell r="S499" t="str">
            <v>(blanco)</v>
          </cell>
          <cell r="T499" t="str">
            <v>--</v>
          </cell>
          <cell r="AA499" t="str">
            <v>(blanco)</v>
          </cell>
          <cell r="AC499" t="str">
            <v>(blanco)</v>
          </cell>
          <cell r="AD499" t="str">
            <v>(blanco)</v>
          </cell>
          <cell r="AH499" t="str">
            <v>(blanco)</v>
          </cell>
          <cell r="AI499" t="str">
            <v>(blanco)</v>
          </cell>
          <cell r="AJ499" t="str">
            <v>(blanco)</v>
          </cell>
          <cell r="AL499" t="str">
            <v>(blanco)</v>
          </cell>
          <cell r="AM499" t="str">
            <v>(blanco)</v>
          </cell>
          <cell r="AN499" t="str">
            <v>(blanco)</v>
          </cell>
          <cell r="AR499">
            <v>0.84</v>
          </cell>
          <cell r="AS499">
            <v>0.85</v>
          </cell>
          <cell r="AT499">
            <v>0</v>
          </cell>
          <cell r="AX499">
            <v>208.76</v>
          </cell>
          <cell r="AY499" t="str">
            <v>01.02.2015</v>
          </cell>
          <cell r="AZ499">
            <v>0</v>
          </cell>
          <cell r="BA499" t="str">
            <v>00.00.0000</v>
          </cell>
          <cell r="BB499" t="str">
            <v>ST</v>
          </cell>
          <cell r="BC499" t="str">
            <v>******</v>
          </cell>
          <cell r="BD499" t="str">
            <v>S</v>
          </cell>
          <cell r="BE499">
            <v>7318936671922</v>
          </cell>
        </row>
        <row r="500">
          <cell r="A500" t="str">
            <v>G131774</v>
          </cell>
          <cell r="C500" t="str">
            <v>D5DAD01D005D008</v>
          </cell>
          <cell r="D500" t="str">
            <v>Promix Airless KG</v>
          </cell>
          <cell r="E500" t="str">
            <v>D5DA</v>
          </cell>
          <cell r="F500" t="str">
            <v>Voegproducten KG</v>
          </cell>
          <cell r="G500" t="str">
            <v>G131774</v>
          </cell>
          <cell r="H500" t="str">
            <v>nieuw</v>
          </cell>
          <cell r="I500" t="str">
            <v>01.07.2014</v>
          </cell>
          <cell r="J500" t="str">
            <v>Yes</v>
          </cell>
          <cell r="K500" t="str">
            <v>Professional</v>
          </cell>
          <cell r="L500" t="str">
            <v>PROMIX</v>
          </cell>
          <cell r="M500" t="str">
            <v>PROMIX AIRLESS S</v>
          </cell>
          <cell r="N500" t="str">
            <v>ProMix Airless S 25 kg EP/40</v>
          </cell>
          <cell r="O500" t="str">
            <v>ProMix Airless S 25 kg EP/40</v>
          </cell>
          <cell r="P500" t="str">
            <v>(blanco)</v>
          </cell>
          <cell r="Q500" t="str">
            <v>(blanco)</v>
          </cell>
          <cell r="R500" t="str">
            <v>(blanco)</v>
          </cell>
          <cell r="S500" t="str">
            <v>(blanco)</v>
          </cell>
          <cell r="T500" t="str">
            <v>NBN EN 13963:2014</v>
          </cell>
          <cell r="U500" t="str">
            <v>2A</v>
          </cell>
          <cell r="V500" t="str">
            <v>--</v>
          </cell>
          <cell r="AA500" t="str">
            <v>A1</v>
          </cell>
          <cell r="AC500" t="str">
            <v>(blanco)</v>
          </cell>
          <cell r="AD500" t="str">
            <v>(blanco)</v>
          </cell>
          <cell r="AH500" t="str">
            <v>(blanco)</v>
          </cell>
          <cell r="AI500" t="str">
            <v>(blanco)</v>
          </cell>
          <cell r="AJ500" t="str">
            <v>(blanco)</v>
          </cell>
          <cell r="AL500" t="str">
            <v>(blanco)</v>
          </cell>
          <cell r="AM500" t="str">
            <v>(blanco)</v>
          </cell>
          <cell r="AN500" t="str">
            <v>(blanco)</v>
          </cell>
          <cell r="AP500">
            <v>0.25</v>
          </cell>
          <cell r="AR500">
            <v>25</v>
          </cell>
          <cell r="AS500">
            <v>26.25</v>
          </cell>
          <cell r="AT500">
            <v>0</v>
          </cell>
          <cell r="AV500" t="str">
            <v>EP : Euro Pallet</v>
          </cell>
          <cell r="AW500">
            <v>2</v>
          </cell>
          <cell r="AX500">
            <v>0.68</v>
          </cell>
          <cell r="AY500" t="str">
            <v>01.02.2015</v>
          </cell>
          <cell r="AZ500">
            <v>0</v>
          </cell>
          <cell r="BA500" t="str">
            <v>00.00.0000</v>
          </cell>
          <cell r="BB500" t="str">
            <v>KG</v>
          </cell>
          <cell r="BC500" t="str">
            <v>KG</v>
          </cell>
          <cell r="BD500" t="str">
            <v>S</v>
          </cell>
          <cell r="BE500">
            <v>5413218573290</v>
          </cell>
        </row>
        <row r="501">
          <cell r="A501" t="str">
            <v>G131786</v>
          </cell>
          <cell r="C501" t="str">
            <v>D1DBD01D012D001</v>
          </cell>
          <cell r="D501" t="str">
            <v>ACC PLAGYP *</v>
          </cell>
          <cell r="E501" t="str">
            <v>D1DB</v>
          </cell>
          <cell r="F501" t="str">
            <v>Toebehoren Platen *</v>
          </cell>
          <cell r="G501" t="str">
            <v>G131786</v>
          </cell>
          <cell r="H501" t="str">
            <v>bestaand</v>
          </cell>
          <cell r="I501" t="str">
            <v>01.02.2015</v>
          </cell>
          <cell r="J501" t="str">
            <v>Yes</v>
          </cell>
          <cell r="K501" t="str">
            <v>Professional</v>
          </cell>
          <cell r="L501" t="str">
            <v>PLAGYP</v>
          </cell>
          <cell r="M501" t="str">
            <v>PH60/300</v>
          </cell>
          <cell r="N501" t="str">
            <v>PLAGYP PLAFONDHANGER PH60/300</v>
          </cell>
          <cell r="O501" t="str">
            <v>Suspente PlaGyp PH60/300</v>
          </cell>
          <cell r="P501" t="str">
            <v>(blanco)</v>
          </cell>
          <cell r="Q501" t="str">
            <v>(blanco)</v>
          </cell>
          <cell r="R501" t="str">
            <v>(blanco)</v>
          </cell>
          <cell r="S501" t="str">
            <v>(blanco)</v>
          </cell>
          <cell r="T501" t="str">
            <v>NBN EN 14195:2015</v>
          </cell>
          <cell r="U501" t="str">
            <v>--</v>
          </cell>
          <cell r="V501" t="str">
            <v>--</v>
          </cell>
          <cell r="AA501" t="str">
            <v>A1</v>
          </cell>
          <cell r="AC501" t="str">
            <v>(blanco)</v>
          </cell>
          <cell r="AD501" t="str">
            <v>(blanco)</v>
          </cell>
          <cell r="AI501" t="str">
            <v>+/-0.2</v>
          </cell>
          <cell r="AJ501" t="str">
            <v>+/-0.2</v>
          </cell>
          <cell r="AL501" t="str">
            <v>(blanco)</v>
          </cell>
          <cell r="AM501" t="str">
            <v>(blanco)</v>
          </cell>
          <cell r="AN501" t="str">
            <v>(blanco)</v>
          </cell>
          <cell r="AP501">
            <v>50</v>
          </cell>
          <cell r="AR501">
            <v>20</v>
          </cell>
          <cell r="AS501">
            <v>21</v>
          </cell>
          <cell r="AT501">
            <v>0</v>
          </cell>
          <cell r="AX501">
            <v>0.66</v>
          </cell>
          <cell r="AY501" t="str">
            <v>01.02.2015</v>
          </cell>
          <cell r="AZ501">
            <v>0</v>
          </cell>
          <cell r="BA501" t="str">
            <v>00.00.0000</v>
          </cell>
          <cell r="BB501" t="str">
            <v>ST</v>
          </cell>
          <cell r="BC501" t="str">
            <v>******</v>
          </cell>
          <cell r="BD501" t="str">
            <v>S</v>
          </cell>
          <cell r="BE501">
            <v>5413218573344</v>
          </cell>
        </row>
        <row r="502">
          <cell r="A502" t="str">
            <v>G131829</v>
          </cell>
          <cell r="C502" t="str">
            <v>F5FAF01F002F002</v>
          </cell>
          <cell r="D502" t="str">
            <v>DIY - Gyproc gereedschappen ST</v>
          </cell>
          <cell r="E502" t="str">
            <v>F5FA</v>
          </cell>
          <cell r="F502" t="str">
            <v>Gereedschap bevestigingen *</v>
          </cell>
          <cell r="G502" t="str">
            <v>G131829</v>
          </cell>
          <cell r="H502" t="str">
            <v>nieuw</v>
          </cell>
          <cell r="I502" t="str">
            <v>01.07.2014</v>
          </cell>
          <cell r="J502" t="str">
            <v>Yes</v>
          </cell>
          <cell r="K502" t="str">
            <v>Professional</v>
          </cell>
          <cell r="L502" t="str">
            <v>Gyproc</v>
          </cell>
          <cell r="M502" t="str">
            <v>BUITENHOEKROLLER - MET RUBBERE</v>
          </cell>
          <cell r="N502" t="str">
            <v>Buitenhoekroller Rubber</v>
          </cell>
          <cell r="O502" t="str">
            <v>Rouleau d'angle ext. caoutchouc</v>
          </cell>
          <cell r="P502" t="str">
            <v>(blanco)</v>
          </cell>
          <cell r="Q502" t="str">
            <v>(blanco)</v>
          </cell>
          <cell r="R502" t="str">
            <v>(blanco)</v>
          </cell>
          <cell r="S502" t="str">
            <v>(blanco)</v>
          </cell>
          <cell r="T502" t="str">
            <v>--</v>
          </cell>
          <cell r="AA502" t="str">
            <v>(blanco)</v>
          </cell>
          <cell r="AC502" t="str">
            <v>(blanco)</v>
          </cell>
          <cell r="AD502" t="str">
            <v>(blanco)</v>
          </cell>
          <cell r="AH502" t="str">
            <v>(blanco)</v>
          </cell>
          <cell r="AI502" t="str">
            <v>(blanco)</v>
          </cell>
          <cell r="AJ502" t="str">
            <v>(blanco)</v>
          </cell>
          <cell r="AL502" t="str">
            <v>(blanco)</v>
          </cell>
          <cell r="AM502" t="str">
            <v>(blanco)</v>
          </cell>
          <cell r="AN502" t="str">
            <v>(blanco)</v>
          </cell>
          <cell r="AR502">
            <v>0.9</v>
          </cell>
          <cell r="AS502">
            <v>0.95</v>
          </cell>
          <cell r="AT502">
            <v>0</v>
          </cell>
          <cell r="AX502">
            <v>119.77</v>
          </cell>
          <cell r="AY502" t="str">
            <v>01.02.2015</v>
          </cell>
          <cell r="AZ502">
            <v>0</v>
          </cell>
          <cell r="BA502" t="str">
            <v>00.00.0000</v>
          </cell>
          <cell r="BB502" t="str">
            <v>ST</v>
          </cell>
          <cell r="BC502" t="str">
            <v>******</v>
          </cell>
          <cell r="BD502" t="str">
            <v>S</v>
          </cell>
          <cell r="BE502">
            <v>5413218573672</v>
          </cell>
        </row>
        <row r="503">
          <cell r="A503" t="str">
            <v>G131832</v>
          </cell>
          <cell r="C503" t="str">
            <v>B1BGB04B001B001</v>
          </cell>
          <cell r="D503" t="str">
            <v>Thgyp Comf 4xaba 12,5 x 80 M2</v>
          </cell>
          <cell r="E503" t="str">
            <v>B1BG</v>
          </cell>
          <cell r="F503" t="str">
            <v>Autre Doublage PSE M2</v>
          </cell>
          <cell r="G503" t="str">
            <v>G131832</v>
          </cell>
          <cell r="H503" t="str">
            <v>bestaand</v>
          </cell>
          <cell r="I503" t="str">
            <v>01.02.2015</v>
          </cell>
          <cell r="J503" t="str">
            <v>Yes</v>
          </cell>
          <cell r="K503" t="str">
            <v>Prof + DIY</v>
          </cell>
          <cell r="L503" t="str">
            <v>THERMOGYP</v>
          </cell>
          <cell r="M503" t="str">
            <v>THERMOGYP COMFORT</v>
          </cell>
          <cell r="N503" t="str">
            <v>THGYP COMF 4XABA 12.5/80X2500X600 DP/20</v>
          </cell>
          <cell r="O503" t="str">
            <v>THGYP COMF 4XABA 12.5/80X2500X600 DP/20</v>
          </cell>
          <cell r="P503" t="str">
            <v>groen</v>
          </cell>
          <cell r="Q503" t="str">
            <v>vert</v>
          </cell>
          <cell r="R503" t="str">
            <v>grijs EPS</v>
          </cell>
          <cell r="S503" t="str">
            <v>EPS gris</v>
          </cell>
          <cell r="T503" t="str">
            <v>NBN EN 13950:2014</v>
          </cell>
          <cell r="U503" t="str">
            <v>DFH2</v>
          </cell>
          <cell r="W503" t="str">
            <v>gipskartonplaat bekleed met geëlastifieerd EPS</v>
          </cell>
          <cell r="AC503" t="str">
            <v>ABA</v>
          </cell>
          <cell r="AD503" t="str">
            <v>ZZO: zichtzijde onder</v>
          </cell>
          <cell r="AE503">
            <v>12.5</v>
          </cell>
          <cell r="AH503" t="str">
            <v>+/-0.5</v>
          </cell>
          <cell r="AI503">
            <v>0</v>
          </cell>
          <cell r="AJ503">
            <v>0</v>
          </cell>
          <cell r="AL503" t="str">
            <v>&gt; 800</v>
          </cell>
          <cell r="AM503" t="str">
            <v>&gt; 800</v>
          </cell>
          <cell r="AN503" t="str">
            <v>kg/m³</v>
          </cell>
          <cell r="AP503">
            <v>0.25</v>
          </cell>
          <cell r="AQ503">
            <v>2.5499999999999998</v>
          </cell>
          <cell r="AR503">
            <v>18.72</v>
          </cell>
          <cell r="AS503">
            <v>19.66</v>
          </cell>
          <cell r="AT503">
            <v>74.069999999999993</v>
          </cell>
          <cell r="AU503" t="str">
            <v>CD3</v>
          </cell>
          <cell r="AV503" t="str">
            <v>DP : Duitse Pallet</v>
          </cell>
          <cell r="AW503">
            <v>3</v>
          </cell>
          <cell r="AX503">
            <v>26.31</v>
          </cell>
          <cell r="AY503" t="str">
            <v>01.02.2015</v>
          </cell>
          <cell r="AZ503">
            <v>0</v>
          </cell>
          <cell r="BA503" t="str">
            <v>00.00.0000</v>
          </cell>
          <cell r="BB503" t="str">
            <v>M2</v>
          </cell>
          <cell r="BC503" t="str">
            <v>M2</v>
          </cell>
          <cell r="BD503" t="str">
            <v>S</v>
          </cell>
          <cell r="BE503">
            <v>5413218573726</v>
          </cell>
        </row>
        <row r="504">
          <cell r="A504" t="str">
            <v>G131983</v>
          </cell>
          <cell r="C504" t="str">
            <v>D1DFD05D003D001</v>
          </cell>
          <cell r="D504" t="str">
            <v>Bandes *</v>
          </cell>
          <cell r="E504" t="str">
            <v>D1DF</v>
          </cell>
          <cell r="F504" t="str">
            <v>Andere Toebehoren *</v>
          </cell>
          <cell r="G504" t="str">
            <v>G131983</v>
          </cell>
          <cell r="H504" t="str">
            <v>nieuw</v>
          </cell>
          <cell r="I504" t="str">
            <v>01.07.2014</v>
          </cell>
          <cell r="J504" t="str">
            <v>Yes</v>
          </cell>
          <cell r="K504" t="str">
            <v>Professional</v>
          </cell>
          <cell r="L504" t="str">
            <v>Gyproc</v>
          </cell>
          <cell r="M504" t="str">
            <v>AQUABEAD BUITENHOEK</v>
          </cell>
          <cell r="N504" t="str">
            <v>Aquabead Buitenhoek 90° 2.70 M</v>
          </cell>
          <cell r="O504" t="str">
            <v>AquaBead pour angle extérieur 90° 2.70 M</v>
          </cell>
          <cell r="P504" t="str">
            <v>(blanco)</v>
          </cell>
          <cell r="Q504" t="str">
            <v>(blanco)</v>
          </cell>
          <cell r="R504" t="str">
            <v>(blanco)</v>
          </cell>
          <cell r="S504" t="str">
            <v>(blanco)</v>
          </cell>
          <cell r="T504" t="str">
            <v>--</v>
          </cell>
          <cell r="AC504" t="str">
            <v>(blanco)</v>
          </cell>
          <cell r="AD504" t="str">
            <v>(blanco)</v>
          </cell>
          <cell r="AL504" t="str">
            <v>(blanco)</v>
          </cell>
          <cell r="AM504" t="str">
            <v>(blanco)</v>
          </cell>
          <cell r="AN504" t="str">
            <v>(blanco)</v>
          </cell>
          <cell r="AP504">
            <v>0</v>
          </cell>
          <cell r="AR504">
            <v>0.3</v>
          </cell>
          <cell r="AS504">
            <v>10.4</v>
          </cell>
          <cell r="AT504">
            <v>371.47</v>
          </cell>
          <cell r="AU504" t="str">
            <v>CCM</v>
          </cell>
          <cell r="AX504">
            <v>1.97</v>
          </cell>
          <cell r="AY504" t="str">
            <v>01.02.2015</v>
          </cell>
          <cell r="AZ504">
            <v>0</v>
          </cell>
          <cell r="BA504" t="str">
            <v>00.00.0000</v>
          </cell>
          <cell r="BB504" t="str">
            <v>M</v>
          </cell>
          <cell r="BC504" t="str">
            <v>M</v>
          </cell>
          <cell r="BD504" t="str">
            <v>S</v>
          </cell>
          <cell r="BE504">
            <v>0</v>
          </cell>
        </row>
        <row r="505">
          <cell r="A505" t="str">
            <v>G132092</v>
          </cell>
          <cell r="C505" t="str">
            <v>A1ABA36A001A001</v>
          </cell>
          <cell r="D505" t="str">
            <v>Habito 13 M2</v>
          </cell>
          <cell r="E505" t="str">
            <v>A1AB</v>
          </cell>
          <cell r="F505" t="str">
            <v>Technische platen M2</v>
          </cell>
          <cell r="G505" t="str">
            <v>ZIB00239</v>
          </cell>
          <cell r="H505" t="str">
            <v>nieuw</v>
          </cell>
          <cell r="I505" t="str">
            <v>01.02.2016</v>
          </cell>
          <cell r="J505" t="str">
            <v>Yes</v>
          </cell>
          <cell r="K505" t="str">
            <v>Prof + DIY</v>
          </cell>
          <cell r="L505" t="str">
            <v>HABITOTM</v>
          </cell>
          <cell r="M505" t="str">
            <v>HABITO</v>
          </cell>
          <cell r="N505" t="str">
            <v>GY ABA HABITO 12.5 3000 x 1200 WP/36 ZOZ</v>
          </cell>
          <cell r="O505" t="str">
            <v>GY ABA HABITO 12.5 3000 x 1200 WP/36 ZOZ</v>
          </cell>
          <cell r="P505" t="str">
            <v>ivoor</v>
          </cell>
          <cell r="Q505" t="str">
            <v>ivoire</v>
          </cell>
          <cell r="R505" t="str">
            <v>grijs</v>
          </cell>
          <cell r="S505" t="str">
            <v>gris</v>
          </cell>
          <cell r="T505" t="str">
            <v>NBN EN 520:2009</v>
          </cell>
          <cell r="U505" t="str">
            <v>A</v>
          </cell>
          <cell r="V505" t="str">
            <v>A</v>
          </cell>
          <cell r="Y505" t="str">
            <v>gipsplaat voor droge binnenafbouw</v>
          </cell>
          <cell r="AA505" t="str">
            <v>A2-s1, d0 (B)</v>
          </cell>
          <cell r="AC505" t="str">
            <v>ABA</v>
          </cell>
          <cell r="AD505" t="str">
            <v>ZOZ: zichtzijde op zichtzijde</v>
          </cell>
          <cell r="AE505">
            <v>12.5</v>
          </cell>
          <cell r="AH505" t="str">
            <v>+/-0.5</v>
          </cell>
          <cell r="AI505">
            <v>0</v>
          </cell>
          <cell r="AJ505">
            <v>0</v>
          </cell>
          <cell r="AL505" t="str">
            <v>Geen eisen gesteld</v>
          </cell>
          <cell r="AM505" t="str">
            <v>Pas de exigences</v>
          </cell>
          <cell r="AN505" t="str">
            <v>kg/m³</v>
          </cell>
          <cell r="AP505">
            <v>0.25</v>
          </cell>
          <cell r="AQ505">
            <v>0.05</v>
          </cell>
          <cell r="AR505">
            <v>34.432000000000002</v>
          </cell>
          <cell r="AS505">
            <v>35.389000000000003</v>
          </cell>
          <cell r="AT505">
            <v>46.8</v>
          </cell>
          <cell r="AU505" t="str">
            <v>CD3</v>
          </cell>
          <cell r="AV505" t="str">
            <v>DP : Duitse Pallet</v>
          </cell>
          <cell r="AW505">
            <v>3</v>
          </cell>
          <cell r="AX505">
            <v>6.5</v>
          </cell>
          <cell r="AY505" t="str">
            <v>20.04.2015</v>
          </cell>
          <cell r="AZ505">
            <v>0</v>
          </cell>
          <cell r="BA505" t="str">
            <v>00.00.0000</v>
          </cell>
          <cell r="BB505" t="str">
            <v>M2</v>
          </cell>
          <cell r="BC505" t="str">
            <v>M2</v>
          </cell>
          <cell r="BD505" t="str">
            <v>S</v>
          </cell>
          <cell r="BE505">
            <v>5015341289507</v>
          </cell>
        </row>
        <row r="506">
          <cell r="A506" t="str">
            <v>G132114</v>
          </cell>
          <cell r="C506" t="str">
            <v>A1ABA36A001A001</v>
          </cell>
          <cell r="D506" t="str">
            <v>Habito 13 M2</v>
          </cell>
          <cell r="E506" t="str">
            <v>A1AB</v>
          </cell>
          <cell r="F506" t="str">
            <v>Technische platen M2</v>
          </cell>
          <cell r="G506" t="str">
            <v>ZIB00239</v>
          </cell>
          <cell r="H506" t="str">
            <v>nieuw</v>
          </cell>
          <cell r="I506" t="str">
            <v>01.02.2016</v>
          </cell>
          <cell r="J506" t="str">
            <v>Yes</v>
          </cell>
          <cell r="K506" t="str">
            <v>Prof + DIY</v>
          </cell>
          <cell r="L506" t="str">
            <v>HABITOTM</v>
          </cell>
          <cell r="M506" t="str">
            <v>HABITO</v>
          </cell>
          <cell r="N506" t="str">
            <v>GY ABA HABITO 12.5 2600 x 1200 WP/40 ZOZ</v>
          </cell>
          <cell r="O506" t="str">
            <v>GY ABA HABITO 12.5 2600 x 1200 WP/40 ZOZ</v>
          </cell>
          <cell r="P506" t="str">
            <v>ivoor</v>
          </cell>
          <cell r="Q506" t="str">
            <v>ivoire</v>
          </cell>
          <cell r="R506" t="str">
            <v>grijs</v>
          </cell>
          <cell r="S506" t="str">
            <v>gris</v>
          </cell>
          <cell r="T506" t="str">
            <v>NBN EN 520:2009</v>
          </cell>
          <cell r="U506" t="str">
            <v>A</v>
          </cell>
          <cell r="V506" t="str">
            <v>A</v>
          </cell>
          <cell r="Y506" t="str">
            <v>gipsplaat voor droge binnenafbouw</v>
          </cell>
          <cell r="AA506" t="str">
            <v>A2-s1, d0 (B)</v>
          </cell>
          <cell r="AC506" t="str">
            <v>ABA</v>
          </cell>
          <cell r="AD506" t="str">
            <v>ZOZ: zichtzijde op zichtzijde</v>
          </cell>
          <cell r="AE506">
            <v>12.5</v>
          </cell>
          <cell r="AH506" t="str">
            <v>+/-0.5</v>
          </cell>
          <cell r="AI506">
            <v>0</v>
          </cell>
          <cell r="AJ506">
            <v>0</v>
          </cell>
          <cell r="AL506" t="str">
            <v>Geen eisen gesteld</v>
          </cell>
          <cell r="AM506" t="str">
            <v>Pas de exigences</v>
          </cell>
          <cell r="AN506" t="str">
            <v>kg/m³</v>
          </cell>
          <cell r="AP506">
            <v>0.25</v>
          </cell>
          <cell r="AQ506">
            <v>0.05</v>
          </cell>
          <cell r="AR506">
            <v>29.841000000000001</v>
          </cell>
          <cell r="AS506">
            <v>30.67</v>
          </cell>
          <cell r="AT506">
            <v>40.56</v>
          </cell>
          <cell r="AU506" t="str">
            <v>CD3</v>
          </cell>
          <cell r="AV506" t="str">
            <v>DP : Duitse Pallet</v>
          </cell>
          <cell r="AW506">
            <v>3</v>
          </cell>
          <cell r="AX506">
            <v>6.5</v>
          </cell>
          <cell r="AY506" t="str">
            <v>20.04.2015</v>
          </cell>
          <cell r="AZ506">
            <v>0</v>
          </cell>
          <cell r="BA506" t="str">
            <v>00.00.0000</v>
          </cell>
          <cell r="BB506" t="str">
            <v>M2</v>
          </cell>
          <cell r="BC506" t="str">
            <v>M2</v>
          </cell>
          <cell r="BD506" t="str">
            <v>S</v>
          </cell>
          <cell r="BE506">
            <v>5015341292538</v>
          </cell>
        </row>
        <row r="507">
          <cell r="A507" t="str">
            <v>G132128</v>
          </cell>
          <cell r="C507" t="str">
            <v>D1DCD01D006D001</v>
          </cell>
          <cell r="D507" t="str">
            <v>Gyproc Fix *</v>
          </cell>
          <cell r="E507" t="str">
            <v>D1DC</v>
          </cell>
          <cell r="F507" t="str">
            <v>Toebehoren Bevestigingen *</v>
          </cell>
          <cell r="G507" t="str">
            <v>G132128</v>
          </cell>
          <cell r="H507" t="str">
            <v>nieuw</v>
          </cell>
          <cell r="I507" t="str">
            <v>01.02.2016</v>
          </cell>
          <cell r="J507" t="str">
            <v>Yes</v>
          </cell>
          <cell r="K507" t="str">
            <v>Prof + DIY</v>
          </cell>
          <cell r="L507" t="str">
            <v>THERMOGYP</v>
          </cell>
          <cell r="M507" t="str">
            <v>GYPROC U-FIX</v>
          </cell>
          <cell r="N507" t="str">
            <v>Gyproc U-FIX STARTKLEM 50/KAR</v>
          </cell>
          <cell r="O507" t="str">
            <v>Gyproc U-FIX PINCE DE DEPART 50/CAR</v>
          </cell>
          <cell r="P507" t="str">
            <v>(blanco)</v>
          </cell>
          <cell r="Q507" t="str">
            <v>(blanco)</v>
          </cell>
          <cell r="R507" t="str">
            <v>(blanco)</v>
          </cell>
          <cell r="S507" t="str">
            <v>(blanco)</v>
          </cell>
          <cell r="T507" t="str">
            <v>NBN EN 14566+A1:2009</v>
          </cell>
          <cell r="AC507" t="str">
            <v>(blanco)</v>
          </cell>
          <cell r="AN507" t="str">
            <v>kg/m³</v>
          </cell>
          <cell r="AP507">
            <v>0</v>
          </cell>
          <cell r="AQ507">
            <v>0</v>
          </cell>
          <cell r="AR507">
            <v>4.2240000000000002</v>
          </cell>
          <cell r="AS507">
            <v>4.3</v>
          </cell>
          <cell r="AT507">
            <v>0</v>
          </cell>
          <cell r="AX507">
            <v>1.07</v>
          </cell>
          <cell r="AY507" t="str">
            <v>22.04.2015</v>
          </cell>
          <cell r="AZ507">
            <v>0</v>
          </cell>
          <cell r="BA507" t="str">
            <v>00.00.0000</v>
          </cell>
          <cell r="BB507" t="str">
            <v>ST</v>
          </cell>
          <cell r="BC507" t="str">
            <v>******</v>
          </cell>
          <cell r="BD507" t="str">
            <v>S</v>
          </cell>
          <cell r="BE507">
            <v>5413218576369</v>
          </cell>
        </row>
        <row r="508">
          <cell r="A508" t="str">
            <v>G132129</v>
          </cell>
          <cell r="C508" t="str">
            <v>D1DCD01D006D001</v>
          </cell>
          <cell r="D508" t="str">
            <v>Gyproc Fix *</v>
          </cell>
          <cell r="E508" t="str">
            <v>D1DC</v>
          </cell>
          <cell r="F508" t="str">
            <v>Toebehoren Bevestigingen *</v>
          </cell>
          <cell r="G508" t="str">
            <v>G132129</v>
          </cell>
          <cell r="H508" t="str">
            <v>nieuw</v>
          </cell>
          <cell r="I508" t="str">
            <v>01.02.2016</v>
          </cell>
          <cell r="J508" t="str">
            <v>Yes</v>
          </cell>
          <cell r="K508" t="str">
            <v>Prof + DIY</v>
          </cell>
          <cell r="L508" t="str">
            <v>THERMOGYP</v>
          </cell>
          <cell r="M508" t="str">
            <v>GYPROC Z-FIX</v>
          </cell>
          <cell r="N508" t="str">
            <v>Gyproc Z-FIX TUSSENKLEM 100/KAR</v>
          </cell>
          <cell r="O508" t="str">
            <v>Gyproc Z-FIX Pince Intermédiaire 100/CAR</v>
          </cell>
          <cell r="P508" t="str">
            <v>(blanco)</v>
          </cell>
          <cell r="Q508" t="str">
            <v>(blanco)</v>
          </cell>
          <cell r="R508" t="str">
            <v>(blanco)</v>
          </cell>
          <cell r="S508" t="str">
            <v>(blanco)</v>
          </cell>
          <cell r="T508" t="str">
            <v>NBN EN 14566+A1:2009</v>
          </cell>
          <cell r="AC508" t="str">
            <v>(blanco)</v>
          </cell>
          <cell r="AE508">
            <v>0</v>
          </cell>
          <cell r="AP508">
            <v>0</v>
          </cell>
          <cell r="AQ508">
            <v>0</v>
          </cell>
          <cell r="AR508">
            <v>4.2240000000000002</v>
          </cell>
          <cell r="AS508">
            <v>4.3</v>
          </cell>
          <cell r="AT508">
            <v>0</v>
          </cell>
          <cell r="AX508">
            <v>1</v>
          </cell>
          <cell r="AY508" t="str">
            <v>22.04.2015</v>
          </cell>
          <cell r="AZ508">
            <v>0</v>
          </cell>
          <cell r="BA508" t="str">
            <v>00.00.0000</v>
          </cell>
          <cell r="BB508" t="str">
            <v>ST</v>
          </cell>
          <cell r="BC508" t="str">
            <v>******</v>
          </cell>
          <cell r="BD508" t="str">
            <v>S</v>
          </cell>
          <cell r="BE508">
            <v>5413218576376</v>
          </cell>
        </row>
        <row r="509">
          <cell r="A509" t="str">
            <v>G132182</v>
          </cell>
          <cell r="C509" t="str">
            <v>D1DBD01D012D001</v>
          </cell>
          <cell r="D509" t="str">
            <v>ACC PLAGYP *</v>
          </cell>
          <cell r="E509" t="str">
            <v>D1DB</v>
          </cell>
          <cell r="F509" t="str">
            <v>Toebehoren Platen *</v>
          </cell>
          <cell r="G509" t="str">
            <v>G132182</v>
          </cell>
          <cell r="H509" t="str">
            <v>nieuw</v>
          </cell>
          <cell r="I509" t="str">
            <v>01.02.2016</v>
          </cell>
          <cell r="J509" t="str">
            <v>Yes</v>
          </cell>
          <cell r="K509" t="str">
            <v>Doe-Het-Zelver</v>
          </cell>
          <cell r="L509" t="str">
            <v>PLAGYP</v>
          </cell>
          <cell r="M509" t="str">
            <v>PL60/100</v>
          </cell>
          <cell r="N509" t="str">
            <v>DIY - PlaGyp PL60/100 5/BLI</v>
          </cell>
          <cell r="O509" t="str">
            <v>DIY - PlaGyp PL60/100 5/BLI</v>
          </cell>
          <cell r="T509" t="str">
            <v>NBN EN 14195:2015</v>
          </cell>
          <cell r="U509" t="str">
            <v>--</v>
          </cell>
          <cell r="V509" t="str">
            <v>--</v>
          </cell>
          <cell r="AA509" t="str">
            <v>A1</v>
          </cell>
          <cell r="AC509" t="str">
            <v>(blanco)</v>
          </cell>
          <cell r="AD509" t="str">
            <v>(blanco)</v>
          </cell>
          <cell r="AE509">
            <v>0</v>
          </cell>
          <cell r="AL509" t="str">
            <v>(blanco)</v>
          </cell>
          <cell r="AM509" t="str">
            <v>(blanco)</v>
          </cell>
          <cell r="AN509" t="str">
            <v>(blanco)</v>
          </cell>
          <cell r="AP509">
            <v>50</v>
          </cell>
          <cell r="AR509">
            <v>4.9939999999999998</v>
          </cell>
          <cell r="AS509">
            <v>5</v>
          </cell>
          <cell r="AT509">
            <v>0</v>
          </cell>
          <cell r="AX509">
            <v>0</v>
          </cell>
          <cell r="AY509" t="str">
            <v>00.00.0000</v>
          </cell>
          <cell r="AZ509">
            <v>0</v>
          </cell>
          <cell r="BA509" t="str">
            <v>00.00.0000</v>
          </cell>
          <cell r="BD509" t="str">
            <v>S</v>
          </cell>
          <cell r="BE509">
            <v>5413218576741</v>
          </cell>
        </row>
        <row r="510">
          <cell r="A510" t="str">
            <v>G132183</v>
          </cell>
          <cell r="C510" t="str">
            <v>D1DBD01D012D001</v>
          </cell>
          <cell r="D510" t="str">
            <v>ACC PLAGYP *</v>
          </cell>
          <cell r="E510" t="str">
            <v>D1DB</v>
          </cell>
          <cell r="F510" t="str">
            <v>Toebehoren Platen *</v>
          </cell>
          <cell r="G510" t="str">
            <v>G132183</v>
          </cell>
          <cell r="H510" t="str">
            <v>nieuw</v>
          </cell>
          <cell r="I510" t="str">
            <v>01.02.2016</v>
          </cell>
          <cell r="J510" t="str">
            <v>Yes</v>
          </cell>
          <cell r="K510" t="str">
            <v>Doe-Het-Zelver</v>
          </cell>
          <cell r="L510" t="str">
            <v>PLAGYP</v>
          </cell>
          <cell r="M510" t="str">
            <v>PH60/200</v>
          </cell>
          <cell r="N510" t="str">
            <v>DIY - PlaGyp PH60/200 15/BLI</v>
          </cell>
          <cell r="O510" t="str">
            <v>DIY - PlaGyp PH60/200 15/BLI</v>
          </cell>
          <cell r="T510" t="str">
            <v>NBN EN 14195:2015</v>
          </cell>
          <cell r="U510" t="str">
            <v>--</v>
          </cell>
          <cell r="V510" t="str">
            <v>--</v>
          </cell>
          <cell r="AA510" t="str">
            <v>A1</v>
          </cell>
          <cell r="AC510" t="str">
            <v>(blanco)</v>
          </cell>
          <cell r="AD510" t="str">
            <v>(blanco)</v>
          </cell>
          <cell r="AL510" t="str">
            <v>(blanco)</v>
          </cell>
          <cell r="AM510" t="str">
            <v>(blanco)</v>
          </cell>
          <cell r="AN510" t="str">
            <v>(blanco)</v>
          </cell>
          <cell r="AP510">
            <v>50</v>
          </cell>
          <cell r="AR510">
            <v>3.46</v>
          </cell>
          <cell r="AS510">
            <v>3.5</v>
          </cell>
          <cell r="AT510">
            <v>0</v>
          </cell>
          <cell r="AX510">
            <v>0</v>
          </cell>
          <cell r="AY510" t="str">
            <v>00.00.0000</v>
          </cell>
          <cell r="AZ510">
            <v>0</v>
          </cell>
          <cell r="BA510" t="str">
            <v>00.00.0000</v>
          </cell>
          <cell r="BD510" t="str">
            <v>S</v>
          </cell>
          <cell r="BE510">
            <v>5413218576758</v>
          </cell>
        </row>
        <row r="511">
          <cell r="A511" t="str">
            <v>G132184</v>
          </cell>
          <cell r="C511" t="str">
            <v>D1DBD01D012D001</v>
          </cell>
          <cell r="D511" t="str">
            <v>ACC PLAGYP *</v>
          </cell>
          <cell r="E511" t="str">
            <v>D1DB</v>
          </cell>
          <cell r="F511" t="str">
            <v>Toebehoren Platen *</v>
          </cell>
          <cell r="G511" t="str">
            <v>G132184</v>
          </cell>
          <cell r="H511" t="str">
            <v>nieuw</v>
          </cell>
          <cell r="I511" t="str">
            <v>01.02.2016</v>
          </cell>
          <cell r="J511" t="str">
            <v>Yes</v>
          </cell>
          <cell r="K511" t="str">
            <v>Doe-Het-Zelver</v>
          </cell>
          <cell r="L511" t="str">
            <v>PLAGYP</v>
          </cell>
          <cell r="M511" t="str">
            <v>PV60/120</v>
          </cell>
          <cell r="N511" t="str">
            <v>DIY - PlaGyp PV60/120 10/BLI</v>
          </cell>
          <cell r="O511" t="str">
            <v>DIY - PlaGyp PV60/120 10/BLI</v>
          </cell>
          <cell r="T511" t="str">
            <v>NBN EN 14195:2015</v>
          </cell>
          <cell r="U511" t="str">
            <v>--</v>
          </cell>
          <cell r="V511" t="str">
            <v>--</v>
          </cell>
          <cell r="AA511" t="str">
            <v>A1</v>
          </cell>
          <cell r="AC511" t="str">
            <v>(blanco)</v>
          </cell>
          <cell r="AD511" t="str">
            <v>(blanco)</v>
          </cell>
          <cell r="AL511" t="str">
            <v>(blanco)</v>
          </cell>
          <cell r="AM511" t="str">
            <v>(blanco)</v>
          </cell>
          <cell r="AN511" t="str">
            <v>(blanco)</v>
          </cell>
          <cell r="AP511">
            <v>50</v>
          </cell>
          <cell r="AR511">
            <v>4.2240000000000002</v>
          </cell>
          <cell r="AS511">
            <v>4.3</v>
          </cell>
          <cell r="AT511">
            <v>0</v>
          </cell>
          <cell r="AX511">
            <v>0</v>
          </cell>
          <cell r="AY511" t="str">
            <v>00.00.0000</v>
          </cell>
          <cell r="AZ511">
            <v>0</v>
          </cell>
          <cell r="BA511" t="str">
            <v>00.00.0000</v>
          </cell>
          <cell r="BD511" t="str">
            <v>S</v>
          </cell>
          <cell r="BE511">
            <v>5413218576765</v>
          </cell>
        </row>
        <row r="512">
          <cell r="A512" t="str">
            <v>G132185</v>
          </cell>
          <cell r="C512" t="str">
            <v>D1DBD01D012D001</v>
          </cell>
          <cell r="D512" t="str">
            <v>ACC PLAGYP *</v>
          </cell>
          <cell r="E512" t="str">
            <v>D1DB</v>
          </cell>
          <cell r="F512" t="str">
            <v>Toebehoren Platen *</v>
          </cell>
          <cell r="G512" t="str">
            <v>G132185</v>
          </cell>
          <cell r="H512" t="str">
            <v>nieuw</v>
          </cell>
          <cell r="I512" t="str">
            <v>01.02.2016</v>
          </cell>
          <cell r="J512" t="str">
            <v>Yes</v>
          </cell>
          <cell r="K512" t="str">
            <v>Doe-Het-Zelver</v>
          </cell>
          <cell r="L512" t="str">
            <v>PLAGYP</v>
          </cell>
          <cell r="M512" t="str">
            <v>PU60/125</v>
          </cell>
          <cell r="N512" t="str">
            <v>DIY - PlaGyp PU60/125 15/BLI</v>
          </cell>
          <cell r="O512" t="str">
            <v>DIY - PlaGyp PU60/125 15/BLI</v>
          </cell>
          <cell r="T512" t="str">
            <v>NBN EN 14195:2015</v>
          </cell>
          <cell r="U512" t="str">
            <v>--</v>
          </cell>
          <cell r="V512" t="str">
            <v>--</v>
          </cell>
          <cell r="AA512" t="str">
            <v>A1</v>
          </cell>
          <cell r="AC512" t="str">
            <v>(blanco)</v>
          </cell>
          <cell r="AD512" t="str">
            <v>(blanco)</v>
          </cell>
          <cell r="AE512">
            <v>1</v>
          </cell>
          <cell r="AL512" t="str">
            <v>(blanco)</v>
          </cell>
          <cell r="AM512" t="str">
            <v>(blanco)</v>
          </cell>
          <cell r="AN512" t="str">
            <v>(blanco)</v>
          </cell>
          <cell r="AP512">
            <v>50</v>
          </cell>
          <cell r="AR512">
            <v>2.85</v>
          </cell>
          <cell r="AS512">
            <v>2.95</v>
          </cell>
          <cell r="AT512">
            <v>0</v>
          </cell>
          <cell r="AX512">
            <v>0</v>
          </cell>
          <cell r="AY512" t="str">
            <v>00.00.0000</v>
          </cell>
          <cell r="AZ512">
            <v>0</v>
          </cell>
          <cell r="BA512" t="str">
            <v>00.00.0000</v>
          </cell>
          <cell r="BD512" t="str">
            <v>S</v>
          </cell>
          <cell r="BE512">
            <v>5413218576772</v>
          </cell>
        </row>
        <row r="513">
          <cell r="A513" t="str">
            <v>G132186</v>
          </cell>
          <cell r="C513" t="str">
            <v>D1DBD01D012D001</v>
          </cell>
          <cell r="D513" t="str">
            <v>ACC PLAGYP *</v>
          </cell>
          <cell r="E513" t="str">
            <v>D1DB</v>
          </cell>
          <cell r="F513" t="str">
            <v>Toebehoren Platen *</v>
          </cell>
          <cell r="G513" t="str">
            <v>G132186</v>
          </cell>
          <cell r="H513" t="str">
            <v>nieuw</v>
          </cell>
          <cell r="I513" t="str">
            <v>01.02.2016</v>
          </cell>
          <cell r="J513" t="str">
            <v>Yes</v>
          </cell>
          <cell r="K513" t="str">
            <v>Doe-Het-Zelver</v>
          </cell>
          <cell r="L513" t="str">
            <v>PLAGYP</v>
          </cell>
          <cell r="M513" t="str">
            <v>PD60/60</v>
          </cell>
          <cell r="N513" t="str">
            <v>DIY - PlaGyp PD60/60 12/BLI</v>
          </cell>
          <cell r="O513" t="str">
            <v>DIY - PlaGyp PD60/60 12/BLI</v>
          </cell>
          <cell r="T513" t="str">
            <v>NBN EN 14195:2015</v>
          </cell>
          <cell r="U513" t="str">
            <v>--</v>
          </cell>
          <cell r="V513" t="str">
            <v>--</v>
          </cell>
          <cell r="AA513" t="str">
            <v>A1</v>
          </cell>
          <cell r="AC513" t="str">
            <v>(blanco)</v>
          </cell>
          <cell r="AD513" t="str">
            <v>(blanco)</v>
          </cell>
          <cell r="AE513">
            <v>1</v>
          </cell>
          <cell r="AL513" t="str">
            <v>(blanco)</v>
          </cell>
          <cell r="AM513" t="str">
            <v>(blanco)</v>
          </cell>
          <cell r="AN513" t="str">
            <v>(blanco)</v>
          </cell>
          <cell r="AP513">
            <v>50</v>
          </cell>
          <cell r="AR513">
            <v>4.28</v>
          </cell>
          <cell r="AS513">
            <v>4.3</v>
          </cell>
          <cell r="AT513">
            <v>0</v>
          </cell>
          <cell r="AX513">
            <v>0</v>
          </cell>
          <cell r="AY513" t="str">
            <v>00.00.0000</v>
          </cell>
          <cell r="AZ513">
            <v>0</v>
          </cell>
          <cell r="BA513" t="str">
            <v>00.00.0000</v>
          </cell>
          <cell r="BD513" t="str">
            <v>S</v>
          </cell>
          <cell r="BE513">
            <v>5413218576789</v>
          </cell>
        </row>
        <row r="514">
          <cell r="A514" t="str">
            <v>G132187</v>
          </cell>
          <cell r="C514" t="str">
            <v>D1DCD01D005D034</v>
          </cell>
          <cell r="D514" t="str">
            <v>Ophangdraden *</v>
          </cell>
          <cell r="E514" t="str">
            <v>D1DC</v>
          </cell>
          <cell r="F514" t="str">
            <v>Toebehoren Bevestigingen *</v>
          </cell>
          <cell r="G514" t="str">
            <v>G132187</v>
          </cell>
          <cell r="H514" t="str">
            <v>nieuw</v>
          </cell>
          <cell r="I514" t="str">
            <v>01.02.2016</v>
          </cell>
          <cell r="J514" t="str">
            <v>Yes</v>
          </cell>
          <cell r="K514" t="str">
            <v>Doe-Het-Zelver</v>
          </cell>
          <cell r="L514" t="str">
            <v>PLAGYP</v>
          </cell>
          <cell r="M514" t="str">
            <v>R150/250</v>
          </cell>
          <cell r="N514" t="str">
            <v>DIY - PlaGyp R150/250 10/BLI</v>
          </cell>
          <cell r="O514" t="str">
            <v>DIY - PlaGyp R150/250 10/BLI</v>
          </cell>
          <cell r="T514" t="str">
            <v>NBN EN 14195:2015</v>
          </cell>
          <cell r="U514" t="str">
            <v>--</v>
          </cell>
          <cell r="V514" t="str">
            <v>--</v>
          </cell>
          <cell r="AA514" t="str">
            <v>A1</v>
          </cell>
          <cell r="AC514" t="str">
            <v>(blanco)</v>
          </cell>
          <cell r="AD514" t="str">
            <v>(blanco)</v>
          </cell>
          <cell r="AE514" t="str">
            <v>0,75</v>
          </cell>
          <cell r="AL514" t="str">
            <v>(blanco)</v>
          </cell>
          <cell r="AM514" t="str">
            <v>(blanco)</v>
          </cell>
          <cell r="AN514" t="str">
            <v>(blanco)</v>
          </cell>
          <cell r="AP514">
            <v>50</v>
          </cell>
          <cell r="AR514">
            <v>0.02</v>
          </cell>
          <cell r="AS514">
            <v>2.1000000000000001E-2</v>
          </cell>
          <cell r="AT514">
            <v>0</v>
          </cell>
          <cell r="AX514">
            <v>0</v>
          </cell>
          <cell r="AY514" t="str">
            <v>00.00.0000</v>
          </cell>
          <cell r="AZ514">
            <v>0</v>
          </cell>
          <cell r="BA514" t="str">
            <v>00.00.0000</v>
          </cell>
          <cell r="BD514" t="str">
            <v>S</v>
          </cell>
          <cell r="BE514">
            <v>5413218576796</v>
          </cell>
        </row>
        <row r="515">
          <cell r="A515" t="str">
            <v>G132188</v>
          </cell>
          <cell r="C515" t="str">
            <v>D1DCD01D005D034</v>
          </cell>
          <cell r="D515" t="str">
            <v>Ophangdraden *</v>
          </cell>
          <cell r="E515" t="str">
            <v>D1DC</v>
          </cell>
          <cell r="F515" t="str">
            <v>Toebehoren Bevestigingen *</v>
          </cell>
          <cell r="G515" t="str">
            <v>G132188</v>
          </cell>
          <cell r="H515" t="str">
            <v>nieuw</v>
          </cell>
          <cell r="I515" t="str">
            <v>01.02.2016</v>
          </cell>
          <cell r="J515" t="str">
            <v>Yes</v>
          </cell>
          <cell r="K515" t="str">
            <v>Doe-Het-Zelver</v>
          </cell>
          <cell r="L515" t="str">
            <v>PLAGYP</v>
          </cell>
          <cell r="M515" t="str">
            <v>R150/500</v>
          </cell>
          <cell r="N515" t="str">
            <v>DIY - PlaGyp R150/500 10/BLI</v>
          </cell>
          <cell r="O515" t="str">
            <v>DIY - PlaGyp R150/500 10/BLI</v>
          </cell>
          <cell r="T515" t="str">
            <v>NBN EN 14195:2015</v>
          </cell>
          <cell r="U515" t="str">
            <v>--</v>
          </cell>
          <cell r="V515" t="str">
            <v>--</v>
          </cell>
          <cell r="AA515" t="str">
            <v>A1</v>
          </cell>
          <cell r="AC515" t="str">
            <v>(blanco)</v>
          </cell>
          <cell r="AD515" t="str">
            <v>(blanco)</v>
          </cell>
          <cell r="AE515">
            <v>4</v>
          </cell>
          <cell r="AL515" t="str">
            <v>(blanco)</v>
          </cell>
          <cell r="AM515" t="str">
            <v>(blanco)</v>
          </cell>
          <cell r="AN515" t="str">
            <v>(blanco)</v>
          </cell>
          <cell r="AP515">
            <v>50</v>
          </cell>
          <cell r="AR515">
            <v>0.02</v>
          </cell>
          <cell r="AS515">
            <v>2.1000000000000001E-2</v>
          </cell>
          <cell r="AT515">
            <v>0</v>
          </cell>
          <cell r="AX515">
            <v>0</v>
          </cell>
          <cell r="AY515" t="str">
            <v>00.00.0000</v>
          </cell>
          <cell r="AZ515">
            <v>0</v>
          </cell>
          <cell r="BA515" t="str">
            <v>00.00.0000</v>
          </cell>
          <cell r="BD515" t="str">
            <v>S</v>
          </cell>
          <cell r="BE515">
            <v>5413218576802</v>
          </cell>
        </row>
        <row r="516">
          <cell r="A516" t="str">
            <v>G132190</v>
          </cell>
          <cell r="C516" t="str">
            <v>D1DCD01D006D001</v>
          </cell>
          <cell r="D516" t="str">
            <v>Gyproc Fix *</v>
          </cell>
          <cell r="E516" t="str">
            <v>D1DC</v>
          </cell>
          <cell r="F516" t="str">
            <v>Toebehoren Bevestigingen *</v>
          </cell>
          <cell r="G516" t="str">
            <v>G132190</v>
          </cell>
          <cell r="H516" t="str">
            <v>nieuw</v>
          </cell>
          <cell r="I516" t="str">
            <v>01.02.2016</v>
          </cell>
          <cell r="J516" t="str">
            <v>Yes</v>
          </cell>
          <cell r="K516" t="str">
            <v>Prof + DIY</v>
          </cell>
          <cell r="L516" t="str">
            <v>THERMOGYP</v>
          </cell>
          <cell r="M516" t="str">
            <v>GYPROC U-FIX</v>
          </cell>
          <cell r="N516" t="str">
            <v>DIY - U-FIX STARTKLEM 10/BLI</v>
          </cell>
          <cell r="O516" t="str">
            <v>DIY - U-FIX PINCE DE DEPART 10/BLI</v>
          </cell>
          <cell r="P516" t="str">
            <v>(blanco)</v>
          </cell>
          <cell r="Q516" t="str">
            <v>(blanco)</v>
          </cell>
          <cell r="R516" t="str">
            <v>(blanco)</v>
          </cell>
          <cell r="S516" t="str">
            <v>(blanco)</v>
          </cell>
          <cell r="T516" t="str">
            <v>NBN EN 14566+A1:2009</v>
          </cell>
          <cell r="AC516" t="str">
            <v>(blanco)</v>
          </cell>
          <cell r="AE516">
            <v>4</v>
          </cell>
          <cell r="AP516">
            <v>0</v>
          </cell>
          <cell r="AQ516">
            <v>0</v>
          </cell>
          <cell r="AR516">
            <v>4.2240000000000002</v>
          </cell>
          <cell r="AS516">
            <v>4.3</v>
          </cell>
          <cell r="AT516">
            <v>0</v>
          </cell>
          <cell r="AX516">
            <v>13.95</v>
          </cell>
          <cell r="AY516" t="str">
            <v>22.04.2015</v>
          </cell>
          <cell r="AZ516">
            <v>0</v>
          </cell>
          <cell r="BA516" t="str">
            <v>00.00.0000</v>
          </cell>
          <cell r="BB516" t="str">
            <v>BLI</v>
          </cell>
          <cell r="BC516" t="str">
            <v>BLI</v>
          </cell>
          <cell r="BD516" t="str">
            <v>S</v>
          </cell>
          <cell r="BE516">
            <v>5413218576826</v>
          </cell>
        </row>
        <row r="517">
          <cell r="A517" t="str">
            <v>G132191</v>
          </cell>
          <cell r="C517" t="str">
            <v>D1DBD01D012D001</v>
          </cell>
          <cell r="D517" t="str">
            <v>ACC PLAGYP *</v>
          </cell>
          <cell r="E517" t="str">
            <v>D1DB</v>
          </cell>
          <cell r="F517" t="str">
            <v>Toebehoren Platen *</v>
          </cell>
          <cell r="G517" t="str">
            <v>G132191</v>
          </cell>
          <cell r="H517" t="str">
            <v>nieuw</v>
          </cell>
          <cell r="I517" t="str">
            <v>01.02.2016</v>
          </cell>
          <cell r="J517" t="str">
            <v>Yes</v>
          </cell>
          <cell r="K517" t="str">
            <v>Prof + DIY</v>
          </cell>
          <cell r="L517" t="str">
            <v>THERMOGYP</v>
          </cell>
          <cell r="M517" t="str">
            <v>GYPROC Z-FIX</v>
          </cell>
          <cell r="N517" t="str">
            <v>DIY - Z-FIX TUSSSENKLEM 15/BLI</v>
          </cell>
          <cell r="O517" t="str">
            <v>DIY - Z-FIX PINCE INTERMEDIAIRE 15/BLI</v>
          </cell>
          <cell r="P517" t="str">
            <v>(blanco)</v>
          </cell>
          <cell r="Q517" t="str">
            <v>(blanco)</v>
          </cell>
          <cell r="R517" t="str">
            <v>(blanco)</v>
          </cell>
          <cell r="S517" t="str">
            <v>(blanco)</v>
          </cell>
          <cell r="T517" t="str">
            <v>NBN EN 14566+A1:2009</v>
          </cell>
          <cell r="AC517" t="str">
            <v>(blanco)</v>
          </cell>
          <cell r="AE517">
            <v>0</v>
          </cell>
          <cell r="AP517">
            <v>0</v>
          </cell>
          <cell r="AQ517">
            <v>0</v>
          </cell>
          <cell r="AR517">
            <v>4.2240000000000002</v>
          </cell>
          <cell r="AS517">
            <v>4.3</v>
          </cell>
          <cell r="AT517">
            <v>0</v>
          </cell>
          <cell r="AX517">
            <v>19.2</v>
          </cell>
          <cell r="AY517" t="str">
            <v>22.04.2015</v>
          </cell>
          <cell r="AZ517">
            <v>0</v>
          </cell>
          <cell r="BA517" t="str">
            <v>00.00.0000</v>
          </cell>
          <cell r="BB517" t="str">
            <v>BLI</v>
          </cell>
          <cell r="BC517" t="str">
            <v>BLI</v>
          </cell>
          <cell r="BD517" t="str">
            <v>S</v>
          </cell>
          <cell r="BE517">
            <v>5413218576833</v>
          </cell>
        </row>
        <row r="518">
          <cell r="A518" t="str">
            <v>G132192</v>
          </cell>
          <cell r="C518" t="str">
            <v>D1DCD01D006D001</v>
          </cell>
          <cell r="D518" t="str">
            <v>Gyproc Fix *</v>
          </cell>
          <cell r="E518" t="str">
            <v>D1DC</v>
          </cell>
          <cell r="F518" t="str">
            <v>Toebehoren Bevestigingen *</v>
          </cell>
          <cell r="G518" t="str">
            <v>G132192</v>
          </cell>
          <cell r="H518" t="str">
            <v>nieuw</v>
          </cell>
          <cell r="I518" t="str">
            <v>01.02.2016</v>
          </cell>
          <cell r="J518" t="str">
            <v>Yes</v>
          </cell>
          <cell r="K518" t="str">
            <v>Prof + DIY</v>
          </cell>
          <cell r="L518" t="str">
            <v>THERMOGYP</v>
          </cell>
          <cell r="M518" t="str">
            <v>GYPROC Y-FIX</v>
          </cell>
          <cell r="N518" t="str">
            <v>DIY - Y-FIX EINDKLEM 10/BLI</v>
          </cell>
          <cell r="O518" t="str">
            <v>DIY - Y-FIX PINCE DE FINITION 10/BLI</v>
          </cell>
          <cell r="P518" t="str">
            <v>(blanco)</v>
          </cell>
          <cell r="Q518" t="str">
            <v>(blanco)</v>
          </cell>
          <cell r="R518" t="str">
            <v>(blanco)</v>
          </cell>
          <cell r="S518" t="str">
            <v>(blanco)</v>
          </cell>
          <cell r="T518" t="str">
            <v>NBN EN 14566+A1:2009</v>
          </cell>
          <cell r="AC518" t="str">
            <v>(blanco)</v>
          </cell>
          <cell r="AE518">
            <v>0</v>
          </cell>
          <cell r="AP518">
            <v>0</v>
          </cell>
          <cell r="AQ518">
            <v>0</v>
          </cell>
          <cell r="AR518">
            <v>4.2240000000000002</v>
          </cell>
          <cell r="AS518">
            <v>4.3</v>
          </cell>
          <cell r="AT518">
            <v>0</v>
          </cell>
          <cell r="AX518">
            <v>44.95</v>
          </cell>
          <cell r="AY518" t="str">
            <v>22.04.2015</v>
          </cell>
          <cell r="AZ518">
            <v>0</v>
          </cell>
          <cell r="BA518" t="str">
            <v>00.00.0000</v>
          </cell>
          <cell r="BB518" t="str">
            <v>BLI</v>
          </cell>
          <cell r="BC518" t="str">
            <v>BLI</v>
          </cell>
          <cell r="BD518" t="str">
            <v>S</v>
          </cell>
          <cell r="BE518">
            <v>5413218576840</v>
          </cell>
        </row>
        <row r="519">
          <cell r="A519" t="str">
            <v>G132270</v>
          </cell>
          <cell r="B519" t="str">
            <v>G124214</v>
          </cell>
          <cell r="C519" t="str">
            <v>C1CBC01C001C018</v>
          </cell>
          <cell r="D519" t="str">
            <v>Rigitone 6/18 M2</v>
          </cell>
          <cell r="E519" t="str">
            <v>C1CB</v>
          </cell>
          <cell r="F519" t="str">
            <v>Rigitone platen</v>
          </cell>
          <cell r="G519" t="str">
            <v>ZIB00028</v>
          </cell>
          <cell r="H519" t="str">
            <v>nieuw</v>
          </cell>
          <cell r="I519" t="str">
            <v>01.02.2016</v>
          </cell>
          <cell r="J519" t="str">
            <v>Yes</v>
          </cell>
          <cell r="K519" t="str">
            <v>Professional</v>
          </cell>
          <cell r="L519" t="str">
            <v>RIGITONE</v>
          </cell>
          <cell r="M519" t="str">
            <v>RIGITONE 6/18</v>
          </cell>
          <cell r="N519" t="str">
            <v>RIGITONE AA 6/18 BT 12.5x1998x1188 DP/40</v>
          </cell>
          <cell r="O519" t="str">
            <v>RIGITONE AA 6/18 BT 12.5x1998x1188 DP/40</v>
          </cell>
          <cell r="P519" t="str">
            <v>ivoor</v>
          </cell>
          <cell r="Q519" t="str">
            <v>ivoire</v>
          </cell>
          <cell r="R519" t="str">
            <v>zwart vlies</v>
          </cell>
          <cell r="S519" t="str">
            <v>voile noir</v>
          </cell>
          <cell r="T519" t="str">
            <v>NBN EN 14190:2014</v>
          </cell>
          <cell r="U519" t="str">
            <v>A</v>
          </cell>
          <cell r="V519" t="str">
            <v>RT</v>
          </cell>
          <cell r="W519" t="str">
            <v>geperforeerde gipskartonplaat met gesneden boorden</v>
          </cell>
          <cell r="Y519" t="str">
            <v>gipsplaat voor droge binnenafbouw</v>
          </cell>
          <cell r="AA519" t="str">
            <v>A2-s1, d0 (C.1)</v>
          </cell>
          <cell r="AB519" t="str">
            <v>Rigiton_Air_LE_0613</v>
          </cell>
          <cell r="AC519" t="str">
            <v>GBC</v>
          </cell>
          <cell r="AE519">
            <v>12.5</v>
          </cell>
          <cell r="AH519" t="str">
            <v>+/-0.5</v>
          </cell>
          <cell r="AI519">
            <v>0</v>
          </cell>
          <cell r="AJ519">
            <v>0</v>
          </cell>
          <cell r="AL519" t="str">
            <v>Geen eisen gesteld</v>
          </cell>
          <cell r="AM519" t="str">
            <v>Pas de exigences</v>
          </cell>
          <cell r="AN519" t="str">
            <v>kg/m³</v>
          </cell>
          <cell r="AP519">
            <v>0.25</v>
          </cell>
          <cell r="AR519">
            <v>23.736000000000001</v>
          </cell>
          <cell r="AS519">
            <v>26.11</v>
          </cell>
          <cell r="AT519">
            <v>30.856999999999999</v>
          </cell>
          <cell r="AU519" t="str">
            <v>CD3</v>
          </cell>
          <cell r="AV519" t="str">
            <v>DP : Duitse Pallet</v>
          </cell>
          <cell r="AW519">
            <v>3</v>
          </cell>
          <cell r="AX519">
            <v>18.54</v>
          </cell>
          <cell r="AY519" t="str">
            <v>01.02.2015</v>
          </cell>
          <cell r="AZ519">
            <v>0</v>
          </cell>
          <cell r="BA519" t="str">
            <v>00.00.0000</v>
          </cell>
          <cell r="BB519" t="str">
            <v>M2</v>
          </cell>
          <cell r="BC519" t="str">
            <v>M2</v>
          </cell>
          <cell r="BD519">
            <v>3</v>
          </cell>
          <cell r="BE519">
            <v>4002806920939</v>
          </cell>
        </row>
        <row r="520">
          <cell r="A520" t="str">
            <v>G132271</v>
          </cell>
          <cell r="B520" t="str">
            <v>G124215</v>
          </cell>
          <cell r="C520" t="str">
            <v>C1CBC01C001C018</v>
          </cell>
          <cell r="D520" t="str">
            <v>Rigitone 6/18 M2</v>
          </cell>
          <cell r="E520" t="str">
            <v>C1CB</v>
          </cell>
          <cell r="F520" t="str">
            <v>Rigitone platen</v>
          </cell>
          <cell r="G520" t="str">
            <v>ZIB00028</v>
          </cell>
          <cell r="H520" t="str">
            <v>nieuw</v>
          </cell>
          <cell r="I520" t="str">
            <v>01.02.2016</v>
          </cell>
          <cell r="J520" t="str">
            <v>Yes</v>
          </cell>
          <cell r="K520" t="str">
            <v>Professional</v>
          </cell>
          <cell r="L520" t="str">
            <v>RIGITONE</v>
          </cell>
          <cell r="M520" t="str">
            <v>RIGITONE 6/18</v>
          </cell>
          <cell r="N520" t="str">
            <v>RIGITONE AA 6/18 WT 12.5x1998x1188 DP/40</v>
          </cell>
          <cell r="O520" t="str">
            <v>RIGITONE AA 6/18 WT 12.5x1998x1188 DP/40</v>
          </cell>
          <cell r="P520" t="str">
            <v>ivoor</v>
          </cell>
          <cell r="Q520" t="str">
            <v>ivoire</v>
          </cell>
          <cell r="R520" t="str">
            <v>wit vlies</v>
          </cell>
          <cell r="S520" t="str">
            <v>voile blanc</v>
          </cell>
          <cell r="T520" t="str">
            <v>NBN EN 14190:2014</v>
          </cell>
          <cell r="U520" t="str">
            <v>A</v>
          </cell>
          <cell r="V520" t="str">
            <v>RT</v>
          </cell>
          <cell r="W520" t="str">
            <v>geperforeerde gipskartonplaat met gesneden boorden</v>
          </cell>
          <cell r="Y520" t="str">
            <v>gipsplaat voor droge binnenafbouw</v>
          </cell>
          <cell r="AA520" t="str">
            <v>A2-s1, d0 (C.1)</v>
          </cell>
          <cell r="AB520" t="str">
            <v>Rigiton_Air_LE_0613</v>
          </cell>
          <cell r="AC520" t="str">
            <v>GBC</v>
          </cell>
          <cell r="AE520">
            <v>12.5</v>
          </cell>
          <cell r="AH520" t="str">
            <v>+/-0.5</v>
          </cell>
          <cell r="AI520">
            <v>0</v>
          </cell>
          <cell r="AJ520">
            <v>0</v>
          </cell>
          <cell r="AL520" t="str">
            <v>Geen eisen gesteld</v>
          </cell>
          <cell r="AM520" t="str">
            <v>Pas de exigences</v>
          </cell>
          <cell r="AN520" t="str">
            <v>kg/m³</v>
          </cell>
          <cell r="AP520">
            <v>0.25</v>
          </cell>
          <cell r="AR520">
            <v>23.736000000000001</v>
          </cell>
          <cell r="AS520">
            <v>26.11</v>
          </cell>
          <cell r="AT520">
            <v>30.856999999999999</v>
          </cell>
          <cell r="AU520" t="str">
            <v>CD3</v>
          </cell>
          <cell r="AV520" t="str">
            <v>DP : Duitse Pallet</v>
          </cell>
          <cell r="AW520">
            <v>3</v>
          </cell>
          <cell r="AX520">
            <v>18.54</v>
          </cell>
          <cell r="AY520" t="str">
            <v>01.02.2015</v>
          </cell>
          <cell r="AZ520">
            <v>0</v>
          </cell>
          <cell r="BA520" t="str">
            <v>00.00.0000</v>
          </cell>
          <cell r="BB520" t="str">
            <v>M2</v>
          </cell>
          <cell r="BC520" t="str">
            <v>M2</v>
          </cell>
          <cell r="BD520">
            <v>3</v>
          </cell>
          <cell r="BE520">
            <v>4002806920953</v>
          </cell>
        </row>
        <row r="521">
          <cell r="A521" t="str">
            <v>G132272</v>
          </cell>
          <cell r="B521" t="str">
            <v>H65011998</v>
          </cell>
          <cell r="C521" t="str">
            <v>C1CBC01C001C021</v>
          </cell>
          <cell r="D521" t="str">
            <v>Rigitone 8/18 M2</v>
          </cell>
          <cell r="E521" t="str">
            <v>C1CB</v>
          </cell>
          <cell r="F521" t="str">
            <v>Rigitone platen</v>
          </cell>
          <cell r="G521" t="str">
            <v>ZIB00028</v>
          </cell>
          <cell r="H521" t="str">
            <v>nieuw</v>
          </cell>
          <cell r="I521" t="str">
            <v>01.02.2016</v>
          </cell>
          <cell r="J521" t="str">
            <v>Yes</v>
          </cell>
          <cell r="K521" t="str">
            <v>Professional</v>
          </cell>
          <cell r="L521" t="str">
            <v>RIGITONE</v>
          </cell>
          <cell r="M521" t="str">
            <v>RIGITONE 8/18</v>
          </cell>
          <cell r="N521" t="str">
            <v>RIGITONE AA 8/18 BT 12.5x1998x1188 DP/40</v>
          </cell>
          <cell r="O521" t="str">
            <v>RIGITONE AA 8/18 BT 12.5x1998x1188 DP/40</v>
          </cell>
          <cell r="P521" t="str">
            <v>ivoor</v>
          </cell>
          <cell r="Q521" t="str">
            <v>ivoire</v>
          </cell>
          <cell r="R521" t="str">
            <v>zwart vlies</v>
          </cell>
          <cell r="S521" t="str">
            <v>voile noir</v>
          </cell>
          <cell r="T521" t="str">
            <v>NBN EN 14190:2014</v>
          </cell>
          <cell r="U521" t="str">
            <v>A</v>
          </cell>
          <cell r="V521" t="str">
            <v>RT</v>
          </cell>
          <cell r="W521" t="str">
            <v>geperforeerde gipskartonplaat met gesneden boorden</v>
          </cell>
          <cell r="Y521" t="str">
            <v>gipsplaat voor droge binnenafbouw</v>
          </cell>
          <cell r="AA521" t="str">
            <v>A2-s1, d0 (C.1)</v>
          </cell>
          <cell r="AB521" t="str">
            <v>Rigiton_Air_LE_0613</v>
          </cell>
          <cell r="AC521" t="str">
            <v>GBC</v>
          </cell>
          <cell r="AE521">
            <v>12.5</v>
          </cell>
          <cell r="AH521" t="str">
            <v>+/-0.5</v>
          </cell>
          <cell r="AI521">
            <v>0</v>
          </cell>
          <cell r="AJ521">
            <v>0</v>
          </cell>
          <cell r="AL521" t="str">
            <v>Geen eisen gesteld</v>
          </cell>
          <cell r="AM521" t="str">
            <v>Pas de exigences</v>
          </cell>
          <cell r="AN521" t="str">
            <v>kg/m³</v>
          </cell>
          <cell r="AP521">
            <v>0.25</v>
          </cell>
          <cell r="AR521">
            <v>23.736000000000001</v>
          </cell>
          <cell r="AS521">
            <v>24.236000000000001</v>
          </cell>
          <cell r="AT521">
            <v>29.67</v>
          </cell>
          <cell r="AU521" t="str">
            <v>CD3</v>
          </cell>
          <cell r="AV521" t="str">
            <v>DP : Duitse Pallet</v>
          </cell>
          <cell r="AW521">
            <v>3</v>
          </cell>
          <cell r="AX521">
            <v>18.54</v>
          </cell>
          <cell r="AY521" t="str">
            <v>01.02.2015</v>
          </cell>
          <cell r="AZ521">
            <v>0</v>
          </cell>
          <cell r="BA521" t="str">
            <v>00.00.0000</v>
          </cell>
          <cell r="BB521" t="str">
            <v>M2</v>
          </cell>
          <cell r="BC521" t="str">
            <v>M2</v>
          </cell>
          <cell r="BD521" t="str">
            <v>S</v>
          </cell>
          <cell r="BE521">
            <v>4002806920977</v>
          </cell>
        </row>
        <row r="522">
          <cell r="A522" t="str">
            <v>G132273</v>
          </cell>
          <cell r="B522" t="str">
            <v>G124128</v>
          </cell>
          <cell r="C522" t="str">
            <v>C1CBC01C001C021</v>
          </cell>
          <cell r="D522" t="str">
            <v>Rigitone 8/18 M2</v>
          </cell>
          <cell r="E522" t="str">
            <v>C1CB</v>
          </cell>
          <cell r="F522" t="str">
            <v>Rigitone platen</v>
          </cell>
          <cell r="G522" t="str">
            <v>ZIB00028</v>
          </cell>
          <cell r="H522" t="str">
            <v>nieuw</v>
          </cell>
          <cell r="I522" t="str">
            <v>01.02.2016</v>
          </cell>
          <cell r="J522" t="str">
            <v>Yes</v>
          </cell>
          <cell r="K522" t="str">
            <v>Professional</v>
          </cell>
          <cell r="L522" t="str">
            <v>RIGITONE</v>
          </cell>
          <cell r="M522" t="str">
            <v>RIGITONE 8/18</v>
          </cell>
          <cell r="N522" t="str">
            <v>RIGITONE AA 8/18 WT 12.5x1998x1188 DP/40</v>
          </cell>
          <cell r="O522" t="str">
            <v>RIGITONE AA 8/18 WT 12.5x1998x1188 DP/40</v>
          </cell>
          <cell r="P522" t="str">
            <v>ivoor</v>
          </cell>
          <cell r="Q522" t="str">
            <v>ivoire</v>
          </cell>
          <cell r="R522" t="str">
            <v>wit vlies</v>
          </cell>
          <cell r="S522" t="str">
            <v>voile blanc</v>
          </cell>
          <cell r="T522" t="str">
            <v>NBN EN 14190:2014</v>
          </cell>
          <cell r="U522" t="str">
            <v>A</v>
          </cell>
          <cell r="V522" t="str">
            <v>RT</v>
          </cell>
          <cell r="W522" t="str">
            <v>geperforeerde gipskartonplaat met gesneden boorden</v>
          </cell>
          <cell r="Y522" t="str">
            <v>gipsplaat voor droge binnenafbouw</v>
          </cell>
          <cell r="AA522" t="str">
            <v>A2-s1, d0 (C.1)</v>
          </cell>
          <cell r="AB522" t="str">
            <v>Rigiton_Air_LE_0613</v>
          </cell>
          <cell r="AC522" t="str">
            <v>GBC</v>
          </cell>
          <cell r="AE522">
            <v>12.5</v>
          </cell>
          <cell r="AH522" t="str">
            <v>+/-0.5</v>
          </cell>
          <cell r="AI522">
            <v>0</v>
          </cell>
          <cell r="AJ522">
            <v>0</v>
          </cell>
          <cell r="AL522" t="str">
            <v>Geen eisen gesteld</v>
          </cell>
          <cell r="AM522" t="str">
            <v>Pas de exigences</v>
          </cell>
          <cell r="AN522" t="str">
            <v>kg/m³</v>
          </cell>
          <cell r="AP522">
            <v>0.25</v>
          </cell>
          <cell r="AR522">
            <v>23.736000000000001</v>
          </cell>
          <cell r="AS522">
            <v>26.11</v>
          </cell>
          <cell r="AT522">
            <v>30.856999999999999</v>
          </cell>
          <cell r="AU522" t="str">
            <v>CD3</v>
          </cell>
          <cell r="AV522" t="str">
            <v>DP : Duitse Pallet</v>
          </cell>
          <cell r="AW522">
            <v>3</v>
          </cell>
          <cell r="AX522">
            <v>18.54</v>
          </cell>
          <cell r="AY522" t="str">
            <v>01.02.2015</v>
          </cell>
          <cell r="AZ522">
            <v>0</v>
          </cell>
          <cell r="BA522" t="str">
            <v>00.00.0000</v>
          </cell>
          <cell r="BB522" t="str">
            <v>M2</v>
          </cell>
          <cell r="BC522" t="str">
            <v>M2</v>
          </cell>
          <cell r="BD522" t="str">
            <v>S</v>
          </cell>
          <cell r="BE522">
            <v>4002806920991</v>
          </cell>
        </row>
        <row r="523">
          <cell r="A523" t="str">
            <v>G132274</v>
          </cell>
          <cell r="B523" t="str">
            <v>G124216</v>
          </cell>
          <cell r="C523" t="str">
            <v>C1CBC01C001C013</v>
          </cell>
          <cell r="D523" t="str">
            <v>Rigitone 10/23 M2</v>
          </cell>
          <cell r="E523" t="str">
            <v>C1CB</v>
          </cell>
          <cell r="F523" t="str">
            <v>Rigitone platen</v>
          </cell>
          <cell r="G523" t="str">
            <v>ZIB00028</v>
          </cell>
          <cell r="H523" t="str">
            <v>nieuw</v>
          </cell>
          <cell r="I523" t="str">
            <v>01.02.2016</v>
          </cell>
          <cell r="J523" t="str">
            <v>Yes</v>
          </cell>
          <cell r="K523" t="str">
            <v>Professional</v>
          </cell>
          <cell r="L523" t="str">
            <v>RIGITONE</v>
          </cell>
          <cell r="M523" t="str">
            <v>RIGITONE 10/23</v>
          </cell>
          <cell r="N523" t="str">
            <v>RIGITONE AA 10/23BT 12.5x2001x1196 DP/40</v>
          </cell>
          <cell r="O523" t="str">
            <v>RIGITONE AA 10/23BT 12.5x2001x1196 DP/40</v>
          </cell>
          <cell r="P523" t="str">
            <v>ivoor</v>
          </cell>
          <cell r="Q523" t="str">
            <v>ivoire</v>
          </cell>
          <cell r="R523" t="str">
            <v>zwart vlies</v>
          </cell>
          <cell r="S523" t="str">
            <v>voile noir</v>
          </cell>
          <cell r="T523" t="str">
            <v>NBN EN 14190:2014</v>
          </cell>
          <cell r="U523" t="str">
            <v>A</v>
          </cell>
          <cell r="V523" t="str">
            <v>RT</v>
          </cell>
          <cell r="W523" t="str">
            <v>geperforeerde gipskartonplaat met gesneden boorden</v>
          </cell>
          <cell r="Y523" t="str">
            <v>gipsplaat voor droge binnenafbouw</v>
          </cell>
          <cell r="AA523" t="str">
            <v>A2-s1, d0 (C.1)</v>
          </cell>
          <cell r="AB523" t="str">
            <v>Rigiton_Air_LE_0613</v>
          </cell>
          <cell r="AC523" t="str">
            <v>GBC</v>
          </cell>
          <cell r="AE523">
            <v>12.5</v>
          </cell>
          <cell r="AH523" t="str">
            <v>+/-0.5</v>
          </cell>
          <cell r="AI523">
            <v>0</v>
          </cell>
          <cell r="AJ523">
            <v>0</v>
          </cell>
          <cell r="AL523" t="str">
            <v>Geen eisen gesteld</v>
          </cell>
          <cell r="AM523" t="str">
            <v>Pas de exigences</v>
          </cell>
          <cell r="AN523" t="str">
            <v>kg/m³</v>
          </cell>
          <cell r="AP523">
            <v>0.25</v>
          </cell>
          <cell r="AR523">
            <v>24</v>
          </cell>
          <cell r="AS523">
            <v>26.4</v>
          </cell>
          <cell r="AT523">
            <v>31.2</v>
          </cell>
          <cell r="AU523" t="str">
            <v>CD3</v>
          </cell>
          <cell r="AV523" t="str">
            <v>DP : Duitse Pallet</v>
          </cell>
          <cell r="AW523">
            <v>3</v>
          </cell>
          <cell r="AX523">
            <v>18.54</v>
          </cell>
          <cell r="AY523" t="str">
            <v>01.02.2015</v>
          </cell>
          <cell r="AZ523">
            <v>0</v>
          </cell>
          <cell r="BA523" t="str">
            <v>00.00.0000</v>
          </cell>
          <cell r="BB523" t="str">
            <v>M2</v>
          </cell>
          <cell r="BC523" t="str">
            <v>M2</v>
          </cell>
          <cell r="BD523">
            <v>3</v>
          </cell>
          <cell r="BE523">
            <v>4002806921011</v>
          </cell>
        </row>
        <row r="524">
          <cell r="A524" t="str">
            <v>G132275</v>
          </cell>
          <cell r="B524" t="str">
            <v>G124217</v>
          </cell>
          <cell r="C524" t="str">
            <v>C1CBC01C001C013</v>
          </cell>
          <cell r="D524" t="str">
            <v>Rigitone 10/23 M2</v>
          </cell>
          <cell r="E524" t="str">
            <v>C1CB</v>
          </cell>
          <cell r="F524" t="str">
            <v>Rigitone platen</v>
          </cell>
          <cell r="G524" t="str">
            <v>ZIB00028</v>
          </cell>
          <cell r="H524" t="str">
            <v>nieuw</v>
          </cell>
          <cell r="I524" t="str">
            <v>01.02.2016</v>
          </cell>
          <cell r="J524" t="str">
            <v>Yes</v>
          </cell>
          <cell r="K524" t="str">
            <v>Professional</v>
          </cell>
          <cell r="L524" t="str">
            <v>RIGITONE</v>
          </cell>
          <cell r="M524" t="str">
            <v>RIGITONE 10/23</v>
          </cell>
          <cell r="N524" t="str">
            <v>RIGITONE AA 10/23WT 12.5x2001x1196 DP/40</v>
          </cell>
          <cell r="O524" t="str">
            <v>RIGITONE AA 10/23WT 12.5x2001x1196 DP/40</v>
          </cell>
          <cell r="P524" t="str">
            <v>ivoor</v>
          </cell>
          <cell r="Q524" t="str">
            <v>ivoire</v>
          </cell>
          <cell r="R524" t="str">
            <v>wit vlies</v>
          </cell>
          <cell r="S524" t="str">
            <v>voile blanc</v>
          </cell>
          <cell r="T524" t="str">
            <v>NBN EN 14190:2014</v>
          </cell>
          <cell r="U524" t="str">
            <v>A</v>
          </cell>
          <cell r="V524" t="str">
            <v>RT</v>
          </cell>
          <cell r="W524" t="str">
            <v>geperforeerde gipskartonplaat met gesneden boorden</v>
          </cell>
          <cell r="Y524" t="str">
            <v>gipsplaat voor droge binnenafbouw</v>
          </cell>
          <cell r="AA524" t="str">
            <v>A2-s1, d0 (C.1)</v>
          </cell>
          <cell r="AB524" t="str">
            <v>Rigiton_Air_LE_0613</v>
          </cell>
          <cell r="AC524" t="str">
            <v>GBC</v>
          </cell>
          <cell r="AE524">
            <v>12.5</v>
          </cell>
          <cell r="AH524" t="str">
            <v>+/-0.5</v>
          </cell>
          <cell r="AI524">
            <v>0</v>
          </cell>
          <cell r="AJ524">
            <v>0</v>
          </cell>
          <cell r="AL524" t="str">
            <v>Geen eisen gesteld</v>
          </cell>
          <cell r="AM524" t="str">
            <v>Pas de exigences</v>
          </cell>
          <cell r="AN524" t="str">
            <v>kg/m³</v>
          </cell>
          <cell r="AP524">
            <v>0.25</v>
          </cell>
          <cell r="AR524">
            <v>23.931999999999999</v>
          </cell>
          <cell r="AS524">
            <v>26.324999999999999</v>
          </cell>
          <cell r="AT524">
            <v>31.111999999999998</v>
          </cell>
          <cell r="AU524" t="str">
            <v>CD3</v>
          </cell>
          <cell r="AV524" t="str">
            <v>DP : Duitse Pallet</v>
          </cell>
          <cell r="AW524">
            <v>3</v>
          </cell>
          <cell r="AX524">
            <v>18.54</v>
          </cell>
          <cell r="AY524" t="str">
            <v>01.02.2015</v>
          </cell>
          <cell r="AZ524">
            <v>0</v>
          </cell>
          <cell r="BA524" t="str">
            <v>00.00.0000</v>
          </cell>
          <cell r="BB524" t="str">
            <v>M2</v>
          </cell>
          <cell r="BC524" t="str">
            <v>M2</v>
          </cell>
          <cell r="BD524">
            <v>3</v>
          </cell>
          <cell r="BE524">
            <v>4002806921035</v>
          </cell>
        </row>
        <row r="525">
          <cell r="A525" t="str">
            <v>G132276</v>
          </cell>
          <cell r="B525" t="str">
            <v>G124218</v>
          </cell>
          <cell r="C525" t="str">
            <v>C1CBC01C001C016</v>
          </cell>
          <cell r="D525" t="str">
            <v>Rigitone 12/25 M2</v>
          </cell>
          <cell r="E525" t="str">
            <v>C1CB</v>
          </cell>
          <cell r="F525" t="str">
            <v>Rigitone platen</v>
          </cell>
          <cell r="G525" t="str">
            <v>ZIB00028</v>
          </cell>
          <cell r="H525" t="str">
            <v>nieuw</v>
          </cell>
          <cell r="I525" t="str">
            <v>01.02.2016</v>
          </cell>
          <cell r="J525" t="str">
            <v>Yes</v>
          </cell>
          <cell r="K525" t="str">
            <v>Professional</v>
          </cell>
          <cell r="L525" t="str">
            <v>RIGITONE</v>
          </cell>
          <cell r="M525" t="str">
            <v>RIGITONE 12/25</v>
          </cell>
          <cell r="N525" t="str">
            <v>RIGITONE AA 12/25BT 12.5x2000x1200 DP/40</v>
          </cell>
          <cell r="O525" t="str">
            <v>RIGITONE AA 12/25BT 12.5x2000x1200 DP/40</v>
          </cell>
          <cell r="P525" t="str">
            <v>ivoor</v>
          </cell>
          <cell r="Q525" t="str">
            <v>ivoire</v>
          </cell>
          <cell r="R525" t="str">
            <v>zwart vlies</v>
          </cell>
          <cell r="S525" t="str">
            <v>voile noir</v>
          </cell>
          <cell r="T525" t="str">
            <v>NBN EN 14190:2014</v>
          </cell>
          <cell r="U525" t="str">
            <v>A</v>
          </cell>
          <cell r="V525" t="str">
            <v>RT</v>
          </cell>
          <cell r="W525" t="str">
            <v>geperforeerde gipskartonplaat met gesneden boorden</v>
          </cell>
          <cell r="Y525" t="str">
            <v>gipsplaat voor droge binnenafbouw</v>
          </cell>
          <cell r="AA525" t="str">
            <v>A2-s1, d0 (C.1)</v>
          </cell>
          <cell r="AB525" t="str">
            <v>Rigiton_Air_LE_0613</v>
          </cell>
          <cell r="AC525" t="str">
            <v>GBC</v>
          </cell>
          <cell r="AE525">
            <v>12.5</v>
          </cell>
          <cell r="AH525" t="str">
            <v>+/-0.5</v>
          </cell>
          <cell r="AI525">
            <v>0</v>
          </cell>
          <cell r="AJ525">
            <v>0</v>
          </cell>
          <cell r="AL525" t="str">
            <v>Geen eisen gesteld</v>
          </cell>
          <cell r="AM525" t="str">
            <v>Pas de exigences</v>
          </cell>
          <cell r="AN525" t="str">
            <v>kg/m³</v>
          </cell>
          <cell r="AP525">
            <v>0.25</v>
          </cell>
          <cell r="AR525">
            <v>24</v>
          </cell>
          <cell r="AS525">
            <v>26.4</v>
          </cell>
          <cell r="AT525">
            <v>31.2</v>
          </cell>
          <cell r="AU525" t="str">
            <v>CD3</v>
          </cell>
          <cell r="AV525" t="str">
            <v>DP : Duitse Pallet</v>
          </cell>
          <cell r="AW525">
            <v>3</v>
          </cell>
          <cell r="AX525">
            <v>18.54</v>
          </cell>
          <cell r="AY525" t="str">
            <v>01.02.2015</v>
          </cell>
          <cell r="AZ525">
            <v>0</v>
          </cell>
          <cell r="BA525" t="str">
            <v>00.00.0000</v>
          </cell>
          <cell r="BB525" t="str">
            <v>M2</v>
          </cell>
          <cell r="BC525" t="str">
            <v>M2</v>
          </cell>
          <cell r="BD525">
            <v>3</v>
          </cell>
          <cell r="BE525">
            <v>4002806921097</v>
          </cell>
        </row>
        <row r="526">
          <cell r="A526" t="str">
            <v>G132277</v>
          </cell>
          <cell r="B526" t="str">
            <v>G124219</v>
          </cell>
          <cell r="C526" t="str">
            <v>C1CBC01C001C016</v>
          </cell>
          <cell r="D526" t="str">
            <v>Rigitone 12/25 M2</v>
          </cell>
          <cell r="E526" t="str">
            <v>C1CB</v>
          </cell>
          <cell r="F526" t="str">
            <v>Rigitone platen</v>
          </cell>
          <cell r="G526" t="str">
            <v>ZIB00028</v>
          </cell>
          <cell r="H526" t="str">
            <v>nieuw</v>
          </cell>
          <cell r="I526" t="str">
            <v>01.02.2016</v>
          </cell>
          <cell r="J526" t="str">
            <v>Yes</v>
          </cell>
          <cell r="K526" t="str">
            <v>Professional</v>
          </cell>
          <cell r="L526" t="str">
            <v>RIGITONE</v>
          </cell>
          <cell r="M526" t="str">
            <v>RIGITONE 12/25</v>
          </cell>
          <cell r="N526" t="str">
            <v>RIGITONE AA 12/25WT 12.5x2000x1200 DP/40</v>
          </cell>
          <cell r="O526" t="str">
            <v>RIGITONE AA 12/25WT 12.5x2000x1200 DP/40</v>
          </cell>
          <cell r="P526" t="str">
            <v>ivoor</v>
          </cell>
          <cell r="Q526" t="str">
            <v>ivoire</v>
          </cell>
          <cell r="R526" t="str">
            <v>wit vlies</v>
          </cell>
          <cell r="S526" t="str">
            <v>voile blanc</v>
          </cell>
          <cell r="T526" t="str">
            <v>NBN EN 14190:2014</v>
          </cell>
          <cell r="U526" t="str">
            <v>A</v>
          </cell>
          <cell r="V526" t="str">
            <v>RT</v>
          </cell>
          <cell r="W526" t="str">
            <v>geperforeerde gipskartonplaat met gesneden boorden</v>
          </cell>
          <cell r="Y526" t="str">
            <v>gipsplaat voor droge binnenafbouw</v>
          </cell>
          <cell r="AA526" t="str">
            <v>A2-s1, d0 (C.1)</v>
          </cell>
          <cell r="AB526" t="str">
            <v>Rigiton_Air_LE_0613</v>
          </cell>
          <cell r="AC526" t="str">
            <v>GBC</v>
          </cell>
          <cell r="AE526">
            <v>12.5</v>
          </cell>
          <cell r="AH526" t="str">
            <v>+/-0.5</v>
          </cell>
          <cell r="AI526">
            <v>0</v>
          </cell>
          <cell r="AJ526">
            <v>0</v>
          </cell>
          <cell r="AL526" t="str">
            <v>Geen eisen gesteld</v>
          </cell>
          <cell r="AM526" t="str">
            <v>Pas de exigences</v>
          </cell>
          <cell r="AN526" t="str">
            <v>kg/m³</v>
          </cell>
          <cell r="AP526">
            <v>0.25</v>
          </cell>
          <cell r="AR526">
            <v>24</v>
          </cell>
          <cell r="AS526">
            <v>26.4</v>
          </cell>
          <cell r="AT526">
            <v>31.2</v>
          </cell>
          <cell r="AU526" t="str">
            <v>CD3</v>
          </cell>
          <cell r="AV526" t="str">
            <v>DP : Duitse Pallet</v>
          </cell>
          <cell r="AW526">
            <v>3</v>
          </cell>
          <cell r="AX526">
            <v>18.54</v>
          </cell>
          <cell r="AY526" t="str">
            <v>01.02.2015</v>
          </cell>
          <cell r="AZ526">
            <v>0</v>
          </cell>
          <cell r="BA526" t="str">
            <v>00.00.0000</v>
          </cell>
          <cell r="BB526" t="str">
            <v>M2</v>
          </cell>
          <cell r="BC526" t="str">
            <v>M2</v>
          </cell>
          <cell r="BD526">
            <v>3</v>
          </cell>
          <cell r="BE526">
            <v>4002806921110</v>
          </cell>
        </row>
        <row r="527">
          <cell r="A527" t="str">
            <v>G132278</v>
          </cell>
          <cell r="B527" t="str">
            <v>G122194</v>
          </cell>
          <cell r="C527" t="str">
            <v>C1CBC01C001C024</v>
          </cell>
          <cell r="D527" t="str">
            <v>Rigitone 15/30 M2</v>
          </cell>
          <cell r="E527" t="str">
            <v>C1CB</v>
          </cell>
          <cell r="F527" t="str">
            <v>Rigitone platen</v>
          </cell>
          <cell r="G527" t="str">
            <v>ZIB00028</v>
          </cell>
          <cell r="H527" t="str">
            <v>nieuw</v>
          </cell>
          <cell r="I527" t="str">
            <v>01.02.2016</v>
          </cell>
          <cell r="J527" t="str">
            <v>Yes</v>
          </cell>
          <cell r="K527" t="str">
            <v>Professional</v>
          </cell>
          <cell r="L527" t="str">
            <v>RIGITONE</v>
          </cell>
          <cell r="M527" t="str">
            <v>RIGITONE 15/30</v>
          </cell>
          <cell r="N527" t="str">
            <v>RIGITONE AA 15/30BT 12.5x2010x1200 DP/40</v>
          </cell>
          <cell r="O527" t="str">
            <v>RIGITONE AA 15/30BT 12.5x2010x1200 DP/40</v>
          </cell>
          <cell r="P527" t="str">
            <v>ivoor</v>
          </cell>
          <cell r="Q527" t="str">
            <v>ivoire</v>
          </cell>
          <cell r="R527" t="str">
            <v>zwart vlies</v>
          </cell>
          <cell r="S527" t="str">
            <v>voile noir</v>
          </cell>
          <cell r="T527" t="str">
            <v>NBN EN 14190:2014</v>
          </cell>
          <cell r="U527" t="str">
            <v>A</v>
          </cell>
          <cell r="V527" t="str">
            <v>RT</v>
          </cell>
          <cell r="W527" t="str">
            <v>geperforeerde gipskartonplaat met gesneden boorden</v>
          </cell>
          <cell r="Y527" t="str">
            <v>gipsplaat voor droge binnenafbouw</v>
          </cell>
          <cell r="AA527" t="str">
            <v>A2-s1, d0 (C.1)</v>
          </cell>
          <cell r="AB527" t="str">
            <v>Rigiton_Air_LE_0613</v>
          </cell>
          <cell r="AC527" t="str">
            <v>GBC</v>
          </cell>
          <cell r="AE527">
            <v>12.5</v>
          </cell>
          <cell r="AH527" t="str">
            <v>+/-0.5</v>
          </cell>
          <cell r="AI527">
            <v>0</v>
          </cell>
          <cell r="AJ527">
            <v>0</v>
          </cell>
          <cell r="AL527" t="str">
            <v>Geen eisen gesteld</v>
          </cell>
          <cell r="AM527" t="str">
            <v>Pas de exigences</v>
          </cell>
          <cell r="AN527" t="str">
            <v>kg/m³</v>
          </cell>
          <cell r="AP527">
            <v>0.25</v>
          </cell>
          <cell r="AR527">
            <v>23.44</v>
          </cell>
          <cell r="AS527">
            <v>23.52</v>
          </cell>
          <cell r="AT527">
            <v>31.356000000000002</v>
          </cell>
          <cell r="AU527" t="str">
            <v>CD3</v>
          </cell>
          <cell r="AV527" t="str">
            <v>DP : Duitse Pallet</v>
          </cell>
          <cell r="AW527">
            <v>3</v>
          </cell>
          <cell r="AX527">
            <v>18.54</v>
          </cell>
          <cell r="AY527" t="str">
            <v>01.02.2015</v>
          </cell>
          <cell r="AZ527">
            <v>0</v>
          </cell>
          <cell r="BA527" t="str">
            <v>00.00.0000</v>
          </cell>
          <cell r="BB527" t="str">
            <v>M2</v>
          </cell>
          <cell r="BC527" t="str">
            <v>M2</v>
          </cell>
          <cell r="BD527" t="str">
            <v>S</v>
          </cell>
          <cell r="BE527">
            <v>4002806921059</v>
          </cell>
        </row>
        <row r="528">
          <cell r="A528" t="str">
            <v>G132279</v>
          </cell>
          <cell r="B528" t="str">
            <v>G124224</v>
          </cell>
          <cell r="C528" t="str">
            <v>C1CBC01C001C024</v>
          </cell>
          <cell r="D528" t="str">
            <v>Rigitone 15/30 M2</v>
          </cell>
          <cell r="E528" t="str">
            <v>C1CB</v>
          </cell>
          <cell r="F528" t="str">
            <v>Rigitone platen</v>
          </cell>
          <cell r="G528" t="str">
            <v>ZIB00028</v>
          </cell>
          <cell r="H528" t="str">
            <v>nieuw</v>
          </cell>
          <cell r="I528" t="str">
            <v>01.02.2016</v>
          </cell>
          <cell r="J528" t="str">
            <v>Yes</v>
          </cell>
          <cell r="K528" t="str">
            <v>Professional</v>
          </cell>
          <cell r="L528" t="str">
            <v>RIGITONE</v>
          </cell>
          <cell r="M528" t="str">
            <v>RIGITONE 15/30</v>
          </cell>
          <cell r="N528" t="str">
            <v>RIGITONE AA 15/30WT 12.5x2010x1200 DP/40</v>
          </cell>
          <cell r="O528" t="str">
            <v>RIGITONE AA 15/30WT 12.5x2010x1200 DP/40</v>
          </cell>
          <cell r="P528" t="str">
            <v>ivoor</v>
          </cell>
          <cell r="Q528" t="str">
            <v>ivoire</v>
          </cell>
          <cell r="R528" t="str">
            <v>wit vlies</v>
          </cell>
          <cell r="S528" t="str">
            <v>voile blanc</v>
          </cell>
          <cell r="T528" t="str">
            <v>NBN EN 14190:2014</v>
          </cell>
          <cell r="U528" t="str">
            <v>A</v>
          </cell>
          <cell r="V528" t="str">
            <v>RT</v>
          </cell>
          <cell r="W528" t="str">
            <v>geperforeerde gipskartonplaat met gesneden boorden</v>
          </cell>
          <cell r="Y528" t="str">
            <v>gipsplaat voor droge binnenafbouw</v>
          </cell>
          <cell r="AA528" t="str">
            <v>A2-s1, d0 (C.1)</v>
          </cell>
          <cell r="AB528" t="str">
            <v>Rigiton_Air_LE_0613</v>
          </cell>
          <cell r="AC528" t="str">
            <v>GBC</v>
          </cell>
          <cell r="AE528">
            <v>12.5</v>
          </cell>
          <cell r="AH528" t="str">
            <v>+/-0.5</v>
          </cell>
          <cell r="AI528">
            <v>0</v>
          </cell>
          <cell r="AJ528">
            <v>0</v>
          </cell>
          <cell r="AL528" t="str">
            <v>Geen eisen gesteld</v>
          </cell>
          <cell r="AM528" t="str">
            <v>Pas de exigences</v>
          </cell>
          <cell r="AN528" t="str">
            <v>kg/m³</v>
          </cell>
          <cell r="AP528">
            <v>0.25</v>
          </cell>
          <cell r="AR528">
            <v>23.44</v>
          </cell>
          <cell r="AS528">
            <v>23.52</v>
          </cell>
          <cell r="AT528">
            <v>31.356000000000002</v>
          </cell>
          <cell r="AU528" t="str">
            <v>CD3</v>
          </cell>
          <cell r="AV528" t="str">
            <v>DP : Duitse Pallet</v>
          </cell>
          <cell r="AW528">
            <v>3</v>
          </cell>
          <cell r="AX528">
            <v>18.54</v>
          </cell>
          <cell r="AY528" t="str">
            <v>01.02.2015</v>
          </cell>
          <cell r="AZ528">
            <v>0</v>
          </cell>
          <cell r="BA528" t="str">
            <v>00.00.0000</v>
          </cell>
          <cell r="BB528" t="str">
            <v>M2</v>
          </cell>
          <cell r="BC528" t="str">
            <v>M2</v>
          </cell>
          <cell r="BD528" t="str">
            <v>S</v>
          </cell>
          <cell r="BE528">
            <v>4002806921073</v>
          </cell>
        </row>
        <row r="529">
          <cell r="A529" t="str">
            <v>G132280</v>
          </cell>
          <cell r="B529" t="str">
            <v>G124220</v>
          </cell>
          <cell r="C529" t="str">
            <v>C1CBC01C001C023</v>
          </cell>
          <cell r="D529" t="str">
            <v>Rigitone 8-12/50 M2</v>
          </cell>
          <cell r="E529" t="str">
            <v>C1CB</v>
          </cell>
          <cell r="F529" t="str">
            <v>Rigitone platen</v>
          </cell>
          <cell r="G529" t="str">
            <v>ZIB00028</v>
          </cell>
          <cell r="H529" t="str">
            <v>nieuw</v>
          </cell>
          <cell r="I529" t="str">
            <v>01.02.2016</v>
          </cell>
          <cell r="J529" t="str">
            <v>Yes</v>
          </cell>
          <cell r="K529" t="str">
            <v>Professional</v>
          </cell>
          <cell r="L529" t="str">
            <v>RIGITONE</v>
          </cell>
          <cell r="M529" t="str">
            <v>RIGITONE 8-12/50</v>
          </cell>
          <cell r="N529" t="str">
            <v>RIGITONE AA 8-12/50BT 12.5x2000x1200 /40</v>
          </cell>
          <cell r="O529" t="str">
            <v>RIGITONE AA 8-12/50BT 12.5x2000x1200 /40</v>
          </cell>
          <cell r="P529" t="str">
            <v>ivoor</v>
          </cell>
          <cell r="Q529" t="str">
            <v>ivoire</v>
          </cell>
          <cell r="R529" t="str">
            <v>zwart vlies</v>
          </cell>
          <cell r="S529" t="str">
            <v>voile noir</v>
          </cell>
          <cell r="T529" t="str">
            <v>NBN EN 14190:2014</v>
          </cell>
          <cell r="U529" t="str">
            <v>A</v>
          </cell>
          <cell r="V529" t="str">
            <v>RT</v>
          </cell>
          <cell r="W529" t="str">
            <v>geperforeerde gipskartonplaat met gesneden boorden</v>
          </cell>
          <cell r="Y529" t="str">
            <v>gipsplaat voor droge binnenafbouw</v>
          </cell>
          <cell r="AA529" t="str">
            <v>A2-s1, d0 (C.1)</v>
          </cell>
          <cell r="AB529" t="str">
            <v>Rigiton_Air_LE_0613</v>
          </cell>
          <cell r="AC529" t="str">
            <v>GBC</v>
          </cell>
          <cell r="AE529">
            <v>12.5</v>
          </cell>
          <cell r="AH529" t="str">
            <v>+/-0.5</v>
          </cell>
          <cell r="AI529">
            <v>0</v>
          </cell>
          <cell r="AJ529">
            <v>0</v>
          </cell>
          <cell r="AL529" t="str">
            <v>Geen eisen gesteld</v>
          </cell>
          <cell r="AM529" t="str">
            <v>Pas de exigences</v>
          </cell>
          <cell r="AN529" t="str">
            <v>kg/m³</v>
          </cell>
          <cell r="AP529">
            <v>0.25</v>
          </cell>
          <cell r="AR529">
            <v>24</v>
          </cell>
          <cell r="AS529">
            <v>26.4</v>
          </cell>
          <cell r="AT529">
            <v>31.2</v>
          </cell>
          <cell r="AU529" t="str">
            <v>CD3</v>
          </cell>
          <cell r="AV529" t="str">
            <v>DP : Duitse Pallet</v>
          </cell>
          <cell r="AW529">
            <v>3</v>
          </cell>
          <cell r="AX529">
            <v>18.54</v>
          </cell>
          <cell r="AY529" t="str">
            <v>01.02.2015</v>
          </cell>
          <cell r="AZ529">
            <v>0</v>
          </cell>
          <cell r="BA529" t="str">
            <v>00.00.0000</v>
          </cell>
          <cell r="BB529" t="str">
            <v>M2</v>
          </cell>
          <cell r="BC529" t="str">
            <v>M2</v>
          </cell>
          <cell r="BD529">
            <v>3</v>
          </cell>
          <cell r="BE529">
            <v>4002806921929</v>
          </cell>
        </row>
        <row r="530">
          <cell r="A530" t="str">
            <v>G132281</v>
          </cell>
          <cell r="B530" t="str">
            <v>G124221</v>
          </cell>
          <cell r="C530" t="str">
            <v>C1CBC01C001C023</v>
          </cell>
          <cell r="D530" t="str">
            <v>Rigitone 8-12/50 M2</v>
          </cell>
          <cell r="E530" t="str">
            <v>C1CB</v>
          </cell>
          <cell r="F530" t="str">
            <v>Rigitone platen</v>
          </cell>
          <cell r="G530" t="str">
            <v>ZIB00028</v>
          </cell>
          <cell r="H530" t="str">
            <v>nieuw</v>
          </cell>
          <cell r="I530" t="str">
            <v>01.02.2016</v>
          </cell>
          <cell r="J530" t="str">
            <v>Yes</v>
          </cell>
          <cell r="K530" t="str">
            <v>Professional</v>
          </cell>
          <cell r="L530" t="str">
            <v>RIGITONE</v>
          </cell>
          <cell r="M530" t="str">
            <v>RIGITONE 8-12/50</v>
          </cell>
          <cell r="N530" t="str">
            <v>RIGITONE AA8-12/50WT 12.5x2000x1200 DP40</v>
          </cell>
          <cell r="O530" t="str">
            <v>RIGITONE AA8-12/50WT 12.5x2000x1200 DP40</v>
          </cell>
          <cell r="P530" t="str">
            <v>ivoor</v>
          </cell>
          <cell r="Q530" t="str">
            <v>ivoire</v>
          </cell>
          <cell r="R530" t="str">
            <v>wit vlies</v>
          </cell>
          <cell r="S530" t="str">
            <v>voile blanc</v>
          </cell>
          <cell r="T530" t="str">
            <v>NBN EN 14190:2014</v>
          </cell>
          <cell r="U530" t="str">
            <v>A</v>
          </cell>
          <cell r="V530" t="str">
            <v>RT</v>
          </cell>
          <cell r="W530" t="str">
            <v>geperforeerde gipskartonplaat met gesneden boorden</v>
          </cell>
          <cell r="Y530" t="str">
            <v>gipsplaat voor droge binnenafbouw</v>
          </cell>
          <cell r="AA530" t="str">
            <v>A2-s1, d0 (C.1)</v>
          </cell>
          <cell r="AB530" t="str">
            <v>Rigiton_Air_LE_0613</v>
          </cell>
          <cell r="AC530" t="str">
            <v>GBC</v>
          </cell>
          <cell r="AE530">
            <v>12.5</v>
          </cell>
          <cell r="AH530" t="str">
            <v>+/-0.5</v>
          </cell>
          <cell r="AI530">
            <v>0</v>
          </cell>
          <cell r="AJ530">
            <v>0</v>
          </cell>
          <cell r="AL530" t="str">
            <v>Geen eisen gesteld</v>
          </cell>
          <cell r="AM530" t="str">
            <v>Pas de exigences</v>
          </cell>
          <cell r="AN530" t="str">
            <v>kg/m³</v>
          </cell>
          <cell r="AP530">
            <v>0.25</v>
          </cell>
          <cell r="AR530">
            <v>24</v>
          </cell>
          <cell r="AS530">
            <v>26.4</v>
          </cell>
          <cell r="AT530">
            <v>31.2</v>
          </cell>
          <cell r="AU530" t="str">
            <v>CD3</v>
          </cell>
          <cell r="AV530" t="str">
            <v>DP : Duitse Pallet</v>
          </cell>
          <cell r="AW530">
            <v>3</v>
          </cell>
          <cell r="AX530">
            <v>18.54</v>
          </cell>
          <cell r="AY530" t="str">
            <v>01.02.2015</v>
          </cell>
          <cell r="AZ530">
            <v>0</v>
          </cell>
          <cell r="BA530" t="str">
            <v>00.00.0000</v>
          </cell>
          <cell r="BB530" t="str">
            <v>M2</v>
          </cell>
          <cell r="BC530" t="str">
            <v>M2</v>
          </cell>
          <cell r="BD530">
            <v>3</v>
          </cell>
          <cell r="BE530">
            <v>4002806921905</v>
          </cell>
        </row>
        <row r="531">
          <cell r="A531" t="str">
            <v>G132282</v>
          </cell>
          <cell r="B531" t="str">
            <v>H65051980</v>
          </cell>
          <cell r="C531" t="str">
            <v>C1CBC01C001C015</v>
          </cell>
          <cell r="D531" t="str">
            <v>Rigitone 12/20/66 M2</v>
          </cell>
          <cell r="E531" t="str">
            <v>C1CB</v>
          </cell>
          <cell r="F531" t="str">
            <v>Rigitone platen</v>
          </cell>
          <cell r="G531" t="str">
            <v>ZIB00028</v>
          </cell>
          <cell r="H531" t="str">
            <v>nieuw</v>
          </cell>
          <cell r="I531" t="str">
            <v>01.02.2016</v>
          </cell>
          <cell r="J531" t="str">
            <v>Yes</v>
          </cell>
          <cell r="K531" t="str">
            <v>Professional</v>
          </cell>
          <cell r="L531" t="str">
            <v>RIGITONE</v>
          </cell>
          <cell r="M531" t="str">
            <v>RIGITONE 12-20/66</v>
          </cell>
          <cell r="N531" t="str">
            <v>RIGITONE AA12-20/66BT 12.5x1980x1188 /40</v>
          </cell>
          <cell r="O531" t="str">
            <v>Rigitone™ AA 12-20/66 BT 13 118,8/198,0</v>
          </cell>
          <cell r="P531" t="str">
            <v>ivoor</v>
          </cell>
          <cell r="Q531" t="str">
            <v>ivoire</v>
          </cell>
          <cell r="R531" t="str">
            <v>zwart vlies</v>
          </cell>
          <cell r="S531" t="str">
            <v>voile noir</v>
          </cell>
          <cell r="T531" t="str">
            <v>NBN EN 14190:2014</v>
          </cell>
          <cell r="U531" t="str">
            <v>A</v>
          </cell>
          <cell r="V531" t="str">
            <v>RT</v>
          </cell>
          <cell r="W531" t="str">
            <v>geperforeerde gipskartonplaat met gesneden boorden</v>
          </cell>
          <cell r="Y531" t="str">
            <v>gipsplaat voor droge binnenafbouw</v>
          </cell>
          <cell r="AA531" t="str">
            <v>A2-s1, d0 (C.1)</v>
          </cell>
          <cell r="AB531" t="str">
            <v>Rigiton_Air_LE_0613</v>
          </cell>
          <cell r="AC531" t="str">
            <v>GBC</v>
          </cell>
          <cell r="AE531">
            <v>12.5</v>
          </cell>
          <cell r="AH531" t="str">
            <v>+/-0.5</v>
          </cell>
          <cell r="AI531">
            <v>0</v>
          </cell>
          <cell r="AJ531">
            <v>0</v>
          </cell>
          <cell r="AL531" t="str">
            <v>Geen eisen gesteld</v>
          </cell>
          <cell r="AM531" t="str">
            <v>Pas de exigences</v>
          </cell>
          <cell r="AN531" t="str">
            <v>kg/m³</v>
          </cell>
          <cell r="AP531">
            <v>0.25</v>
          </cell>
          <cell r="AR531">
            <v>22.5</v>
          </cell>
          <cell r="AS531">
            <v>23</v>
          </cell>
          <cell r="AT531">
            <v>29.402999999999999</v>
          </cell>
          <cell r="AU531" t="str">
            <v>CD3</v>
          </cell>
          <cell r="AV531" t="str">
            <v>DP : Duitse Pallet</v>
          </cell>
          <cell r="AW531">
            <v>3</v>
          </cell>
          <cell r="AX531">
            <v>18.54</v>
          </cell>
          <cell r="AY531" t="str">
            <v>01.02.2015</v>
          </cell>
          <cell r="AZ531">
            <v>0</v>
          </cell>
          <cell r="BA531" t="str">
            <v>00.00.0000</v>
          </cell>
          <cell r="BB531" t="str">
            <v>M2</v>
          </cell>
          <cell r="BC531" t="str">
            <v>M2</v>
          </cell>
          <cell r="BD531" t="str">
            <v>S</v>
          </cell>
          <cell r="BE531">
            <v>4002806921141</v>
          </cell>
        </row>
        <row r="532">
          <cell r="A532" t="str">
            <v>G132283</v>
          </cell>
          <cell r="B532" t="str">
            <v>G124226</v>
          </cell>
          <cell r="C532" t="str">
            <v>C1CBC01C001C015</v>
          </cell>
          <cell r="D532" t="str">
            <v>Rigitone 12/20/66 M2</v>
          </cell>
          <cell r="E532" t="str">
            <v>C1CB</v>
          </cell>
          <cell r="F532" t="str">
            <v>Rigitone platen</v>
          </cell>
          <cell r="G532" t="str">
            <v>ZIB00028</v>
          </cell>
          <cell r="H532" t="str">
            <v>nieuw</v>
          </cell>
          <cell r="I532" t="str">
            <v>01.02.2016</v>
          </cell>
          <cell r="J532" t="str">
            <v>Yes</v>
          </cell>
          <cell r="K532" t="str">
            <v>Professional</v>
          </cell>
          <cell r="L532" t="str">
            <v>RIGITONE</v>
          </cell>
          <cell r="M532" t="str">
            <v>RIGITONE 12-20/66</v>
          </cell>
          <cell r="N532" t="str">
            <v>RIGITONE AA12-20/66WT 12.5x1980x1188 /40</v>
          </cell>
          <cell r="O532" t="str">
            <v>RIGITONE AA12-20/66WT 12.5x1980x1188 /40</v>
          </cell>
          <cell r="P532" t="str">
            <v>ivoor</v>
          </cell>
          <cell r="Q532" t="str">
            <v>ivoire</v>
          </cell>
          <cell r="R532" t="str">
            <v>wit vlies</v>
          </cell>
          <cell r="S532" t="str">
            <v>voile blanc</v>
          </cell>
          <cell r="T532" t="str">
            <v>NBN EN 14190:2014</v>
          </cell>
          <cell r="U532" t="str">
            <v>A</v>
          </cell>
          <cell r="V532" t="str">
            <v>RT</v>
          </cell>
          <cell r="W532" t="str">
            <v>geperforeerde gipskartonplaat met gesneden boorden</v>
          </cell>
          <cell r="Y532" t="str">
            <v>gipsplaat voor droge binnenafbouw</v>
          </cell>
          <cell r="AA532" t="str">
            <v>A2-s1, d0 (C.1)</v>
          </cell>
          <cell r="AB532" t="str">
            <v>Rigiton_Air_LE_0613</v>
          </cell>
          <cell r="AC532" t="str">
            <v>GBC</v>
          </cell>
          <cell r="AE532">
            <v>12.5</v>
          </cell>
          <cell r="AH532" t="str">
            <v>+/-0.5</v>
          </cell>
          <cell r="AI532">
            <v>0</v>
          </cell>
          <cell r="AJ532">
            <v>0</v>
          </cell>
          <cell r="AL532" t="str">
            <v>Geen eisen gesteld</v>
          </cell>
          <cell r="AM532" t="str">
            <v>Pas de exigences</v>
          </cell>
          <cell r="AN532" t="str">
            <v>kg/m³</v>
          </cell>
          <cell r="AP532">
            <v>0.25</v>
          </cell>
          <cell r="AR532">
            <v>23.521999999999998</v>
          </cell>
          <cell r="AS532">
            <v>25.875</v>
          </cell>
          <cell r="AT532">
            <v>30.579000000000001</v>
          </cell>
          <cell r="AU532" t="str">
            <v>CD3</v>
          </cell>
          <cell r="AV532" t="str">
            <v>DP : Duitse Pallet</v>
          </cell>
          <cell r="AW532">
            <v>3</v>
          </cell>
          <cell r="AX532">
            <v>18.54</v>
          </cell>
          <cell r="AY532" t="str">
            <v>01.02.2015</v>
          </cell>
          <cell r="AZ532">
            <v>0</v>
          </cell>
          <cell r="BA532" t="str">
            <v>00.00.0000</v>
          </cell>
          <cell r="BB532" t="str">
            <v>M2</v>
          </cell>
          <cell r="BC532" t="str">
            <v>M2</v>
          </cell>
          <cell r="BD532" t="str">
            <v>S</v>
          </cell>
          <cell r="BE532">
            <v>4002806921189</v>
          </cell>
        </row>
        <row r="533">
          <cell r="A533" t="str">
            <v>G132284</v>
          </cell>
          <cell r="B533" t="str">
            <v>G124192</v>
          </cell>
          <cell r="C533" t="str">
            <v>C1CBC01C001C019</v>
          </cell>
          <cell r="D533" t="str">
            <v>Rigitone 8/15/20 M2</v>
          </cell>
          <cell r="E533" t="str">
            <v>C1CB</v>
          </cell>
          <cell r="F533" t="str">
            <v>Rigitone platen</v>
          </cell>
          <cell r="G533" t="str">
            <v>ZIB00028</v>
          </cell>
          <cell r="H533" t="str">
            <v>nieuw</v>
          </cell>
          <cell r="I533" t="str">
            <v>01.02.2016</v>
          </cell>
          <cell r="J533" t="str">
            <v>Yes</v>
          </cell>
          <cell r="K533" t="str">
            <v>Professional</v>
          </cell>
          <cell r="L533" t="str">
            <v>RIGITONE</v>
          </cell>
          <cell r="M533" t="str">
            <v>RIGITONE 8-15-20</v>
          </cell>
          <cell r="N533" t="str">
            <v>RIGITONE AA 8-15-20BT 12.5x2000x1200 /40</v>
          </cell>
          <cell r="O533" t="str">
            <v>RIGITONE AA 8-15-20BT 12.5x2000x1200 /40</v>
          </cell>
          <cell r="P533" t="str">
            <v>ivoor</v>
          </cell>
          <cell r="Q533" t="str">
            <v>ivoire</v>
          </cell>
          <cell r="R533" t="str">
            <v>zwart vlies</v>
          </cell>
          <cell r="S533" t="str">
            <v>voile noir</v>
          </cell>
          <cell r="T533" t="str">
            <v>NBN EN 14190:2014</v>
          </cell>
          <cell r="U533" t="str">
            <v>A</v>
          </cell>
          <cell r="V533" t="str">
            <v>RT</v>
          </cell>
          <cell r="W533" t="str">
            <v>geperforeerde gipskartonplaat met gesneden boorden</v>
          </cell>
          <cell r="Y533" t="str">
            <v>gipsplaat voor droge binnenafbouw</v>
          </cell>
          <cell r="AA533" t="str">
            <v>A2-s1, d0 (C.1)</v>
          </cell>
          <cell r="AB533" t="str">
            <v>Rigiton_Air_LE_0613</v>
          </cell>
          <cell r="AC533" t="str">
            <v>GBC</v>
          </cell>
          <cell r="AE533">
            <v>12.5</v>
          </cell>
          <cell r="AH533" t="str">
            <v>+/-0.5</v>
          </cell>
          <cell r="AI533">
            <v>0</v>
          </cell>
          <cell r="AJ533">
            <v>0</v>
          </cell>
          <cell r="AL533" t="str">
            <v>Geen eisen gesteld</v>
          </cell>
          <cell r="AM533" t="str">
            <v>Pas de exigences</v>
          </cell>
          <cell r="AN533" t="str">
            <v>kg/m³</v>
          </cell>
          <cell r="AP533">
            <v>0.25</v>
          </cell>
          <cell r="AR533">
            <v>24</v>
          </cell>
          <cell r="AS533">
            <v>26.4</v>
          </cell>
          <cell r="AT533">
            <v>31.2</v>
          </cell>
          <cell r="AU533" t="str">
            <v>CD3</v>
          </cell>
          <cell r="AV533" t="str">
            <v>DP : Duitse Pallet</v>
          </cell>
          <cell r="AW533">
            <v>3</v>
          </cell>
          <cell r="AX533">
            <v>18.54</v>
          </cell>
          <cell r="AY533" t="str">
            <v>01.02.2015</v>
          </cell>
          <cell r="AZ533">
            <v>0</v>
          </cell>
          <cell r="BA533" t="str">
            <v>00.00.0000</v>
          </cell>
          <cell r="BB533" t="str">
            <v>M2</v>
          </cell>
          <cell r="BC533" t="str">
            <v>M2</v>
          </cell>
          <cell r="BD533">
            <v>3</v>
          </cell>
          <cell r="BE533">
            <v>4002806921202</v>
          </cell>
        </row>
        <row r="534">
          <cell r="A534" t="str">
            <v>G132285</v>
          </cell>
          <cell r="B534" t="str">
            <v>G124227</v>
          </cell>
          <cell r="C534" t="str">
            <v>C1CBC01C001C019</v>
          </cell>
          <cell r="D534" t="str">
            <v>Rigitone 8/15/20 M2</v>
          </cell>
          <cell r="E534" t="str">
            <v>C1CB</v>
          </cell>
          <cell r="F534" t="str">
            <v>Rigitone platen</v>
          </cell>
          <cell r="G534" t="str">
            <v>ZIB00028</v>
          </cell>
          <cell r="H534" t="str">
            <v>nieuw</v>
          </cell>
          <cell r="I534" t="str">
            <v>01.02.2016</v>
          </cell>
          <cell r="J534" t="str">
            <v>Yes</v>
          </cell>
          <cell r="K534" t="str">
            <v>Professional</v>
          </cell>
          <cell r="L534" t="str">
            <v>RIGITONE</v>
          </cell>
          <cell r="M534" t="str">
            <v>RIGITONE 8-15-20</v>
          </cell>
          <cell r="N534" t="str">
            <v>RIGITONE AA 8-15-20WT 12.5x2000x1200 /40</v>
          </cell>
          <cell r="O534" t="str">
            <v>RIGITONE AA 8-15-20WT 12.5x2000x1200 /40</v>
          </cell>
          <cell r="P534" t="str">
            <v>ivoor</v>
          </cell>
          <cell r="Q534" t="str">
            <v>ivoire</v>
          </cell>
          <cell r="R534" t="str">
            <v>wit vlies</v>
          </cell>
          <cell r="S534" t="str">
            <v>voile blanc</v>
          </cell>
          <cell r="T534" t="str">
            <v>NBN EN 14190:2014</v>
          </cell>
          <cell r="U534" t="str">
            <v>A</v>
          </cell>
          <cell r="V534" t="str">
            <v>RT</v>
          </cell>
          <cell r="W534" t="str">
            <v>geperforeerde gipskartonplaat met gesneden boorden</v>
          </cell>
          <cell r="Y534" t="str">
            <v>gipsplaat voor droge binnenafbouw</v>
          </cell>
          <cell r="AA534" t="str">
            <v>A2-s1, d0 (C.1)</v>
          </cell>
          <cell r="AB534" t="str">
            <v>Rigiton_Air_LE_0613</v>
          </cell>
          <cell r="AC534" t="str">
            <v>GBC</v>
          </cell>
          <cell r="AE534">
            <v>12.5</v>
          </cell>
          <cell r="AH534" t="str">
            <v>+/-0.5</v>
          </cell>
          <cell r="AI534">
            <v>0</v>
          </cell>
          <cell r="AJ534">
            <v>0</v>
          </cell>
          <cell r="AL534" t="str">
            <v>Geen eisen gesteld</v>
          </cell>
          <cell r="AM534" t="str">
            <v>Pas de exigences</v>
          </cell>
          <cell r="AN534" t="str">
            <v>kg/m³</v>
          </cell>
          <cell r="AP534">
            <v>0.25</v>
          </cell>
          <cell r="AR534">
            <v>24</v>
          </cell>
          <cell r="AS534">
            <v>26.4</v>
          </cell>
          <cell r="AT534">
            <v>31.2</v>
          </cell>
          <cell r="AU534" t="str">
            <v>CD3</v>
          </cell>
          <cell r="AV534" t="str">
            <v>DP : Duitse Pallet</v>
          </cell>
          <cell r="AW534">
            <v>3</v>
          </cell>
          <cell r="AX534">
            <v>18.54</v>
          </cell>
          <cell r="AY534" t="str">
            <v>01.02.2015</v>
          </cell>
          <cell r="AZ534">
            <v>0</v>
          </cell>
          <cell r="BA534" t="str">
            <v>00.00.0000</v>
          </cell>
          <cell r="BB534" t="str">
            <v>M2</v>
          </cell>
          <cell r="BC534" t="str">
            <v>M2</v>
          </cell>
          <cell r="BD534">
            <v>3</v>
          </cell>
          <cell r="BE534">
            <v>4002806921226</v>
          </cell>
        </row>
        <row r="535">
          <cell r="A535" t="str">
            <v>G132286</v>
          </cell>
          <cell r="B535" t="str">
            <v>G123340</v>
          </cell>
          <cell r="C535" t="str">
            <v>C1CBC01C001C020</v>
          </cell>
          <cell r="D535" t="str">
            <v>Rigitone 8/15/20 Super M2</v>
          </cell>
          <cell r="E535" t="str">
            <v>C1CB</v>
          </cell>
          <cell r="F535" t="str">
            <v>Rigitone platen</v>
          </cell>
          <cell r="G535" t="str">
            <v>ZIB00028</v>
          </cell>
          <cell r="H535" t="str">
            <v>nieuw</v>
          </cell>
          <cell r="I535" t="str">
            <v>01.02.2016</v>
          </cell>
          <cell r="J535" t="str">
            <v>Yes</v>
          </cell>
          <cell r="K535" t="str">
            <v>Professional</v>
          </cell>
          <cell r="L535" t="str">
            <v>RIGITONE</v>
          </cell>
          <cell r="M535" t="str">
            <v>RIGITONE 8-15-20 SUPER</v>
          </cell>
          <cell r="N535" t="str">
            <v>RIGITON AA8-15-20S BT 12.5x1960x1200 /40</v>
          </cell>
          <cell r="O535" t="str">
            <v>RIGITON AA8-15-20S BT 12.5x1960x1200 /40</v>
          </cell>
          <cell r="P535" t="str">
            <v>ivoor</v>
          </cell>
          <cell r="Q535" t="str">
            <v>ivoire</v>
          </cell>
          <cell r="R535" t="str">
            <v>zwart vlies</v>
          </cell>
          <cell r="S535" t="str">
            <v>voile noir</v>
          </cell>
          <cell r="T535" t="str">
            <v>NBN EN 14190:2014</v>
          </cell>
          <cell r="U535" t="str">
            <v>A</v>
          </cell>
          <cell r="V535" t="str">
            <v>RT</v>
          </cell>
          <cell r="W535" t="str">
            <v>geperforeerde gipskartonplaat met gesneden boorden</v>
          </cell>
          <cell r="Y535" t="str">
            <v>gipsplaat voor droge binnenafbouw</v>
          </cell>
          <cell r="AA535" t="str">
            <v>A2-s1, d0 (C.1)</v>
          </cell>
          <cell r="AB535" t="str">
            <v>Rigiton_Air_LE_0613</v>
          </cell>
          <cell r="AC535" t="str">
            <v>GBC</v>
          </cell>
          <cell r="AE535">
            <v>12.5</v>
          </cell>
          <cell r="AH535" t="str">
            <v>+/-0.5</v>
          </cell>
          <cell r="AI535">
            <v>0</v>
          </cell>
          <cell r="AJ535">
            <v>0</v>
          </cell>
          <cell r="AL535" t="str">
            <v>Geen eisen gesteld</v>
          </cell>
          <cell r="AM535" t="str">
            <v>Pas de exigences</v>
          </cell>
          <cell r="AN535" t="str">
            <v>kg/m³</v>
          </cell>
          <cell r="AP535">
            <v>0.25</v>
          </cell>
          <cell r="AR535">
            <v>23.52</v>
          </cell>
          <cell r="AS535">
            <v>25.872</v>
          </cell>
          <cell r="AT535">
            <v>30.576000000000001</v>
          </cell>
          <cell r="AU535" t="str">
            <v>CD3</v>
          </cell>
          <cell r="AV535" t="str">
            <v>DP : Duitse Pallet</v>
          </cell>
          <cell r="AW535">
            <v>3</v>
          </cell>
          <cell r="AX535">
            <v>18.54</v>
          </cell>
          <cell r="AY535" t="str">
            <v>01.02.2015</v>
          </cell>
          <cell r="AZ535">
            <v>0</v>
          </cell>
          <cell r="BA535" t="str">
            <v>00.00.0000</v>
          </cell>
          <cell r="BB535" t="str">
            <v>M2</v>
          </cell>
          <cell r="BC535" t="str">
            <v>M2</v>
          </cell>
          <cell r="BD535" t="str">
            <v>S</v>
          </cell>
          <cell r="BE535">
            <v>4002806921806</v>
          </cell>
        </row>
        <row r="536">
          <cell r="A536" t="str">
            <v>G132287</v>
          </cell>
          <cell r="B536" t="str">
            <v>G124225</v>
          </cell>
          <cell r="C536" t="str">
            <v>C1CBC01C001C020</v>
          </cell>
          <cell r="D536" t="str">
            <v>Rigitone 8/15/20 Super M2</v>
          </cell>
          <cell r="E536" t="str">
            <v>C1CB</v>
          </cell>
          <cell r="F536" t="str">
            <v>Rigitone platen</v>
          </cell>
          <cell r="G536" t="str">
            <v>ZIB00028</v>
          </cell>
          <cell r="H536" t="str">
            <v>nieuw</v>
          </cell>
          <cell r="I536" t="str">
            <v>01.02.2016</v>
          </cell>
          <cell r="J536" t="str">
            <v>Yes</v>
          </cell>
          <cell r="K536" t="str">
            <v>Professional</v>
          </cell>
          <cell r="L536" t="str">
            <v>RIGITONE</v>
          </cell>
          <cell r="M536" t="str">
            <v>RIGITONE 8-15-20 SUPER</v>
          </cell>
          <cell r="N536" t="str">
            <v>RIGITON AA8-15-20S WT 12.5x1960x1200 /40</v>
          </cell>
          <cell r="O536" t="str">
            <v>RIGITON AA8-15-20S WT 12.5x1960x1200 /40</v>
          </cell>
          <cell r="P536" t="str">
            <v>ivoor</v>
          </cell>
          <cell r="Q536" t="str">
            <v>ivoire</v>
          </cell>
          <cell r="R536" t="str">
            <v>wit vlies</v>
          </cell>
          <cell r="S536" t="str">
            <v>voile blanc</v>
          </cell>
          <cell r="T536" t="str">
            <v>NBN EN 14190:2014</v>
          </cell>
          <cell r="U536" t="str">
            <v>A</v>
          </cell>
          <cell r="V536" t="str">
            <v>RT</v>
          </cell>
          <cell r="W536" t="str">
            <v>geperforeerde gipskartonplaat met gesneden boorden</v>
          </cell>
          <cell r="Y536" t="str">
            <v>gipsplaat voor droge binnenafbouw</v>
          </cell>
          <cell r="AA536" t="str">
            <v>A2-s1, d0 (C.1)</v>
          </cell>
          <cell r="AB536" t="str">
            <v>Rigiton_Air_LE_0613</v>
          </cell>
          <cell r="AC536" t="str">
            <v>GBC</v>
          </cell>
          <cell r="AE536">
            <v>12.5</v>
          </cell>
          <cell r="AH536" t="str">
            <v>+/-0.5</v>
          </cell>
          <cell r="AI536">
            <v>0</v>
          </cell>
          <cell r="AJ536">
            <v>0</v>
          </cell>
          <cell r="AL536" t="str">
            <v>Geen eisen gesteld</v>
          </cell>
          <cell r="AM536" t="str">
            <v>Pas de exigences</v>
          </cell>
          <cell r="AN536" t="str">
            <v>kg/m³</v>
          </cell>
          <cell r="AP536">
            <v>0.25</v>
          </cell>
          <cell r="AR536">
            <v>23.52</v>
          </cell>
          <cell r="AS536">
            <v>25.872</v>
          </cell>
          <cell r="AT536">
            <v>30.576000000000001</v>
          </cell>
          <cell r="AU536" t="str">
            <v>CD3</v>
          </cell>
          <cell r="AV536" t="str">
            <v>DP : Duitse Pallet</v>
          </cell>
          <cell r="AW536">
            <v>3</v>
          </cell>
          <cell r="AX536">
            <v>18.54</v>
          </cell>
          <cell r="AY536" t="str">
            <v>01.02.2015</v>
          </cell>
          <cell r="AZ536">
            <v>0</v>
          </cell>
          <cell r="BA536" t="str">
            <v>00.00.0000</v>
          </cell>
          <cell r="BB536" t="str">
            <v>M2</v>
          </cell>
          <cell r="BC536" t="str">
            <v>M2</v>
          </cell>
          <cell r="BD536" t="str">
            <v>S</v>
          </cell>
          <cell r="BE536">
            <v>4002806921257</v>
          </cell>
        </row>
        <row r="537">
          <cell r="A537" t="str">
            <v>G132288</v>
          </cell>
          <cell r="B537" t="str">
            <v>G124222</v>
          </cell>
          <cell r="C537" t="str">
            <v>C1CBC01C001C014</v>
          </cell>
          <cell r="D537" t="str">
            <v>Rigitone 12/20/35 M2</v>
          </cell>
          <cell r="E537" t="str">
            <v>C1CB</v>
          </cell>
          <cell r="F537" t="str">
            <v>Rigitone platen</v>
          </cell>
          <cell r="G537" t="str">
            <v>ZIB00028</v>
          </cell>
          <cell r="H537" t="str">
            <v>nieuw</v>
          </cell>
          <cell r="I537" t="str">
            <v>01.02.2016</v>
          </cell>
          <cell r="J537" t="str">
            <v>Yes</v>
          </cell>
          <cell r="K537" t="str">
            <v>Professional</v>
          </cell>
          <cell r="L537" t="str">
            <v>RIGITONE</v>
          </cell>
          <cell r="M537" t="str">
            <v>RIGITONE 12-20-35</v>
          </cell>
          <cell r="N537" t="str">
            <v>RIGITONE AA12-20-35BT 12.5x2000x1200 /40</v>
          </cell>
          <cell r="O537" t="str">
            <v>RIGITONE AA12-20-35BT 12.5x2000x1200 /40</v>
          </cell>
          <cell r="P537" t="str">
            <v>ivoor</v>
          </cell>
          <cell r="Q537" t="str">
            <v>ivoire</v>
          </cell>
          <cell r="R537" t="str">
            <v>zwart vlies</v>
          </cell>
          <cell r="S537" t="str">
            <v>voile noir</v>
          </cell>
          <cell r="T537" t="str">
            <v>NBN EN 14190:2014</v>
          </cell>
          <cell r="U537" t="str">
            <v>A</v>
          </cell>
          <cell r="V537" t="str">
            <v>RT</v>
          </cell>
          <cell r="W537" t="str">
            <v>geperforeerde gipskartonplaat met gesneden boorden</v>
          </cell>
          <cell r="Y537" t="str">
            <v>gipsplaat voor droge binnenafbouw</v>
          </cell>
          <cell r="AA537" t="str">
            <v>A2-s1, d0 (C.1)</v>
          </cell>
          <cell r="AB537" t="str">
            <v>Rigiton_Air_LE_0613</v>
          </cell>
          <cell r="AC537" t="str">
            <v>GBC</v>
          </cell>
          <cell r="AE537">
            <v>12.5</v>
          </cell>
          <cell r="AH537" t="str">
            <v>+/-0.5</v>
          </cell>
          <cell r="AI537">
            <v>0</v>
          </cell>
          <cell r="AJ537">
            <v>0</v>
          </cell>
          <cell r="AL537" t="str">
            <v>Geen eisen gesteld</v>
          </cell>
          <cell r="AM537" t="str">
            <v>Pas de exigences</v>
          </cell>
          <cell r="AN537" t="str">
            <v>kg/m³</v>
          </cell>
          <cell r="AP537">
            <v>0.25</v>
          </cell>
          <cell r="AR537">
            <v>24</v>
          </cell>
          <cell r="AS537">
            <v>26.4</v>
          </cell>
          <cell r="AT537">
            <v>31.2</v>
          </cell>
          <cell r="AU537" t="str">
            <v>CD3</v>
          </cell>
          <cell r="AV537" t="str">
            <v>DP : Duitse Pallet</v>
          </cell>
          <cell r="AW537">
            <v>3</v>
          </cell>
          <cell r="AX537">
            <v>18.54</v>
          </cell>
          <cell r="AY537" t="str">
            <v>01.02.2015</v>
          </cell>
          <cell r="AZ537">
            <v>0</v>
          </cell>
          <cell r="BA537" t="str">
            <v>00.00.0000</v>
          </cell>
          <cell r="BB537" t="str">
            <v>M2</v>
          </cell>
          <cell r="BC537" t="str">
            <v>M2</v>
          </cell>
          <cell r="BD537">
            <v>3</v>
          </cell>
          <cell r="BE537">
            <v>4002806921264</v>
          </cell>
        </row>
        <row r="538">
          <cell r="A538" t="str">
            <v>G132289</v>
          </cell>
          <cell r="B538" t="str">
            <v>G124223</v>
          </cell>
          <cell r="C538" t="str">
            <v>C1CBC01C001C014</v>
          </cell>
          <cell r="D538" t="str">
            <v>Rigitone 12/20/35 M2</v>
          </cell>
          <cell r="E538" t="str">
            <v>C1CB</v>
          </cell>
          <cell r="F538" t="str">
            <v>Rigitone platen</v>
          </cell>
          <cell r="G538" t="str">
            <v>ZIB00028</v>
          </cell>
          <cell r="H538" t="str">
            <v>nieuw</v>
          </cell>
          <cell r="I538" t="str">
            <v>01.02.2016</v>
          </cell>
          <cell r="J538" t="str">
            <v>Yes</v>
          </cell>
          <cell r="K538" t="str">
            <v>Professional</v>
          </cell>
          <cell r="L538" t="str">
            <v>RIGITONE</v>
          </cell>
          <cell r="M538" t="str">
            <v>RIGITONE 12-20-35</v>
          </cell>
          <cell r="N538" t="str">
            <v>RIGITONE AA12-20-35WT 12.5x2000x1200 /40</v>
          </cell>
          <cell r="O538" t="str">
            <v>RIGITONE AA12-20-35WT 12.5x2000x1200 /40</v>
          </cell>
          <cell r="P538" t="str">
            <v>ivoor</v>
          </cell>
          <cell r="Q538" t="str">
            <v>ivoire</v>
          </cell>
          <cell r="R538" t="str">
            <v>wit vlies</v>
          </cell>
          <cell r="S538" t="str">
            <v>voile blanc</v>
          </cell>
          <cell r="T538" t="str">
            <v>NBN EN 14190:2014</v>
          </cell>
          <cell r="U538" t="str">
            <v>A</v>
          </cell>
          <cell r="V538" t="str">
            <v>RT</v>
          </cell>
          <cell r="W538" t="str">
            <v>geperforeerde gipskartonplaat met gesneden boorden</v>
          </cell>
          <cell r="Y538" t="str">
            <v>gipsplaat voor droge binnenafbouw</v>
          </cell>
          <cell r="AA538" t="str">
            <v>A2-s1, d0 (C.1)</v>
          </cell>
          <cell r="AB538" t="str">
            <v>Rigiton_Air_LE_0613</v>
          </cell>
          <cell r="AC538" t="str">
            <v>GBC</v>
          </cell>
          <cell r="AE538">
            <v>12.5</v>
          </cell>
          <cell r="AH538" t="str">
            <v>+/-0.5</v>
          </cell>
          <cell r="AI538">
            <v>0</v>
          </cell>
          <cell r="AJ538">
            <v>0</v>
          </cell>
          <cell r="AL538" t="str">
            <v>Geen eisen gesteld</v>
          </cell>
          <cell r="AM538" t="str">
            <v>Pas de exigences</v>
          </cell>
          <cell r="AN538" t="str">
            <v>kg/m³</v>
          </cell>
          <cell r="AP538">
            <v>0.25</v>
          </cell>
          <cell r="AR538">
            <v>24</v>
          </cell>
          <cell r="AS538">
            <v>26.4</v>
          </cell>
          <cell r="AT538">
            <v>31.2</v>
          </cell>
          <cell r="AU538" t="str">
            <v>CD3</v>
          </cell>
          <cell r="AV538" t="str">
            <v>DP : Duitse Pallet</v>
          </cell>
          <cell r="AW538">
            <v>3</v>
          </cell>
          <cell r="AX538">
            <v>18.54</v>
          </cell>
          <cell r="AY538" t="str">
            <v>01.02.2015</v>
          </cell>
          <cell r="AZ538">
            <v>0</v>
          </cell>
          <cell r="BA538" t="str">
            <v>00.00.0000</v>
          </cell>
          <cell r="BB538" t="str">
            <v>M2</v>
          </cell>
          <cell r="BC538" t="str">
            <v>M2</v>
          </cell>
          <cell r="BD538">
            <v>3</v>
          </cell>
          <cell r="BE538">
            <v>4002806921271</v>
          </cell>
        </row>
        <row r="539">
          <cell r="A539" t="str">
            <v>G132290</v>
          </cell>
          <cell r="B539" t="str">
            <v>G121679</v>
          </cell>
          <cell r="C539" t="str">
            <v>C1CBC01C001C021</v>
          </cell>
          <cell r="D539" t="str">
            <v>Rigitone 8/18 M2</v>
          </cell>
          <cell r="E539" t="str">
            <v>C1CB</v>
          </cell>
          <cell r="F539" t="str">
            <v>Rigitone platen</v>
          </cell>
          <cell r="G539" t="str">
            <v>ZIB00029</v>
          </cell>
          <cell r="H539" t="str">
            <v>nieuw</v>
          </cell>
          <cell r="I539" t="str">
            <v>01.02.2016</v>
          </cell>
          <cell r="J539" t="str">
            <v>Yes</v>
          </cell>
          <cell r="K539" t="str">
            <v>Professional</v>
          </cell>
          <cell r="L539" t="str">
            <v>RIGITONE</v>
          </cell>
          <cell r="M539" t="str">
            <v>RIGITONE 8/18 Q</v>
          </cell>
          <cell r="N539" t="str">
            <v>RIGITONE AA8/18Q BT 12.5x1998x1188 DP/40</v>
          </cell>
          <cell r="O539" t="str">
            <v>RIGITONE AA8/18Q BT 12.5x1998x1188 DP/40</v>
          </cell>
          <cell r="P539" t="str">
            <v>ivoor</v>
          </cell>
          <cell r="Q539" t="str">
            <v>ivoire</v>
          </cell>
          <cell r="R539" t="str">
            <v>zwart vlies</v>
          </cell>
          <cell r="S539" t="str">
            <v>voile noir</v>
          </cell>
          <cell r="T539" t="str">
            <v>NBN EN 14190:2014</v>
          </cell>
          <cell r="U539" t="str">
            <v>A</v>
          </cell>
          <cell r="V539" t="str">
            <v>RT</v>
          </cell>
          <cell r="W539" t="str">
            <v>geperforeerde gipskartonplaat met gesneden boorden</v>
          </cell>
          <cell r="Y539" t="str">
            <v>gipsplaat voor droge binnenafbouw</v>
          </cell>
          <cell r="AA539" t="str">
            <v>A2-s1, d0 (C.1)</v>
          </cell>
          <cell r="AB539" t="str">
            <v>Rigiton_Air_LE_0613</v>
          </cell>
          <cell r="AC539" t="str">
            <v>GBC</v>
          </cell>
          <cell r="AE539">
            <v>12.5</v>
          </cell>
          <cell r="AH539" t="str">
            <v>+/-0.5</v>
          </cell>
          <cell r="AI539">
            <v>0</v>
          </cell>
          <cell r="AJ539">
            <v>0</v>
          </cell>
          <cell r="AL539" t="str">
            <v>Geen eisen gesteld</v>
          </cell>
          <cell r="AM539" t="str">
            <v>Pas de exigences</v>
          </cell>
          <cell r="AN539" t="str">
            <v>kg/m³</v>
          </cell>
          <cell r="AP539">
            <v>0.25</v>
          </cell>
          <cell r="AR539">
            <v>23.736000000000001</v>
          </cell>
          <cell r="AS539">
            <v>26.11</v>
          </cell>
          <cell r="AT539">
            <v>30.856999999999999</v>
          </cell>
          <cell r="AU539" t="str">
            <v>CD3</v>
          </cell>
          <cell r="AV539" t="str">
            <v>DP : Duitse Pallet</v>
          </cell>
          <cell r="AW539">
            <v>3</v>
          </cell>
          <cell r="AX539">
            <v>21.89</v>
          </cell>
          <cell r="AY539" t="str">
            <v>01.02.2015</v>
          </cell>
          <cell r="AZ539">
            <v>0</v>
          </cell>
          <cell r="BA539" t="str">
            <v>00.00.0000</v>
          </cell>
          <cell r="BB539" t="str">
            <v>M2</v>
          </cell>
          <cell r="BC539" t="str">
            <v>M2</v>
          </cell>
          <cell r="BD539" t="str">
            <v>S</v>
          </cell>
          <cell r="BE539">
            <v>4002806921295</v>
          </cell>
        </row>
        <row r="540">
          <cell r="A540" t="str">
            <v>G132291</v>
          </cell>
          <cell r="B540" t="str">
            <v>G124659</v>
          </cell>
          <cell r="C540" t="str">
            <v>C1CBC01C001C022</v>
          </cell>
          <cell r="D540" t="str">
            <v>Rigitone 8/18 Q M2</v>
          </cell>
          <cell r="E540" t="str">
            <v>C1CB</v>
          </cell>
          <cell r="F540" t="str">
            <v>Rigitone platen</v>
          </cell>
          <cell r="G540" t="str">
            <v>ZIB00029</v>
          </cell>
          <cell r="H540" t="str">
            <v>nieuw</v>
          </cell>
          <cell r="I540" t="str">
            <v>01.02.2016</v>
          </cell>
          <cell r="J540" t="str">
            <v>Yes</v>
          </cell>
          <cell r="K540" t="str">
            <v>Professional</v>
          </cell>
          <cell r="L540" t="str">
            <v>RIGITONE</v>
          </cell>
          <cell r="M540" t="str">
            <v>RIGITONE 8/18 Q</v>
          </cell>
          <cell r="N540" t="str">
            <v>RIGITONE AA 8/18 Q WT 12.5x1998x1188 /40</v>
          </cell>
          <cell r="O540" t="str">
            <v>RIGITONE AA 8/18 Q WT 12.5x1998x1188 /40</v>
          </cell>
          <cell r="P540" t="str">
            <v>ivoor</v>
          </cell>
          <cell r="Q540" t="str">
            <v>ivoire</v>
          </cell>
          <cell r="R540" t="str">
            <v>wit vlies</v>
          </cell>
          <cell r="S540" t="str">
            <v>voile blanc</v>
          </cell>
          <cell r="T540" t="str">
            <v>NBN EN 14190:2014</v>
          </cell>
          <cell r="U540" t="str">
            <v>A</v>
          </cell>
          <cell r="V540" t="str">
            <v>RT</v>
          </cell>
          <cell r="W540" t="str">
            <v>geperforeerde gipskartonplaat met gesneden boorden</v>
          </cell>
          <cell r="Y540" t="str">
            <v>gipsplaat voor droge binnenafbouw</v>
          </cell>
          <cell r="AA540" t="str">
            <v>A2-s1, d0 (C.1)</v>
          </cell>
          <cell r="AB540" t="str">
            <v>Rigiton_Air_LE_0613</v>
          </cell>
          <cell r="AC540" t="str">
            <v>GBC</v>
          </cell>
          <cell r="AE540">
            <v>12.5</v>
          </cell>
          <cell r="AH540" t="str">
            <v>+/-0.5</v>
          </cell>
          <cell r="AI540">
            <v>0</v>
          </cell>
          <cell r="AJ540">
            <v>0</v>
          </cell>
          <cell r="AL540" t="str">
            <v>Geen eisen gesteld</v>
          </cell>
          <cell r="AM540" t="str">
            <v>Pas de exigences</v>
          </cell>
          <cell r="AN540" t="str">
            <v>kg/m³</v>
          </cell>
          <cell r="AP540">
            <v>0.25</v>
          </cell>
          <cell r="AR540">
            <v>23.736000000000001</v>
          </cell>
          <cell r="AS540">
            <v>26.11</v>
          </cell>
          <cell r="AT540">
            <v>37.200000000000003</v>
          </cell>
          <cell r="AU540" t="str">
            <v>CD3</v>
          </cell>
          <cell r="AV540" t="str">
            <v>DP : Duitse Pallet</v>
          </cell>
          <cell r="AW540">
            <v>3</v>
          </cell>
          <cell r="AX540">
            <v>21.89</v>
          </cell>
          <cell r="AY540" t="str">
            <v>01.02.2015</v>
          </cell>
          <cell r="AZ540">
            <v>0</v>
          </cell>
          <cell r="BA540" t="str">
            <v>00.00.0000</v>
          </cell>
          <cell r="BB540" t="str">
            <v>M2</v>
          </cell>
          <cell r="BC540" t="str">
            <v>M2</v>
          </cell>
          <cell r="BD540" t="str">
            <v>S</v>
          </cell>
          <cell r="BE540">
            <v>4002806921318</v>
          </cell>
        </row>
        <row r="541">
          <cell r="A541" t="str">
            <v>G132292</v>
          </cell>
          <cell r="B541" t="str">
            <v>H65122000</v>
          </cell>
          <cell r="C541" t="str">
            <v>C1CBC01C001C017</v>
          </cell>
          <cell r="D541" t="str">
            <v>Rigitone 12/25 Q M2</v>
          </cell>
          <cell r="E541" t="str">
            <v>C1CB</v>
          </cell>
          <cell r="F541" t="str">
            <v>Rigitone platen</v>
          </cell>
          <cell r="G541" t="str">
            <v>ZIB00030</v>
          </cell>
          <cell r="H541" t="str">
            <v>nieuw</v>
          </cell>
          <cell r="I541" t="str">
            <v>01.02.2016</v>
          </cell>
          <cell r="J541" t="str">
            <v>Yes</v>
          </cell>
          <cell r="K541" t="str">
            <v>Professional</v>
          </cell>
          <cell r="L541" t="str">
            <v>RIGITONE</v>
          </cell>
          <cell r="M541" t="str">
            <v>RIGITONE 12/25 Q</v>
          </cell>
          <cell r="N541" t="str">
            <v>RIGITONE AA 12/25Q BT 12.5x2000x1200 /40</v>
          </cell>
          <cell r="O541" t="str">
            <v>Rigitone™ AA 12/25 Q BT 120/200</v>
          </cell>
          <cell r="P541" t="str">
            <v>ivoor</v>
          </cell>
          <cell r="Q541" t="str">
            <v>ivoire</v>
          </cell>
          <cell r="R541" t="str">
            <v>zwart vlies</v>
          </cell>
          <cell r="S541" t="str">
            <v>voile noir</v>
          </cell>
          <cell r="T541" t="str">
            <v>NBN EN 14190:2014</v>
          </cell>
          <cell r="U541" t="str">
            <v>A</v>
          </cell>
          <cell r="V541" t="str">
            <v>RT</v>
          </cell>
          <cell r="W541" t="str">
            <v>geperforeerde gipskartonplaat met gesneden boorden</v>
          </cell>
          <cell r="Y541" t="str">
            <v>gipsplaat voor droge binnenafbouw</v>
          </cell>
          <cell r="AA541" t="str">
            <v>A2-s1, d0 (C.1)</v>
          </cell>
          <cell r="AB541" t="str">
            <v>Rigiton_Air_LE_0613</v>
          </cell>
          <cell r="AC541" t="str">
            <v>GBC</v>
          </cell>
          <cell r="AE541">
            <v>12.5</v>
          </cell>
          <cell r="AH541" t="str">
            <v>+/-0.5</v>
          </cell>
          <cell r="AI541">
            <v>0</v>
          </cell>
          <cell r="AJ541">
            <v>0</v>
          </cell>
          <cell r="AL541" t="str">
            <v>Geen eisen gesteld</v>
          </cell>
          <cell r="AM541" t="str">
            <v>Pas de exigences</v>
          </cell>
          <cell r="AN541" t="str">
            <v>kg/m³</v>
          </cell>
          <cell r="AP541">
            <v>0.25</v>
          </cell>
          <cell r="AR541">
            <v>24</v>
          </cell>
          <cell r="AS541">
            <v>24.875</v>
          </cell>
          <cell r="AT541">
            <v>31.2</v>
          </cell>
          <cell r="AU541" t="str">
            <v>CD3</v>
          </cell>
          <cell r="AV541" t="str">
            <v>DP : Duitse Pallet</v>
          </cell>
          <cell r="AW541">
            <v>3</v>
          </cell>
          <cell r="AX541">
            <v>24.6</v>
          </cell>
          <cell r="AY541" t="str">
            <v>01.02.2015</v>
          </cell>
          <cell r="AZ541">
            <v>0</v>
          </cell>
          <cell r="BA541" t="str">
            <v>00.00.0000</v>
          </cell>
          <cell r="BB541" t="str">
            <v>M2</v>
          </cell>
          <cell r="BC541" t="str">
            <v>M2</v>
          </cell>
          <cell r="BD541" t="str">
            <v>S</v>
          </cell>
          <cell r="BE541">
            <v>4002806921332</v>
          </cell>
        </row>
        <row r="542">
          <cell r="A542" t="str">
            <v>G132293</v>
          </cell>
          <cell r="B542" t="str">
            <v>G123402</v>
          </cell>
          <cell r="C542" t="str">
            <v>C1CBC01C001C017</v>
          </cell>
          <cell r="D542" t="str">
            <v>Rigitone 12/25 Q M2</v>
          </cell>
          <cell r="E542" t="str">
            <v>C1CB</v>
          </cell>
          <cell r="F542" t="str">
            <v>Rigitone platen</v>
          </cell>
          <cell r="G542" t="str">
            <v>ZIB00030</v>
          </cell>
          <cell r="H542" t="str">
            <v>nieuw</v>
          </cell>
          <cell r="I542" t="str">
            <v>01.02.2016</v>
          </cell>
          <cell r="J542" t="str">
            <v>Yes</v>
          </cell>
          <cell r="K542" t="str">
            <v>Professional</v>
          </cell>
          <cell r="L542" t="str">
            <v>RIGITONE</v>
          </cell>
          <cell r="M542" t="str">
            <v>RIGITONE 12/25 Q</v>
          </cell>
          <cell r="N542" t="str">
            <v>RIGITONE AA 12/25Q WT 12.5x2000x1200 /40</v>
          </cell>
          <cell r="O542" t="str">
            <v>RIGITONE AA 12/25Q WT 12.5x2000x1200 /40</v>
          </cell>
          <cell r="P542" t="str">
            <v>ivoor</v>
          </cell>
          <cell r="Q542" t="str">
            <v>ivoire</v>
          </cell>
          <cell r="R542" t="str">
            <v>wit vlies</v>
          </cell>
          <cell r="S542" t="str">
            <v>voile blanc</v>
          </cell>
          <cell r="T542" t="str">
            <v>NBN EN 14190:2014</v>
          </cell>
          <cell r="U542" t="str">
            <v>A</v>
          </cell>
          <cell r="V542" t="str">
            <v>RT</v>
          </cell>
          <cell r="W542" t="str">
            <v>geperforeerde gipskartonplaat met gesneden boorden</v>
          </cell>
          <cell r="Y542" t="str">
            <v>gipsplaat voor droge binnenafbouw</v>
          </cell>
          <cell r="AA542" t="str">
            <v>A2-s1, d0 (C.1)</v>
          </cell>
          <cell r="AB542" t="str">
            <v>Rigiton_Air_LE_0613</v>
          </cell>
          <cell r="AC542" t="str">
            <v>GBC</v>
          </cell>
          <cell r="AE542">
            <v>12.5</v>
          </cell>
          <cell r="AH542" t="str">
            <v>+/-0.5</v>
          </cell>
          <cell r="AI542">
            <v>0</v>
          </cell>
          <cell r="AJ542">
            <v>0</v>
          </cell>
          <cell r="AL542" t="str">
            <v>Geen eisen gesteld</v>
          </cell>
          <cell r="AM542" t="str">
            <v>Pas de exigences</v>
          </cell>
          <cell r="AN542" t="str">
            <v>kg/m³</v>
          </cell>
          <cell r="AP542">
            <v>0.25</v>
          </cell>
          <cell r="AR542">
            <v>22.8</v>
          </cell>
          <cell r="AS542">
            <v>24</v>
          </cell>
          <cell r="AT542">
            <v>31.2</v>
          </cell>
          <cell r="AU542" t="str">
            <v>CD3</v>
          </cell>
          <cell r="AV542" t="str">
            <v>DP : Duitse Pallet</v>
          </cell>
          <cell r="AW542">
            <v>3</v>
          </cell>
          <cell r="AX542">
            <v>24.6</v>
          </cell>
          <cell r="AY542" t="str">
            <v>01.02.2015</v>
          </cell>
          <cell r="AZ542">
            <v>0</v>
          </cell>
          <cell r="BA542" t="str">
            <v>00.00.0000</v>
          </cell>
          <cell r="BB542" t="str">
            <v>M2</v>
          </cell>
          <cell r="BC542" t="str">
            <v>M2</v>
          </cell>
          <cell r="BD542" t="str">
            <v>S</v>
          </cell>
          <cell r="BE542">
            <v>4002806921356</v>
          </cell>
        </row>
        <row r="543">
          <cell r="A543" t="str">
            <v>G132294</v>
          </cell>
          <cell r="C543" t="str">
            <v>C1CAC01C003C005</v>
          </cell>
          <cell r="D543" t="str">
            <v>Line Instant pakket *</v>
          </cell>
          <cell r="E543" t="str">
            <v>C1CA</v>
          </cell>
          <cell r="F543" t="str">
            <v>Gyptone plafonds</v>
          </cell>
          <cell r="G543" t="str">
            <v>ZIB00236</v>
          </cell>
          <cell r="H543" t="str">
            <v>nieuw</v>
          </cell>
          <cell r="I543" t="str">
            <v>01.02.2016</v>
          </cell>
          <cell r="J543" t="str">
            <v>Yes</v>
          </cell>
          <cell r="K543" t="str">
            <v>Prof + DIY</v>
          </cell>
          <cell r="L543" t="str">
            <v>GYPTONE</v>
          </cell>
          <cell r="M543" t="str">
            <v>GYPTONE INSTANT</v>
          </cell>
          <cell r="N543" t="str">
            <v>Gyptone AA INSTANT Line 4 wit pakket</v>
          </cell>
          <cell r="O543" t="str">
            <v>Kit Gyptone® A'A Instant Line 4</v>
          </cell>
          <cell r="P543" t="str">
            <v>ivoor</v>
          </cell>
          <cell r="Q543" t="str">
            <v>ivoire</v>
          </cell>
          <cell r="R543" t="str">
            <v>geel MW</v>
          </cell>
          <cell r="S543" t="str">
            <v>MW jaune</v>
          </cell>
          <cell r="T543" t="str">
            <v>--</v>
          </cell>
          <cell r="AA543" t="str">
            <v>(blanco)</v>
          </cell>
          <cell r="AC543" t="str">
            <v>B</v>
          </cell>
          <cell r="AE543">
            <v>12.5</v>
          </cell>
          <cell r="AH543" t="str">
            <v>+/-0.5</v>
          </cell>
          <cell r="AI543" t="str">
            <v>(blanco)</v>
          </cell>
          <cell r="AJ543" t="str">
            <v>(blanco)</v>
          </cell>
          <cell r="AL543" t="str">
            <v>Geen eisen gesteld</v>
          </cell>
          <cell r="AM543" t="str">
            <v>Pas de exigences</v>
          </cell>
          <cell r="AN543" t="str">
            <v>kg/m³</v>
          </cell>
          <cell r="AR543">
            <v>6</v>
          </cell>
          <cell r="AS543">
            <v>16</v>
          </cell>
          <cell r="AT543">
            <v>18.72</v>
          </cell>
          <cell r="AU543" t="str">
            <v>CD3</v>
          </cell>
          <cell r="AX543">
            <v>207.04</v>
          </cell>
          <cell r="AY543" t="str">
            <v>01.02.2015</v>
          </cell>
          <cell r="AZ543">
            <v>0</v>
          </cell>
          <cell r="BA543" t="str">
            <v>00.00.0000</v>
          </cell>
          <cell r="BB543" t="str">
            <v>ST</v>
          </cell>
          <cell r="BC543" t="str">
            <v>******</v>
          </cell>
          <cell r="BD543">
            <v>1</v>
          </cell>
          <cell r="BE543">
            <v>5413218577458</v>
          </cell>
        </row>
        <row r="544">
          <cell r="A544" t="str">
            <v>G132295</v>
          </cell>
          <cell r="C544" t="str">
            <v>C1CAC01C005C009</v>
          </cell>
          <cell r="D544" t="str">
            <v>Point Instant pakket *</v>
          </cell>
          <cell r="E544" t="str">
            <v>C1CA</v>
          </cell>
          <cell r="F544" t="str">
            <v>Gyptone plafonds</v>
          </cell>
          <cell r="G544" t="str">
            <v>ZIB00236</v>
          </cell>
          <cell r="H544" t="str">
            <v>nieuw</v>
          </cell>
          <cell r="I544" t="str">
            <v>01.02.2016</v>
          </cell>
          <cell r="J544" t="str">
            <v>Yes</v>
          </cell>
          <cell r="K544" t="str">
            <v>Prof + DIY</v>
          </cell>
          <cell r="L544" t="str">
            <v>GYPTONE</v>
          </cell>
          <cell r="M544" t="str">
            <v>GYPTONE INSTANT</v>
          </cell>
          <cell r="N544" t="str">
            <v>Gyptone AA INSTANT Point 11 wit pakket</v>
          </cell>
          <cell r="O544" t="str">
            <v>Kit Gyptone® A'A Instant Point 11</v>
          </cell>
          <cell r="P544" t="str">
            <v>ivoor</v>
          </cell>
          <cell r="Q544" t="str">
            <v>ivoire</v>
          </cell>
          <cell r="R544" t="str">
            <v>geel MW</v>
          </cell>
          <cell r="S544" t="str">
            <v>MW jaune</v>
          </cell>
          <cell r="T544" t="str">
            <v>--</v>
          </cell>
          <cell r="AA544" t="str">
            <v>(blanco)</v>
          </cell>
          <cell r="AC544" t="str">
            <v>B</v>
          </cell>
          <cell r="AE544">
            <v>12.5</v>
          </cell>
          <cell r="AH544" t="str">
            <v>+/-0.5</v>
          </cell>
          <cell r="AI544" t="str">
            <v>(blanco)</v>
          </cell>
          <cell r="AJ544" t="str">
            <v>(blanco)</v>
          </cell>
          <cell r="AL544" t="str">
            <v>Geen eisen gesteld</v>
          </cell>
          <cell r="AM544" t="str">
            <v>Pas de exigences</v>
          </cell>
          <cell r="AN544" t="str">
            <v>kg/m³</v>
          </cell>
          <cell r="AR544">
            <v>6</v>
          </cell>
          <cell r="AS544">
            <v>16</v>
          </cell>
          <cell r="AT544">
            <v>18.72</v>
          </cell>
          <cell r="AU544" t="str">
            <v>CD3</v>
          </cell>
          <cell r="AX544">
            <v>207.04</v>
          </cell>
          <cell r="AY544" t="str">
            <v>01.02.2015</v>
          </cell>
          <cell r="AZ544">
            <v>0</v>
          </cell>
          <cell r="BA544" t="str">
            <v>00.00.0000</v>
          </cell>
          <cell r="BB544" t="str">
            <v>ST</v>
          </cell>
          <cell r="BC544" t="str">
            <v>******</v>
          </cell>
          <cell r="BD544">
            <v>1</v>
          </cell>
          <cell r="BE544">
            <v>5413218577472</v>
          </cell>
        </row>
        <row r="545">
          <cell r="A545" t="str">
            <v>G132296</v>
          </cell>
          <cell r="C545" t="str">
            <v>C1CAC01C001C009</v>
          </cell>
          <cell r="D545" t="str">
            <v>Quattro Instant pakket *</v>
          </cell>
          <cell r="E545" t="str">
            <v>C1CA</v>
          </cell>
          <cell r="F545" t="str">
            <v>Gyptone plafonds</v>
          </cell>
          <cell r="G545" t="str">
            <v>ZIB00236</v>
          </cell>
          <cell r="H545" t="str">
            <v>nieuw</v>
          </cell>
          <cell r="I545" t="str">
            <v>01.02.2016</v>
          </cell>
          <cell r="J545" t="str">
            <v>Yes</v>
          </cell>
          <cell r="K545" t="str">
            <v>Prof + DIY</v>
          </cell>
          <cell r="L545" t="str">
            <v>GYPTONE</v>
          </cell>
          <cell r="M545" t="str">
            <v>GYPTONE INSTANT</v>
          </cell>
          <cell r="N545" t="str">
            <v>Gyptone AA INSTANT Quattro 20 wit pakket</v>
          </cell>
          <cell r="O545" t="str">
            <v>Kit Gyptone® A'A Instant Quattro 20</v>
          </cell>
          <cell r="P545" t="str">
            <v>ivoor</v>
          </cell>
          <cell r="Q545" t="str">
            <v>ivoire</v>
          </cell>
          <cell r="R545" t="str">
            <v>geel MW</v>
          </cell>
          <cell r="S545" t="str">
            <v>MW jaune</v>
          </cell>
          <cell r="T545" t="str">
            <v>--</v>
          </cell>
          <cell r="AA545" t="str">
            <v>(blanco)</v>
          </cell>
          <cell r="AC545" t="str">
            <v>B</v>
          </cell>
          <cell r="AE545">
            <v>12.5</v>
          </cell>
          <cell r="AH545" t="str">
            <v>+/-0.5</v>
          </cell>
          <cell r="AI545" t="str">
            <v>(blanco)</v>
          </cell>
          <cell r="AJ545" t="str">
            <v>(blanco)</v>
          </cell>
          <cell r="AL545" t="str">
            <v>Geen eisen gesteld</v>
          </cell>
          <cell r="AM545" t="str">
            <v>Pas de exigences</v>
          </cell>
          <cell r="AN545" t="str">
            <v>kg/m³</v>
          </cell>
          <cell r="AR545">
            <v>6</v>
          </cell>
          <cell r="AS545">
            <v>16</v>
          </cell>
          <cell r="AT545">
            <v>18.72</v>
          </cell>
          <cell r="AU545" t="str">
            <v>CD3</v>
          </cell>
          <cell r="AX545">
            <v>207.04</v>
          </cell>
          <cell r="AY545" t="str">
            <v>01.02.2015</v>
          </cell>
          <cell r="AZ545">
            <v>0</v>
          </cell>
          <cell r="BA545" t="str">
            <v>00.00.0000</v>
          </cell>
          <cell r="BB545" t="str">
            <v>ST</v>
          </cell>
          <cell r="BC545" t="str">
            <v>******</v>
          </cell>
          <cell r="BD545">
            <v>1</v>
          </cell>
          <cell r="BE545">
            <v>5413218577496</v>
          </cell>
        </row>
        <row r="546">
          <cell r="A546" t="str">
            <v>G132297</v>
          </cell>
          <cell r="C546" t="str">
            <v>C1CAC01C009C006</v>
          </cell>
          <cell r="D546" t="str">
            <v>Sixto Instant pakket *</v>
          </cell>
          <cell r="E546" t="str">
            <v>C1CA</v>
          </cell>
          <cell r="F546" t="str">
            <v>Gyptone plafonds</v>
          </cell>
          <cell r="G546" t="str">
            <v>ZIB00236</v>
          </cell>
          <cell r="H546" t="str">
            <v>nieuw</v>
          </cell>
          <cell r="I546" t="str">
            <v>01.02.2016</v>
          </cell>
          <cell r="J546" t="str">
            <v>Yes</v>
          </cell>
          <cell r="K546" t="str">
            <v>Prof + DIY</v>
          </cell>
          <cell r="L546" t="str">
            <v>GYPTONE</v>
          </cell>
          <cell r="M546" t="str">
            <v>GYPTONE INSTANT</v>
          </cell>
          <cell r="N546" t="str">
            <v>Gyptone AA INSTANT Sixto 60 wit pakket</v>
          </cell>
          <cell r="O546" t="str">
            <v>Kit Gyptone® A'A Instant Sixto 60</v>
          </cell>
          <cell r="P546" t="str">
            <v>ivoor</v>
          </cell>
          <cell r="Q546" t="str">
            <v>ivoire</v>
          </cell>
          <cell r="R546" t="str">
            <v>geel MW</v>
          </cell>
          <cell r="S546" t="str">
            <v>MW jaune</v>
          </cell>
          <cell r="T546" t="str">
            <v>--</v>
          </cell>
          <cell r="AA546" t="str">
            <v>(blanco)</v>
          </cell>
          <cell r="AC546" t="str">
            <v>B</v>
          </cell>
          <cell r="AE546">
            <v>12.5</v>
          </cell>
          <cell r="AH546" t="str">
            <v>+/-0.5</v>
          </cell>
          <cell r="AI546" t="str">
            <v>(blanco)</v>
          </cell>
          <cell r="AJ546" t="str">
            <v>(blanco)</v>
          </cell>
          <cell r="AL546" t="str">
            <v>Geen eisen gesteld</v>
          </cell>
          <cell r="AM546" t="str">
            <v>Pas de exigences</v>
          </cell>
          <cell r="AN546" t="str">
            <v>kg/m³</v>
          </cell>
          <cell r="AR546">
            <v>6</v>
          </cell>
          <cell r="AS546">
            <v>16</v>
          </cell>
          <cell r="AT546">
            <v>18.72</v>
          </cell>
          <cell r="AU546" t="str">
            <v>CD3</v>
          </cell>
          <cell r="AX546">
            <v>207.04</v>
          </cell>
          <cell r="AY546" t="str">
            <v>01.02.2015</v>
          </cell>
          <cell r="AZ546">
            <v>0</v>
          </cell>
          <cell r="BA546" t="str">
            <v>00.00.0000</v>
          </cell>
          <cell r="BB546" t="str">
            <v>ST</v>
          </cell>
          <cell r="BC546" t="str">
            <v>******</v>
          </cell>
          <cell r="BD546">
            <v>1</v>
          </cell>
          <cell r="BE546">
            <v>5413218577519</v>
          </cell>
        </row>
        <row r="547">
          <cell r="A547" t="str">
            <v>G132419</v>
          </cell>
          <cell r="B547" t="str">
            <v>PANE15B33180</v>
          </cell>
          <cell r="C547" t="str">
            <v>C1CAC03C003C003</v>
          </cell>
          <cell r="D547" t="str">
            <v>Dalles Gyptone Panel Coul BaseE M2</v>
          </cell>
          <cell r="E547" t="str">
            <v>C1CA</v>
          </cell>
          <cell r="F547" t="str">
            <v>Gyptone plafonds</v>
          </cell>
          <cell r="G547" t="str">
            <v>G132419</v>
          </cell>
          <cell r="H547" t="str">
            <v>bestaand</v>
          </cell>
          <cell r="I547" t="str">
            <v>01.01.2013</v>
          </cell>
          <cell r="J547" t="str">
            <v>Yes</v>
          </cell>
          <cell r="K547" t="str">
            <v>Professional</v>
          </cell>
          <cell r="L547" t="str">
            <v>GYPTONE</v>
          </cell>
          <cell r="M547" t="str">
            <v>GYPTONE BASE 33</v>
          </cell>
          <cell r="N547" t="str">
            <v>GYPT BASE AA 33 E 12.5 1800X300 WP/12DS</v>
          </cell>
          <cell r="O547" t="str">
            <v>GYPT BASE AA 33 E 12.5 1800X300 WP/12DS</v>
          </cell>
          <cell r="P547" t="str">
            <v>ivoor</v>
          </cell>
          <cell r="Q547" t="str">
            <v>ivoire</v>
          </cell>
          <cell r="R547" t="str">
            <v>grijs</v>
          </cell>
          <cell r="S547" t="str">
            <v>gris</v>
          </cell>
          <cell r="T547" t="str">
            <v>NBN EN 14190:2014</v>
          </cell>
          <cell r="U547" t="str">
            <v>A</v>
          </cell>
          <cell r="V547" t="str">
            <v>GT</v>
          </cell>
          <cell r="Y547" t="str">
            <v>gipsplaat voor droge binnenafbouw</v>
          </cell>
          <cell r="AA547" t="str">
            <v>A2-s1, d0 (C.4)</v>
          </cell>
          <cell r="AB547" t="str">
            <v>DoP_GYP_14190-3-v-1</v>
          </cell>
          <cell r="AC547" t="str">
            <v>E15/A</v>
          </cell>
          <cell r="AE547">
            <v>12.5</v>
          </cell>
          <cell r="AH547" t="str">
            <v>+/-0.5</v>
          </cell>
          <cell r="AI547">
            <v>0</v>
          </cell>
          <cell r="AJ547">
            <v>0</v>
          </cell>
          <cell r="AL547" t="str">
            <v>Geen eisen gesteld</v>
          </cell>
          <cell r="AM547" t="str">
            <v>Pas de exigences</v>
          </cell>
          <cell r="AN547" t="str">
            <v>kg/m³</v>
          </cell>
          <cell r="AP547">
            <v>0.25</v>
          </cell>
          <cell r="AR547">
            <v>4.968</v>
          </cell>
          <cell r="AS547">
            <v>5.1760000000000002</v>
          </cell>
          <cell r="AT547">
            <v>8.9960000000000004</v>
          </cell>
          <cell r="AU547" t="str">
            <v>CD3</v>
          </cell>
          <cell r="AV547" t="str">
            <v>WP : Wegwerppallet</v>
          </cell>
          <cell r="AW547">
            <v>7</v>
          </cell>
          <cell r="AX547">
            <v>24.31</v>
          </cell>
          <cell r="AY547" t="str">
            <v>10.11.2015</v>
          </cell>
          <cell r="AZ547">
            <v>0</v>
          </cell>
          <cell r="BA547" t="str">
            <v>00.00.0000</v>
          </cell>
          <cell r="BB547" t="str">
            <v>M2</v>
          </cell>
          <cell r="BC547" t="str">
            <v>M2</v>
          </cell>
          <cell r="BD547">
            <v>2</v>
          </cell>
          <cell r="BE547">
            <v>0</v>
          </cell>
        </row>
        <row r="548">
          <cell r="A548" t="str">
            <v>G132420</v>
          </cell>
          <cell r="C548" t="str">
            <v>C1CAC03C003C003</v>
          </cell>
          <cell r="D548" t="str">
            <v>Dalles Gyptone Panel Coul BaseE M2</v>
          </cell>
          <cell r="E548" t="str">
            <v>C1CA</v>
          </cell>
          <cell r="F548" t="str">
            <v>Gyptone plafonds</v>
          </cell>
          <cell r="G548" t="str">
            <v>G132420</v>
          </cell>
          <cell r="H548" t="str">
            <v>bestaand</v>
          </cell>
          <cell r="I548" t="str">
            <v>01.01.2013</v>
          </cell>
          <cell r="J548" t="str">
            <v>Yes</v>
          </cell>
          <cell r="K548" t="str">
            <v>Professional</v>
          </cell>
          <cell r="L548" t="str">
            <v>GYPTONE</v>
          </cell>
          <cell r="M548" t="str">
            <v>GYPTONE BASE 33</v>
          </cell>
          <cell r="N548" t="str">
            <v>GYPT BASE AA 33 E 12.5 2100X300 WP/12DS</v>
          </cell>
          <cell r="O548" t="str">
            <v>GYPT BASE AA 33 E 12.5 2100X300 WP/12DS</v>
          </cell>
          <cell r="P548" t="str">
            <v>ivoor</v>
          </cell>
          <cell r="Q548" t="str">
            <v>ivoire</v>
          </cell>
          <cell r="R548" t="str">
            <v>grijs</v>
          </cell>
          <cell r="S548" t="str">
            <v>gris</v>
          </cell>
          <cell r="T548" t="str">
            <v>NBN EN 14190:2014</v>
          </cell>
          <cell r="U548" t="str">
            <v>A</v>
          </cell>
          <cell r="V548" t="str">
            <v>GT</v>
          </cell>
          <cell r="Y548" t="str">
            <v>gipsplaat voor droge binnenafbouw</v>
          </cell>
          <cell r="AA548" t="str">
            <v>A2-s1, d0 (C.4)</v>
          </cell>
          <cell r="AB548" t="str">
            <v>DoP_GYP_14190-3-v-1</v>
          </cell>
          <cell r="AC548" t="str">
            <v>E15/A</v>
          </cell>
          <cell r="AE548">
            <v>12.5</v>
          </cell>
          <cell r="AH548" t="str">
            <v>+/-0.5</v>
          </cell>
          <cell r="AI548">
            <v>0</v>
          </cell>
          <cell r="AJ548">
            <v>0</v>
          </cell>
          <cell r="AL548" t="str">
            <v>Geen eisen gesteld</v>
          </cell>
          <cell r="AM548" t="str">
            <v>Pas de exigences</v>
          </cell>
          <cell r="AN548" t="str">
            <v>kg/m³</v>
          </cell>
          <cell r="AP548">
            <v>0.25</v>
          </cell>
          <cell r="AR548">
            <v>5.7960000000000003</v>
          </cell>
          <cell r="AS548">
            <v>6.0860000000000003</v>
          </cell>
          <cell r="AT548">
            <v>10.494999999999999</v>
          </cell>
          <cell r="AU548" t="str">
            <v>CD3</v>
          </cell>
          <cell r="AV548" t="str">
            <v>WP : Wegwerppallet</v>
          </cell>
          <cell r="AW548">
            <v>7</v>
          </cell>
          <cell r="AX548">
            <v>24.31</v>
          </cell>
          <cell r="AY548" t="str">
            <v>17.12.2015</v>
          </cell>
          <cell r="AZ548">
            <v>0</v>
          </cell>
          <cell r="BA548" t="str">
            <v>00.00.0000</v>
          </cell>
          <cell r="BB548" t="str">
            <v>M2</v>
          </cell>
          <cell r="BC548" t="str">
            <v>M2</v>
          </cell>
          <cell r="BD548">
            <v>2</v>
          </cell>
          <cell r="BE548">
            <v>0</v>
          </cell>
        </row>
        <row r="549">
          <cell r="A549" t="str">
            <v>G132421</v>
          </cell>
          <cell r="C549" t="str">
            <v>C1CAC03C003C001</v>
          </cell>
          <cell r="D549" t="str">
            <v>Dalles Gyptone Panel Coul LineE M2</v>
          </cell>
          <cell r="E549" t="str">
            <v>C1CA</v>
          </cell>
          <cell r="F549" t="str">
            <v>Gyptone plafonds</v>
          </cell>
          <cell r="G549" t="str">
            <v>G132421</v>
          </cell>
          <cell r="H549" t="str">
            <v>bestaand</v>
          </cell>
          <cell r="I549" t="str">
            <v>01.01.2013</v>
          </cell>
          <cell r="J549" t="str">
            <v>Yes</v>
          </cell>
          <cell r="K549" t="str">
            <v>Professional</v>
          </cell>
          <cell r="L549" t="str">
            <v>GYPTONE</v>
          </cell>
          <cell r="M549" t="str">
            <v>GYPTONE LINE 8</v>
          </cell>
          <cell r="N549" t="str">
            <v>GYPT LINE AA 8 E 12.5 1800X300 WP/12DS</v>
          </cell>
          <cell r="O549" t="str">
            <v>GYPT LINE AA 8 E 12.5 1800X300 WP/12DS</v>
          </cell>
          <cell r="P549" t="str">
            <v>ivoor</v>
          </cell>
          <cell r="Q549" t="str">
            <v>ivoire</v>
          </cell>
          <cell r="R549" t="str">
            <v>wit vlies</v>
          </cell>
          <cell r="S549" t="str">
            <v>voile blanc</v>
          </cell>
          <cell r="T549" t="str">
            <v>NBN EN 14190:2014</v>
          </cell>
          <cell r="U549" t="str">
            <v>A</v>
          </cell>
          <cell r="V549" t="str">
            <v>GT</v>
          </cell>
          <cell r="W549" t="str">
            <v>geperforeerd paneel uit gipskartonplaat</v>
          </cell>
          <cell r="Y549" t="str">
            <v>gipsplaat voor droge binnenafbouw</v>
          </cell>
          <cell r="AA549" t="str">
            <v>A2-s1, d0 (C.4)</v>
          </cell>
          <cell r="AB549" t="str">
            <v>DoP_GYP_14190-3-v-1</v>
          </cell>
          <cell r="AC549" t="str">
            <v>E15/A</v>
          </cell>
          <cell r="AE549">
            <v>12.5</v>
          </cell>
          <cell r="AH549" t="str">
            <v>+/-0.5</v>
          </cell>
          <cell r="AI549">
            <v>0</v>
          </cell>
          <cell r="AJ549">
            <v>0</v>
          </cell>
          <cell r="AL549" t="str">
            <v>Geen eisen gesteld</v>
          </cell>
          <cell r="AM549" t="str">
            <v>Pas de exigences</v>
          </cell>
          <cell r="AN549" t="str">
            <v>kg/m³</v>
          </cell>
          <cell r="AP549">
            <v>0.25</v>
          </cell>
          <cell r="AR549">
            <v>4.1040000000000001</v>
          </cell>
          <cell r="AS549">
            <v>4.3120000000000003</v>
          </cell>
          <cell r="AT549">
            <v>8.9960000000000004</v>
          </cell>
          <cell r="AU549" t="str">
            <v>CD3</v>
          </cell>
          <cell r="AV549" t="str">
            <v>WP : Wegwerppallet</v>
          </cell>
          <cell r="AW549">
            <v>7</v>
          </cell>
          <cell r="AX549">
            <v>30.97</v>
          </cell>
          <cell r="AY549" t="str">
            <v>17.12.2015</v>
          </cell>
          <cell r="AZ549">
            <v>0</v>
          </cell>
          <cell r="BA549" t="str">
            <v>00.00.0000</v>
          </cell>
          <cell r="BB549" t="str">
            <v>M2</v>
          </cell>
          <cell r="BC549" t="str">
            <v>M2</v>
          </cell>
          <cell r="BD549">
            <v>2</v>
          </cell>
          <cell r="BE549">
            <v>0</v>
          </cell>
        </row>
        <row r="550">
          <cell r="A550" t="str">
            <v>G132422</v>
          </cell>
          <cell r="B550" t="str">
            <v>PANE15L8210</v>
          </cell>
          <cell r="C550" t="str">
            <v>C1CAC03C003C001</v>
          </cell>
          <cell r="D550" t="str">
            <v>Dalles Gyptone Panel Coul LineE M2</v>
          </cell>
          <cell r="E550" t="str">
            <v>C1CA</v>
          </cell>
          <cell r="F550" t="str">
            <v>Gyptone plafonds</v>
          </cell>
          <cell r="G550" t="str">
            <v>G132422</v>
          </cell>
          <cell r="H550" t="str">
            <v>bestaand</v>
          </cell>
          <cell r="I550" t="str">
            <v>01.01.2013</v>
          </cell>
          <cell r="J550" t="str">
            <v>Yes</v>
          </cell>
          <cell r="K550" t="str">
            <v>Professional</v>
          </cell>
          <cell r="L550" t="str">
            <v>GYPTONE</v>
          </cell>
          <cell r="M550" t="str">
            <v>GYPTONE LINE 8</v>
          </cell>
          <cell r="N550" t="str">
            <v>GYPT LINE AA 8 E 12.5 2100X300 WP/12DS</v>
          </cell>
          <cell r="O550" t="str">
            <v>GYPT LINE AA 8 E 12.5 2100X300 WP/12DS</v>
          </cell>
          <cell r="P550" t="str">
            <v>ivoor</v>
          </cell>
          <cell r="Q550" t="str">
            <v>ivoire</v>
          </cell>
          <cell r="R550" t="str">
            <v>wit vlies</v>
          </cell>
          <cell r="S550" t="str">
            <v>voile blanc</v>
          </cell>
          <cell r="T550" t="str">
            <v>NBN EN 14190:2014</v>
          </cell>
          <cell r="U550" t="str">
            <v>A</v>
          </cell>
          <cell r="V550" t="str">
            <v>GT</v>
          </cell>
          <cell r="W550" t="str">
            <v>geperforeerd paneel uit gipskartonplaat</v>
          </cell>
          <cell r="Y550" t="str">
            <v>gipsplaat voor droge binnenafbouw</v>
          </cell>
          <cell r="AA550" t="str">
            <v>A2-s1, d0 (C.4)</v>
          </cell>
          <cell r="AB550" t="str">
            <v>DoP_GYP_14190-3-v-1</v>
          </cell>
          <cell r="AC550" t="str">
            <v>E15/A</v>
          </cell>
          <cell r="AE550">
            <v>12.5</v>
          </cell>
          <cell r="AH550" t="str">
            <v>+/-0.5</v>
          </cell>
          <cell r="AI550">
            <v>0</v>
          </cell>
          <cell r="AJ550">
            <v>0</v>
          </cell>
          <cell r="AL550" t="str">
            <v>Geen eisen gesteld</v>
          </cell>
          <cell r="AM550" t="str">
            <v>Pas de exigences</v>
          </cell>
          <cell r="AN550" t="str">
            <v>kg/m³</v>
          </cell>
          <cell r="AP550">
            <v>0.25</v>
          </cell>
          <cell r="AR550">
            <v>4.7880000000000003</v>
          </cell>
          <cell r="AS550">
            <v>5.024</v>
          </cell>
          <cell r="AT550">
            <v>10.462</v>
          </cell>
          <cell r="AU550" t="str">
            <v>CD3</v>
          </cell>
          <cell r="AV550" t="str">
            <v>WP : Wegwerppallet</v>
          </cell>
          <cell r="AW550">
            <v>7</v>
          </cell>
          <cell r="AX550">
            <v>30.97</v>
          </cell>
          <cell r="AY550" t="str">
            <v>17.12.2015</v>
          </cell>
          <cell r="AZ550">
            <v>0</v>
          </cell>
          <cell r="BA550" t="str">
            <v>00.00.0000</v>
          </cell>
          <cell r="BB550" t="str">
            <v>M2</v>
          </cell>
          <cell r="BC550" t="str">
            <v>M2</v>
          </cell>
          <cell r="BD550">
            <v>2</v>
          </cell>
          <cell r="BE550">
            <v>0</v>
          </cell>
        </row>
        <row r="551">
          <cell r="A551" t="str">
            <v>G132423</v>
          </cell>
          <cell r="C551" t="str">
            <v>C1CAC03C005C002</v>
          </cell>
          <cell r="D551" t="str">
            <v>Gyptone tegels Panel couloir M2</v>
          </cell>
          <cell r="E551" t="str">
            <v>C1CA</v>
          </cell>
          <cell r="F551" t="str">
            <v>Gyptone plafonds</v>
          </cell>
          <cell r="G551" t="str">
            <v>G132423</v>
          </cell>
          <cell r="H551" t="str">
            <v>bestaand</v>
          </cell>
          <cell r="I551" t="str">
            <v>01.01.2013</v>
          </cell>
          <cell r="J551" t="str">
            <v>Yes</v>
          </cell>
          <cell r="K551" t="str">
            <v>Professional</v>
          </cell>
          <cell r="L551" t="str">
            <v>GYPTONE</v>
          </cell>
          <cell r="M551" t="str">
            <v>GYPTONE POINT 15</v>
          </cell>
          <cell r="N551" t="str">
            <v>GYPT POINT AA 15 E 12.5 1800X300 WP/12DS</v>
          </cell>
          <cell r="O551" t="str">
            <v>GYPT POINT AA 15 E 12.5 1800X300 WP/12DS</v>
          </cell>
          <cell r="P551" t="str">
            <v>ivoor</v>
          </cell>
          <cell r="Q551" t="str">
            <v>ivoire</v>
          </cell>
          <cell r="R551" t="str">
            <v>wit vlies</v>
          </cell>
          <cell r="S551" t="str">
            <v>voile blanc</v>
          </cell>
          <cell r="T551" t="str">
            <v>NBN EN 14190:2014</v>
          </cell>
          <cell r="U551" t="str">
            <v>A</v>
          </cell>
          <cell r="V551" t="str">
            <v>GT</v>
          </cell>
          <cell r="W551" t="str">
            <v>geperforeerd paneel uit gipskartonplaat</v>
          </cell>
          <cell r="Y551" t="str">
            <v>gipsplaat voor droge binnenafbouw</v>
          </cell>
          <cell r="AA551" t="str">
            <v>A2-s1, d0 (C.4)</v>
          </cell>
          <cell r="AB551" t="str">
            <v>DoP_GYP_14190-3-v-1</v>
          </cell>
          <cell r="AC551" t="str">
            <v>E15/A</v>
          </cell>
          <cell r="AE551">
            <v>12.5</v>
          </cell>
          <cell r="AH551" t="str">
            <v>+/-0.5</v>
          </cell>
          <cell r="AI551">
            <v>0</v>
          </cell>
          <cell r="AJ551">
            <v>0</v>
          </cell>
          <cell r="AL551" t="str">
            <v>Geen eisen gesteld</v>
          </cell>
          <cell r="AM551" t="str">
            <v>Pas de exigences</v>
          </cell>
          <cell r="AN551" t="str">
            <v>kg/m³</v>
          </cell>
          <cell r="AP551">
            <v>0.25</v>
          </cell>
          <cell r="AR551">
            <v>4.1040000000000001</v>
          </cell>
          <cell r="AS551">
            <v>4.5140000000000002</v>
          </cell>
          <cell r="AT551">
            <v>7.02</v>
          </cell>
          <cell r="AU551" t="str">
            <v>CD3</v>
          </cell>
          <cell r="AV551" t="str">
            <v>WP : Wegwerppallet</v>
          </cell>
          <cell r="AW551">
            <v>7</v>
          </cell>
          <cell r="AX551">
            <v>30.97</v>
          </cell>
          <cell r="AY551" t="str">
            <v>17.12.2015</v>
          </cell>
          <cell r="AZ551">
            <v>0</v>
          </cell>
          <cell r="BA551" t="str">
            <v>00.00.0000</v>
          </cell>
          <cell r="BB551" t="str">
            <v>M2</v>
          </cell>
          <cell r="BC551" t="str">
            <v>M2</v>
          </cell>
          <cell r="BD551">
            <v>2</v>
          </cell>
          <cell r="BE551">
            <v>0</v>
          </cell>
        </row>
        <row r="552">
          <cell r="A552" t="str">
            <v>G132424</v>
          </cell>
          <cell r="C552" t="str">
            <v>C1CAC03C005C002</v>
          </cell>
          <cell r="D552" t="str">
            <v>Gyptone tegels Panel couloir M2</v>
          </cell>
          <cell r="E552" t="str">
            <v>C1CA</v>
          </cell>
          <cell r="F552" t="str">
            <v>Gyptone plafonds</v>
          </cell>
          <cell r="G552" t="str">
            <v>G132424</v>
          </cell>
          <cell r="H552" t="str">
            <v>bestaand</v>
          </cell>
          <cell r="I552" t="str">
            <v>01.01.2013</v>
          </cell>
          <cell r="J552" t="str">
            <v>Yes</v>
          </cell>
          <cell r="K552" t="str">
            <v>Professional</v>
          </cell>
          <cell r="L552" t="str">
            <v>GYPTONE</v>
          </cell>
          <cell r="M552" t="str">
            <v>GYPTONE POINT 15</v>
          </cell>
          <cell r="N552" t="str">
            <v>GYPT POINT AA 15 E 12.5 2100X300 WP/12DS</v>
          </cell>
          <cell r="O552" t="str">
            <v>GYPT POINT AA 15 E 12.5 2100X300 WP/12DS</v>
          </cell>
          <cell r="P552" t="str">
            <v>ivoor</v>
          </cell>
          <cell r="Q552" t="str">
            <v>ivoire</v>
          </cell>
          <cell r="R552" t="str">
            <v>wit vlies</v>
          </cell>
          <cell r="S552" t="str">
            <v>voile blanc</v>
          </cell>
          <cell r="T552" t="str">
            <v>NBN EN 14190:2014</v>
          </cell>
          <cell r="U552" t="str">
            <v>A</v>
          </cell>
          <cell r="V552" t="str">
            <v>GT</v>
          </cell>
          <cell r="W552" t="str">
            <v>geperforeerd paneel uit gipskartonplaat</v>
          </cell>
          <cell r="Y552" t="str">
            <v>gipsplaat voor droge binnenafbouw</v>
          </cell>
          <cell r="AA552" t="str">
            <v>A2-s1, d0 (C.4)</v>
          </cell>
          <cell r="AB552" t="str">
            <v>DoP_GYP_14190-3-v-1</v>
          </cell>
          <cell r="AC552" t="str">
            <v>E15/A</v>
          </cell>
          <cell r="AE552">
            <v>12.5</v>
          </cell>
          <cell r="AH552" t="str">
            <v>+/-0.5</v>
          </cell>
          <cell r="AI552">
            <v>0</v>
          </cell>
          <cell r="AJ552">
            <v>0</v>
          </cell>
          <cell r="AL552" t="str">
            <v>Geen eisen gesteld</v>
          </cell>
          <cell r="AM552" t="str">
            <v>Pas de exigences</v>
          </cell>
          <cell r="AN552" t="str">
            <v>kg/m³</v>
          </cell>
          <cell r="AP552">
            <v>0.25</v>
          </cell>
          <cell r="AR552">
            <v>4.7880000000000003</v>
          </cell>
          <cell r="AS552">
            <v>5.2670000000000003</v>
          </cell>
          <cell r="AT552">
            <v>9.4499999999999993</v>
          </cell>
          <cell r="AU552" t="str">
            <v>CD3</v>
          </cell>
          <cell r="AV552" t="str">
            <v>WP : Wegwerppallet</v>
          </cell>
          <cell r="AW552">
            <v>7</v>
          </cell>
          <cell r="AX552">
            <v>30.97</v>
          </cell>
          <cell r="AY552" t="str">
            <v>17.12.2015</v>
          </cell>
          <cell r="AZ552">
            <v>0</v>
          </cell>
          <cell r="BA552" t="str">
            <v>00.00.0000</v>
          </cell>
          <cell r="BB552" t="str">
            <v>M2</v>
          </cell>
          <cell r="BC552" t="str">
            <v>M2</v>
          </cell>
          <cell r="BD552">
            <v>2</v>
          </cell>
          <cell r="BE552">
            <v>0</v>
          </cell>
        </row>
        <row r="553">
          <cell r="A553" t="str">
            <v>G132425</v>
          </cell>
          <cell r="C553" t="str">
            <v>C1CAC03C005C001</v>
          </cell>
          <cell r="D553" t="str">
            <v>Dalles Gyptone Panel Coul QuatE M2</v>
          </cell>
          <cell r="E553" t="str">
            <v>C1CA</v>
          </cell>
          <cell r="F553" t="str">
            <v>Gyptone plafonds</v>
          </cell>
          <cell r="G553" t="str">
            <v>G132425</v>
          </cell>
          <cell r="H553" t="str">
            <v>bestaand</v>
          </cell>
          <cell r="I553" t="str">
            <v>01.01.2013</v>
          </cell>
          <cell r="J553" t="str">
            <v>Yes</v>
          </cell>
          <cell r="K553" t="str">
            <v>Professional</v>
          </cell>
          <cell r="L553" t="str">
            <v>GYPTONE</v>
          </cell>
          <cell r="M553" t="str">
            <v>GYPTONE QUATTRO 55</v>
          </cell>
          <cell r="N553" t="str">
            <v>GYPT QUATRO AA 55 E 12.5 1800X300 WP/6DS</v>
          </cell>
          <cell r="O553" t="str">
            <v>GYPT QUATRO AA 55 E 12.5 1800X300 WP/6DS</v>
          </cell>
          <cell r="P553" t="str">
            <v>ivoor</v>
          </cell>
          <cell r="Q553" t="str">
            <v>ivoire</v>
          </cell>
          <cell r="R553" t="str">
            <v>wit vlies</v>
          </cell>
          <cell r="S553" t="str">
            <v>voile blanc</v>
          </cell>
          <cell r="T553" t="str">
            <v>NBN EN 14190:2014</v>
          </cell>
          <cell r="U553" t="str">
            <v>A</v>
          </cell>
          <cell r="V553" t="str">
            <v>GT</v>
          </cell>
          <cell r="W553" t="str">
            <v>geperforeerd paneel uit gipskartonplaat</v>
          </cell>
          <cell r="Y553" t="str">
            <v>gipsplaat voor droge binnenafbouw</v>
          </cell>
          <cell r="AA553" t="str">
            <v>A2-s1, d0 (C.4)</v>
          </cell>
          <cell r="AB553" t="str">
            <v>DoP_GYP_14190-3-v-1</v>
          </cell>
          <cell r="AC553" t="str">
            <v>E15/A</v>
          </cell>
          <cell r="AE553">
            <v>12.5</v>
          </cell>
          <cell r="AH553" t="str">
            <v>+/-0.5</v>
          </cell>
          <cell r="AI553">
            <v>0</v>
          </cell>
          <cell r="AJ553">
            <v>0</v>
          </cell>
          <cell r="AL553" t="str">
            <v>Geen eisen gesteld</v>
          </cell>
          <cell r="AM553" t="str">
            <v>Pas de exigences</v>
          </cell>
          <cell r="AN553" t="str">
            <v>kg/m³</v>
          </cell>
          <cell r="AP553">
            <v>0.25</v>
          </cell>
          <cell r="AR553">
            <v>4.12</v>
          </cell>
          <cell r="AS553">
            <v>4.3</v>
          </cell>
          <cell r="AT553">
            <v>6.75</v>
          </cell>
          <cell r="AU553" t="str">
            <v>CD3</v>
          </cell>
          <cell r="AV553" t="str">
            <v>WP : Wegwerppallet</v>
          </cell>
          <cell r="AW553">
            <v>7</v>
          </cell>
          <cell r="AX553">
            <v>30.97</v>
          </cell>
          <cell r="AY553" t="str">
            <v>17.12.2015</v>
          </cell>
          <cell r="AZ553">
            <v>0</v>
          </cell>
          <cell r="BA553" t="str">
            <v>00.00.0000</v>
          </cell>
          <cell r="BB553" t="str">
            <v>M2</v>
          </cell>
          <cell r="BC553" t="str">
            <v>M2</v>
          </cell>
          <cell r="BD553">
            <v>2</v>
          </cell>
          <cell r="BE553">
            <v>0</v>
          </cell>
        </row>
        <row r="554">
          <cell r="A554" t="str">
            <v>G132426</v>
          </cell>
          <cell r="C554" t="str">
            <v>C1CAC03C005C001</v>
          </cell>
          <cell r="D554" t="str">
            <v>Dalles Gyptone Panel Coul QuatE M2</v>
          </cell>
          <cell r="E554" t="str">
            <v>C1CA</v>
          </cell>
          <cell r="F554" t="str">
            <v>Gyptone plafonds</v>
          </cell>
          <cell r="G554" t="str">
            <v>G132426</v>
          </cell>
          <cell r="H554" t="str">
            <v>bestaand</v>
          </cell>
          <cell r="I554" t="str">
            <v>01.01.2013</v>
          </cell>
          <cell r="J554" t="str">
            <v>Yes</v>
          </cell>
          <cell r="K554" t="str">
            <v>Professional</v>
          </cell>
          <cell r="L554" t="str">
            <v>GYPTONE</v>
          </cell>
          <cell r="M554" t="str">
            <v>GYPTONE QUATTRO 55</v>
          </cell>
          <cell r="N554" t="str">
            <v>GYPT QUATRO AA 55 E 12.5 2100X300 WP/6DS</v>
          </cell>
          <cell r="O554" t="str">
            <v>GYPT QUATRO AA 55 E 12.5 2100X300 WP/6DS</v>
          </cell>
          <cell r="P554" t="str">
            <v>ivoor</v>
          </cell>
          <cell r="Q554" t="str">
            <v>ivoire</v>
          </cell>
          <cell r="R554" t="str">
            <v>wit vlies</v>
          </cell>
          <cell r="S554" t="str">
            <v>voile blanc</v>
          </cell>
          <cell r="T554" t="str">
            <v>NBN EN 14190:2014</v>
          </cell>
          <cell r="U554" t="str">
            <v>A</v>
          </cell>
          <cell r="V554" t="str">
            <v>GT</v>
          </cell>
          <cell r="W554" t="str">
            <v>geperforeerd paneel uit gipskartonplaat</v>
          </cell>
          <cell r="Y554" t="str">
            <v>gipsplaat voor droge binnenafbouw</v>
          </cell>
          <cell r="AA554" t="str">
            <v>A2-s1, d0 (C.4)</v>
          </cell>
          <cell r="AB554" t="str">
            <v>DoP_GYP_14190-3-v-1</v>
          </cell>
          <cell r="AC554" t="str">
            <v>E15/A</v>
          </cell>
          <cell r="AE554">
            <v>12.5</v>
          </cell>
          <cell r="AH554" t="str">
            <v>+/-0.5</v>
          </cell>
          <cell r="AI554">
            <v>0</v>
          </cell>
          <cell r="AJ554">
            <v>0</v>
          </cell>
          <cell r="AL554" t="str">
            <v>Geen eisen gesteld</v>
          </cell>
          <cell r="AM554" t="str">
            <v>Pas de exigences</v>
          </cell>
          <cell r="AN554" t="str">
            <v>kg/m³</v>
          </cell>
          <cell r="AP554">
            <v>0.25</v>
          </cell>
          <cell r="AR554">
            <v>4.8</v>
          </cell>
          <cell r="AS554">
            <v>5.0359999999999996</v>
          </cell>
          <cell r="AT554">
            <v>7.875</v>
          </cell>
          <cell r="AU554" t="str">
            <v>CD3</v>
          </cell>
          <cell r="AV554" t="str">
            <v>WP : Wegwerppallet</v>
          </cell>
          <cell r="AW554">
            <v>7</v>
          </cell>
          <cell r="AX554">
            <v>30.97</v>
          </cell>
          <cell r="AY554" t="str">
            <v>17.12.2015</v>
          </cell>
          <cell r="AZ554">
            <v>0</v>
          </cell>
          <cell r="BA554" t="str">
            <v>00.00.0000</v>
          </cell>
          <cell r="BB554" t="str">
            <v>M2</v>
          </cell>
          <cell r="BC554" t="str">
            <v>M2</v>
          </cell>
          <cell r="BD554">
            <v>2</v>
          </cell>
          <cell r="BE554">
            <v>0</v>
          </cell>
        </row>
        <row r="555">
          <cell r="A555" t="str">
            <v>G132430</v>
          </cell>
          <cell r="C555" t="str">
            <v>C5CBC18C005C005</v>
          </cell>
          <cell r="D555" t="str">
            <v>MSdB 100 M</v>
          </cell>
          <cell r="E555" t="str">
            <v>C5CB</v>
          </cell>
          <cell r="F555" t="str">
            <v>Profielen Platen en Wanden M</v>
          </cell>
          <cell r="G555" t="str">
            <v>ZIB00125</v>
          </cell>
          <cell r="H555" t="str">
            <v>bestaand</v>
          </cell>
          <cell r="I555" t="str">
            <v>01.02.2014</v>
          </cell>
          <cell r="J555" t="str">
            <v>Yes</v>
          </cell>
          <cell r="K555" t="str">
            <v>Professional</v>
          </cell>
          <cell r="L555" t="str">
            <v>METAL STUD</v>
          </cell>
          <cell r="M555" t="str">
            <v>MS DB 100</v>
          </cell>
          <cell r="N555" t="str">
            <v>M.S.dB.100 MM 3.80 M</v>
          </cell>
          <cell r="O555" t="str">
            <v>M.S.dB.100 MM 3.80 M</v>
          </cell>
          <cell r="P555" t="str">
            <v>(blanco)</v>
          </cell>
          <cell r="Q555" t="str">
            <v>(blanco)</v>
          </cell>
          <cell r="R555" t="str">
            <v>(blanco)</v>
          </cell>
          <cell r="S555" t="str">
            <v>(blanco)</v>
          </cell>
          <cell r="T555" t="str">
            <v>NBN EN 14195:2015</v>
          </cell>
          <cell r="U555" t="str">
            <v>C</v>
          </cell>
          <cell r="V555" t="str">
            <v>--</v>
          </cell>
          <cell r="AA555" t="str">
            <v>A1</v>
          </cell>
          <cell r="AC555" t="str">
            <v>(blanco)</v>
          </cell>
          <cell r="AD555" t="str">
            <v>(blanco)</v>
          </cell>
          <cell r="AL555" t="str">
            <v>(blanco)</v>
          </cell>
          <cell r="AM555" t="str">
            <v>(blanco)</v>
          </cell>
          <cell r="AN555" t="str">
            <v>(blanco)</v>
          </cell>
          <cell r="AP555">
            <v>50</v>
          </cell>
          <cell r="AR555">
            <v>6.5990000000000002</v>
          </cell>
          <cell r="AS555">
            <v>6.5590000000000002</v>
          </cell>
          <cell r="AT555">
            <v>0</v>
          </cell>
          <cell r="AX555">
            <v>4.95</v>
          </cell>
          <cell r="AY555" t="str">
            <v>01.02.2015</v>
          </cell>
          <cell r="AZ555">
            <v>0</v>
          </cell>
          <cell r="BA555" t="str">
            <v>00.00.0000</v>
          </cell>
          <cell r="BB555" t="str">
            <v>M</v>
          </cell>
          <cell r="BC555" t="str">
            <v>M</v>
          </cell>
          <cell r="BD555" t="str">
            <v>S</v>
          </cell>
          <cell r="BE555">
            <v>0</v>
          </cell>
        </row>
        <row r="556">
          <cell r="A556" t="str">
            <v>G132450</v>
          </cell>
          <cell r="C556" t="str">
            <v>D1DBD01D012D001</v>
          </cell>
          <cell r="D556" t="str">
            <v>ACC PLAGYP *</v>
          </cell>
          <cell r="E556" t="str">
            <v>D1DB</v>
          </cell>
          <cell r="F556" t="str">
            <v>Toebehoren Platen *</v>
          </cell>
          <cell r="G556" t="str">
            <v>G132450</v>
          </cell>
          <cell r="H556" t="str">
            <v>bestaand</v>
          </cell>
          <cell r="I556" t="str">
            <v>01.01.2013</v>
          </cell>
          <cell r="J556" t="str">
            <v>Yes</v>
          </cell>
          <cell r="K556" t="str">
            <v>Professional</v>
          </cell>
          <cell r="L556" t="str">
            <v>PLAGYP</v>
          </cell>
          <cell r="M556" t="str">
            <v>NL 1000</v>
          </cell>
          <cell r="N556" t="str">
            <v>Nonius bovendeel 990 - Nonius Hanger C5M</v>
          </cell>
          <cell r="O556" t="str">
            <v>Partie supérieure Nonius 990 - suspente</v>
          </cell>
          <cell r="P556" t="str">
            <v>(blanco)</v>
          </cell>
          <cell r="Q556" t="str">
            <v>(blanco)</v>
          </cell>
          <cell r="R556" t="str">
            <v>(blanco)</v>
          </cell>
          <cell r="S556" t="str">
            <v>(blanco)</v>
          </cell>
          <cell r="T556" t="str">
            <v>NBN EN 14195:2015</v>
          </cell>
          <cell r="U556" t="str">
            <v>--</v>
          </cell>
          <cell r="V556" t="str">
            <v>--</v>
          </cell>
          <cell r="AA556" t="str">
            <v>A1</v>
          </cell>
          <cell r="AC556" t="str">
            <v>(blanco)</v>
          </cell>
          <cell r="AD556" t="str">
            <v>(blanco)</v>
          </cell>
          <cell r="AE556">
            <v>1</v>
          </cell>
          <cell r="AL556" t="str">
            <v>(blanco)</v>
          </cell>
          <cell r="AM556" t="str">
            <v>(blanco)</v>
          </cell>
          <cell r="AN556" t="str">
            <v>(blanco)</v>
          </cell>
          <cell r="AP556">
            <v>50</v>
          </cell>
          <cell r="AR556">
            <v>19</v>
          </cell>
          <cell r="AS556">
            <v>19.2</v>
          </cell>
          <cell r="AT556">
            <v>0</v>
          </cell>
          <cell r="AX556">
            <v>0</v>
          </cell>
          <cell r="AY556" t="str">
            <v>00.00.0000</v>
          </cell>
          <cell r="AZ556">
            <v>0</v>
          </cell>
          <cell r="BA556" t="str">
            <v>00.00.0000</v>
          </cell>
          <cell r="BD556" t="str">
            <v>S</v>
          </cell>
          <cell r="BE556">
            <v>4002806907510</v>
          </cell>
        </row>
        <row r="557">
          <cell r="A557" t="str">
            <v>G132451</v>
          </cell>
          <cell r="C557" t="str">
            <v>D1DBD01D012D001</v>
          </cell>
          <cell r="D557" t="str">
            <v>ACC PLAGYP *</v>
          </cell>
          <cell r="E557" t="str">
            <v>D1DB</v>
          </cell>
          <cell r="F557" t="str">
            <v>Toebehoren Platen *</v>
          </cell>
          <cell r="G557" t="str">
            <v>G132451</v>
          </cell>
          <cell r="H557" t="str">
            <v>bestaand</v>
          </cell>
          <cell r="I557" t="str">
            <v>01.01.2013</v>
          </cell>
          <cell r="J557" t="str">
            <v>Yes</v>
          </cell>
          <cell r="K557" t="str">
            <v>Professional</v>
          </cell>
          <cell r="L557" t="str">
            <v>PLAGYP</v>
          </cell>
          <cell r="M557" t="str">
            <v>NL 1000</v>
          </cell>
          <cell r="N557" t="str">
            <v>Nonius bovendeel 490 - Nonius hanger C5M</v>
          </cell>
          <cell r="O557" t="str">
            <v>Nonius partie supérieure 490 - Suspente</v>
          </cell>
          <cell r="P557" t="str">
            <v>(blanco)</v>
          </cell>
          <cell r="Q557" t="str">
            <v>(blanco)</v>
          </cell>
          <cell r="R557" t="str">
            <v>(blanco)</v>
          </cell>
          <cell r="S557" t="str">
            <v>(blanco)</v>
          </cell>
          <cell r="T557" t="str">
            <v>NBN EN 14195:2015</v>
          </cell>
          <cell r="U557" t="str">
            <v>--</v>
          </cell>
          <cell r="V557" t="str">
            <v>--</v>
          </cell>
          <cell r="AA557" t="str">
            <v>A1</v>
          </cell>
          <cell r="AC557" t="str">
            <v>(blanco)</v>
          </cell>
          <cell r="AD557" t="str">
            <v>(blanco)</v>
          </cell>
          <cell r="AE557">
            <v>1</v>
          </cell>
          <cell r="AL557" t="str">
            <v>(blanco)</v>
          </cell>
          <cell r="AM557" t="str">
            <v>(blanco)</v>
          </cell>
          <cell r="AN557" t="str">
            <v>(blanco)</v>
          </cell>
          <cell r="AP557">
            <v>50</v>
          </cell>
          <cell r="AR557">
            <v>19</v>
          </cell>
          <cell r="AS557">
            <v>19.2</v>
          </cell>
          <cell r="AT557">
            <v>0</v>
          </cell>
          <cell r="AX557">
            <v>0</v>
          </cell>
          <cell r="AY557" t="str">
            <v>00.00.0000</v>
          </cell>
          <cell r="AZ557">
            <v>0</v>
          </cell>
          <cell r="BA557" t="str">
            <v>00.00.0000</v>
          </cell>
          <cell r="BD557" t="str">
            <v>S</v>
          </cell>
          <cell r="BE557">
            <v>4002806907503</v>
          </cell>
        </row>
        <row r="558">
          <cell r="A558" t="str">
            <v>G132452</v>
          </cell>
          <cell r="C558" t="str">
            <v>D1DCD01D005D032</v>
          </cell>
          <cell r="D558" t="str">
            <v>DIY - Schroeven KAR</v>
          </cell>
          <cell r="E558" t="str">
            <v>D1DC</v>
          </cell>
          <cell r="F558" t="str">
            <v>Toebehoren Bevestigingen *</v>
          </cell>
          <cell r="G558" t="str">
            <v>G132452</v>
          </cell>
          <cell r="H558" t="str">
            <v>bestaand</v>
          </cell>
          <cell r="I558" t="str">
            <v>01.01.2013</v>
          </cell>
          <cell r="J558" t="str">
            <v>Yes</v>
          </cell>
          <cell r="K558" t="str">
            <v>Professional</v>
          </cell>
          <cell r="L558" t="str">
            <v>Gyproc</v>
          </cell>
          <cell r="M558" t="str">
            <v>TEKSSCHROEVEN</v>
          </cell>
          <cell r="N558" t="str">
            <v>Teksschroef corrosiebestendig 3,5x10 mm</v>
          </cell>
          <cell r="O558" t="str">
            <v>Vis Teks resistantes - corrosion 3,5x10</v>
          </cell>
          <cell r="P558" t="str">
            <v>(blanco)</v>
          </cell>
          <cell r="Q558" t="str">
            <v>(blanco)</v>
          </cell>
          <cell r="R558" t="str">
            <v>(blanco)</v>
          </cell>
          <cell r="S558" t="str">
            <v>(blanco)</v>
          </cell>
          <cell r="T558" t="str">
            <v>NBN EN 14566+A1:2009</v>
          </cell>
          <cell r="U558" t="str">
            <v>WSD</v>
          </cell>
          <cell r="V558" t="str">
            <v>--</v>
          </cell>
          <cell r="AA558" t="str">
            <v>A1</v>
          </cell>
          <cell r="AC558" t="str">
            <v>(blanco)</v>
          </cell>
          <cell r="AD558" t="str">
            <v>(blanco)</v>
          </cell>
          <cell r="AE558" t="str">
            <v>4,2</v>
          </cell>
          <cell r="AL558" t="str">
            <v>(blanco)</v>
          </cell>
          <cell r="AM558" t="str">
            <v>(blanco)</v>
          </cell>
          <cell r="AN558" t="str">
            <v>(blanco)</v>
          </cell>
          <cell r="AP558">
            <v>50</v>
          </cell>
          <cell r="AR558">
            <v>1</v>
          </cell>
          <cell r="AS558">
            <v>1.05</v>
          </cell>
          <cell r="AT558">
            <v>0</v>
          </cell>
          <cell r="AX558">
            <v>0</v>
          </cell>
          <cell r="AY558" t="str">
            <v>00.00.0000</v>
          </cell>
          <cell r="AZ558">
            <v>0</v>
          </cell>
          <cell r="BA558" t="str">
            <v>00.00.0000</v>
          </cell>
          <cell r="BD558" t="str">
            <v>S</v>
          </cell>
          <cell r="BE558">
            <v>4002806907855</v>
          </cell>
        </row>
        <row r="559">
          <cell r="A559" t="str">
            <v>G132453</v>
          </cell>
          <cell r="C559" t="str">
            <v>D1DBD01D012D001</v>
          </cell>
          <cell r="D559" t="str">
            <v>ACC PLAGYP *</v>
          </cell>
          <cell r="E559" t="str">
            <v>D1DB</v>
          </cell>
          <cell r="F559" t="str">
            <v>Toebehoren Platen *</v>
          </cell>
          <cell r="G559" t="str">
            <v>G132453</v>
          </cell>
          <cell r="H559" t="str">
            <v>bestaand</v>
          </cell>
          <cell r="I559" t="str">
            <v>01.01.2013</v>
          </cell>
          <cell r="J559" t="str">
            <v>Yes</v>
          </cell>
          <cell r="K559" t="str">
            <v>Professional</v>
          </cell>
          <cell r="L559" t="str">
            <v>PLAGYP</v>
          </cell>
          <cell r="M559" t="str">
            <v>NL 1000</v>
          </cell>
          <cell r="N559" t="str">
            <v>Nonius bovendeel 290 - Nonius hanger C5M</v>
          </cell>
          <cell r="O559" t="str">
            <v>Partie supérieure Nonius 290 - suspente</v>
          </cell>
          <cell r="P559" t="str">
            <v>(blanco)</v>
          </cell>
          <cell r="Q559" t="str">
            <v>(blanco)</v>
          </cell>
          <cell r="R559" t="str">
            <v>(blanco)</v>
          </cell>
          <cell r="S559" t="str">
            <v>(blanco)</v>
          </cell>
          <cell r="T559" t="str">
            <v>NBN EN 14195:2015</v>
          </cell>
          <cell r="U559" t="str">
            <v>--</v>
          </cell>
          <cell r="V559" t="str">
            <v>--</v>
          </cell>
          <cell r="AA559" t="str">
            <v>A1</v>
          </cell>
          <cell r="AC559" t="str">
            <v>(blanco)</v>
          </cell>
          <cell r="AD559" t="str">
            <v>(blanco)</v>
          </cell>
          <cell r="AE559">
            <v>1</v>
          </cell>
          <cell r="AL559" t="str">
            <v>(blanco)</v>
          </cell>
          <cell r="AM559" t="str">
            <v>(blanco)</v>
          </cell>
          <cell r="AN559" t="str">
            <v>(blanco)</v>
          </cell>
          <cell r="AP559">
            <v>50</v>
          </cell>
          <cell r="AR559">
            <v>19</v>
          </cell>
          <cell r="AS559">
            <v>19.2</v>
          </cell>
          <cell r="AT559">
            <v>0</v>
          </cell>
          <cell r="AX559">
            <v>0</v>
          </cell>
          <cell r="AY559" t="str">
            <v>00.00.0000</v>
          </cell>
          <cell r="AZ559">
            <v>0</v>
          </cell>
          <cell r="BA559" t="str">
            <v>00.00.0000</v>
          </cell>
          <cell r="BD559" t="str">
            <v>S</v>
          </cell>
          <cell r="BE559">
            <v>4002806907497</v>
          </cell>
        </row>
        <row r="560">
          <cell r="A560" t="str">
            <v>G132454</v>
          </cell>
          <cell r="C560" t="str">
            <v>D1DBD01D012D001</v>
          </cell>
          <cell r="D560" t="str">
            <v>ACC PLAGYP *</v>
          </cell>
          <cell r="E560" t="str">
            <v>D1DB</v>
          </cell>
          <cell r="F560" t="str">
            <v>Toebehoren Platen *</v>
          </cell>
          <cell r="G560" t="str">
            <v>G132454</v>
          </cell>
          <cell r="H560" t="str">
            <v>bestaand</v>
          </cell>
          <cell r="I560" t="str">
            <v>01.01.2013</v>
          </cell>
          <cell r="J560" t="str">
            <v>Yes</v>
          </cell>
          <cell r="K560" t="str">
            <v>Professional</v>
          </cell>
          <cell r="L560" t="str">
            <v>PLAGYP</v>
          </cell>
          <cell r="M560" t="str">
            <v>PA40/120</v>
          </cell>
          <cell r="N560" t="str">
            <v>Universele plafondhanger C5-M</v>
          </cell>
          <cell r="O560" t="str">
            <v>Suspente universelle C5-M</v>
          </cell>
          <cell r="P560" t="str">
            <v>(blanco)</v>
          </cell>
          <cell r="Q560" t="str">
            <v>(blanco)</v>
          </cell>
          <cell r="R560" t="str">
            <v>(blanco)</v>
          </cell>
          <cell r="S560" t="str">
            <v>(blanco)</v>
          </cell>
          <cell r="T560" t="str">
            <v>NBN EN 14195:2015</v>
          </cell>
          <cell r="U560" t="str">
            <v>--</v>
          </cell>
          <cell r="V560" t="str">
            <v>--</v>
          </cell>
          <cell r="AA560" t="str">
            <v>A1</v>
          </cell>
          <cell r="AC560" t="str">
            <v>(blanco)</v>
          </cell>
          <cell r="AD560" t="str">
            <v>(blanco)</v>
          </cell>
          <cell r="AE560">
            <v>3</v>
          </cell>
          <cell r="AL560" t="str">
            <v>(blanco)</v>
          </cell>
          <cell r="AM560" t="str">
            <v>(blanco)</v>
          </cell>
          <cell r="AN560" t="str">
            <v>(blanco)</v>
          </cell>
          <cell r="AP560">
            <v>50</v>
          </cell>
          <cell r="AR560">
            <v>5.6000000000000001E-2</v>
          </cell>
          <cell r="AS560">
            <v>5.8999999999999997E-2</v>
          </cell>
          <cell r="AT560">
            <v>0</v>
          </cell>
          <cell r="AX560">
            <v>0</v>
          </cell>
          <cell r="AY560" t="str">
            <v>00.00.0000</v>
          </cell>
          <cell r="AZ560">
            <v>0</v>
          </cell>
          <cell r="BA560" t="str">
            <v>00.00.0000</v>
          </cell>
          <cell r="BD560" t="str">
            <v>S</v>
          </cell>
          <cell r="BE560">
            <v>4002806907541</v>
          </cell>
        </row>
        <row r="561">
          <cell r="A561" t="str">
            <v>G132494</v>
          </cell>
          <cell r="C561" t="str">
            <v>A1ABA15A001A009</v>
          </cell>
          <cell r="D561" t="str">
            <v>Gyproc® RF BA 13 M2</v>
          </cell>
          <cell r="E561" t="str">
            <v>A1AB</v>
          </cell>
          <cell r="F561" t="str">
            <v>Technische platen M2</v>
          </cell>
          <cell r="G561" t="str">
            <v>G132494</v>
          </cell>
          <cell r="H561" t="str">
            <v>bestaand</v>
          </cell>
          <cell r="I561" t="str">
            <v>01.01.2013</v>
          </cell>
          <cell r="J561" t="str">
            <v>Yes</v>
          </cell>
          <cell r="K561" t="str">
            <v>Professional</v>
          </cell>
          <cell r="L561" t="str">
            <v>Gyproc</v>
          </cell>
          <cell r="M561" t="str">
            <v>Gyproc RF</v>
          </cell>
          <cell r="N561" t="str">
            <v>GY ABA RF 12.5 X 595 X 595 DP/80 ZOZ</v>
          </cell>
          <cell r="O561" t="str">
            <v>GY ABA RF 12.5 X 595 X 595 DP/80 ZOZ</v>
          </cell>
          <cell r="P561" t="str">
            <v>roze</v>
          </cell>
          <cell r="Q561" t="str">
            <v>rose</v>
          </cell>
          <cell r="R561" t="str">
            <v>grijs</v>
          </cell>
          <cell r="S561" t="str">
            <v>gris</v>
          </cell>
          <cell r="T561" t="str">
            <v>NBN EN 520:2009</v>
          </cell>
          <cell r="U561" t="str">
            <v>DF</v>
          </cell>
          <cell r="V561" t="str">
            <v>Rf</v>
          </cell>
          <cell r="Y561" t="str">
            <v>gipsplaat voor droge binnenafbouw</v>
          </cell>
          <cell r="AA561" t="str">
            <v>A2-s1, d0 (B)</v>
          </cell>
          <cell r="AB561" t="str">
            <v>SG GY 2013 A1ABA15A001</v>
          </cell>
          <cell r="AC561" t="str">
            <v>ABA</v>
          </cell>
          <cell r="AD561" t="str">
            <v>ZOZ: zichtzijde op zichtzijde</v>
          </cell>
          <cell r="AE561">
            <v>12.5</v>
          </cell>
          <cell r="AH561" t="str">
            <v>+/-0.5</v>
          </cell>
          <cell r="AI561">
            <v>0</v>
          </cell>
          <cell r="AJ561">
            <v>0</v>
          </cell>
          <cell r="AL561" t="str">
            <v>&gt; 800</v>
          </cell>
          <cell r="AM561" t="str">
            <v>&gt; 800</v>
          </cell>
          <cell r="AN561" t="str">
            <v>kg/m³</v>
          </cell>
          <cell r="AP561">
            <v>0.25</v>
          </cell>
          <cell r="AQ561">
            <v>0.05</v>
          </cell>
          <cell r="AR561">
            <v>3.7530000000000001</v>
          </cell>
          <cell r="AS561">
            <v>3.8650000000000002</v>
          </cell>
          <cell r="AT561">
            <v>4.6020000000000003</v>
          </cell>
          <cell r="AU561" t="str">
            <v>CD3</v>
          </cell>
          <cell r="AV561" t="str">
            <v>DP : Duitse Pallet</v>
          </cell>
          <cell r="AW561">
            <v>3</v>
          </cell>
          <cell r="AX561">
            <v>0</v>
          </cell>
          <cell r="AY561" t="str">
            <v>00.00.0000</v>
          </cell>
          <cell r="AZ561">
            <v>0</v>
          </cell>
          <cell r="BA561" t="str">
            <v>00.00.0000</v>
          </cell>
          <cell r="BD561" t="str">
            <v>S</v>
          </cell>
          <cell r="BE561">
            <v>5413218579377</v>
          </cell>
        </row>
        <row r="562">
          <cell r="A562" t="str">
            <v>G132623</v>
          </cell>
          <cell r="C562" t="str">
            <v>A1AAA01A003A014</v>
          </cell>
          <cell r="D562" t="str">
            <v>Gyproc® A BA 13 120 M2</v>
          </cell>
          <cell r="E562" t="str">
            <v>A1AA</v>
          </cell>
          <cell r="F562" t="str">
            <v>Platen Standaard M2</v>
          </cell>
          <cell r="G562" t="str">
            <v>ZIB00031</v>
          </cell>
          <cell r="H562" t="str">
            <v>bestaand</v>
          </cell>
          <cell r="I562" t="str">
            <v>01.01.2013</v>
          </cell>
          <cell r="J562" t="str">
            <v>Yes</v>
          </cell>
          <cell r="K562" t="str">
            <v>Professional</v>
          </cell>
          <cell r="L562" t="str">
            <v>Gyproc</v>
          </cell>
          <cell r="M562" t="str">
            <v>Gyproc A</v>
          </cell>
          <cell r="N562" t="str">
            <v>GY ABA A 12.5 X 2400 X 1200 DP/30 ZOZ</v>
          </cell>
          <cell r="O562" t="str">
            <v>GY ABA A 12.5 X 2400 X 1200 DP/30 ZOZ</v>
          </cell>
          <cell r="P562" t="str">
            <v>ivoor</v>
          </cell>
          <cell r="Q562" t="str">
            <v>ivoire</v>
          </cell>
          <cell r="R562" t="str">
            <v>grijs</v>
          </cell>
          <cell r="S562" t="str">
            <v>gris</v>
          </cell>
          <cell r="T562" t="str">
            <v>NBN EN 520:2009</v>
          </cell>
          <cell r="U562" t="str">
            <v>A</v>
          </cell>
          <cell r="V562" t="str">
            <v>A</v>
          </cell>
          <cell r="Y562" t="str">
            <v>gipsplaat voor droge binnenafbouw</v>
          </cell>
          <cell r="AA562" t="str">
            <v>A2-s1, d0 (B)</v>
          </cell>
          <cell r="AB562" t="str">
            <v>SG GY 2013 A1AAA01A003</v>
          </cell>
          <cell r="AC562" t="str">
            <v>ABA</v>
          </cell>
          <cell r="AD562" t="str">
            <v>ZOZ: zichtzijde op zichtzijde</v>
          </cell>
          <cell r="AE562">
            <v>12.5</v>
          </cell>
          <cell r="AH562" t="str">
            <v>+/-0.5</v>
          </cell>
          <cell r="AI562">
            <v>0</v>
          </cell>
          <cell r="AJ562">
            <v>0</v>
          </cell>
          <cell r="AK562">
            <v>1223</v>
          </cell>
          <cell r="AL562" t="str">
            <v>Geen eisen gesteld</v>
          </cell>
          <cell r="AM562" t="str">
            <v>Pas de exigences</v>
          </cell>
          <cell r="AN562" t="str">
            <v>kg/m³</v>
          </cell>
          <cell r="AP562">
            <v>0.25</v>
          </cell>
          <cell r="AQ562">
            <v>0.05</v>
          </cell>
          <cell r="AR562">
            <v>26.207999999999998</v>
          </cell>
          <cell r="AS562">
            <v>26.994</v>
          </cell>
          <cell r="AT562">
            <v>37.44</v>
          </cell>
          <cell r="AU562" t="str">
            <v>CD3</v>
          </cell>
          <cell r="AV562" t="str">
            <v>DP : Duitse Pallet</v>
          </cell>
          <cell r="AW562">
            <v>3</v>
          </cell>
          <cell r="AX562">
            <v>4.25</v>
          </cell>
          <cell r="AY562" t="str">
            <v>01.02.2015</v>
          </cell>
          <cell r="AZ562">
            <v>0</v>
          </cell>
          <cell r="BA562" t="str">
            <v>00.00.0000</v>
          </cell>
          <cell r="BB562" t="str">
            <v>M2</v>
          </cell>
          <cell r="BC562" t="str">
            <v>M2</v>
          </cell>
          <cell r="BD562" t="str">
            <v>S</v>
          </cell>
          <cell r="BE562">
            <v>0</v>
          </cell>
        </row>
        <row r="563">
          <cell r="A563" t="str">
            <v>G132630N</v>
          </cell>
          <cell r="B563" t="str">
            <v>G102957</v>
          </cell>
          <cell r="C563" t="str">
            <v>C5CBC18C008C003</v>
          </cell>
          <cell r="D563" t="str">
            <v>MSV 50 M</v>
          </cell>
          <cell r="E563" t="str">
            <v>C5CB</v>
          </cell>
          <cell r="F563" t="str">
            <v>Profielen Platen en Wanden M</v>
          </cell>
          <cell r="G563" t="str">
            <v>ZIB00101</v>
          </cell>
          <cell r="H563" t="str">
            <v>bestaand</v>
          </cell>
          <cell r="I563" t="str">
            <v>01.01.2013</v>
          </cell>
          <cell r="J563" t="str">
            <v>Yes</v>
          </cell>
          <cell r="K563" t="str">
            <v>Professional</v>
          </cell>
          <cell r="L563" t="str">
            <v>METAL STUD</v>
          </cell>
          <cell r="M563" t="str">
            <v>MSV50</v>
          </cell>
          <cell r="N563" t="str">
            <v>M.S.VERT.50 MM 6.20 M</v>
          </cell>
          <cell r="O563" t="str">
            <v>M.S.VERT.50 MM 6.20 M</v>
          </cell>
          <cell r="P563" t="str">
            <v>(blanco)</v>
          </cell>
          <cell r="Q563" t="str">
            <v>(blanco)</v>
          </cell>
          <cell r="R563" t="str">
            <v>(blanco)</v>
          </cell>
          <cell r="S563" t="str">
            <v>(blanco)</v>
          </cell>
          <cell r="T563" t="str">
            <v>NBN EN 14195:2015</v>
          </cell>
          <cell r="U563" t="str">
            <v>C</v>
          </cell>
          <cell r="V563" t="str">
            <v>--</v>
          </cell>
          <cell r="AA563" t="str">
            <v>A1</v>
          </cell>
          <cell r="AC563" t="str">
            <v>(blanco)</v>
          </cell>
          <cell r="AD563" t="str">
            <v>(blanco)</v>
          </cell>
          <cell r="AH563">
            <v>-0.5</v>
          </cell>
          <cell r="AI563" t="e">
            <v>#DIV/0!</v>
          </cell>
          <cell r="AJ563">
            <v>0</v>
          </cell>
          <cell r="AL563" t="str">
            <v>(blanco)</v>
          </cell>
          <cell r="AM563" t="str">
            <v>(blanco)</v>
          </cell>
          <cell r="AN563" t="str">
            <v>(blanco)</v>
          </cell>
          <cell r="AP563">
            <v>50</v>
          </cell>
          <cell r="AR563">
            <v>4.5810000000000004</v>
          </cell>
          <cell r="AS563">
            <v>4.5880000000000001</v>
          </cell>
          <cell r="AT563">
            <v>0</v>
          </cell>
          <cell r="AX563">
            <v>2.9</v>
          </cell>
          <cell r="AY563" t="str">
            <v>01.02.2015</v>
          </cell>
          <cell r="AZ563">
            <v>0</v>
          </cell>
          <cell r="BA563" t="str">
            <v>00.00.0000</v>
          </cell>
          <cell r="BB563" t="str">
            <v>M</v>
          </cell>
          <cell r="BC563" t="str">
            <v>M</v>
          </cell>
          <cell r="BD563" t="str">
            <v>S</v>
          </cell>
          <cell r="BE563">
            <v>0</v>
          </cell>
        </row>
        <row r="564">
          <cell r="A564" t="str">
            <v>G132631N</v>
          </cell>
          <cell r="B564" t="str">
            <v>G102957</v>
          </cell>
          <cell r="C564" t="str">
            <v>C5CBC18C008C003</v>
          </cell>
          <cell r="D564" t="str">
            <v>MSV 50 M</v>
          </cell>
          <cell r="E564" t="str">
            <v>C5CB</v>
          </cell>
          <cell r="F564" t="str">
            <v>Profielen Platen en Wanden M</v>
          </cell>
          <cell r="G564" t="str">
            <v>ZIB00101</v>
          </cell>
          <cell r="H564" t="str">
            <v>bestaand</v>
          </cell>
          <cell r="I564" t="str">
            <v>01.01.2013</v>
          </cell>
          <cell r="J564" t="str">
            <v>Yes</v>
          </cell>
          <cell r="K564" t="str">
            <v>Professional</v>
          </cell>
          <cell r="L564" t="str">
            <v>METAL STUD</v>
          </cell>
          <cell r="M564" t="str">
            <v>MSV50</v>
          </cell>
          <cell r="N564" t="str">
            <v>M.S.VERT.50 MM 5.20 M</v>
          </cell>
          <cell r="O564" t="str">
            <v>M.S.VERT.50 MM 5.20 M</v>
          </cell>
          <cell r="P564" t="str">
            <v>(blanco)</v>
          </cell>
          <cell r="Q564" t="str">
            <v>(blanco)</v>
          </cell>
          <cell r="R564" t="str">
            <v>(blanco)</v>
          </cell>
          <cell r="S564" t="str">
            <v>(blanco)</v>
          </cell>
          <cell r="T564" t="str">
            <v>NBN EN 14195:2015</v>
          </cell>
          <cell r="U564" t="str">
            <v>C</v>
          </cell>
          <cell r="V564" t="str">
            <v>--</v>
          </cell>
          <cell r="AA564" t="str">
            <v>A1</v>
          </cell>
          <cell r="AC564" t="str">
            <v>(blanco)</v>
          </cell>
          <cell r="AD564" t="str">
            <v>(blanco)</v>
          </cell>
          <cell r="AH564">
            <v>-0.5</v>
          </cell>
          <cell r="AI564" t="e">
            <v>#DIV/0!</v>
          </cell>
          <cell r="AJ564">
            <v>0</v>
          </cell>
          <cell r="AL564" t="str">
            <v>(blanco)</v>
          </cell>
          <cell r="AM564" t="str">
            <v>(blanco)</v>
          </cell>
          <cell r="AN564" t="str">
            <v>(blanco)</v>
          </cell>
          <cell r="AP564">
            <v>50</v>
          </cell>
          <cell r="AR564">
            <v>3.8420000000000001</v>
          </cell>
          <cell r="AS564">
            <v>3.8479999999999999</v>
          </cell>
          <cell r="AT564">
            <v>0</v>
          </cell>
          <cell r="AX564">
            <v>2.9</v>
          </cell>
          <cell r="AY564" t="str">
            <v>01.02.2015</v>
          </cell>
          <cell r="AZ564">
            <v>0</v>
          </cell>
          <cell r="BA564" t="str">
            <v>00.00.0000</v>
          </cell>
          <cell r="BB564" t="str">
            <v>M</v>
          </cell>
          <cell r="BC564" t="str">
            <v>M</v>
          </cell>
          <cell r="BD564" t="str">
            <v>S</v>
          </cell>
          <cell r="BE564">
            <v>0</v>
          </cell>
        </row>
        <row r="565">
          <cell r="A565" t="str">
            <v>G132635</v>
          </cell>
          <cell r="C565" t="str">
            <v>A1AAA01A005A015</v>
          </cell>
          <cell r="D565" t="str">
            <v>Gyproc® A BA 15 M2</v>
          </cell>
          <cell r="E565" t="str">
            <v>A1AA</v>
          </cell>
          <cell r="F565" t="str">
            <v>Platen Standaard M2</v>
          </cell>
          <cell r="G565" t="str">
            <v>ZIB00006</v>
          </cell>
          <cell r="H565" t="str">
            <v>bestaand</v>
          </cell>
          <cell r="I565" t="str">
            <v>01.01.2013</v>
          </cell>
          <cell r="J565" t="str">
            <v>Yes</v>
          </cell>
          <cell r="K565" t="str">
            <v>Professional</v>
          </cell>
          <cell r="L565" t="str">
            <v>Gyproc</v>
          </cell>
          <cell r="M565" t="str">
            <v>Gyproc A</v>
          </cell>
          <cell r="N565" t="str">
            <v>GY ABA A 15.0 X 2400 X 1200 DP/40 ZOZ</v>
          </cell>
          <cell r="O565" t="str">
            <v>GY ABA A 15.0 X 2400 X 1200 DP/40 ZOZ</v>
          </cell>
          <cell r="P565" t="str">
            <v>ivoor</v>
          </cell>
          <cell r="Q565" t="str">
            <v>ivoire</v>
          </cell>
          <cell r="R565" t="str">
            <v>grijs</v>
          </cell>
          <cell r="S565" t="str">
            <v>gris</v>
          </cell>
          <cell r="T565" t="str">
            <v>NBN EN 520:2009</v>
          </cell>
          <cell r="U565" t="str">
            <v>A</v>
          </cell>
          <cell r="V565" t="str">
            <v>A</v>
          </cell>
          <cell r="Y565" t="str">
            <v>gipsplaat voor droge binnenafbouw</v>
          </cell>
          <cell r="AA565" t="str">
            <v>A2-s1, d0 (B)</v>
          </cell>
          <cell r="AB565" t="str">
            <v>SG GY 2013 A1AAA01A005</v>
          </cell>
          <cell r="AC565" t="str">
            <v>ABA</v>
          </cell>
          <cell r="AD565" t="str">
            <v>ZOZ: zichtzijde op zichtzijde</v>
          </cell>
          <cell r="AE565">
            <v>15</v>
          </cell>
          <cell r="AH565" t="str">
            <v>+/-0.5</v>
          </cell>
          <cell r="AI565">
            <v>0</v>
          </cell>
          <cell r="AJ565">
            <v>0</v>
          </cell>
          <cell r="AK565">
            <v>1224</v>
          </cell>
          <cell r="AL565" t="str">
            <v>Geen eisen gesteld</v>
          </cell>
          <cell r="AM565" t="str">
            <v>Pas de exigences</v>
          </cell>
          <cell r="AN565" t="str">
            <v>kg/m³</v>
          </cell>
          <cell r="AP565">
            <v>0.25</v>
          </cell>
          <cell r="AQ565">
            <v>0.06</v>
          </cell>
          <cell r="AR565">
            <v>33.119999999999997</v>
          </cell>
          <cell r="AS565">
            <v>34.113</v>
          </cell>
          <cell r="AT565">
            <v>50.4</v>
          </cell>
          <cell r="AU565" t="str">
            <v>CD3</v>
          </cell>
          <cell r="AV565" t="str">
            <v>DP : Duitse Pallet</v>
          </cell>
          <cell r="AW565">
            <v>3</v>
          </cell>
          <cell r="AX565">
            <v>5.07</v>
          </cell>
          <cell r="AY565" t="str">
            <v>01.02.2015</v>
          </cell>
          <cell r="AZ565">
            <v>0</v>
          </cell>
          <cell r="BA565" t="str">
            <v>00.00.0000</v>
          </cell>
          <cell r="BB565" t="str">
            <v>M2</v>
          </cell>
          <cell r="BC565" t="str">
            <v>M2</v>
          </cell>
          <cell r="BD565" t="str">
            <v>S</v>
          </cell>
          <cell r="BE565">
            <v>5413218580571</v>
          </cell>
        </row>
        <row r="566">
          <cell r="A566" t="str">
            <v>G132667</v>
          </cell>
          <cell r="C566" t="str">
            <v>A1AAA01A003A014</v>
          </cell>
          <cell r="D566" t="str">
            <v>Gyproc® A BA 13 120 M2</v>
          </cell>
          <cell r="E566" t="str">
            <v>A1AA</v>
          </cell>
          <cell r="F566" t="str">
            <v>Platen Standaard M2</v>
          </cell>
          <cell r="G566" t="str">
            <v>ZIB00031</v>
          </cell>
          <cell r="H566" t="str">
            <v>bestaand</v>
          </cell>
          <cell r="I566" t="str">
            <v>01.01.2013</v>
          </cell>
          <cell r="J566" t="str">
            <v>Yes</v>
          </cell>
          <cell r="K566" t="str">
            <v>Professional</v>
          </cell>
          <cell r="L566" t="str">
            <v>Gyproc</v>
          </cell>
          <cell r="M566" t="str">
            <v>Gyproc A</v>
          </cell>
          <cell r="N566" t="str">
            <v>GY ABA A 12.5 X 245 X 1200 DP/50 ZOZ KW</v>
          </cell>
          <cell r="O566" t="str">
            <v>GY ABA A 12.5 X 245 X 1200 DP/50 ZOZ KW</v>
          </cell>
          <cell r="P566" t="str">
            <v>ivoor</v>
          </cell>
          <cell r="Q566" t="str">
            <v>ivoire</v>
          </cell>
          <cell r="R566" t="str">
            <v>grijs</v>
          </cell>
          <cell r="S566" t="str">
            <v>gris</v>
          </cell>
          <cell r="T566" t="str">
            <v>NBN EN 520:2009</v>
          </cell>
          <cell r="U566" t="str">
            <v>A</v>
          </cell>
          <cell r="V566" t="str">
            <v>A</v>
          </cell>
          <cell r="Y566" t="str">
            <v>gipsplaat voor droge binnenafbouw</v>
          </cell>
          <cell r="AA566" t="str">
            <v>A2-s1, d0 (B)</v>
          </cell>
          <cell r="AB566" t="str">
            <v>SG GY 2013 A1AAA01A003</v>
          </cell>
          <cell r="AC566" t="str">
            <v>ABA</v>
          </cell>
          <cell r="AD566" t="str">
            <v>ZOZ: zichtzijde op zichtzijde</v>
          </cell>
          <cell r="AE566">
            <v>12.5</v>
          </cell>
          <cell r="AH566" t="str">
            <v>+/-0.5</v>
          </cell>
          <cell r="AI566">
            <v>0</v>
          </cell>
          <cell r="AJ566">
            <v>0</v>
          </cell>
          <cell r="AK566">
            <v>1223</v>
          </cell>
          <cell r="AL566" t="str">
            <v>Geen eisen gesteld</v>
          </cell>
          <cell r="AM566" t="str">
            <v>Pas de exigences</v>
          </cell>
          <cell r="AN566" t="str">
            <v>kg/m³</v>
          </cell>
          <cell r="AP566">
            <v>0.25</v>
          </cell>
          <cell r="AQ566">
            <v>0.05</v>
          </cell>
          <cell r="AR566">
            <v>2.73</v>
          </cell>
          <cell r="AS566">
            <v>2.8119999999999998</v>
          </cell>
          <cell r="AT566">
            <v>3.9</v>
          </cell>
          <cell r="AU566" t="str">
            <v>CD3</v>
          </cell>
          <cell r="AV566" t="str">
            <v>DP : Duitse Pallet</v>
          </cell>
          <cell r="AW566">
            <v>3</v>
          </cell>
          <cell r="AX566">
            <v>4.25</v>
          </cell>
          <cell r="AY566" t="str">
            <v>01.02.2015</v>
          </cell>
          <cell r="AZ566">
            <v>0</v>
          </cell>
          <cell r="BA566" t="str">
            <v>00.00.0000</v>
          </cell>
          <cell r="BB566" t="str">
            <v>M2</v>
          </cell>
          <cell r="BC566" t="str">
            <v>M2</v>
          </cell>
          <cell r="BD566" t="str">
            <v>S</v>
          </cell>
          <cell r="BE566">
            <v>5413218581110</v>
          </cell>
        </row>
        <row r="567">
          <cell r="A567" t="str">
            <v>G132698</v>
          </cell>
          <cell r="C567" t="str">
            <v>A1ABA15A004A003</v>
          </cell>
          <cell r="D567" t="str">
            <v>Gyproc® ABA RF 18 M2</v>
          </cell>
          <cell r="E567" t="str">
            <v>A1AB</v>
          </cell>
          <cell r="F567" t="str">
            <v>Technische platen M2</v>
          </cell>
          <cell r="G567" t="str">
            <v>G132698</v>
          </cell>
          <cell r="H567" t="str">
            <v>bestaand</v>
          </cell>
          <cell r="I567" t="str">
            <v>01.01.2013</v>
          </cell>
          <cell r="J567" t="str">
            <v>Yes</v>
          </cell>
          <cell r="K567" t="str">
            <v>Professional</v>
          </cell>
          <cell r="L567" t="str">
            <v>Gyproc</v>
          </cell>
          <cell r="M567" t="str">
            <v>Gyproc RF</v>
          </cell>
          <cell r="N567" t="str">
            <v>GY ABA RF 18.0 X 2000 X 1200 DP/30 ZOZ</v>
          </cell>
          <cell r="O567" t="str">
            <v>GY ABA RF 18.0 X 2000 X 1200 DP/30 ZOZ</v>
          </cell>
          <cell r="P567" t="str">
            <v>roze</v>
          </cell>
          <cell r="Q567" t="str">
            <v>rose</v>
          </cell>
          <cell r="R567" t="str">
            <v>grijs</v>
          </cell>
          <cell r="S567" t="str">
            <v>gris</v>
          </cell>
          <cell r="T567" t="str">
            <v>NBN EN 520:2009</v>
          </cell>
          <cell r="U567" t="str">
            <v>DF</v>
          </cell>
          <cell r="V567" t="str">
            <v>Rf</v>
          </cell>
          <cell r="Y567" t="str">
            <v>gipsplaat voor droge binnenafbouw</v>
          </cell>
          <cell r="AA567" t="str">
            <v>A2-s1, d0 (B)</v>
          </cell>
          <cell r="AB567" t="str">
            <v>SG GY 2013 A1ABA15A004A001</v>
          </cell>
          <cell r="AC567" t="str">
            <v>ABA</v>
          </cell>
          <cell r="AD567" t="str">
            <v>ZOZ: zichtzijde op zichtzijde</v>
          </cell>
          <cell r="AE567">
            <v>18</v>
          </cell>
          <cell r="AH567" t="str">
            <v>+/-0.5</v>
          </cell>
          <cell r="AI567">
            <v>0</v>
          </cell>
          <cell r="AJ567">
            <v>0</v>
          </cell>
          <cell r="AK567">
            <v>1258</v>
          </cell>
          <cell r="AL567" t="str">
            <v>&gt; 800</v>
          </cell>
          <cell r="AM567" t="str">
            <v>&gt; 800</v>
          </cell>
          <cell r="AN567" t="str">
            <v>kg/m³</v>
          </cell>
          <cell r="AP567">
            <v>0.25</v>
          </cell>
          <cell r="AQ567">
            <v>7.0000000000000007E-2</v>
          </cell>
          <cell r="AR567">
            <v>35.64</v>
          </cell>
          <cell r="AS567">
            <v>37.415999999999997</v>
          </cell>
          <cell r="AT567">
            <v>43.2</v>
          </cell>
          <cell r="AU567" t="str">
            <v>CD3</v>
          </cell>
          <cell r="AV567" t="str">
            <v>DP : Duitse Pallet</v>
          </cell>
          <cell r="AW567">
            <v>3</v>
          </cell>
          <cell r="AX567">
            <v>0</v>
          </cell>
          <cell r="AY567" t="str">
            <v>00.00.0000</v>
          </cell>
          <cell r="AZ567">
            <v>0</v>
          </cell>
          <cell r="BA567" t="str">
            <v>00.00.0000</v>
          </cell>
          <cell r="BD567" t="str">
            <v>S</v>
          </cell>
          <cell r="BE567">
            <v>5413218581592</v>
          </cell>
        </row>
        <row r="568">
          <cell r="A568" t="str">
            <v>G132699</v>
          </cell>
          <cell r="C568" t="str">
            <v>D1DBD15D002D002</v>
          </cell>
          <cell r="D568" t="str">
            <v>Prlock ALU STD 12,5 ST</v>
          </cell>
          <cell r="E568" t="str">
            <v>D1DB</v>
          </cell>
          <cell r="F568" t="str">
            <v>Toebehoren Platen *</v>
          </cell>
          <cell r="G568" t="str">
            <v>G132699</v>
          </cell>
          <cell r="H568" t="str">
            <v>bestaand</v>
          </cell>
          <cell r="I568" t="str">
            <v>01.01.2013</v>
          </cell>
          <cell r="J568" t="str">
            <v>Yes</v>
          </cell>
          <cell r="K568" t="str">
            <v>Professional</v>
          </cell>
          <cell r="L568" t="str">
            <v>PROLOCK</v>
          </cell>
          <cell r="M568" t="str">
            <v>PROLOCK ALU STANDAARD ENKEL</v>
          </cell>
          <cell r="N568" t="str">
            <v>ProLock Alu Std - Onderdelen</v>
          </cell>
          <cell r="O568" t="str">
            <v>ProLock Alu Std - Spare parts</v>
          </cell>
          <cell r="P568" t="str">
            <v>(blanco)</v>
          </cell>
          <cell r="Q568" t="str">
            <v>(blanco)</v>
          </cell>
          <cell r="R568" t="str">
            <v>(blanco)</v>
          </cell>
          <cell r="S568" t="str">
            <v>(blanco)</v>
          </cell>
          <cell r="T568" t="str">
            <v>--</v>
          </cell>
          <cell r="AA568" t="str">
            <v>(blanco)</v>
          </cell>
          <cell r="AC568" t="str">
            <v>(blanco)</v>
          </cell>
          <cell r="AD568" t="str">
            <v>(blanco)</v>
          </cell>
          <cell r="AE568">
            <v>0</v>
          </cell>
          <cell r="AH568" t="str">
            <v>(blanco)</v>
          </cell>
          <cell r="AI568" t="str">
            <v>(blanco)</v>
          </cell>
          <cell r="AJ568" t="str">
            <v>(blanco)</v>
          </cell>
          <cell r="AL568" t="str">
            <v>(blanco)</v>
          </cell>
          <cell r="AM568" t="str">
            <v>(blanco)</v>
          </cell>
          <cell r="AN568" t="str">
            <v>(blanco)</v>
          </cell>
          <cell r="AR568">
            <v>3.6</v>
          </cell>
          <cell r="AS568">
            <v>3.65</v>
          </cell>
          <cell r="AT568">
            <v>0</v>
          </cell>
          <cell r="AX568">
            <v>0</v>
          </cell>
          <cell r="AY568" t="str">
            <v>00.00.0000</v>
          </cell>
          <cell r="AZ568">
            <v>0</v>
          </cell>
          <cell r="BA568" t="str">
            <v>00.00.0000</v>
          </cell>
          <cell r="BD568" t="str">
            <v>S</v>
          </cell>
          <cell r="BE568">
            <v>0</v>
          </cell>
        </row>
        <row r="569">
          <cell r="A569" t="str">
            <v>G132700</v>
          </cell>
          <cell r="C569" t="str">
            <v>A1AAA01A005A015</v>
          </cell>
          <cell r="D569" t="str">
            <v>Gyproc® A BA 15 M2</v>
          </cell>
          <cell r="E569" t="str">
            <v>A1AA</v>
          </cell>
          <cell r="F569" t="str">
            <v>Platen Standaard M2</v>
          </cell>
          <cell r="G569" t="str">
            <v>G132700</v>
          </cell>
          <cell r="H569" t="str">
            <v>bestaand</v>
          </cell>
          <cell r="I569" t="str">
            <v>01.01.2013</v>
          </cell>
          <cell r="J569" t="str">
            <v>Yes</v>
          </cell>
          <cell r="K569" t="str">
            <v>Professional</v>
          </cell>
          <cell r="L569" t="str">
            <v>Gyproc</v>
          </cell>
          <cell r="M569" t="str">
            <v>Gyproc A</v>
          </cell>
          <cell r="N569" t="str">
            <v>GY ABA A 15.0 X 2600 X 1200 DP/40 ZOZ</v>
          </cell>
          <cell r="O569" t="str">
            <v>GY ABA A 15.0 X 2600 X 1200 DP/40 ZOZ</v>
          </cell>
          <cell r="P569" t="str">
            <v>ivoor</v>
          </cell>
          <cell r="Q569" t="str">
            <v>ivoire</v>
          </cell>
          <cell r="R569" t="str">
            <v>grijs</v>
          </cell>
          <cell r="S569" t="str">
            <v>gris</v>
          </cell>
          <cell r="T569" t="str">
            <v>NBN EN 520:2009</v>
          </cell>
          <cell r="U569" t="str">
            <v>A</v>
          </cell>
          <cell r="V569" t="str">
            <v>A</v>
          </cell>
          <cell r="Y569" t="str">
            <v>gipsplaat voor droge binnenafbouw</v>
          </cell>
          <cell r="AA569" t="str">
            <v>A2-s1, d0 (B)</v>
          </cell>
          <cell r="AB569" t="str">
            <v>SG GY 2013 A1AAA01A005</v>
          </cell>
          <cell r="AC569" t="str">
            <v>ABA</v>
          </cell>
          <cell r="AD569" t="str">
            <v>ZOZ: zichtzijde op zichtzijde</v>
          </cell>
          <cell r="AE569">
            <v>15</v>
          </cell>
          <cell r="AH569" t="str">
            <v>+/-0.5</v>
          </cell>
          <cell r="AI569">
            <v>0</v>
          </cell>
          <cell r="AJ569">
            <v>0</v>
          </cell>
          <cell r="AK569">
            <v>1224</v>
          </cell>
          <cell r="AL569" t="str">
            <v>Geen eisen gesteld</v>
          </cell>
          <cell r="AM569" t="str">
            <v>Pas de exigences</v>
          </cell>
          <cell r="AN569" t="str">
            <v>kg/m³</v>
          </cell>
          <cell r="AP569">
            <v>0.25</v>
          </cell>
          <cell r="AQ569">
            <v>0.06</v>
          </cell>
          <cell r="AR569">
            <v>35.880000000000003</v>
          </cell>
          <cell r="AS569">
            <v>36.956000000000003</v>
          </cell>
          <cell r="AT569">
            <v>54.6</v>
          </cell>
          <cell r="AU569" t="str">
            <v>CD3</v>
          </cell>
          <cell r="AV569" t="str">
            <v>DP : Duitse Pallet</v>
          </cell>
          <cell r="AW569">
            <v>3</v>
          </cell>
          <cell r="AX569">
            <v>0</v>
          </cell>
          <cell r="AY569" t="str">
            <v>00.00.0000</v>
          </cell>
          <cell r="AZ569">
            <v>0</v>
          </cell>
          <cell r="BA569" t="str">
            <v>00.00.0000</v>
          </cell>
          <cell r="BD569" t="str">
            <v>S</v>
          </cell>
          <cell r="BE569">
            <v>5413218581615</v>
          </cell>
        </row>
        <row r="570">
          <cell r="A570" t="str">
            <v>G132799</v>
          </cell>
          <cell r="C570" t="str">
            <v>A1AAA01A003A014</v>
          </cell>
          <cell r="D570" t="str">
            <v>Gyproc® A BA 13 120 M2</v>
          </cell>
          <cell r="E570" t="str">
            <v>A1AA</v>
          </cell>
          <cell r="F570" t="str">
            <v>Platen Standaard M2</v>
          </cell>
          <cell r="G570" t="str">
            <v>ZIB00031</v>
          </cell>
          <cell r="H570" t="str">
            <v>bestaand</v>
          </cell>
          <cell r="I570" t="str">
            <v>01.01.2013</v>
          </cell>
          <cell r="J570" t="str">
            <v>Yes</v>
          </cell>
          <cell r="K570" t="str">
            <v>Professional</v>
          </cell>
          <cell r="L570" t="str">
            <v>Gyproc</v>
          </cell>
          <cell r="M570" t="str">
            <v>Gyproc A</v>
          </cell>
          <cell r="N570" t="str">
            <v>GY ABA A 12.5 X 2385 X 1200 DP/50 ZOZ KW</v>
          </cell>
          <cell r="O570" t="str">
            <v>GY ABA A 12.5 X 2385 X 1200 DP/50 ZOZ KW</v>
          </cell>
          <cell r="P570" t="str">
            <v>ivoor</v>
          </cell>
          <cell r="Q570" t="str">
            <v>ivoire</v>
          </cell>
          <cell r="R570" t="str">
            <v>grijs</v>
          </cell>
          <cell r="S570" t="str">
            <v>gris</v>
          </cell>
          <cell r="T570" t="str">
            <v>NBN EN 520:2009</v>
          </cell>
          <cell r="U570" t="str">
            <v>A</v>
          </cell>
          <cell r="V570" t="str">
            <v>A</v>
          </cell>
          <cell r="Y570" t="str">
            <v>gipsplaat voor droge binnenafbouw</v>
          </cell>
          <cell r="AA570" t="str">
            <v>A2-s1, d0 (B)</v>
          </cell>
          <cell r="AB570" t="str">
            <v>SG GY 2013 A1AAA01A003</v>
          </cell>
          <cell r="AC570" t="str">
            <v>ABA</v>
          </cell>
          <cell r="AD570" t="str">
            <v>ZOZ: zichtzijde op zichtzijde</v>
          </cell>
          <cell r="AE570">
            <v>12.5</v>
          </cell>
          <cell r="AH570" t="str">
            <v>+/-0.5</v>
          </cell>
          <cell r="AI570">
            <v>0</v>
          </cell>
          <cell r="AJ570">
            <v>0</v>
          </cell>
          <cell r="AK570">
            <v>1223</v>
          </cell>
          <cell r="AL570" t="str">
            <v>Geen eisen gesteld</v>
          </cell>
          <cell r="AM570" t="str">
            <v>Pas de exigences</v>
          </cell>
          <cell r="AN570" t="str">
            <v>kg/m³</v>
          </cell>
          <cell r="AP570">
            <v>0.25</v>
          </cell>
          <cell r="AQ570">
            <v>0.05</v>
          </cell>
          <cell r="AR570">
            <v>26.044</v>
          </cell>
          <cell r="AS570">
            <v>26.824999999999999</v>
          </cell>
          <cell r="AT570">
            <v>37.206000000000003</v>
          </cell>
          <cell r="AU570" t="str">
            <v>CD3</v>
          </cell>
          <cell r="AV570" t="str">
            <v>DP : Duitse Pallet</v>
          </cell>
          <cell r="AW570">
            <v>3</v>
          </cell>
          <cell r="AX570">
            <v>4.25</v>
          </cell>
          <cell r="AY570" t="str">
            <v>01.02.2015</v>
          </cell>
          <cell r="AZ570">
            <v>0</v>
          </cell>
          <cell r="BA570" t="str">
            <v>00.00.0000</v>
          </cell>
          <cell r="BB570" t="str">
            <v>M2</v>
          </cell>
          <cell r="BC570" t="str">
            <v>M2</v>
          </cell>
          <cell r="BD570" t="str">
            <v>S</v>
          </cell>
          <cell r="BE570">
            <v>5413218582636</v>
          </cell>
        </row>
        <row r="571">
          <cell r="A571" t="str">
            <v>G132800</v>
          </cell>
          <cell r="C571" t="str">
            <v>A1AAA01A003A014</v>
          </cell>
          <cell r="D571" t="str">
            <v>Gyproc® A BA 13 120 M2</v>
          </cell>
          <cell r="E571" t="str">
            <v>A1AA</v>
          </cell>
          <cell r="F571" t="str">
            <v>Platen Standaard M2</v>
          </cell>
          <cell r="G571" t="str">
            <v>ZIB00031</v>
          </cell>
          <cell r="H571" t="str">
            <v>bestaand</v>
          </cell>
          <cell r="I571" t="str">
            <v>01.01.2013</v>
          </cell>
          <cell r="J571" t="str">
            <v>Yes</v>
          </cell>
          <cell r="K571" t="str">
            <v>Professional</v>
          </cell>
          <cell r="L571" t="str">
            <v>Gyproc</v>
          </cell>
          <cell r="M571" t="str">
            <v>Gyproc A</v>
          </cell>
          <cell r="N571" t="str">
            <v>GY ABA A 12.5 X 2385 X 229 DP/250 ZOZ KW</v>
          </cell>
          <cell r="O571" t="str">
            <v>GY ABA A 12.5 X 2385 X 229 DP/250 ZOZ KW</v>
          </cell>
          <cell r="P571" t="str">
            <v>ivoor</v>
          </cell>
          <cell r="Q571" t="str">
            <v>ivoire</v>
          </cell>
          <cell r="R571" t="str">
            <v>grijs</v>
          </cell>
          <cell r="S571" t="str">
            <v>gris</v>
          </cell>
          <cell r="T571" t="str">
            <v>NBN EN 520:2009</v>
          </cell>
          <cell r="U571" t="str">
            <v>A</v>
          </cell>
          <cell r="V571" t="str">
            <v>A</v>
          </cell>
          <cell r="Y571" t="str">
            <v>gipsplaat voor droge binnenafbouw</v>
          </cell>
          <cell r="AA571" t="str">
            <v>A2-s1, d0 (B)</v>
          </cell>
          <cell r="AB571" t="str">
            <v>SG GY 2013 A1AAA01A003</v>
          </cell>
          <cell r="AC571" t="str">
            <v>ABA</v>
          </cell>
          <cell r="AD571" t="str">
            <v>ZOZ: zichtzijde op zichtzijde</v>
          </cell>
          <cell r="AE571">
            <v>12.5</v>
          </cell>
          <cell r="AH571" t="str">
            <v>+/-0.5</v>
          </cell>
          <cell r="AI571">
            <v>0</v>
          </cell>
          <cell r="AJ571">
            <v>0</v>
          </cell>
          <cell r="AK571">
            <v>1223</v>
          </cell>
          <cell r="AL571" t="str">
            <v>Geen eisen gesteld</v>
          </cell>
          <cell r="AM571" t="str">
            <v>Pas de exigences</v>
          </cell>
          <cell r="AN571" t="str">
            <v>kg/m³</v>
          </cell>
          <cell r="AP571">
            <v>0.25</v>
          </cell>
          <cell r="AQ571">
            <v>0.05</v>
          </cell>
          <cell r="AR571">
            <v>4.97</v>
          </cell>
          <cell r="AS571">
            <v>5.1189999999999998</v>
          </cell>
          <cell r="AT571">
            <v>7.1</v>
          </cell>
          <cell r="AU571" t="str">
            <v>CD3</v>
          </cell>
          <cell r="AV571" t="str">
            <v>DP : Duitse Pallet</v>
          </cell>
          <cell r="AW571">
            <v>3</v>
          </cell>
          <cell r="AX571">
            <v>4.25</v>
          </cell>
          <cell r="AY571" t="str">
            <v>01.02.2015</v>
          </cell>
          <cell r="AZ571">
            <v>0</v>
          </cell>
          <cell r="BA571" t="str">
            <v>00.00.0000</v>
          </cell>
          <cell r="BB571" t="str">
            <v>M2</v>
          </cell>
          <cell r="BC571" t="str">
            <v>M2</v>
          </cell>
          <cell r="BD571" t="str">
            <v>S</v>
          </cell>
          <cell r="BE571">
            <v>5413218582650</v>
          </cell>
        </row>
        <row r="572">
          <cell r="A572" t="str">
            <v>G132801</v>
          </cell>
          <cell r="B572" t="str">
            <v>G100904</v>
          </cell>
          <cell r="C572" t="str">
            <v>A1AAA01A003A014</v>
          </cell>
          <cell r="D572" t="str">
            <v>Gyproc® A BA 13 120 M2</v>
          </cell>
          <cell r="E572" t="str">
            <v>A1AA</v>
          </cell>
          <cell r="F572" t="str">
            <v>Platen Standaard M2</v>
          </cell>
          <cell r="G572" t="str">
            <v>ZIB00031</v>
          </cell>
          <cell r="H572" t="str">
            <v>bestaand</v>
          </cell>
          <cell r="I572" t="str">
            <v>01.01.2013</v>
          </cell>
          <cell r="J572" t="str">
            <v>Yes</v>
          </cell>
          <cell r="K572" t="str">
            <v>Professional</v>
          </cell>
          <cell r="L572" t="str">
            <v>Gyproc</v>
          </cell>
          <cell r="M572" t="str">
            <v>Gyproc A</v>
          </cell>
          <cell r="N572" t="str">
            <v>GY ABA A 12.5X1270X1200 DP/100 ZOZ KW</v>
          </cell>
          <cell r="O572" t="str">
            <v>GY ABA A 12.5X1270X1200 DP/100 ZOZ KW</v>
          </cell>
          <cell r="P572" t="str">
            <v>ivoor</v>
          </cell>
          <cell r="Q572" t="str">
            <v>ivoire</v>
          </cell>
          <cell r="R572" t="str">
            <v>grijs</v>
          </cell>
          <cell r="S572" t="str">
            <v>gris</v>
          </cell>
          <cell r="T572" t="str">
            <v>NBN EN 520:2009</v>
          </cell>
          <cell r="U572" t="str">
            <v>A</v>
          </cell>
          <cell r="V572" t="str">
            <v>A</v>
          </cell>
          <cell r="Y572" t="str">
            <v>gipsplaat voor droge binnenafbouw</v>
          </cell>
          <cell r="AA572" t="str">
            <v>A2-s1, d0 (B)</v>
          </cell>
          <cell r="AB572" t="str">
            <v>SG GY 2013 A1AAA01A003</v>
          </cell>
          <cell r="AC572" t="str">
            <v>ABA</v>
          </cell>
          <cell r="AD572" t="str">
            <v>ZOZ: zichtzijde op zichtzijde</v>
          </cell>
          <cell r="AE572">
            <v>12.5</v>
          </cell>
          <cell r="AH572" t="str">
            <v>+/-0.5</v>
          </cell>
          <cell r="AI572">
            <v>0</v>
          </cell>
          <cell r="AJ572">
            <v>0</v>
          </cell>
          <cell r="AK572">
            <v>1223</v>
          </cell>
          <cell r="AL572" t="str">
            <v>Geen eisen gesteld</v>
          </cell>
          <cell r="AM572" t="str">
            <v>Pas de exigences</v>
          </cell>
          <cell r="AN572" t="str">
            <v>kg/m³</v>
          </cell>
          <cell r="AP572">
            <v>0.25</v>
          </cell>
          <cell r="AQ572">
            <v>0.05</v>
          </cell>
          <cell r="AR572">
            <v>13.868</v>
          </cell>
          <cell r="AS572">
            <v>14.164999999999999</v>
          </cell>
          <cell r="AT572">
            <v>19.812000000000001</v>
          </cell>
          <cell r="AU572" t="str">
            <v>CD3</v>
          </cell>
          <cell r="AV572" t="str">
            <v>DP : Duitse Pallet</v>
          </cell>
          <cell r="AW572">
            <v>3</v>
          </cell>
          <cell r="AX572">
            <v>4.25</v>
          </cell>
          <cell r="AY572" t="str">
            <v>01.02.2015</v>
          </cell>
          <cell r="AZ572">
            <v>0</v>
          </cell>
          <cell r="BA572" t="str">
            <v>00.00.0000</v>
          </cell>
          <cell r="BB572" t="str">
            <v>M2</v>
          </cell>
          <cell r="BC572" t="str">
            <v>M2</v>
          </cell>
          <cell r="BD572" t="str">
            <v>S</v>
          </cell>
          <cell r="BE572">
            <v>5413218582674</v>
          </cell>
        </row>
        <row r="573">
          <cell r="A573" t="str">
            <v>G132802</v>
          </cell>
          <cell r="B573" t="str">
            <v>G100904</v>
          </cell>
          <cell r="C573" t="str">
            <v>A1AAA01A003A014</v>
          </cell>
          <cell r="D573" t="str">
            <v>Gyproc® A BA 13 120 M2</v>
          </cell>
          <cell r="E573" t="str">
            <v>A1AA</v>
          </cell>
          <cell r="F573" t="str">
            <v>Platen Standaard M2</v>
          </cell>
          <cell r="G573" t="str">
            <v>ZIB00031</v>
          </cell>
          <cell r="H573" t="str">
            <v>bestaand</v>
          </cell>
          <cell r="I573" t="str">
            <v>01.01.2013</v>
          </cell>
          <cell r="J573" t="str">
            <v>Yes</v>
          </cell>
          <cell r="K573" t="str">
            <v>Professional</v>
          </cell>
          <cell r="L573" t="str">
            <v>Gyproc</v>
          </cell>
          <cell r="M573" t="str">
            <v>Gyproc A</v>
          </cell>
          <cell r="N573" t="str">
            <v>GY ABA A 12.5X1270X245 DP/400 ZOZ KW</v>
          </cell>
          <cell r="O573" t="str">
            <v>GY ABA A 12.5X1270X245 DP/400 ZOZ KW</v>
          </cell>
          <cell r="P573" t="str">
            <v>ivoor</v>
          </cell>
          <cell r="Q573" t="str">
            <v>ivoire</v>
          </cell>
          <cell r="R573" t="str">
            <v>grijs</v>
          </cell>
          <cell r="S573" t="str">
            <v>gris</v>
          </cell>
          <cell r="T573" t="str">
            <v>NBN EN 520:2009</v>
          </cell>
          <cell r="U573" t="str">
            <v>A</v>
          </cell>
          <cell r="V573" t="str">
            <v>A</v>
          </cell>
          <cell r="Y573" t="str">
            <v>gipsplaat voor droge binnenafbouw</v>
          </cell>
          <cell r="AA573" t="str">
            <v>A2-s1, d0 (B)</v>
          </cell>
          <cell r="AB573" t="str">
            <v>SG GY 2013 A1AAA01A003</v>
          </cell>
          <cell r="AC573" t="str">
            <v>ABA</v>
          </cell>
          <cell r="AD573" t="str">
            <v>ZOZ: zichtzijde op zichtzijde</v>
          </cell>
          <cell r="AE573">
            <v>12.5</v>
          </cell>
          <cell r="AH573" t="str">
            <v>+/-0.5</v>
          </cell>
          <cell r="AI573">
            <v>0</v>
          </cell>
          <cell r="AJ573">
            <v>0</v>
          </cell>
          <cell r="AK573">
            <v>1223</v>
          </cell>
          <cell r="AL573" t="str">
            <v>Geen eisen gesteld</v>
          </cell>
          <cell r="AM573" t="str">
            <v>Pas de exigences</v>
          </cell>
          <cell r="AN573" t="str">
            <v>kg/m³</v>
          </cell>
          <cell r="AP573">
            <v>0.25</v>
          </cell>
          <cell r="AQ573">
            <v>0.05</v>
          </cell>
          <cell r="AR573">
            <v>2.8319999999999999</v>
          </cell>
          <cell r="AS573">
            <v>2.8919999999999999</v>
          </cell>
          <cell r="AT573">
            <v>4.0449999999999999</v>
          </cell>
          <cell r="AU573" t="str">
            <v>CD3</v>
          </cell>
          <cell r="AV573" t="str">
            <v>DP : Duitse Pallet</v>
          </cell>
          <cell r="AW573">
            <v>3</v>
          </cell>
          <cell r="AX573">
            <v>4.25</v>
          </cell>
          <cell r="AY573" t="str">
            <v>01.02.2015</v>
          </cell>
          <cell r="AZ573">
            <v>0</v>
          </cell>
          <cell r="BA573" t="str">
            <v>00.00.0000</v>
          </cell>
          <cell r="BB573" t="str">
            <v>M2</v>
          </cell>
          <cell r="BC573" t="str">
            <v>M2</v>
          </cell>
          <cell r="BD573" t="str">
            <v>S</v>
          </cell>
          <cell r="BE573">
            <v>5413218582698</v>
          </cell>
        </row>
        <row r="574">
          <cell r="A574" t="str">
            <v>G132828</v>
          </cell>
          <cell r="C574" t="str">
            <v>C5CBC17C004C003</v>
          </cell>
          <cell r="D574" t="str">
            <v>Profielen VERTEBRA M</v>
          </cell>
          <cell r="E574" t="str">
            <v>C5CB</v>
          </cell>
          <cell r="F574" t="str">
            <v>Profielen Platen en Wanden M</v>
          </cell>
          <cell r="G574" t="str">
            <v>G132828</v>
          </cell>
          <cell r="H574" t="str">
            <v>bestaand</v>
          </cell>
          <cell r="I574" t="str">
            <v>01.01.2013</v>
          </cell>
          <cell r="J574" t="str">
            <v>Yes</v>
          </cell>
          <cell r="K574" t="str">
            <v>Professional</v>
          </cell>
          <cell r="L574" t="str">
            <v>VERTEBRA</v>
          </cell>
          <cell r="M574" t="str">
            <v>GV50</v>
          </cell>
          <cell r="N574" t="str">
            <v>Vertebra VLOER/PLAFOND F-GV50 20M</v>
          </cell>
          <cell r="O574" t="str">
            <v>Vertebra VLOER/PLAFOND F-GV50 20M</v>
          </cell>
          <cell r="P574" t="str">
            <v>(blanco)</v>
          </cell>
          <cell r="Q574" t="str">
            <v>(blanco)</v>
          </cell>
          <cell r="R574" t="str">
            <v>(blanco)</v>
          </cell>
          <cell r="S574" t="str">
            <v>(blanco)</v>
          </cell>
          <cell r="T574" t="str">
            <v>NBN EN 14195:2015</v>
          </cell>
          <cell r="U574" t="str">
            <v>U</v>
          </cell>
          <cell r="V574" t="str">
            <v>--</v>
          </cell>
          <cell r="AA574" t="str">
            <v>A1</v>
          </cell>
          <cell r="AC574" t="str">
            <v>(blanco)</v>
          </cell>
          <cell r="AD574" t="str">
            <v>(blanco)</v>
          </cell>
          <cell r="AL574" t="str">
            <v>(blanco)</v>
          </cell>
          <cell r="AM574" t="str">
            <v>(blanco)</v>
          </cell>
          <cell r="AN574" t="str">
            <v>(blanco)</v>
          </cell>
          <cell r="AP574">
            <v>50</v>
          </cell>
          <cell r="AR574">
            <v>2.11</v>
          </cell>
          <cell r="AS574">
            <v>2.13</v>
          </cell>
          <cell r="AT574">
            <v>0</v>
          </cell>
          <cell r="AX574">
            <v>0</v>
          </cell>
          <cell r="AY574" t="str">
            <v>00.00.0000</v>
          </cell>
          <cell r="AZ574">
            <v>0</v>
          </cell>
          <cell r="BA574" t="str">
            <v>00.00.0000</v>
          </cell>
          <cell r="BD574" t="str">
            <v>S</v>
          </cell>
          <cell r="BE574">
            <v>0</v>
          </cell>
        </row>
        <row r="575">
          <cell r="A575" t="str">
            <v>G132829</v>
          </cell>
          <cell r="C575" t="str">
            <v>C5CBC17C004C003</v>
          </cell>
          <cell r="D575" t="str">
            <v>Profielen VERTEBRA M</v>
          </cell>
          <cell r="E575" t="str">
            <v>C5CB</v>
          </cell>
          <cell r="F575" t="str">
            <v>Profielen Platen en Wanden M</v>
          </cell>
          <cell r="G575" t="str">
            <v>G132829</v>
          </cell>
          <cell r="H575" t="str">
            <v>bestaand</v>
          </cell>
          <cell r="I575" t="str">
            <v>01.01.2013</v>
          </cell>
          <cell r="J575" t="str">
            <v>Yes</v>
          </cell>
          <cell r="K575" t="str">
            <v>Professional</v>
          </cell>
          <cell r="L575" t="str">
            <v>VERTEBRA</v>
          </cell>
          <cell r="M575" t="str">
            <v>GV75</v>
          </cell>
          <cell r="N575" t="str">
            <v>Vertebra VLOER/PLAFOND F-GV75 20M</v>
          </cell>
          <cell r="O575" t="str">
            <v>Vertebra VLOER/PLAFOND F-GV75 20M</v>
          </cell>
          <cell r="P575" t="str">
            <v>(blanco)</v>
          </cell>
          <cell r="Q575" t="str">
            <v>(blanco)</v>
          </cell>
          <cell r="R575" t="str">
            <v>(blanco)</v>
          </cell>
          <cell r="S575" t="str">
            <v>(blanco)</v>
          </cell>
          <cell r="T575" t="str">
            <v>NBN EN 14195:2015</v>
          </cell>
          <cell r="U575" t="str">
            <v>U</v>
          </cell>
          <cell r="V575" t="str">
            <v>--</v>
          </cell>
          <cell r="AA575" t="str">
            <v>A1</v>
          </cell>
          <cell r="AC575" t="str">
            <v>(blanco)</v>
          </cell>
          <cell r="AD575" t="str">
            <v>(blanco)</v>
          </cell>
          <cell r="AL575" t="str">
            <v>(blanco)</v>
          </cell>
          <cell r="AM575" t="str">
            <v>(blanco)</v>
          </cell>
          <cell r="AN575" t="str">
            <v>(blanco)</v>
          </cell>
          <cell r="AP575">
            <v>50</v>
          </cell>
          <cell r="AR575">
            <v>2.0649999999999999</v>
          </cell>
          <cell r="AS575">
            <v>2.0699999999999998</v>
          </cell>
          <cell r="AT575">
            <v>0</v>
          </cell>
          <cell r="AX575">
            <v>0</v>
          </cell>
          <cell r="AY575" t="str">
            <v>00.00.0000</v>
          </cell>
          <cell r="AZ575">
            <v>0</v>
          </cell>
          <cell r="BA575" t="str">
            <v>00.00.0000</v>
          </cell>
          <cell r="BD575" t="str">
            <v>S</v>
          </cell>
          <cell r="BE575">
            <v>0</v>
          </cell>
        </row>
        <row r="576">
          <cell r="A576" t="str">
            <v>H40420600</v>
          </cell>
          <cell r="C576" t="str">
            <v>C1CAC01C003C001</v>
          </cell>
          <cell r="D576" t="str">
            <v>Line A M2</v>
          </cell>
          <cell r="E576" t="str">
            <v>C1CA</v>
          </cell>
          <cell r="F576" t="str">
            <v>Gyptone plafonds</v>
          </cell>
          <cell r="G576" t="str">
            <v>H40420600</v>
          </cell>
          <cell r="H576" t="str">
            <v>bestaand</v>
          </cell>
          <cell r="I576" t="str">
            <v>01.01.2013</v>
          </cell>
          <cell r="J576" t="str">
            <v>Yes</v>
          </cell>
          <cell r="K576" t="str">
            <v>Professional</v>
          </cell>
          <cell r="L576" t="str">
            <v>GYPTONE</v>
          </cell>
          <cell r="M576" t="str">
            <v>GYPTONE LINE 4</v>
          </cell>
          <cell r="N576" t="str">
            <v>Gyptone®Activ'Air®Line 4 A 10 60</v>
          </cell>
          <cell r="O576" t="str">
            <v>Gyptone®Activ'Air®Line 4 A 10 60</v>
          </cell>
          <cell r="P576" t="str">
            <v>ivoor</v>
          </cell>
          <cell r="Q576" t="str">
            <v>ivoire</v>
          </cell>
          <cell r="R576" t="str">
            <v>wit vlies</v>
          </cell>
          <cell r="S576" t="str">
            <v>voile blanc</v>
          </cell>
          <cell r="T576" t="str">
            <v>NBN EN 14190:2014</v>
          </cell>
          <cell r="U576" t="str">
            <v>A</v>
          </cell>
          <cell r="V576" t="str">
            <v>GT</v>
          </cell>
          <cell r="W576" t="str">
            <v>geperforeerde tegel uit gipskartonplaat</v>
          </cell>
          <cell r="Y576" t="str">
            <v>gipsplaat voor droge binnenafbouw</v>
          </cell>
          <cell r="AA576" t="str">
            <v>A2-s1, d0 (C.4)</v>
          </cell>
          <cell r="AB576" t="str">
            <v>DoP_GYP_14190-1-v-1</v>
          </cell>
          <cell r="AC576" t="str">
            <v>A</v>
          </cell>
          <cell r="AE576">
            <v>10</v>
          </cell>
          <cell r="AH576" t="str">
            <v>+/-0.5</v>
          </cell>
          <cell r="AI576">
            <v>0</v>
          </cell>
          <cell r="AJ576">
            <v>0</v>
          </cell>
          <cell r="AL576" t="str">
            <v>Geen eisen gesteld</v>
          </cell>
          <cell r="AM576" t="str">
            <v>Pas de exigences</v>
          </cell>
          <cell r="AN576" t="str">
            <v>kg/m³</v>
          </cell>
          <cell r="AP576">
            <v>0.25</v>
          </cell>
          <cell r="AR576">
            <v>2.3130000000000002</v>
          </cell>
          <cell r="AS576">
            <v>2.5</v>
          </cell>
          <cell r="AT576">
            <v>3.6</v>
          </cell>
          <cell r="AU576" t="str">
            <v>CD3</v>
          </cell>
          <cell r="AX576">
            <v>19.05</v>
          </cell>
          <cell r="AY576" t="str">
            <v>01.02.2015</v>
          </cell>
          <cell r="AZ576">
            <v>0</v>
          </cell>
          <cell r="BA576" t="str">
            <v>00.00.0000</v>
          </cell>
          <cell r="BB576" t="str">
            <v>M2</v>
          </cell>
          <cell r="BC576" t="str">
            <v>M2</v>
          </cell>
          <cell r="BD576" t="str">
            <v>S</v>
          </cell>
          <cell r="BE576">
            <v>3496250247338</v>
          </cell>
        </row>
        <row r="577">
          <cell r="A577" t="str">
            <v>H40460600</v>
          </cell>
          <cell r="C577" t="str">
            <v>C1CAC01C003C003</v>
          </cell>
          <cell r="D577" t="str">
            <v>Line E M2</v>
          </cell>
          <cell r="E577" t="str">
            <v>C1CA</v>
          </cell>
          <cell r="F577" t="str">
            <v>Gyptone plafonds</v>
          </cell>
          <cell r="G577" t="str">
            <v>H40460600</v>
          </cell>
          <cell r="H577" t="str">
            <v>bestaand</v>
          </cell>
          <cell r="I577" t="str">
            <v>01.01.2013</v>
          </cell>
          <cell r="J577" t="str">
            <v>Yes</v>
          </cell>
          <cell r="K577" t="str">
            <v>Professional</v>
          </cell>
          <cell r="L577" t="str">
            <v>GYPTONE</v>
          </cell>
          <cell r="M577" t="str">
            <v>GYPTONE LINE 4</v>
          </cell>
          <cell r="N577" t="str">
            <v>Gyptone®Activ'Air®Line 4 E15 10 60</v>
          </cell>
          <cell r="O577" t="str">
            <v>Gyptone®Activ'Air®Line 4 E15 10 60</v>
          </cell>
          <cell r="P577" t="str">
            <v>ivoor</v>
          </cell>
          <cell r="Q577" t="str">
            <v>ivoire</v>
          </cell>
          <cell r="R577" t="str">
            <v>wit vlies</v>
          </cell>
          <cell r="S577" t="str">
            <v>voile blanc</v>
          </cell>
          <cell r="T577" t="str">
            <v>NBN EN 14190:2014</v>
          </cell>
          <cell r="U577" t="str">
            <v>A</v>
          </cell>
          <cell r="V577" t="str">
            <v>GT</v>
          </cell>
          <cell r="W577" t="str">
            <v>geperforeerde tegel uit gipskartonplaat</v>
          </cell>
          <cell r="Y577" t="str">
            <v>gipsplaat voor droge binnenafbouw</v>
          </cell>
          <cell r="AA577" t="str">
            <v>A2-s1, d0 (C.4)</v>
          </cell>
          <cell r="AB577" t="str">
            <v>DoP_GYP_14190-1-v-1</v>
          </cell>
          <cell r="AC577" t="str">
            <v>E-15</v>
          </cell>
          <cell r="AE577">
            <v>10</v>
          </cell>
          <cell r="AH577" t="str">
            <v>+/-0.5</v>
          </cell>
          <cell r="AI577">
            <v>0</v>
          </cell>
          <cell r="AJ577">
            <v>0</v>
          </cell>
          <cell r="AL577" t="str">
            <v>Geen eisen gesteld</v>
          </cell>
          <cell r="AM577" t="str">
            <v>Pas de exigences</v>
          </cell>
          <cell r="AN577" t="str">
            <v>kg/m³</v>
          </cell>
          <cell r="AP577">
            <v>0.25</v>
          </cell>
          <cell r="AR577">
            <v>2.25</v>
          </cell>
          <cell r="AS577">
            <v>2.5</v>
          </cell>
          <cell r="AT577">
            <v>3.6</v>
          </cell>
          <cell r="AU577" t="str">
            <v>CD3</v>
          </cell>
          <cell r="AX577">
            <v>23.55</v>
          </cell>
          <cell r="AY577" t="str">
            <v>01.02.2015</v>
          </cell>
          <cell r="AZ577">
            <v>0</v>
          </cell>
          <cell r="BA577" t="str">
            <v>00.00.0000</v>
          </cell>
          <cell r="BB577" t="str">
            <v>M2</v>
          </cell>
          <cell r="BC577" t="str">
            <v>M2</v>
          </cell>
          <cell r="BD577" t="str">
            <v>S</v>
          </cell>
          <cell r="BE577">
            <v>3496250247345</v>
          </cell>
        </row>
        <row r="578">
          <cell r="A578" t="str">
            <v>H40470600</v>
          </cell>
          <cell r="C578" t="str">
            <v>C1CAC01C003C004</v>
          </cell>
          <cell r="D578" t="str">
            <v>Line D2 M2</v>
          </cell>
          <cell r="E578" t="str">
            <v>C1CA</v>
          </cell>
          <cell r="F578" t="str">
            <v>Gyptone plafonds</v>
          </cell>
          <cell r="G578" t="str">
            <v>H40470600</v>
          </cell>
          <cell r="H578" t="str">
            <v>nieuw</v>
          </cell>
          <cell r="I578" t="str">
            <v>01.02.2016</v>
          </cell>
          <cell r="J578" t="str">
            <v>Yes</v>
          </cell>
          <cell r="K578" t="str">
            <v>Professional</v>
          </cell>
          <cell r="L578" t="str">
            <v>GYPTONE</v>
          </cell>
          <cell r="M578" t="str">
            <v>GYPTONE LINE 4</v>
          </cell>
          <cell r="N578" t="str">
            <v>Gyptone®Activ'Air®Line 4 D2 12,5 60</v>
          </cell>
          <cell r="O578" t="str">
            <v>Gyptone®Activ'Air®Line 4 D2 12,5 60</v>
          </cell>
          <cell r="P578" t="str">
            <v>ivoor</v>
          </cell>
          <cell r="Q578" t="str">
            <v>ivoire</v>
          </cell>
          <cell r="R578" t="str">
            <v>wit vlies</v>
          </cell>
          <cell r="S578" t="str">
            <v>voile blanc</v>
          </cell>
          <cell r="T578" t="str">
            <v>NBN EN 14190:2014</v>
          </cell>
          <cell r="U578" t="str">
            <v>A</v>
          </cell>
          <cell r="V578" t="str">
            <v>GT</v>
          </cell>
          <cell r="W578" t="str">
            <v>geperforeerde tegel uit gipskartonplaat</v>
          </cell>
          <cell r="Y578" t="str">
            <v>gipsplaat voor droge binnenafbouw</v>
          </cell>
          <cell r="AA578" t="str">
            <v>A2-s1, d0 (C.4)</v>
          </cell>
          <cell r="AB578" t="str">
            <v>DoP_GYP_14190-1-v-1</v>
          </cell>
          <cell r="AC578" t="str">
            <v>D1</v>
          </cell>
          <cell r="AE578">
            <v>12.5</v>
          </cell>
          <cell r="AH578" t="str">
            <v>+/-0.5</v>
          </cell>
          <cell r="AI578">
            <v>0</v>
          </cell>
          <cell r="AJ578">
            <v>0</v>
          </cell>
          <cell r="AL578" t="str">
            <v>Geen eisen gesteld</v>
          </cell>
          <cell r="AM578" t="str">
            <v>Pas de exigences</v>
          </cell>
          <cell r="AN578" t="str">
            <v>kg/m³</v>
          </cell>
          <cell r="AP578">
            <v>0.25</v>
          </cell>
          <cell r="AR578">
            <v>2.702</v>
          </cell>
          <cell r="AS578">
            <v>2.9169999999999998</v>
          </cell>
          <cell r="AT578">
            <v>4.68</v>
          </cell>
          <cell r="AU578" t="str">
            <v>CD3</v>
          </cell>
          <cell r="AV578" t="str">
            <v>WP : Wegwerppallet</v>
          </cell>
          <cell r="AW578">
            <v>7</v>
          </cell>
          <cell r="AX578">
            <v>22.95</v>
          </cell>
          <cell r="AY578" t="str">
            <v>01.07.2015</v>
          </cell>
          <cell r="AZ578">
            <v>0</v>
          </cell>
          <cell r="BA578" t="str">
            <v>00.00.0000</v>
          </cell>
          <cell r="BB578" t="str">
            <v>M2</v>
          </cell>
          <cell r="BC578" t="str">
            <v>M2</v>
          </cell>
          <cell r="BD578">
            <v>2</v>
          </cell>
          <cell r="BE578">
            <v>3496250305588</v>
          </cell>
        </row>
        <row r="579">
          <cell r="A579" t="str">
            <v>H40841800</v>
          </cell>
          <cell r="C579" t="str">
            <v>C1CAC03C003C001</v>
          </cell>
          <cell r="D579" t="str">
            <v>Dalles Gyptone Panel Coul LineE M2</v>
          </cell>
          <cell r="E579" t="str">
            <v>C1CA</v>
          </cell>
          <cell r="F579" t="str">
            <v>Gyptone plafonds</v>
          </cell>
          <cell r="G579" t="str">
            <v>H40841800</v>
          </cell>
          <cell r="H579" t="str">
            <v>bestaand</v>
          </cell>
          <cell r="I579" t="str">
            <v>01.01.2013</v>
          </cell>
          <cell r="J579" t="str">
            <v>Yes</v>
          </cell>
          <cell r="K579" t="str">
            <v>Professional</v>
          </cell>
          <cell r="L579" t="str">
            <v>GYPTONE</v>
          </cell>
          <cell r="M579" t="str">
            <v>GYPTONE LINE 8</v>
          </cell>
          <cell r="N579" t="str">
            <v>GYPT LINE 8 E 12.5 1800X300 WP/12DS</v>
          </cell>
          <cell r="O579" t="str">
            <v>Gyptone® Line 8 E 1800</v>
          </cell>
          <cell r="P579" t="str">
            <v>ivoor</v>
          </cell>
          <cell r="Q579" t="str">
            <v>ivoire</v>
          </cell>
          <cell r="R579" t="str">
            <v>wit vlies</v>
          </cell>
          <cell r="S579" t="str">
            <v>voile blanc</v>
          </cell>
          <cell r="T579" t="str">
            <v>NBN EN 14190:2014</v>
          </cell>
          <cell r="U579" t="str">
            <v>A</v>
          </cell>
          <cell r="V579" t="str">
            <v>GT</v>
          </cell>
          <cell r="W579" t="str">
            <v>geperforeerd paneel uit gipskartonplaat</v>
          </cell>
          <cell r="Y579" t="str">
            <v>gipsplaat voor droge binnenafbouw</v>
          </cell>
          <cell r="AA579" t="str">
            <v>A2-s1, d0 (C.4)</v>
          </cell>
          <cell r="AB579" t="str">
            <v>DoP_GYP_14190-3-v-1</v>
          </cell>
          <cell r="AC579" t="str">
            <v>E15/A</v>
          </cell>
          <cell r="AE579">
            <v>12.5</v>
          </cell>
          <cell r="AH579" t="str">
            <v>+/-0.5</v>
          </cell>
          <cell r="AI579">
            <v>0</v>
          </cell>
          <cell r="AJ579">
            <v>0</v>
          </cell>
          <cell r="AL579" t="str">
            <v>Geen eisen gesteld</v>
          </cell>
          <cell r="AM579" t="str">
            <v>Pas de exigences</v>
          </cell>
          <cell r="AN579" t="str">
            <v>kg/m³</v>
          </cell>
          <cell r="AP579">
            <v>0.25</v>
          </cell>
          <cell r="AR579">
            <v>4.1040000000000001</v>
          </cell>
          <cell r="AS579">
            <v>4.3120000000000003</v>
          </cell>
          <cell r="AT579">
            <v>7.02</v>
          </cell>
          <cell r="AU579" t="str">
            <v>CD3</v>
          </cell>
          <cell r="AV579" t="str">
            <v>WP : Wegwerppallet</v>
          </cell>
          <cell r="AW579">
            <v>7</v>
          </cell>
          <cell r="AX579">
            <v>30.97</v>
          </cell>
          <cell r="AY579" t="str">
            <v>01.02.2015</v>
          </cell>
          <cell r="AZ579">
            <v>0</v>
          </cell>
          <cell r="BA579" t="str">
            <v>00.00.0000</v>
          </cell>
          <cell r="BB579" t="str">
            <v>M2</v>
          </cell>
          <cell r="BC579" t="str">
            <v>M2</v>
          </cell>
          <cell r="BD579">
            <v>2</v>
          </cell>
          <cell r="BE579">
            <v>3496250066625</v>
          </cell>
        </row>
        <row r="580">
          <cell r="A580" t="str">
            <v>H40842100</v>
          </cell>
          <cell r="B580" t="str">
            <v>PANE15L8210</v>
          </cell>
          <cell r="C580" t="str">
            <v>C1CAC03C003C001</v>
          </cell>
          <cell r="D580" t="str">
            <v>Dalles Gyptone Panel Coul LineE M2</v>
          </cell>
          <cell r="E580" t="str">
            <v>C1CA</v>
          </cell>
          <cell r="F580" t="str">
            <v>Gyptone plafonds</v>
          </cell>
          <cell r="G580" t="str">
            <v>H40842100</v>
          </cell>
          <cell r="H580" t="str">
            <v>bestaand</v>
          </cell>
          <cell r="I580" t="str">
            <v>01.01.2013</v>
          </cell>
          <cell r="J580" t="str">
            <v>Yes</v>
          </cell>
          <cell r="K580" t="str">
            <v>Professional</v>
          </cell>
          <cell r="L580" t="str">
            <v>GYPTONE</v>
          </cell>
          <cell r="M580" t="str">
            <v>GYPTONE LINE 8</v>
          </cell>
          <cell r="N580" t="str">
            <v>GYPT LINE 8 E 12.5 2100X300 WP/12DS</v>
          </cell>
          <cell r="O580" t="str">
            <v>Gyptone® Line 8 E 2100</v>
          </cell>
          <cell r="P580" t="str">
            <v>ivoor</v>
          </cell>
          <cell r="Q580" t="str">
            <v>ivoire</v>
          </cell>
          <cell r="R580" t="str">
            <v>wit vlies</v>
          </cell>
          <cell r="S580" t="str">
            <v>voile blanc</v>
          </cell>
          <cell r="T580" t="str">
            <v>NBN EN 14190:2014</v>
          </cell>
          <cell r="U580" t="str">
            <v>A</v>
          </cell>
          <cell r="V580" t="str">
            <v>GT</v>
          </cell>
          <cell r="W580" t="str">
            <v>geperforeerd paneel uit gipskartonplaat</v>
          </cell>
          <cell r="Y580" t="str">
            <v>gipsplaat voor droge binnenafbouw</v>
          </cell>
          <cell r="AA580" t="str">
            <v>A2-s1, d0 (C.4)</v>
          </cell>
          <cell r="AB580" t="str">
            <v>DoP_GYP_14190-3-v-1</v>
          </cell>
          <cell r="AC580" t="str">
            <v>E15/A</v>
          </cell>
          <cell r="AE580">
            <v>12.5</v>
          </cell>
          <cell r="AH580" t="str">
            <v>+/-0.5</v>
          </cell>
          <cell r="AI580">
            <v>0</v>
          </cell>
          <cell r="AJ580">
            <v>0</v>
          </cell>
          <cell r="AL580" t="str">
            <v>Geen eisen gesteld</v>
          </cell>
          <cell r="AM580" t="str">
            <v>Pas de exigences</v>
          </cell>
          <cell r="AN580" t="str">
            <v>kg/m³</v>
          </cell>
          <cell r="AP580">
            <v>0.25</v>
          </cell>
          <cell r="AR580">
            <v>4.7880000000000003</v>
          </cell>
          <cell r="AS580">
            <v>5.024</v>
          </cell>
          <cell r="AT580">
            <v>8.19</v>
          </cell>
          <cell r="AU580" t="str">
            <v>CD3</v>
          </cell>
          <cell r="AV580" t="str">
            <v>WP : Wegwerppallet</v>
          </cell>
          <cell r="AW580">
            <v>7</v>
          </cell>
          <cell r="AX580">
            <v>30.97</v>
          </cell>
          <cell r="AY580" t="str">
            <v>01.02.2015</v>
          </cell>
          <cell r="AZ580">
            <v>0</v>
          </cell>
          <cell r="BA580" t="str">
            <v>00.00.0000</v>
          </cell>
          <cell r="BB580" t="str">
            <v>M2</v>
          </cell>
          <cell r="BC580" t="str">
            <v>M2</v>
          </cell>
          <cell r="BD580">
            <v>2</v>
          </cell>
          <cell r="BE580">
            <v>3496250066632</v>
          </cell>
        </row>
        <row r="581">
          <cell r="A581" t="str">
            <v>H41120600</v>
          </cell>
          <cell r="C581" t="str">
            <v>C1CAC01C005C001</v>
          </cell>
          <cell r="D581" t="str">
            <v>Point A M2</v>
          </cell>
          <cell r="E581" t="str">
            <v>C1CA</v>
          </cell>
          <cell r="F581" t="str">
            <v>Gyptone plafonds</v>
          </cell>
          <cell r="G581" t="str">
            <v>H41120600</v>
          </cell>
          <cell r="H581" t="str">
            <v>bestaand</v>
          </cell>
          <cell r="I581" t="str">
            <v>01.01.2013</v>
          </cell>
          <cell r="J581" t="str">
            <v>Yes</v>
          </cell>
          <cell r="K581" t="str">
            <v>Professional</v>
          </cell>
          <cell r="L581" t="str">
            <v>GYPTONE</v>
          </cell>
          <cell r="M581" t="str">
            <v>GYPTONE POINT 11</v>
          </cell>
          <cell r="N581" t="str">
            <v>Gyptone®Activ'Air®Point 11 A 10 60</v>
          </cell>
          <cell r="O581" t="str">
            <v>Gyptone®Activ'Air®Point 11 A 10 60</v>
          </cell>
          <cell r="P581" t="str">
            <v>ivoor</v>
          </cell>
          <cell r="Q581" t="str">
            <v>ivoire</v>
          </cell>
          <cell r="R581" t="str">
            <v>wit vlies</v>
          </cell>
          <cell r="S581" t="str">
            <v>voile blanc</v>
          </cell>
          <cell r="T581" t="str">
            <v>NBN EN 14190:2014</v>
          </cell>
          <cell r="U581" t="str">
            <v>A</v>
          </cell>
          <cell r="V581" t="str">
            <v>GT</v>
          </cell>
          <cell r="W581" t="str">
            <v>geperforeerde tegel uit gipskartonplaat</v>
          </cell>
          <cell r="Y581" t="str">
            <v>gipsplaat voor droge binnenafbouw</v>
          </cell>
          <cell r="AA581" t="str">
            <v>A2-s1, d0 (C.4)</v>
          </cell>
          <cell r="AB581" t="str">
            <v>DoP_GYP_14190-1-v-1</v>
          </cell>
          <cell r="AC581" t="str">
            <v>A</v>
          </cell>
          <cell r="AE581">
            <v>10</v>
          </cell>
          <cell r="AH581" t="str">
            <v>+/-0.5</v>
          </cell>
          <cell r="AI581">
            <v>0</v>
          </cell>
          <cell r="AJ581">
            <v>0</v>
          </cell>
          <cell r="AL581" t="str">
            <v>Geen eisen gesteld</v>
          </cell>
          <cell r="AM581" t="str">
            <v>Pas de exigences</v>
          </cell>
          <cell r="AN581" t="str">
            <v>kg/m³</v>
          </cell>
          <cell r="AP581">
            <v>0.25</v>
          </cell>
          <cell r="AR581">
            <v>2.4380000000000002</v>
          </cell>
          <cell r="AS581">
            <v>2.5779999999999998</v>
          </cell>
          <cell r="AT581">
            <v>3.6</v>
          </cell>
          <cell r="AU581" t="str">
            <v>CD3</v>
          </cell>
          <cell r="AX581">
            <v>18.41</v>
          </cell>
          <cell r="AY581" t="str">
            <v>01.02.2015</v>
          </cell>
          <cell r="AZ581">
            <v>0</v>
          </cell>
          <cell r="BA581" t="str">
            <v>00.00.0000</v>
          </cell>
          <cell r="BB581" t="str">
            <v>M2</v>
          </cell>
          <cell r="BC581" t="str">
            <v>M2</v>
          </cell>
          <cell r="BD581" t="str">
            <v>S</v>
          </cell>
          <cell r="BE581">
            <v>3496250247369</v>
          </cell>
        </row>
        <row r="582">
          <cell r="A582" t="str">
            <v>H41140600</v>
          </cell>
          <cell r="B582" t="str">
            <v>POINT11D1</v>
          </cell>
          <cell r="C582" t="str">
            <v>C1CAC01C005C003</v>
          </cell>
          <cell r="D582" t="str">
            <v>Point D1 M2</v>
          </cell>
          <cell r="E582" t="str">
            <v>C1CA</v>
          </cell>
          <cell r="F582" t="str">
            <v>Gyptone plafonds</v>
          </cell>
          <cell r="G582" t="str">
            <v>H41140600</v>
          </cell>
          <cell r="H582" t="str">
            <v>te verwijderen</v>
          </cell>
          <cell r="I582" t="str">
            <v>01.01.2013</v>
          </cell>
          <cell r="J582" t="str">
            <v>Yes</v>
          </cell>
          <cell r="K582" t="str">
            <v>Professional</v>
          </cell>
          <cell r="L582" t="str">
            <v>GYPTONE</v>
          </cell>
          <cell r="M582" t="str">
            <v>GYPTONE POINT 11</v>
          </cell>
          <cell r="N582" t="str">
            <v>GYPT POINT 11 D1 12.5 600X600 WP/14DS</v>
          </cell>
          <cell r="O582" t="str">
            <v>Gyptone® Point 11 D1 60/60</v>
          </cell>
          <cell r="P582" t="str">
            <v>ivoor</v>
          </cell>
          <cell r="Q582" t="str">
            <v>ivoire</v>
          </cell>
          <cell r="R582" t="str">
            <v>wit vlies</v>
          </cell>
          <cell r="S582" t="str">
            <v>voile blanc</v>
          </cell>
          <cell r="T582" t="str">
            <v>NBN EN 14190:2014</v>
          </cell>
          <cell r="U582" t="str">
            <v>A</v>
          </cell>
          <cell r="V582" t="str">
            <v>GT</v>
          </cell>
          <cell r="W582" t="str">
            <v>geperforeerde tegel uit gipskartonplaat</v>
          </cell>
          <cell r="Y582" t="str">
            <v>gipsplaat voor droge binnenafbouw</v>
          </cell>
          <cell r="AA582" t="str">
            <v>A2-s1, d0 (C.4)</v>
          </cell>
          <cell r="AB582" t="str">
            <v>DoP_GYP_14190-1-v-1</v>
          </cell>
          <cell r="AC582" t="str">
            <v>D1</v>
          </cell>
          <cell r="AE582">
            <v>12.5</v>
          </cell>
          <cell r="AH582" t="str">
            <v>+/-0.5</v>
          </cell>
          <cell r="AI582">
            <v>0</v>
          </cell>
          <cell r="AJ582">
            <v>0</v>
          </cell>
          <cell r="AL582" t="str">
            <v>Geen eisen gesteld</v>
          </cell>
          <cell r="AM582" t="str">
            <v>Pas de exigences</v>
          </cell>
          <cell r="AN582" t="str">
            <v>kg/m³</v>
          </cell>
          <cell r="AP582">
            <v>0.25</v>
          </cell>
          <cell r="AR582">
            <v>3.1859999999999999</v>
          </cell>
          <cell r="AS582">
            <v>3.1859999999999999</v>
          </cell>
          <cell r="AT582">
            <v>4.5</v>
          </cell>
          <cell r="AU582" t="str">
            <v>CD3</v>
          </cell>
          <cell r="AV582" t="str">
            <v>WP : Wegwerppallet</v>
          </cell>
          <cell r="AW582">
            <v>7</v>
          </cell>
          <cell r="AX582">
            <v>35.299999999999997</v>
          </cell>
          <cell r="AY582" t="str">
            <v>01.02.2015</v>
          </cell>
          <cell r="AZ582">
            <v>0</v>
          </cell>
          <cell r="BA582" t="str">
            <v>00.00.0000</v>
          </cell>
          <cell r="BB582" t="str">
            <v>M2</v>
          </cell>
          <cell r="BC582" t="str">
            <v>M2</v>
          </cell>
          <cell r="BD582">
            <v>2</v>
          </cell>
          <cell r="BE582">
            <v>3496250066694</v>
          </cell>
        </row>
        <row r="583">
          <cell r="A583" t="str">
            <v>H41160600</v>
          </cell>
          <cell r="C583" t="str">
            <v>C1CAC01C005C005</v>
          </cell>
          <cell r="D583" t="str">
            <v>Point E M2</v>
          </cell>
          <cell r="E583" t="str">
            <v>C1CA</v>
          </cell>
          <cell r="F583" t="str">
            <v>Gyptone plafonds</v>
          </cell>
          <cell r="G583" t="str">
            <v>H41160600</v>
          </cell>
          <cell r="H583" t="str">
            <v>bestaand</v>
          </cell>
          <cell r="I583" t="str">
            <v>01.01.2013</v>
          </cell>
          <cell r="J583" t="str">
            <v>Yes</v>
          </cell>
          <cell r="K583" t="str">
            <v>Professional</v>
          </cell>
          <cell r="L583" t="str">
            <v>GYPTONE</v>
          </cell>
          <cell r="M583" t="str">
            <v>GYPTONE POINT 11</v>
          </cell>
          <cell r="N583" t="str">
            <v>Gyptone®Activ'Air®Point 11 E15 10 60</v>
          </cell>
          <cell r="O583" t="str">
            <v>Gyptone®Activ'Air®Point 11 E15 10 60</v>
          </cell>
          <cell r="P583" t="str">
            <v>ivoor</v>
          </cell>
          <cell r="Q583" t="str">
            <v>ivoire</v>
          </cell>
          <cell r="R583" t="str">
            <v>wit vlies</v>
          </cell>
          <cell r="S583" t="str">
            <v>voile blanc</v>
          </cell>
          <cell r="T583" t="str">
            <v>NBN EN 14190:2014</v>
          </cell>
          <cell r="U583" t="str">
            <v>A</v>
          </cell>
          <cell r="V583" t="str">
            <v>GT</v>
          </cell>
          <cell r="W583" t="str">
            <v>geperforeerde tegel uit gipskartonplaat</v>
          </cell>
          <cell r="Y583" t="str">
            <v>gipsplaat voor droge binnenafbouw</v>
          </cell>
          <cell r="AA583" t="str">
            <v>A2-s1, d0 (C.4)</v>
          </cell>
          <cell r="AB583" t="str">
            <v>DoP_GYP_14190-1-v-1</v>
          </cell>
          <cell r="AC583" t="str">
            <v>E-15</v>
          </cell>
          <cell r="AE583">
            <v>10</v>
          </cell>
          <cell r="AH583" t="str">
            <v>+/-0.5</v>
          </cell>
          <cell r="AI583">
            <v>0</v>
          </cell>
          <cell r="AJ583">
            <v>0</v>
          </cell>
          <cell r="AL583" t="str">
            <v>Geen eisen gesteld</v>
          </cell>
          <cell r="AM583" t="str">
            <v>Pas de exigences</v>
          </cell>
          <cell r="AN583" t="str">
            <v>kg/m³</v>
          </cell>
          <cell r="AP583">
            <v>0.25</v>
          </cell>
          <cell r="AR583">
            <v>2.4380000000000002</v>
          </cell>
          <cell r="AS583">
            <v>2.5779999999999998</v>
          </cell>
          <cell r="AT583">
            <v>3.6</v>
          </cell>
          <cell r="AU583" t="str">
            <v>CD3</v>
          </cell>
          <cell r="AX583">
            <v>22.92</v>
          </cell>
          <cell r="AY583" t="str">
            <v>01.02.2015</v>
          </cell>
          <cell r="AZ583">
            <v>0</v>
          </cell>
          <cell r="BA583" t="str">
            <v>00.00.0000</v>
          </cell>
          <cell r="BB583" t="str">
            <v>M2</v>
          </cell>
          <cell r="BC583" t="str">
            <v>M2</v>
          </cell>
          <cell r="BD583" t="str">
            <v>S</v>
          </cell>
          <cell r="BE583">
            <v>3496250247390</v>
          </cell>
        </row>
        <row r="584">
          <cell r="A584" t="str">
            <v>H41190600</v>
          </cell>
          <cell r="C584" t="str">
            <v>C1CAC01C005C007</v>
          </cell>
          <cell r="D584" t="str">
            <v>Point D2 M2</v>
          </cell>
          <cell r="E584" t="str">
            <v>C1CA</v>
          </cell>
          <cell r="F584" t="str">
            <v>Gyptone plafonds</v>
          </cell>
          <cell r="G584" t="str">
            <v>H41190600</v>
          </cell>
          <cell r="H584" t="str">
            <v>nieuw</v>
          </cell>
          <cell r="I584" t="str">
            <v>01.02.2016</v>
          </cell>
          <cell r="J584" t="str">
            <v>Yes</v>
          </cell>
          <cell r="K584" t="str">
            <v>Professional</v>
          </cell>
          <cell r="L584" t="str">
            <v>GYPTONE</v>
          </cell>
          <cell r="M584" t="str">
            <v>GYPTONE POINT 11</v>
          </cell>
          <cell r="N584" t="str">
            <v>Gyptone® Activ'Air®Point 11 D2 12,5 60</v>
          </cell>
          <cell r="O584" t="str">
            <v>Gyptone®Activ'Air®Point 11 D2 12,5 60</v>
          </cell>
          <cell r="P584" t="str">
            <v>ivoor</v>
          </cell>
          <cell r="Q584" t="str">
            <v>ivoire</v>
          </cell>
          <cell r="R584" t="str">
            <v>wit vlies</v>
          </cell>
          <cell r="S584" t="str">
            <v>voile blanc</v>
          </cell>
          <cell r="T584" t="str">
            <v>NBN EN 14190:2014</v>
          </cell>
          <cell r="U584" t="str">
            <v>A</v>
          </cell>
          <cell r="V584" t="str">
            <v>GT</v>
          </cell>
          <cell r="W584" t="str">
            <v>geperforeerde tegel uit gipskartonplaat</v>
          </cell>
          <cell r="Y584" t="str">
            <v>gipsplaat voor droge binnenafbouw</v>
          </cell>
          <cell r="AA584" t="str">
            <v>A2-s1, d0 (C.4)</v>
          </cell>
          <cell r="AB584" t="str">
            <v>DoP_GYP_14190-1-v-1</v>
          </cell>
          <cell r="AC584" t="str">
            <v>D1</v>
          </cell>
          <cell r="AE584">
            <v>12.5</v>
          </cell>
          <cell r="AH584" t="str">
            <v>+/-0.5</v>
          </cell>
          <cell r="AI584">
            <v>0</v>
          </cell>
          <cell r="AJ584">
            <v>0</v>
          </cell>
          <cell r="AL584" t="str">
            <v>Geen eisen gesteld</v>
          </cell>
          <cell r="AM584" t="str">
            <v>Pas de exigences</v>
          </cell>
          <cell r="AN584" t="str">
            <v>kg/m³</v>
          </cell>
          <cell r="AP584">
            <v>0.25</v>
          </cell>
          <cell r="AR584">
            <v>2.9260000000000002</v>
          </cell>
          <cell r="AS584">
            <v>3.125</v>
          </cell>
          <cell r="AT584">
            <v>4.68</v>
          </cell>
          <cell r="AU584" t="str">
            <v>CD3</v>
          </cell>
          <cell r="AV584" t="str">
            <v>WP : Wegwerppallet</v>
          </cell>
          <cell r="AW584">
            <v>7</v>
          </cell>
          <cell r="AX584">
            <v>22.95</v>
          </cell>
          <cell r="AY584" t="str">
            <v>01.07.2015</v>
          </cell>
          <cell r="AZ584">
            <v>0</v>
          </cell>
          <cell r="BA584" t="str">
            <v>00.00.0000</v>
          </cell>
          <cell r="BB584" t="str">
            <v>M2</v>
          </cell>
          <cell r="BC584" t="str">
            <v>M2</v>
          </cell>
          <cell r="BD584">
            <v>2</v>
          </cell>
          <cell r="BE584">
            <v>3496250305632</v>
          </cell>
        </row>
        <row r="585">
          <cell r="A585" t="str">
            <v>H41220600</v>
          </cell>
          <cell r="C585" t="str">
            <v>C1CAC01C005C001</v>
          </cell>
          <cell r="D585" t="str">
            <v>Point A M2</v>
          </cell>
          <cell r="E585" t="str">
            <v>C1CA</v>
          </cell>
          <cell r="F585" t="str">
            <v>Gyptone plafonds</v>
          </cell>
          <cell r="G585" t="str">
            <v>H41220600</v>
          </cell>
          <cell r="H585" t="str">
            <v>bestaand</v>
          </cell>
          <cell r="I585" t="str">
            <v>01.01.2013</v>
          </cell>
          <cell r="J585" t="str">
            <v>Yes</v>
          </cell>
          <cell r="K585" t="str">
            <v>Professional</v>
          </cell>
          <cell r="L585" t="str">
            <v>GYPTONE</v>
          </cell>
          <cell r="M585" t="str">
            <v>GYPTONE POINT 12</v>
          </cell>
          <cell r="N585" t="str">
            <v>Gyptone®Activ'Air®Point 12 A 10 60</v>
          </cell>
          <cell r="O585" t="str">
            <v>Gyptone®Activ'Air®Point 12 A 10 60</v>
          </cell>
          <cell r="P585" t="str">
            <v>ivoor</v>
          </cell>
          <cell r="Q585" t="str">
            <v>ivoire</v>
          </cell>
          <cell r="R585" t="str">
            <v>wit vlies</v>
          </cell>
          <cell r="S585" t="str">
            <v>voile blanc</v>
          </cell>
          <cell r="T585" t="str">
            <v>NBN EN 14190:2014</v>
          </cell>
          <cell r="U585" t="str">
            <v>A</v>
          </cell>
          <cell r="V585" t="str">
            <v>GT</v>
          </cell>
          <cell r="W585" t="str">
            <v>geperforeerde tegel uit gipskartonplaat</v>
          </cell>
          <cell r="Y585" t="str">
            <v>gipsplaat voor droge binnenafbouw</v>
          </cell>
          <cell r="AA585" t="str">
            <v>A2-s1, d0 (C.4)</v>
          </cell>
          <cell r="AB585" t="str">
            <v>DoP_GYP_14190-1-v-1</v>
          </cell>
          <cell r="AC585" t="str">
            <v>A</v>
          </cell>
          <cell r="AE585">
            <v>10</v>
          </cell>
          <cell r="AH585" t="str">
            <v>+/-0.5</v>
          </cell>
          <cell r="AI585">
            <v>0</v>
          </cell>
          <cell r="AJ585">
            <v>0</v>
          </cell>
          <cell r="AL585" t="str">
            <v>Geen eisen gesteld</v>
          </cell>
          <cell r="AM585" t="str">
            <v>Pas de exigences</v>
          </cell>
          <cell r="AN585" t="str">
            <v>kg/m³</v>
          </cell>
          <cell r="AP585">
            <v>0.25</v>
          </cell>
          <cell r="AR585">
            <v>2.7269999999999999</v>
          </cell>
          <cell r="AS585">
            <v>2.9140000000000001</v>
          </cell>
          <cell r="AT585">
            <v>3.6</v>
          </cell>
          <cell r="AU585" t="str">
            <v>CD3</v>
          </cell>
          <cell r="AX585">
            <v>18.41</v>
          </cell>
          <cell r="AY585" t="str">
            <v>01.02.2015</v>
          </cell>
          <cell r="AZ585">
            <v>0</v>
          </cell>
          <cell r="BA585" t="str">
            <v>00.00.0000</v>
          </cell>
          <cell r="BB585" t="str">
            <v>M2</v>
          </cell>
          <cell r="BC585" t="str">
            <v>M2</v>
          </cell>
          <cell r="BD585">
            <v>3</v>
          </cell>
          <cell r="BE585">
            <v>3496250247413</v>
          </cell>
        </row>
        <row r="586">
          <cell r="A586" t="str">
            <v>H41230600</v>
          </cell>
          <cell r="C586" t="str">
            <v>C1CAC01C005C007</v>
          </cell>
          <cell r="D586" t="str">
            <v>Point D2 M2</v>
          </cell>
          <cell r="E586" t="str">
            <v>C1CA</v>
          </cell>
          <cell r="F586" t="str">
            <v>Gyptone plafonds</v>
          </cell>
          <cell r="G586" t="str">
            <v>H41230600</v>
          </cell>
          <cell r="H586" t="str">
            <v>nieuw</v>
          </cell>
          <cell r="I586" t="str">
            <v>01.02.2016</v>
          </cell>
          <cell r="J586" t="str">
            <v>Yes</v>
          </cell>
          <cell r="K586" t="str">
            <v>Professional</v>
          </cell>
          <cell r="L586" t="str">
            <v>GYPTONE</v>
          </cell>
          <cell r="M586" t="str">
            <v>GYPTONE POINT 12</v>
          </cell>
          <cell r="N586" t="str">
            <v>Gyptone®Activ'Air®Point 12 D2 12,5 60</v>
          </cell>
          <cell r="O586" t="str">
            <v>Gyptone®Activ'Air®Point 12 D2 12,5 60</v>
          </cell>
          <cell r="P586" t="str">
            <v>ivoor</v>
          </cell>
          <cell r="Q586" t="str">
            <v>ivoire</v>
          </cell>
          <cell r="R586" t="str">
            <v>wit vlies</v>
          </cell>
          <cell r="S586" t="str">
            <v>voile blanc</v>
          </cell>
          <cell r="T586" t="str">
            <v>NBN EN 14190:2014</v>
          </cell>
          <cell r="U586" t="str">
            <v>A</v>
          </cell>
          <cell r="V586" t="str">
            <v>GT</v>
          </cell>
          <cell r="W586" t="str">
            <v>geperforeerde tegel uit gipskartonplaat</v>
          </cell>
          <cell r="Y586" t="str">
            <v>gipsplaat voor droge binnenafbouw</v>
          </cell>
          <cell r="AA586" t="str">
            <v>A2-s1, d0 (C.4)</v>
          </cell>
          <cell r="AB586" t="str">
            <v>DoP_GYP_14190-1-v-1</v>
          </cell>
          <cell r="AC586" t="str">
            <v>D1</v>
          </cell>
          <cell r="AE586">
            <v>12.5</v>
          </cell>
          <cell r="AH586" t="str">
            <v>+/-0.5</v>
          </cell>
          <cell r="AI586">
            <v>0</v>
          </cell>
          <cell r="AJ586">
            <v>0</v>
          </cell>
          <cell r="AL586" t="str">
            <v>Geen eisen gesteld</v>
          </cell>
          <cell r="AM586" t="str">
            <v>Pas de exigences</v>
          </cell>
          <cell r="AN586" t="str">
            <v>kg/m³</v>
          </cell>
          <cell r="AP586">
            <v>0.25</v>
          </cell>
          <cell r="AR586">
            <v>3.1320000000000001</v>
          </cell>
          <cell r="AS586">
            <v>3.4380000000000002</v>
          </cell>
          <cell r="AT586">
            <v>4.68</v>
          </cell>
          <cell r="AU586" t="str">
            <v>CD3</v>
          </cell>
          <cell r="AV586" t="str">
            <v>WP : Wegwerppallet</v>
          </cell>
          <cell r="AW586">
            <v>7</v>
          </cell>
          <cell r="AX586">
            <v>22.95</v>
          </cell>
          <cell r="AY586" t="str">
            <v>01.07.2015</v>
          </cell>
          <cell r="AZ586">
            <v>0</v>
          </cell>
          <cell r="BA586" t="str">
            <v>00.00.0000</v>
          </cell>
          <cell r="BB586" t="str">
            <v>M2</v>
          </cell>
          <cell r="BC586" t="str">
            <v>M2</v>
          </cell>
          <cell r="BD586">
            <v>3</v>
          </cell>
          <cell r="BE586">
            <v>3496250305663</v>
          </cell>
        </row>
        <row r="587">
          <cell r="A587" t="str">
            <v>H41260600</v>
          </cell>
          <cell r="C587" t="str">
            <v>C1CAC01C005C005</v>
          </cell>
          <cell r="D587" t="str">
            <v>Point E M2</v>
          </cell>
          <cell r="E587" t="str">
            <v>C1CA</v>
          </cell>
          <cell r="F587" t="str">
            <v>Gyptone plafonds</v>
          </cell>
          <cell r="G587" t="str">
            <v>H41260600</v>
          </cell>
          <cell r="H587" t="str">
            <v>bestaand</v>
          </cell>
          <cell r="I587" t="str">
            <v>01.01.2013</v>
          </cell>
          <cell r="J587" t="str">
            <v>Yes</v>
          </cell>
          <cell r="K587" t="str">
            <v>Professional</v>
          </cell>
          <cell r="L587" t="str">
            <v>GYPTONE</v>
          </cell>
          <cell r="M587" t="str">
            <v>GYPTONE POINT 12</v>
          </cell>
          <cell r="N587" t="str">
            <v>Gyptone®Activ'Air®Point 12 E15 10 60</v>
          </cell>
          <cell r="O587" t="str">
            <v>Gyptone®Activ'Air®Point 12 E15 10 60</v>
          </cell>
          <cell r="P587" t="str">
            <v>ivoor</v>
          </cell>
          <cell r="Q587" t="str">
            <v>ivoire</v>
          </cell>
          <cell r="R587" t="str">
            <v>wit vlies</v>
          </cell>
          <cell r="S587" t="str">
            <v>voile blanc</v>
          </cell>
          <cell r="T587" t="str">
            <v>NBN EN 14190:2014</v>
          </cell>
          <cell r="U587" t="str">
            <v>A</v>
          </cell>
          <cell r="V587" t="str">
            <v>GT</v>
          </cell>
          <cell r="W587" t="str">
            <v>geperforeerde tegel uit gipskartonplaat</v>
          </cell>
          <cell r="Y587" t="str">
            <v>gipsplaat voor droge binnenafbouw</v>
          </cell>
          <cell r="AA587" t="str">
            <v>A2-s1, d0 (C.4)</v>
          </cell>
          <cell r="AB587" t="str">
            <v>DoP_GYP_14190-1-v-1</v>
          </cell>
          <cell r="AC587" t="str">
            <v>E-15</v>
          </cell>
          <cell r="AE587">
            <v>10</v>
          </cell>
          <cell r="AH587" t="str">
            <v>+/-0.5</v>
          </cell>
          <cell r="AI587">
            <v>0</v>
          </cell>
          <cell r="AJ587">
            <v>0</v>
          </cell>
          <cell r="AL587" t="str">
            <v>Geen eisen gesteld</v>
          </cell>
          <cell r="AM587" t="str">
            <v>Pas de exigences</v>
          </cell>
          <cell r="AN587" t="str">
            <v>kg/m³</v>
          </cell>
          <cell r="AP587">
            <v>0.25</v>
          </cell>
          <cell r="AR587">
            <v>2.4119999999999999</v>
          </cell>
          <cell r="AS587">
            <v>2.5779999999999998</v>
          </cell>
          <cell r="AT587">
            <v>3.6</v>
          </cell>
          <cell r="AU587" t="str">
            <v>CD3</v>
          </cell>
          <cell r="AX587">
            <v>22.92</v>
          </cell>
          <cell r="AY587" t="str">
            <v>01.02.2015</v>
          </cell>
          <cell r="AZ587">
            <v>0</v>
          </cell>
          <cell r="BA587" t="str">
            <v>00.00.0000</v>
          </cell>
          <cell r="BB587" t="str">
            <v>M2</v>
          </cell>
          <cell r="BC587" t="str">
            <v>M2</v>
          </cell>
          <cell r="BD587">
            <v>3</v>
          </cell>
          <cell r="BE587">
            <v>3496250247437</v>
          </cell>
        </row>
        <row r="588">
          <cell r="A588" t="str">
            <v>H41412400</v>
          </cell>
          <cell r="B588" t="str">
            <v>QUAT41</v>
          </cell>
          <cell r="C588" t="str">
            <v>C1CGC03C001C001</v>
          </cell>
          <cell r="D588" t="str">
            <v>Gyptone Activ'Air Quattro SP platen M2</v>
          </cell>
          <cell r="E588" t="str">
            <v>C1CG</v>
          </cell>
          <cell r="F588" t="str">
            <v>Gyptone platen M2</v>
          </cell>
          <cell r="G588" t="str">
            <v>H41412400</v>
          </cell>
          <cell r="H588" t="str">
            <v>bestaand</v>
          </cell>
          <cell r="I588" t="str">
            <v>01.01.2013</v>
          </cell>
          <cell r="J588" t="str">
            <v>Yes</v>
          </cell>
          <cell r="K588" t="str">
            <v>Professional</v>
          </cell>
          <cell r="L588" t="str">
            <v>GYPTONE</v>
          </cell>
          <cell r="M588" t="str">
            <v>GYPTONE BIG QUATTRO 41</v>
          </cell>
          <cell r="N588" t="str">
            <v>Gyptone®Activ'Air®Quat41 13 120/240</v>
          </cell>
          <cell r="O588" t="str">
            <v>Gyptone®Activ'Air®Quat41 13 120/240</v>
          </cell>
          <cell r="P588" t="str">
            <v>ivoor</v>
          </cell>
          <cell r="Q588" t="str">
            <v>ivoire</v>
          </cell>
          <cell r="R588" t="str">
            <v>wit vlies</v>
          </cell>
          <cell r="S588" t="str">
            <v>voile blanc</v>
          </cell>
          <cell r="T588" t="str">
            <v>NBN EN 14190:2014</v>
          </cell>
          <cell r="U588" t="str">
            <v>A</v>
          </cell>
          <cell r="V588" t="str">
            <v>GT</v>
          </cell>
          <cell r="W588" t="str">
            <v>geperforeerde gipskartonplaat met 4 afgeschuinde boorden</v>
          </cell>
          <cell r="Y588" t="str">
            <v>gipsplaat voor droge binnenafbouw</v>
          </cell>
          <cell r="AA588" t="str">
            <v>A2-s1, d0 (C.4)</v>
          </cell>
          <cell r="AB588" t="str">
            <v>DoP_GYP_14190-2-v1</v>
          </cell>
          <cell r="AC588" t="str">
            <v>4xABA</v>
          </cell>
          <cell r="AE588">
            <v>12.5</v>
          </cell>
          <cell r="AH588" t="str">
            <v>+/-0.5</v>
          </cell>
          <cell r="AI588">
            <v>0</v>
          </cell>
          <cell r="AJ588">
            <v>0</v>
          </cell>
          <cell r="AL588" t="str">
            <v>Geen eisen gesteld</v>
          </cell>
          <cell r="AM588" t="str">
            <v>Pas de exigences</v>
          </cell>
          <cell r="AN588" t="str">
            <v>kg/m³</v>
          </cell>
          <cell r="AP588">
            <v>0.25</v>
          </cell>
          <cell r="AR588">
            <v>23.327999999999999</v>
          </cell>
          <cell r="AS588">
            <v>24.327999999999999</v>
          </cell>
          <cell r="AT588">
            <v>37.44</v>
          </cell>
          <cell r="AU588" t="str">
            <v>CD3</v>
          </cell>
          <cell r="AX588">
            <v>16.63</v>
          </cell>
          <cell r="AY588" t="str">
            <v>01.02.2015</v>
          </cell>
          <cell r="AZ588">
            <v>0</v>
          </cell>
          <cell r="BA588" t="str">
            <v>00.00.0000</v>
          </cell>
          <cell r="BB588" t="str">
            <v>M2</v>
          </cell>
          <cell r="BC588" t="str">
            <v>M2</v>
          </cell>
          <cell r="BD588" t="str">
            <v>S</v>
          </cell>
          <cell r="BE588">
            <v>3496250190603</v>
          </cell>
        </row>
        <row r="589">
          <cell r="A589" t="str">
            <v>H42020600</v>
          </cell>
          <cell r="C589" t="str">
            <v>C1CAC01C001C001</v>
          </cell>
          <cell r="D589" t="str">
            <v>Quattro A M2</v>
          </cell>
          <cell r="E589" t="str">
            <v>C1CA</v>
          </cell>
          <cell r="F589" t="str">
            <v>Gyptone plafonds</v>
          </cell>
          <cell r="G589" t="str">
            <v>H42020600</v>
          </cell>
          <cell r="H589" t="str">
            <v>bestaand</v>
          </cell>
          <cell r="I589" t="str">
            <v>01.01.2013</v>
          </cell>
          <cell r="J589" t="str">
            <v>Yes</v>
          </cell>
          <cell r="K589" t="str">
            <v>Professional</v>
          </cell>
          <cell r="L589" t="str">
            <v>GYPTONE</v>
          </cell>
          <cell r="M589" t="str">
            <v>GYPTONE QUATTRO 20</v>
          </cell>
          <cell r="N589" t="str">
            <v>Gyptone®Activ'Air®Quattro 20 A 10 60</v>
          </cell>
          <cell r="O589" t="str">
            <v>Gyptone®Activ'Air®Quattro 20 A 10 60</v>
          </cell>
          <cell r="P589" t="str">
            <v>ivoor</v>
          </cell>
          <cell r="Q589" t="str">
            <v>ivoire</v>
          </cell>
          <cell r="R589" t="str">
            <v>wit vlies</v>
          </cell>
          <cell r="S589" t="str">
            <v>voile blanc</v>
          </cell>
          <cell r="T589" t="str">
            <v>NBN EN 14190:2014</v>
          </cell>
          <cell r="U589" t="str">
            <v>A</v>
          </cell>
          <cell r="V589" t="str">
            <v>GT</v>
          </cell>
          <cell r="W589" t="str">
            <v>geperforeerde tegel uit gipskartonplaat</v>
          </cell>
          <cell r="Y589" t="str">
            <v>gipsplaat voor droge binnenafbouw</v>
          </cell>
          <cell r="AA589" t="str">
            <v>A2-s1, d0 (C.4)</v>
          </cell>
          <cell r="AB589" t="str">
            <v>DoP_GYP_14190-1-v-1</v>
          </cell>
          <cell r="AC589" t="str">
            <v>A</v>
          </cell>
          <cell r="AE589">
            <v>10</v>
          </cell>
          <cell r="AH589" t="str">
            <v>+/-0.5</v>
          </cell>
          <cell r="AI589">
            <v>0</v>
          </cell>
          <cell r="AJ589">
            <v>0</v>
          </cell>
          <cell r="AL589" t="str">
            <v>Geen eisen gesteld</v>
          </cell>
          <cell r="AM589" t="str">
            <v>Pas de exigences</v>
          </cell>
          <cell r="AN589" t="str">
            <v>kg/m³</v>
          </cell>
          <cell r="AP589">
            <v>0.25</v>
          </cell>
          <cell r="AR589">
            <v>2.3130000000000002</v>
          </cell>
          <cell r="AS589">
            <v>2.5</v>
          </cell>
          <cell r="AT589">
            <v>3.6</v>
          </cell>
          <cell r="AU589" t="str">
            <v>CD3</v>
          </cell>
          <cell r="AX589">
            <v>18.41</v>
          </cell>
          <cell r="AY589" t="str">
            <v>01.02.2015</v>
          </cell>
          <cell r="AZ589">
            <v>0</v>
          </cell>
          <cell r="BA589" t="str">
            <v>00.00.0000</v>
          </cell>
          <cell r="BB589" t="str">
            <v>M2</v>
          </cell>
          <cell r="BC589" t="str">
            <v>M2</v>
          </cell>
          <cell r="BD589" t="str">
            <v>S</v>
          </cell>
          <cell r="BE589">
            <v>3496250247451</v>
          </cell>
        </row>
        <row r="590">
          <cell r="A590" t="str">
            <v>H42060600</v>
          </cell>
          <cell r="C590" t="str">
            <v>C1CAC01C001C003</v>
          </cell>
          <cell r="D590" t="str">
            <v>Quattro E M2</v>
          </cell>
          <cell r="E590" t="str">
            <v>C1CA</v>
          </cell>
          <cell r="F590" t="str">
            <v>Gyptone plafonds</v>
          </cell>
          <cell r="G590" t="str">
            <v>H42060600</v>
          </cell>
          <cell r="H590" t="str">
            <v>bestaand</v>
          </cell>
          <cell r="I590" t="str">
            <v>01.01.2013</v>
          </cell>
          <cell r="J590" t="str">
            <v>Yes</v>
          </cell>
          <cell r="K590" t="str">
            <v>Professional</v>
          </cell>
          <cell r="L590" t="str">
            <v>GYPTONE</v>
          </cell>
          <cell r="M590" t="str">
            <v>GYPTONE QUATTRO 20</v>
          </cell>
          <cell r="N590" t="str">
            <v>Gyptone®Activ'Air®Quattro 20 E15 10 60</v>
          </cell>
          <cell r="O590" t="str">
            <v>Gyptone®Activ'Air®Quattro 20 E15 10 60</v>
          </cell>
          <cell r="P590" t="str">
            <v>ivoor</v>
          </cell>
          <cell r="Q590" t="str">
            <v>ivoire</v>
          </cell>
          <cell r="R590" t="str">
            <v>wit vlies</v>
          </cell>
          <cell r="S590" t="str">
            <v>voile blanc</v>
          </cell>
          <cell r="T590" t="str">
            <v>NBN EN 14190:2014</v>
          </cell>
          <cell r="U590" t="str">
            <v>A</v>
          </cell>
          <cell r="V590" t="str">
            <v>GT</v>
          </cell>
          <cell r="W590" t="str">
            <v>geperforeerde tegel uit gipskartonplaat</v>
          </cell>
          <cell r="Y590" t="str">
            <v>gipsplaat voor droge binnenafbouw</v>
          </cell>
          <cell r="AA590" t="str">
            <v>A2-s1, d0 (C.4)</v>
          </cell>
          <cell r="AB590" t="str">
            <v>DoP_GYP_14190-1-v-1</v>
          </cell>
          <cell r="AC590" t="str">
            <v>E-15</v>
          </cell>
          <cell r="AE590">
            <v>10</v>
          </cell>
          <cell r="AH590" t="str">
            <v>+/-0.5</v>
          </cell>
          <cell r="AI590">
            <v>0</v>
          </cell>
          <cell r="AJ590">
            <v>0</v>
          </cell>
          <cell r="AL590" t="str">
            <v>Geen eisen gesteld</v>
          </cell>
          <cell r="AM590" t="str">
            <v>Pas de exigences</v>
          </cell>
          <cell r="AN590" t="str">
            <v>kg/m³</v>
          </cell>
          <cell r="AP590">
            <v>0.25</v>
          </cell>
          <cell r="AR590">
            <v>2.3130000000000002</v>
          </cell>
          <cell r="AS590">
            <v>2.5</v>
          </cell>
          <cell r="AT590">
            <v>3.6</v>
          </cell>
          <cell r="AU590" t="str">
            <v>CD3</v>
          </cell>
          <cell r="AX590">
            <v>22.92</v>
          </cell>
          <cell r="AY590" t="str">
            <v>01.02.2015</v>
          </cell>
          <cell r="AZ590">
            <v>0</v>
          </cell>
          <cell r="BA590" t="str">
            <v>00.00.0000</v>
          </cell>
          <cell r="BB590" t="str">
            <v>M2</v>
          </cell>
          <cell r="BC590" t="str">
            <v>M2</v>
          </cell>
          <cell r="BD590">
            <v>2</v>
          </cell>
          <cell r="BE590">
            <v>3496250247475</v>
          </cell>
        </row>
        <row r="591">
          <cell r="A591" t="str">
            <v>H42220600</v>
          </cell>
          <cell r="C591" t="str">
            <v>C1CAC01C001C001</v>
          </cell>
          <cell r="D591" t="str">
            <v>Quattro A M2</v>
          </cell>
          <cell r="E591" t="str">
            <v>C1CA</v>
          </cell>
          <cell r="F591" t="str">
            <v>Gyptone plafonds</v>
          </cell>
          <cell r="G591" t="str">
            <v>H42220600</v>
          </cell>
          <cell r="H591" t="str">
            <v>bestaand</v>
          </cell>
          <cell r="I591" t="str">
            <v>01.01.2013</v>
          </cell>
          <cell r="J591" t="str">
            <v>Yes</v>
          </cell>
          <cell r="K591" t="str">
            <v>Professional</v>
          </cell>
          <cell r="L591" t="str">
            <v>GYPTONE</v>
          </cell>
          <cell r="M591" t="str">
            <v>GYPTONE QUATTRO 22</v>
          </cell>
          <cell r="N591" t="str">
            <v>Gyptone®Activ'Air®Quattro 22 A 10 60</v>
          </cell>
          <cell r="O591" t="str">
            <v>Gyptone®Activ'Air®Quattro 22 A 10 60</v>
          </cell>
          <cell r="P591" t="str">
            <v>ivoor</v>
          </cell>
          <cell r="Q591" t="str">
            <v>ivoire</v>
          </cell>
          <cell r="R591" t="str">
            <v>wit vlies</v>
          </cell>
          <cell r="S591" t="str">
            <v>voile blanc</v>
          </cell>
          <cell r="T591" t="str">
            <v>NBN EN 14190:2014</v>
          </cell>
          <cell r="U591" t="str">
            <v>A</v>
          </cell>
          <cell r="V591" t="str">
            <v>GT</v>
          </cell>
          <cell r="W591" t="str">
            <v>geperforeerde tegel uit gipskartonplaat</v>
          </cell>
          <cell r="Y591" t="str">
            <v>gipsplaat voor droge binnenafbouw</v>
          </cell>
          <cell r="AA591" t="str">
            <v>A2-s1, d0 (C.4)</v>
          </cell>
          <cell r="AB591" t="str">
            <v>DoP_GYP_14190-1-v-1</v>
          </cell>
          <cell r="AC591" t="str">
            <v>A</v>
          </cell>
          <cell r="AE591">
            <v>10</v>
          </cell>
          <cell r="AH591" t="str">
            <v>+/-0.5</v>
          </cell>
          <cell r="AI591">
            <v>0</v>
          </cell>
          <cell r="AJ591">
            <v>0</v>
          </cell>
          <cell r="AL591" t="str">
            <v>Geen eisen gesteld</v>
          </cell>
          <cell r="AM591" t="str">
            <v>Pas de exigences</v>
          </cell>
          <cell r="AN591" t="str">
            <v>kg/m³</v>
          </cell>
          <cell r="AP591">
            <v>0.25</v>
          </cell>
          <cell r="AR591">
            <v>2.625</v>
          </cell>
          <cell r="AS591">
            <v>2.734</v>
          </cell>
          <cell r="AT591">
            <v>3.6</v>
          </cell>
          <cell r="AU591" t="str">
            <v>CD3</v>
          </cell>
          <cell r="AX591">
            <v>18.41</v>
          </cell>
          <cell r="AY591" t="str">
            <v>01.02.2015</v>
          </cell>
          <cell r="AZ591">
            <v>0</v>
          </cell>
          <cell r="BA591" t="str">
            <v>00.00.0000</v>
          </cell>
          <cell r="BB591" t="str">
            <v>M2</v>
          </cell>
          <cell r="BC591" t="str">
            <v>M2</v>
          </cell>
          <cell r="BD591">
            <v>3</v>
          </cell>
          <cell r="BE591">
            <v>3496250247499</v>
          </cell>
        </row>
        <row r="592">
          <cell r="A592" t="str">
            <v>H42240600</v>
          </cell>
          <cell r="B592" t="str">
            <v>QUATE22</v>
          </cell>
          <cell r="C592" t="str">
            <v>C1CAC01C001C007</v>
          </cell>
          <cell r="D592" t="str">
            <v>Quattro D2 M2</v>
          </cell>
          <cell r="E592" t="str">
            <v>C1CA</v>
          </cell>
          <cell r="F592" t="str">
            <v>Gyptone plafonds</v>
          </cell>
          <cell r="G592" t="str">
            <v>H42240600</v>
          </cell>
          <cell r="H592" t="str">
            <v>nieuw</v>
          </cell>
          <cell r="I592" t="str">
            <v>01.02.2016</v>
          </cell>
          <cell r="J592" t="str">
            <v>Yes</v>
          </cell>
          <cell r="K592" t="str">
            <v>Professional</v>
          </cell>
          <cell r="L592" t="str">
            <v>GYPTONE</v>
          </cell>
          <cell r="M592" t="str">
            <v>GYPTONE QUATTRO 22</v>
          </cell>
          <cell r="N592" t="str">
            <v>Gyptone®Activ'Air®Quattro 22 D2 12,5 60</v>
          </cell>
          <cell r="O592" t="str">
            <v>Gyptone®Activ'Air®Quattro 22 D2 12,5 60</v>
          </cell>
          <cell r="P592" t="str">
            <v>ivoor</v>
          </cell>
          <cell r="Q592" t="str">
            <v>ivoire</v>
          </cell>
          <cell r="R592" t="str">
            <v>wit vlies</v>
          </cell>
          <cell r="S592" t="str">
            <v>voile blanc</v>
          </cell>
          <cell r="T592" t="str">
            <v>NBN EN 14190:2014</v>
          </cell>
          <cell r="U592" t="str">
            <v>A</v>
          </cell>
          <cell r="V592" t="str">
            <v>GT</v>
          </cell>
          <cell r="W592" t="str">
            <v>geperforeerde tegel uit gipskartonplaat</v>
          </cell>
          <cell r="Y592" t="str">
            <v>gipsplaat voor droge binnenafbouw</v>
          </cell>
          <cell r="AA592" t="str">
            <v>A2-s1, d0 (C.4)</v>
          </cell>
          <cell r="AB592" t="str">
            <v>DoP_GYP_14190-1-v-1</v>
          </cell>
          <cell r="AC592" t="str">
            <v>D1</v>
          </cell>
          <cell r="AE592">
            <v>12.5</v>
          </cell>
          <cell r="AH592" t="str">
            <v>+/-0.5</v>
          </cell>
          <cell r="AI592">
            <v>0</v>
          </cell>
          <cell r="AJ592">
            <v>0</v>
          </cell>
          <cell r="AL592" t="str">
            <v>Geen eisen gesteld</v>
          </cell>
          <cell r="AM592" t="str">
            <v>Pas de exigences</v>
          </cell>
          <cell r="AN592" t="str">
            <v>kg/m³</v>
          </cell>
          <cell r="AP592">
            <v>0.25</v>
          </cell>
          <cell r="AR592">
            <v>2.988</v>
          </cell>
          <cell r="AS592">
            <v>3.3330000000000002</v>
          </cell>
          <cell r="AT592">
            <v>4.68</v>
          </cell>
          <cell r="AU592" t="str">
            <v>CD3</v>
          </cell>
          <cell r="AV592" t="str">
            <v>WP : Wegwerppallet</v>
          </cell>
          <cell r="AW592">
            <v>7</v>
          </cell>
          <cell r="AX592">
            <v>22.95</v>
          </cell>
          <cell r="AY592" t="str">
            <v>01.07.2015</v>
          </cell>
          <cell r="AZ592">
            <v>0</v>
          </cell>
          <cell r="BA592" t="str">
            <v>00.00.0000</v>
          </cell>
          <cell r="BB592" t="str">
            <v>M2</v>
          </cell>
          <cell r="BC592" t="str">
            <v>M2</v>
          </cell>
          <cell r="BD592">
            <v>3</v>
          </cell>
          <cell r="BE592">
            <v>3496250305762</v>
          </cell>
        </row>
        <row r="593">
          <cell r="A593" t="str">
            <v>H42260600</v>
          </cell>
          <cell r="C593" t="str">
            <v>C1CAC01C001C003</v>
          </cell>
          <cell r="D593" t="str">
            <v>Quattro E M2</v>
          </cell>
          <cell r="E593" t="str">
            <v>C1CA</v>
          </cell>
          <cell r="F593" t="str">
            <v>Gyptone plafonds</v>
          </cell>
          <cell r="G593" t="str">
            <v>H42260600</v>
          </cell>
          <cell r="H593" t="str">
            <v>bestaand</v>
          </cell>
          <cell r="I593" t="str">
            <v>01.01.2013</v>
          </cell>
          <cell r="J593" t="str">
            <v>Yes</v>
          </cell>
          <cell r="K593" t="str">
            <v>Professional</v>
          </cell>
          <cell r="L593" t="str">
            <v>GYPTONE</v>
          </cell>
          <cell r="M593" t="str">
            <v>GYPTONE QUATTRO 22</v>
          </cell>
          <cell r="N593" t="str">
            <v>Gyptone®Activ'Air®Quattro 22 E15 10 60</v>
          </cell>
          <cell r="O593" t="str">
            <v>Gyptone®Activ'Air®Quattro 22 E15 10 60</v>
          </cell>
          <cell r="P593" t="str">
            <v>ivoor</v>
          </cell>
          <cell r="Q593" t="str">
            <v>ivoire</v>
          </cell>
          <cell r="R593" t="str">
            <v>wit vlies</v>
          </cell>
          <cell r="S593" t="str">
            <v>voile blanc</v>
          </cell>
          <cell r="T593" t="str">
            <v>NBN EN 14190:2014</v>
          </cell>
          <cell r="U593" t="str">
            <v>A</v>
          </cell>
          <cell r="V593" t="str">
            <v>GT</v>
          </cell>
          <cell r="W593" t="str">
            <v>geperforeerde tegel uit gipskartonplaat</v>
          </cell>
          <cell r="Y593" t="str">
            <v>gipsplaat voor droge binnenafbouw</v>
          </cell>
          <cell r="AA593" t="str">
            <v>A2-s1, d0 (C.4)</v>
          </cell>
          <cell r="AB593" t="str">
            <v>DoP_GYP_14190-1-v-1</v>
          </cell>
          <cell r="AC593" t="str">
            <v>E-15</v>
          </cell>
          <cell r="AE593">
            <v>10</v>
          </cell>
          <cell r="AH593" t="str">
            <v>+/-0.5</v>
          </cell>
          <cell r="AI593">
            <v>0</v>
          </cell>
          <cell r="AJ593">
            <v>0</v>
          </cell>
          <cell r="AL593" t="str">
            <v>Geen eisen gesteld</v>
          </cell>
          <cell r="AM593" t="str">
            <v>Pas de exigences</v>
          </cell>
          <cell r="AN593" t="str">
            <v>kg/m³</v>
          </cell>
          <cell r="AP593">
            <v>0.25</v>
          </cell>
          <cell r="AR593">
            <v>2.5630000000000002</v>
          </cell>
          <cell r="AS593">
            <v>2.734</v>
          </cell>
          <cell r="AT593">
            <v>3.6</v>
          </cell>
          <cell r="AU593" t="str">
            <v>CD3</v>
          </cell>
          <cell r="AX593">
            <v>22.92</v>
          </cell>
          <cell r="AY593" t="str">
            <v>01.02.2015</v>
          </cell>
          <cell r="AZ593">
            <v>0</v>
          </cell>
          <cell r="BA593" t="str">
            <v>00.00.0000</v>
          </cell>
          <cell r="BB593" t="str">
            <v>M2</v>
          </cell>
          <cell r="BC593" t="str">
            <v>M2</v>
          </cell>
          <cell r="BD593">
            <v>3</v>
          </cell>
          <cell r="BE593">
            <v>3496250247512</v>
          </cell>
        </row>
        <row r="594">
          <cell r="A594" t="str">
            <v>H42320600</v>
          </cell>
          <cell r="C594" t="str">
            <v>C1CAC01C001C007</v>
          </cell>
          <cell r="D594" t="str">
            <v>Quattro D2 M2</v>
          </cell>
          <cell r="E594" t="str">
            <v>C1CA</v>
          </cell>
          <cell r="F594" t="str">
            <v>Gyptone plafonds</v>
          </cell>
          <cell r="G594" t="str">
            <v>H42320600</v>
          </cell>
          <cell r="H594" t="str">
            <v>nieuw</v>
          </cell>
          <cell r="I594" t="str">
            <v>01.02.2016</v>
          </cell>
          <cell r="J594" t="str">
            <v>Yes</v>
          </cell>
          <cell r="K594" t="str">
            <v>Professional</v>
          </cell>
          <cell r="L594" t="str">
            <v>GYPTONE</v>
          </cell>
          <cell r="M594" t="str">
            <v>GYPTONE QUATTRO 20</v>
          </cell>
          <cell r="N594" t="str">
            <v>Gyptone®Activ'Air®Quattro 20 D2 60</v>
          </cell>
          <cell r="O594" t="str">
            <v>Gyptone®Activ'Air®Quattro 20 D2 60</v>
          </cell>
          <cell r="P594" t="str">
            <v>ivoor</v>
          </cell>
          <cell r="Q594" t="str">
            <v>ivoire</v>
          </cell>
          <cell r="R594" t="str">
            <v>wit vlies</v>
          </cell>
          <cell r="S594" t="str">
            <v>voile blanc</v>
          </cell>
          <cell r="T594" t="str">
            <v>NBN EN 14190:2014</v>
          </cell>
          <cell r="U594" t="str">
            <v>A</v>
          </cell>
          <cell r="V594" t="str">
            <v>GT</v>
          </cell>
          <cell r="W594" t="str">
            <v>geperforeerde tegel uit gipskartonplaat</v>
          </cell>
          <cell r="Y594" t="str">
            <v>gipsplaat voor droge binnenafbouw</v>
          </cell>
          <cell r="AA594" t="str">
            <v>A2-s1, d0 (C.4)</v>
          </cell>
          <cell r="AB594" t="str">
            <v>DoP_GYP_14190-1-v-1</v>
          </cell>
          <cell r="AC594" t="str">
            <v>D1</v>
          </cell>
          <cell r="AE594">
            <v>12.5</v>
          </cell>
          <cell r="AH594" t="str">
            <v>+/-0.5</v>
          </cell>
          <cell r="AI594">
            <v>0</v>
          </cell>
          <cell r="AJ594">
            <v>0</v>
          </cell>
          <cell r="AL594" t="str">
            <v>Geen eisen gesteld</v>
          </cell>
          <cell r="AM594" t="str">
            <v>Pas de exigences</v>
          </cell>
          <cell r="AN594" t="str">
            <v>kg/m³</v>
          </cell>
          <cell r="AP594">
            <v>0.25</v>
          </cell>
          <cell r="AR594">
            <v>2.7</v>
          </cell>
          <cell r="AS594">
            <v>2.9169999999999998</v>
          </cell>
          <cell r="AT594">
            <v>4.68</v>
          </cell>
          <cell r="AU594" t="str">
            <v>CD3</v>
          </cell>
          <cell r="AV594" t="str">
            <v>WP : Wegwerppallet</v>
          </cell>
          <cell r="AW594">
            <v>7</v>
          </cell>
          <cell r="AX594">
            <v>22.95</v>
          </cell>
          <cell r="AY594" t="str">
            <v>01.07.2015</v>
          </cell>
          <cell r="AZ594">
            <v>0</v>
          </cell>
          <cell r="BA594" t="str">
            <v>00.00.0000</v>
          </cell>
          <cell r="BB594" t="str">
            <v>M2</v>
          </cell>
          <cell r="BC594" t="str">
            <v>M2</v>
          </cell>
          <cell r="BD594">
            <v>2</v>
          </cell>
          <cell r="BE594">
            <v>3496250305731</v>
          </cell>
        </row>
        <row r="595">
          <cell r="A595" t="str">
            <v>H42452400</v>
          </cell>
          <cell r="C595" t="str">
            <v>C1CGC03C001C001</v>
          </cell>
          <cell r="D595" t="str">
            <v>Gyptone Activ'Air Quattro SP platen M2</v>
          </cell>
          <cell r="E595" t="str">
            <v>C1CG</v>
          </cell>
          <cell r="F595" t="str">
            <v>Gyptone platen M2</v>
          </cell>
          <cell r="G595" t="str">
            <v>H42452400</v>
          </cell>
          <cell r="H595" t="str">
            <v>bestaand</v>
          </cell>
          <cell r="I595" t="str">
            <v>01.01.2013</v>
          </cell>
          <cell r="J595" t="str">
            <v>Yes</v>
          </cell>
          <cell r="K595" t="str">
            <v>Professional</v>
          </cell>
          <cell r="L595" t="str">
            <v>GYPTONE</v>
          </cell>
          <cell r="M595" t="str">
            <v>GYPTONE BIG QUATTRO 42</v>
          </cell>
          <cell r="N595" t="str">
            <v>Gyptone®Activ'Air®Quat42 13 120/240</v>
          </cell>
          <cell r="O595" t="str">
            <v>Gyptone®Activ'Air®Quat42 13 120/240</v>
          </cell>
          <cell r="P595" t="str">
            <v>ivoor</v>
          </cell>
          <cell r="Q595" t="str">
            <v>ivoire</v>
          </cell>
          <cell r="R595" t="str">
            <v>wit vlies</v>
          </cell>
          <cell r="S595" t="str">
            <v>voile blanc</v>
          </cell>
          <cell r="T595" t="str">
            <v>NBN EN 14190:2014</v>
          </cell>
          <cell r="U595" t="str">
            <v>A</v>
          </cell>
          <cell r="V595" t="str">
            <v>GT</v>
          </cell>
          <cell r="W595" t="str">
            <v>geperforeerde gipskartonplaat met 4 afgeschuinde boorden</v>
          </cell>
          <cell r="Y595" t="str">
            <v>gipsplaat voor droge binnenafbouw</v>
          </cell>
          <cell r="AA595" t="str">
            <v>A2-s1, d0 (C.4)</v>
          </cell>
          <cell r="AB595" t="str">
            <v>DoP_GYP_14190-2-v1</v>
          </cell>
          <cell r="AC595" t="str">
            <v>4xABA</v>
          </cell>
          <cell r="AE595">
            <v>12.5</v>
          </cell>
          <cell r="AH595" t="str">
            <v>+/-0.5</v>
          </cell>
          <cell r="AI595">
            <v>0</v>
          </cell>
          <cell r="AJ595">
            <v>0</v>
          </cell>
          <cell r="AL595" t="str">
            <v>Geen eisen gesteld</v>
          </cell>
          <cell r="AM595" t="str">
            <v>Pas de exigences</v>
          </cell>
          <cell r="AN595" t="str">
            <v>kg/m³</v>
          </cell>
          <cell r="AP595">
            <v>0.25</v>
          </cell>
          <cell r="AR595">
            <v>23.25</v>
          </cell>
          <cell r="AS595">
            <v>24.5</v>
          </cell>
          <cell r="AT595">
            <v>37.44</v>
          </cell>
          <cell r="AU595" t="str">
            <v>CD3</v>
          </cell>
          <cell r="AX595">
            <v>16.63</v>
          </cell>
          <cell r="AY595" t="str">
            <v>01.02.2015</v>
          </cell>
          <cell r="AZ595">
            <v>0</v>
          </cell>
          <cell r="BA595" t="str">
            <v>00.00.0000</v>
          </cell>
          <cell r="BB595" t="str">
            <v>M2</v>
          </cell>
          <cell r="BC595" t="str">
            <v>M2</v>
          </cell>
          <cell r="BD595" t="str">
            <v>S</v>
          </cell>
          <cell r="BE595">
            <v>3496250247758</v>
          </cell>
        </row>
        <row r="596">
          <cell r="A596" t="str">
            <v>H42520600</v>
          </cell>
          <cell r="C596" t="str">
            <v>C1CAC01C001C001</v>
          </cell>
          <cell r="D596" t="str">
            <v>Quattro A M2</v>
          </cell>
          <cell r="E596" t="str">
            <v>C1CA</v>
          </cell>
          <cell r="F596" t="str">
            <v>Gyptone plafonds</v>
          </cell>
          <cell r="G596" t="str">
            <v>H42520600</v>
          </cell>
          <cell r="H596" t="str">
            <v>bestaand</v>
          </cell>
          <cell r="I596" t="str">
            <v>01.01.2013</v>
          </cell>
          <cell r="J596" t="str">
            <v>Yes</v>
          </cell>
          <cell r="K596" t="str">
            <v>Professional</v>
          </cell>
          <cell r="L596" t="str">
            <v>GYPTONE</v>
          </cell>
          <cell r="M596" t="str">
            <v>GYPTONE QUATTRO 50</v>
          </cell>
          <cell r="N596" t="str">
            <v>Gyptone®Activ'Air®Quattro 50 A 10 60</v>
          </cell>
          <cell r="O596" t="str">
            <v>Gyptone®Activ'Air®Quattro 50 A 10 60</v>
          </cell>
          <cell r="P596" t="str">
            <v>ivoor</v>
          </cell>
          <cell r="Q596" t="str">
            <v>ivoire</v>
          </cell>
          <cell r="R596" t="str">
            <v>wit vlies</v>
          </cell>
          <cell r="S596" t="str">
            <v>voile blanc</v>
          </cell>
          <cell r="T596" t="str">
            <v>NBN EN 14190:2014</v>
          </cell>
          <cell r="U596" t="str">
            <v>A</v>
          </cell>
          <cell r="V596" t="str">
            <v>GT</v>
          </cell>
          <cell r="W596" t="str">
            <v>geperforeerde tegel uit gipskartonplaat</v>
          </cell>
          <cell r="Y596" t="str">
            <v>gipsplaat voor droge binnenafbouw</v>
          </cell>
          <cell r="AA596" t="str">
            <v>A2-s1, d0 (C.4)</v>
          </cell>
          <cell r="AB596" t="str">
            <v>DoP_GYP_14190-1-v-1</v>
          </cell>
          <cell r="AC596" t="str">
            <v>A</v>
          </cell>
          <cell r="AE596">
            <v>10</v>
          </cell>
          <cell r="AH596" t="str">
            <v>+/-0.5</v>
          </cell>
          <cell r="AI596">
            <v>0</v>
          </cell>
          <cell r="AJ596">
            <v>0</v>
          </cell>
          <cell r="AL596" t="str">
            <v>Geen eisen gesteld</v>
          </cell>
          <cell r="AM596" t="str">
            <v>Pas de exigences</v>
          </cell>
          <cell r="AN596" t="str">
            <v>kg/m³</v>
          </cell>
          <cell r="AP596">
            <v>0.25</v>
          </cell>
          <cell r="AR596">
            <v>2.3130000000000002</v>
          </cell>
          <cell r="AS596">
            <v>2.5</v>
          </cell>
          <cell r="AT596">
            <v>3.6</v>
          </cell>
          <cell r="AU596" t="str">
            <v>CD3</v>
          </cell>
          <cell r="AX596">
            <v>18.41</v>
          </cell>
          <cell r="AY596" t="str">
            <v>01.02.2015</v>
          </cell>
          <cell r="AZ596">
            <v>0</v>
          </cell>
          <cell r="BA596" t="str">
            <v>00.00.0000</v>
          </cell>
          <cell r="BB596" t="str">
            <v>M2</v>
          </cell>
          <cell r="BC596" t="str">
            <v>M2</v>
          </cell>
          <cell r="BD596">
            <v>2</v>
          </cell>
          <cell r="BE596">
            <v>3496250247574</v>
          </cell>
        </row>
        <row r="597">
          <cell r="A597" t="str">
            <v>H42540600</v>
          </cell>
          <cell r="C597" t="str">
            <v>C1CAC01C001C005</v>
          </cell>
          <cell r="D597" t="str">
            <v>Quattro D1 M2</v>
          </cell>
          <cell r="E597" t="str">
            <v>C1CA</v>
          </cell>
          <cell r="F597" t="str">
            <v>Gyptone plafonds</v>
          </cell>
          <cell r="G597" t="str">
            <v>H42540600</v>
          </cell>
          <cell r="H597" t="str">
            <v>te verwijderen</v>
          </cell>
          <cell r="I597" t="str">
            <v>01.01.2013</v>
          </cell>
          <cell r="J597" t="str">
            <v>Yes</v>
          </cell>
          <cell r="K597" t="str">
            <v>Professional</v>
          </cell>
          <cell r="L597" t="str">
            <v>GYPTONE</v>
          </cell>
          <cell r="M597" t="str">
            <v>GYPTONE QUATTRO 50</v>
          </cell>
          <cell r="N597" t="str">
            <v>GYPT QUATTRO 50 D1 12.5 600X600 WP/14DS</v>
          </cell>
          <cell r="O597" t="str">
            <v>Gyptone® Quattro 50 D1 12.5 60/60</v>
          </cell>
          <cell r="P597" t="str">
            <v>ivoor</v>
          </cell>
          <cell r="Q597" t="str">
            <v>ivoire</v>
          </cell>
          <cell r="R597" t="str">
            <v>wit vlies</v>
          </cell>
          <cell r="S597" t="str">
            <v>voile blanc</v>
          </cell>
          <cell r="T597" t="str">
            <v>NBN EN 14190:2014</v>
          </cell>
          <cell r="U597" t="str">
            <v>A</v>
          </cell>
          <cell r="V597" t="str">
            <v>GT</v>
          </cell>
          <cell r="W597" t="str">
            <v>geperforeerde tegel uit gipskartonplaat</v>
          </cell>
          <cell r="Y597" t="str">
            <v>gipsplaat voor droge binnenafbouw</v>
          </cell>
          <cell r="AA597" t="str">
            <v>A2-s1, d0 (C.4)</v>
          </cell>
          <cell r="AB597" t="str">
            <v>DoP_GYP_14190-1-v-1</v>
          </cell>
          <cell r="AC597" t="str">
            <v>D1</v>
          </cell>
          <cell r="AE597">
            <v>12.5</v>
          </cell>
          <cell r="AH597" t="str">
            <v>+/-0.5</v>
          </cell>
          <cell r="AI597">
            <v>0</v>
          </cell>
          <cell r="AJ597">
            <v>0</v>
          </cell>
          <cell r="AL597" t="str">
            <v>Geen eisen gesteld</v>
          </cell>
          <cell r="AM597" t="str">
            <v>Pas de exigences</v>
          </cell>
          <cell r="AN597" t="str">
            <v>kg/m³</v>
          </cell>
          <cell r="AP597">
            <v>0.25</v>
          </cell>
          <cell r="AR597">
            <v>2.8</v>
          </cell>
          <cell r="AS597">
            <v>2.8</v>
          </cell>
          <cell r="AT597">
            <v>4.68</v>
          </cell>
          <cell r="AU597" t="str">
            <v>CD3</v>
          </cell>
          <cell r="AV597" t="str">
            <v>WP : Wegwerppallet</v>
          </cell>
          <cell r="AW597">
            <v>7</v>
          </cell>
          <cell r="AX597">
            <v>35.299999999999997</v>
          </cell>
          <cell r="AY597" t="str">
            <v>01.02.2015</v>
          </cell>
          <cell r="AZ597">
            <v>0</v>
          </cell>
          <cell r="BA597" t="str">
            <v>00.00.0000</v>
          </cell>
          <cell r="BB597" t="str">
            <v>M2</v>
          </cell>
          <cell r="BC597" t="str">
            <v>M2</v>
          </cell>
          <cell r="BD597">
            <v>2</v>
          </cell>
          <cell r="BE597">
            <v>3496250066809</v>
          </cell>
        </row>
        <row r="598">
          <cell r="A598" t="str">
            <v>H42560600</v>
          </cell>
          <cell r="C598" t="str">
            <v>C1CAC01C001C003</v>
          </cell>
          <cell r="D598" t="str">
            <v>Quattro E M2</v>
          </cell>
          <cell r="E598" t="str">
            <v>C1CA</v>
          </cell>
          <cell r="F598" t="str">
            <v>Gyptone plafonds</v>
          </cell>
          <cell r="G598" t="str">
            <v>H42560600</v>
          </cell>
          <cell r="H598" t="str">
            <v>bestaand</v>
          </cell>
          <cell r="I598" t="str">
            <v>01.01.2013</v>
          </cell>
          <cell r="J598" t="str">
            <v>Yes</v>
          </cell>
          <cell r="K598" t="str">
            <v>Professional</v>
          </cell>
          <cell r="L598" t="str">
            <v>GYPTONE</v>
          </cell>
          <cell r="M598" t="str">
            <v>GYPTONE QUATTRO 50</v>
          </cell>
          <cell r="N598" t="str">
            <v>Gyptone®Activ'Air®Quattro 50 E15 10 60</v>
          </cell>
          <cell r="O598" t="str">
            <v>Gyptone®Activ'Air®Quattro 50 E15 10 60</v>
          </cell>
          <cell r="P598" t="str">
            <v>ivoor</v>
          </cell>
          <cell r="Q598" t="str">
            <v>ivoire</v>
          </cell>
          <cell r="R598" t="str">
            <v>wit vlies</v>
          </cell>
          <cell r="S598" t="str">
            <v>voile blanc</v>
          </cell>
          <cell r="T598" t="str">
            <v>NBN EN 14190:2014</v>
          </cell>
          <cell r="U598" t="str">
            <v>A</v>
          </cell>
          <cell r="V598" t="str">
            <v>GT</v>
          </cell>
          <cell r="W598" t="str">
            <v>geperforeerde tegel uit gipskartonplaat</v>
          </cell>
          <cell r="Y598" t="str">
            <v>gipsplaat voor droge binnenafbouw</v>
          </cell>
          <cell r="AA598" t="str">
            <v>A2-s1, d0 (C.4)</v>
          </cell>
          <cell r="AB598" t="str">
            <v>DoP_GYP_14190-1-v-1</v>
          </cell>
          <cell r="AC598" t="str">
            <v>E-15</v>
          </cell>
          <cell r="AE598">
            <v>10</v>
          </cell>
          <cell r="AH598" t="str">
            <v>+/-0.5</v>
          </cell>
          <cell r="AI598">
            <v>0</v>
          </cell>
          <cell r="AJ598">
            <v>0</v>
          </cell>
          <cell r="AL598" t="str">
            <v>Geen eisen gesteld</v>
          </cell>
          <cell r="AM598" t="str">
            <v>Pas de exigences</v>
          </cell>
          <cell r="AN598" t="str">
            <v>kg/m³</v>
          </cell>
          <cell r="AP598">
            <v>0.25</v>
          </cell>
          <cell r="AR598">
            <v>2.2400000000000002</v>
          </cell>
          <cell r="AS598">
            <v>2.4220000000000002</v>
          </cell>
          <cell r="AT598">
            <v>3.6</v>
          </cell>
          <cell r="AU598" t="str">
            <v>CD3</v>
          </cell>
          <cell r="AX598">
            <v>22.92</v>
          </cell>
          <cell r="AY598" t="str">
            <v>01.02.2015</v>
          </cell>
          <cell r="AZ598">
            <v>0</v>
          </cell>
          <cell r="BA598" t="str">
            <v>00.00.0000</v>
          </cell>
          <cell r="BB598" t="str">
            <v>M2</v>
          </cell>
          <cell r="BC598" t="str">
            <v>M2</v>
          </cell>
          <cell r="BD598">
            <v>2</v>
          </cell>
          <cell r="BE598">
            <v>3496250247581</v>
          </cell>
        </row>
        <row r="599">
          <cell r="A599" t="str">
            <v>H42570600</v>
          </cell>
          <cell r="C599" t="str">
            <v>C1CAC01C001C007</v>
          </cell>
          <cell r="D599" t="str">
            <v>Quattro D2 M2</v>
          </cell>
          <cell r="E599" t="str">
            <v>C1CA</v>
          </cell>
          <cell r="F599" t="str">
            <v>Gyptone plafonds</v>
          </cell>
          <cell r="G599" t="str">
            <v>H42570600</v>
          </cell>
          <cell r="H599" t="str">
            <v>nieuw</v>
          </cell>
          <cell r="I599" t="str">
            <v>01.02.2016</v>
          </cell>
          <cell r="J599" t="str">
            <v>Yes</v>
          </cell>
          <cell r="K599" t="str">
            <v>Professional</v>
          </cell>
          <cell r="L599" t="str">
            <v>GYPTONE</v>
          </cell>
          <cell r="M599" t="str">
            <v>GYPTONE QUATTRO 50</v>
          </cell>
          <cell r="N599" t="str">
            <v>Gyptone®Activ'Air®Quattro 50 D2 60</v>
          </cell>
          <cell r="O599" t="str">
            <v>Gyptone®Activ'Air®Quattro 50 D2 60</v>
          </cell>
          <cell r="P599" t="str">
            <v>ivoor</v>
          </cell>
          <cell r="Q599" t="str">
            <v>ivoire</v>
          </cell>
          <cell r="R599" t="str">
            <v>wit vlies</v>
          </cell>
          <cell r="S599" t="str">
            <v>voile blanc</v>
          </cell>
          <cell r="T599" t="str">
            <v>NBN EN 14190:2014</v>
          </cell>
          <cell r="U599" t="str">
            <v>A</v>
          </cell>
          <cell r="V599" t="str">
            <v>GT</v>
          </cell>
          <cell r="W599" t="str">
            <v>geperforeerde tegel uit gipskartonplaat</v>
          </cell>
          <cell r="Y599" t="str">
            <v>gipsplaat voor droge binnenafbouw</v>
          </cell>
          <cell r="AA599" t="str">
            <v>A2-s1, d0 (C.4)</v>
          </cell>
          <cell r="AB599" t="str">
            <v>DoP_GYP_14190-1-v-1</v>
          </cell>
          <cell r="AC599" t="str">
            <v>D1</v>
          </cell>
          <cell r="AE599">
            <v>12.5</v>
          </cell>
          <cell r="AH599" t="str">
            <v>+/-0.5</v>
          </cell>
          <cell r="AI599">
            <v>0</v>
          </cell>
          <cell r="AJ599">
            <v>0</v>
          </cell>
          <cell r="AL599" t="str">
            <v>Geen eisen gesteld</v>
          </cell>
          <cell r="AM599" t="str">
            <v>Pas de exigences</v>
          </cell>
          <cell r="AN599" t="str">
            <v>kg/m³</v>
          </cell>
          <cell r="AP599">
            <v>0.25</v>
          </cell>
          <cell r="AR599">
            <v>2.7</v>
          </cell>
          <cell r="AS599">
            <v>2.9169999999999998</v>
          </cell>
          <cell r="AT599">
            <v>4.68</v>
          </cell>
          <cell r="AU599" t="str">
            <v>CD3</v>
          </cell>
          <cell r="AV599" t="str">
            <v>WP : Wegwerppallet</v>
          </cell>
          <cell r="AW599">
            <v>7</v>
          </cell>
          <cell r="AX599">
            <v>22.95</v>
          </cell>
          <cell r="AY599" t="str">
            <v>01.07.2015</v>
          </cell>
          <cell r="AZ599">
            <v>0</v>
          </cell>
          <cell r="BA599" t="str">
            <v>00.00.0000</v>
          </cell>
          <cell r="BB599" t="str">
            <v>M2</v>
          </cell>
          <cell r="BC599" t="str">
            <v>M2</v>
          </cell>
          <cell r="BD599">
            <v>2</v>
          </cell>
          <cell r="BE599">
            <v>3496250305830</v>
          </cell>
        </row>
        <row r="600">
          <cell r="A600" t="str">
            <v>H42941800</v>
          </cell>
          <cell r="B600" t="str">
            <v>PANE15Q55180</v>
          </cell>
          <cell r="C600" t="str">
            <v>C1CAC03C005C001</v>
          </cell>
          <cell r="D600" t="str">
            <v>Dalles Gyptone Panel Coul QuatE M2</v>
          </cell>
          <cell r="E600" t="str">
            <v>C1CA</v>
          </cell>
          <cell r="F600" t="str">
            <v>Gyptone plafonds</v>
          </cell>
          <cell r="G600" t="str">
            <v>H42941800</v>
          </cell>
          <cell r="H600" t="str">
            <v>bestaand</v>
          </cell>
          <cell r="I600" t="str">
            <v>01.01.2013</v>
          </cell>
          <cell r="J600" t="str">
            <v>Yes</v>
          </cell>
          <cell r="K600" t="str">
            <v>Professional</v>
          </cell>
          <cell r="L600" t="str">
            <v>GYPTONE</v>
          </cell>
          <cell r="M600" t="str">
            <v>GYPTONE QUATTRO 55</v>
          </cell>
          <cell r="N600" t="str">
            <v>GYPT QUATTRO 55 E 12.5 1800X300 WP/6DS</v>
          </cell>
          <cell r="O600" t="str">
            <v>Gyptone® Quattro 55 E 1800</v>
          </cell>
          <cell r="P600" t="str">
            <v>ivoor</v>
          </cell>
          <cell r="Q600" t="str">
            <v>ivoire</v>
          </cell>
          <cell r="R600" t="str">
            <v>wit vlies</v>
          </cell>
          <cell r="S600" t="str">
            <v>voile blanc</v>
          </cell>
          <cell r="T600" t="str">
            <v>NBN EN 14190:2014</v>
          </cell>
          <cell r="U600" t="str">
            <v>A</v>
          </cell>
          <cell r="V600" t="str">
            <v>GT</v>
          </cell>
          <cell r="W600" t="str">
            <v>geperforeerd paneel uit gipskartonplaat</v>
          </cell>
          <cell r="Y600" t="str">
            <v>gipsplaat voor droge binnenafbouw</v>
          </cell>
          <cell r="AA600" t="str">
            <v>A2-s1, d0 (C.4)</v>
          </cell>
          <cell r="AB600" t="str">
            <v>DoP_GYP_14190-3-v-1</v>
          </cell>
          <cell r="AC600" t="str">
            <v>E15/A</v>
          </cell>
          <cell r="AE600">
            <v>12.5</v>
          </cell>
          <cell r="AH600" t="str">
            <v>+/-0.5</v>
          </cell>
          <cell r="AI600">
            <v>0</v>
          </cell>
          <cell r="AJ600">
            <v>0</v>
          </cell>
          <cell r="AL600" t="str">
            <v>Geen eisen gesteld</v>
          </cell>
          <cell r="AM600" t="str">
            <v>Pas de exigences</v>
          </cell>
          <cell r="AN600" t="str">
            <v>kg/m³</v>
          </cell>
          <cell r="AP600">
            <v>0.25</v>
          </cell>
          <cell r="AR600">
            <v>4.12</v>
          </cell>
          <cell r="AS600">
            <v>4.3</v>
          </cell>
          <cell r="AT600">
            <v>7.02</v>
          </cell>
          <cell r="AU600" t="str">
            <v>CD3</v>
          </cell>
          <cell r="AV600" t="str">
            <v>WP : Wegwerppallet</v>
          </cell>
          <cell r="AW600">
            <v>7</v>
          </cell>
          <cell r="AX600">
            <v>30.97</v>
          </cell>
          <cell r="AY600" t="str">
            <v>01.02.2015</v>
          </cell>
          <cell r="AZ600">
            <v>0</v>
          </cell>
          <cell r="BA600" t="str">
            <v>00.00.0000</v>
          </cell>
          <cell r="BB600" t="str">
            <v>M2</v>
          </cell>
          <cell r="BC600" t="str">
            <v>M2</v>
          </cell>
          <cell r="BD600">
            <v>2</v>
          </cell>
          <cell r="BE600">
            <v>3496250066663</v>
          </cell>
        </row>
        <row r="601">
          <cell r="A601" t="str">
            <v>H42942100</v>
          </cell>
          <cell r="B601" t="str">
            <v>PANE15Q55210</v>
          </cell>
          <cell r="C601" t="str">
            <v>C1CAC03C005C001</v>
          </cell>
          <cell r="D601" t="str">
            <v>Dalles Gyptone Panel Coul QuatE M2</v>
          </cell>
          <cell r="E601" t="str">
            <v>C1CA</v>
          </cell>
          <cell r="F601" t="str">
            <v>Gyptone plafonds</v>
          </cell>
          <cell r="G601" t="str">
            <v>H42942100</v>
          </cell>
          <cell r="H601" t="str">
            <v>bestaand</v>
          </cell>
          <cell r="I601" t="str">
            <v>01.01.2013</v>
          </cell>
          <cell r="J601" t="str">
            <v>Yes</v>
          </cell>
          <cell r="K601" t="str">
            <v>Professional</v>
          </cell>
          <cell r="L601" t="str">
            <v>GYPTONE</v>
          </cell>
          <cell r="M601" t="str">
            <v>GYPTONE QUATTRO 55</v>
          </cell>
          <cell r="N601" t="str">
            <v>GYPT QUATTRO 55 E 12.5 2100X300 WP/6DS</v>
          </cell>
          <cell r="O601" t="str">
            <v>Gyptone® Quattro 55 E 2100</v>
          </cell>
          <cell r="P601" t="str">
            <v>ivoor</v>
          </cell>
          <cell r="Q601" t="str">
            <v>ivoire</v>
          </cell>
          <cell r="R601" t="str">
            <v>wit vlies</v>
          </cell>
          <cell r="S601" t="str">
            <v>voile blanc</v>
          </cell>
          <cell r="T601" t="str">
            <v>NBN EN 14190:2014</v>
          </cell>
          <cell r="U601" t="str">
            <v>A</v>
          </cell>
          <cell r="V601" t="str">
            <v>GT</v>
          </cell>
          <cell r="W601" t="str">
            <v>geperforeerd paneel uit gipskartonplaat</v>
          </cell>
          <cell r="Y601" t="str">
            <v>gipsplaat voor droge binnenafbouw</v>
          </cell>
          <cell r="AA601" t="str">
            <v>A2-s1, d0 (C.4)</v>
          </cell>
          <cell r="AB601" t="str">
            <v>DoP_GYP_14190-3-v-1</v>
          </cell>
          <cell r="AC601" t="str">
            <v>E15/A</v>
          </cell>
          <cell r="AE601">
            <v>12.5</v>
          </cell>
          <cell r="AH601" t="str">
            <v>+/-0.5</v>
          </cell>
          <cell r="AI601">
            <v>0</v>
          </cell>
          <cell r="AJ601">
            <v>0</v>
          </cell>
          <cell r="AL601" t="str">
            <v>Geen eisen gesteld</v>
          </cell>
          <cell r="AM601" t="str">
            <v>Pas de exigences</v>
          </cell>
          <cell r="AN601" t="str">
            <v>kg/m³</v>
          </cell>
          <cell r="AP601">
            <v>0.25</v>
          </cell>
          <cell r="AR601">
            <v>4.8</v>
          </cell>
          <cell r="AS601">
            <v>5.0359999999999996</v>
          </cell>
          <cell r="AT601">
            <v>8.19</v>
          </cell>
          <cell r="AU601" t="str">
            <v>CD3</v>
          </cell>
          <cell r="AV601" t="str">
            <v>WP : Wegwerppallet</v>
          </cell>
          <cell r="AW601">
            <v>7</v>
          </cell>
          <cell r="AX601">
            <v>30.97</v>
          </cell>
          <cell r="AY601" t="str">
            <v>01.02.2015</v>
          </cell>
          <cell r="AZ601">
            <v>0</v>
          </cell>
          <cell r="BA601" t="str">
            <v>00.00.0000</v>
          </cell>
          <cell r="BB601" t="str">
            <v>M2</v>
          </cell>
          <cell r="BC601" t="str">
            <v>M2</v>
          </cell>
          <cell r="BD601">
            <v>2</v>
          </cell>
          <cell r="BE601">
            <v>3496250066670</v>
          </cell>
        </row>
        <row r="602">
          <cell r="A602" t="str">
            <v>H43020600</v>
          </cell>
          <cell r="C602" t="str">
            <v>C1CAC01C007C001</v>
          </cell>
          <cell r="D602" t="str">
            <v>Base A M2</v>
          </cell>
          <cell r="E602" t="str">
            <v>C1CA</v>
          </cell>
          <cell r="F602" t="str">
            <v>Gyptone plafonds</v>
          </cell>
          <cell r="G602" t="str">
            <v>H43020600</v>
          </cell>
          <cell r="H602" t="str">
            <v>bestaand</v>
          </cell>
          <cell r="I602" t="str">
            <v>01.01.2013</v>
          </cell>
          <cell r="J602" t="str">
            <v>Yes</v>
          </cell>
          <cell r="K602" t="str">
            <v>Professional</v>
          </cell>
          <cell r="L602" t="str">
            <v>GYPTONE</v>
          </cell>
          <cell r="M602" t="str">
            <v>GYPTONE BASE 31</v>
          </cell>
          <cell r="N602" t="str">
            <v>Gyptone®Activ'Air®Base 31 A 10 60</v>
          </cell>
          <cell r="O602" t="str">
            <v>Gyptone®Activ'Air®Base 31 A 10 60</v>
          </cell>
          <cell r="P602" t="str">
            <v>ivoor</v>
          </cell>
          <cell r="Q602" t="str">
            <v>ivoire</v>
          </cell>
          <cell r="R602" t="str">
            <v>grijs</v>
          </cell>
          <cell r="S602" t="str">
            <v>gris</v>
          </cell>
          <cell r="T602" t="str">
            <v>NBN EN 14190:2014</v>
          </cell>
          <cell r="U602" t="str">
            <v>A</v>
          </cell>
          <cell r="V602" t="str">
            <v>GT</v>
          </cell>
          <cell r="Y602" t="str">
            <v>gipsplaat voor droge binnenafbouw</v>
          </cell>
          <cell r="AA602" t="str">
            <v>A2-s1, d0 (C.4)</v>
          </cell>
          <cell r="AB602" t="str">
            <v>DoP_GYP_14190-1-v-1</v>
          </cell>
          <cell r="AC602" t="str">
            <v>A</v>
          </cell>
          <cell r="AE602">
            <v>10</v>
          </cell>
          <cell r="AH602" t="str">
            <v>+/-0.5</v>
          </cell>
          <cell r="AI602">
            <v>0</v>
          </cell>
          <cell r="AJ602">
            <v>0</v>
          </cell>
          <cell r="AL602" t="str">
            <v>Geen eisen gesteld</v>
          </cell>
          <cell r="AM602" t="str">
            <v>Pas de exigences</v>
          </cell>
          <cell r="AN602" t="str">
            <v>kg/m³</v>
          </cell>
          <cell r="AP602">
            <v>0.25</v>
          </cell>
          <cell r="AR602">
            <v>2.8130000000000002</v>
          </cell>
          <cell r="AS602">
            <v>2.9689999999999999</v>
          </cell>
          <cell r="AT602">
            <v>3.6</v>
          </cell>
          <cell r="AU602" t="str">
            <v>CD3</v>
          </cell>
          <cell r="AX602">
            <v>13.7</v>
          </cell>
          <cell r="AY602" t="str">
            <v>01.02.2015</v>
          </cell>
          <cell r="AZ602">
            <v>0</v>
          </cell>
          <cell r="BA602" t="str">
            <v>00.00.0000</v>
          </cell>
          <cell r="BB602" t="str">
            <v>M2</v>
          </cell>
          <cell r="BC602" t="str">
            <v>M2</v>
          </cell>
          <cell r="BD602" t="str">
            <v>S</v>
          </cell>
          <cell r="BE602">
            <v>3496250247536</v>
          </cell>
        </row>
        <row r="603">
          <cell r="A603" t="str">
            <v>H43060600</v>
          </cell>
          <cell r="C603" t="str">
            <v>C1CAC01C007C003</v>
          </cell>
          <cell r="D603" t="str">
            <v>Base E M2</v>
          </cell>
          <cell r="E603" t="str">
            <v>C1CA</v>
          </cell>
          <cell r="F603" t="str">
            <v>Gyptone plafonds</v>
          </cell>
          <cell r="G603" t="str">
            <v>H43060600</v>
          </cell>
          <cell r="H603" t="str">
            <v>bestaand</v>
          </cell>
          <cell r="I603" t="str">
            <v>01.01.2013</v>
          </cell>
          <cell r="J603" t="str">
            <v>Yes</v>
          </cell>
          <cell r="K603" t="str">
            <v>Professional</v>
          </cell>
          <cell r="L603" t="str">
            <v>GYPTONE</v>
          </cell>
          <cell r="M603" t="str">
            <v>GYPTONE BASE 31</v>
          </cell>
          <cell r="N603" t="str">
            <v>Gyptone®Activ'Air®Base 31 E15 10 60</v>
          </cell>
          <cell r="O603" t="str">
            <v>Gyptone®Activ'Air®Base 31 E15 10 60</v>
          </cell>
          <cell r="P603" t="str">
            <v>ivoor</v>
          </cell>
          <cell r="Q603" t="str">
            <v>ivoire</v>
          </cell>
          <cell r="R603" t="str">
            <v>grijs</v>
          </cell>
          <cell r="S603" t="str">
            <v>gris</v>
          </cell>
          <cell r="T603" t="str">
            <v>NBN EN 14190:2014</v>
          </cell>
          <cell r="U603" t="str">
            <v>A</v>
          </cell>
          <cell r="V603" t="str">
            <v>GT</v>
          </cell>
          <cell r="Y603" t="str">
            <v>gipsplaat voor droge binnenafbouw</v>
          </cell>
          <cell r="AA603" t="str">
            <v>A2-s1, d0 (C.4)</v>
          </cell>
          <cell r="AB603" t="str">
            <v>DoP_GYP_14190-1-v-1</v>
          </cell>
          <cell r="AC603" t="str">
            <v>E-15</v>
          </cell>
          <cell r="AE603">
            <v>10</v>
          </cell>
          <cell r="AH603" t="str">
            <v>+/-0.5</v>
          </cell>
          <cell r="AI603">
            <v>0</v>
          </cell>
          <cell r="AJ603">
            <v>0</v>
          </cell>
          <cell r="AL603" t="str">
            <v>Geen eisen gesteld</v>
          </cell>
          <cell r="AM603" t="str">
            <v>Pas de exigences</v>
          </cell>
          <cell r="AN603" t="str">
            <v>kg/m³</v>
          </cell>
          <cell r="AP603">
            <v>0.25</v>
          </cell>
          <cell r="AR603">
            <v>2.8130000000000002</v>
          </cell>
          <cell r="AS603">
            <v>2.9689999999999999</v>
          </cell>
          <cell r="AT603">
            <v>3.6</v>
          </cell>
          <cell r="AU603" t="str">
            <v>CD3</v>
          </cell>
          <cell r="AX603">
            <v>18.22</v>
          </cell>
          <cell r="AY603" t="str">
            <v>01.02.2015</v>
          </cell>
          <cell r="AZ603">
            <v>0</v>
          </cell>
          <cell r="BA603" t="str">
            <v>00.00.0000</v>
          </cell>
          <cell r="BB603" t="str">
            <v>M2</v>
          </cell>
          <cell r="BC603" t="str">
            <v>M2</v>
          </cell>
          <cell r="BD603" t="str">
            <v>S</v>
          </cell>
          <cell r="BE603">
            <v>3496250247550</v>
          </cell>
        </row>
        <row r="604">
          <cell r="A604" t="str">
            <v>H43230600</v>
          </cell>
          <cell r="B604" t="str">
            <v>BASEE</v>
          </cell>
          <cell r="C604" t="str">
            <v>C1CAC01C007C007</v>
          </cell>
          <cell r="D604" t="str">
            <v>Base D2 M2</v>
          </cell>
          <cell r="E604" t="str">
            <v>C1CA</v>
          </cell>
          <cell r="F604" t="str">
            <v>Gyptone plafonds</v>
          </cell>
          <cell r="G604" t="str">
            <v>H43230600</v>
          </cell>
          <cell r="H604" t="str">
            <v>nieuw</v>
          </cell>
          <cell r="I604" t="str">
            <v>01.02.2016</v>
          </cell>
          <cell r="J604" t="str">
            <v>Yes</v>
          </cell>
          <cell r="K604" t="str">
            <v>Professional</v>
          </cell>
          <cell r="L604" t="str">
            <v>GYPTONE</v>
          </cell>
          <cell r="M604" t="str">
            <v>GYPTONE BASE 31</v>
          </cell>
          <cell r="N604" t="str">
            <v>Gyptone Activ'Air Base 31 D2 12.5 60</v>
          </cell>
          <cell r="O604" t="str">
            <v>Gyptone®Activ'Air®Base 31 D2 12.5 60</v>
          </cell>
          <cell r="P604" t="str">
            <v>ivoor</v>
          </cell>
          <cell r="Q604" t="str">
            <v>ivoire</v>
          </cell>
          <cell r="R604" t="str">
            <v>grijs</v>
          </cell>
          <cell r="S604" t="str">
            <v>gris</v>
          </cell>
          <cell r="T604" t="str">
            <v>NBN EN 14190:2014</v>
          </cell>
          <cell r="U604" t="str">
            <v>A</v>
          </cell>
          <cell r="V604" t="str">
            <v>GT</v>
          </cell>
          <cell r="Y604" t="str">
            <v>gipsplaat voor droge binnenafbouw</v>
          </cell>
          <cell r="AA604" t="str">
            <v>A2-s1, d0 (C.4)</v>
          </cell>
          <cell r="AB604" t="str">
            <v>DoP_GYP_14190-1-v-1</v>
          </cell>
          <cell r="AC604" t="str">
            <v>D1</v>
          </cell>
          <cell r="AE604">
            <v>12.5</v>
          </cell>
          <cell r="AH604" t="str">
            <v>+/-0.5</v>
          </cell>
          <cell r="AI604">
            <v>0</v>
          </cell>
          <cell r="AJ604">
            <v>0</v>
          </cell>
          <cell r="AL604" t="str">
            <v>Geen eisen gesteld</v>
          </cell>
          <cell r="AM604" t="str">
            <v>Pas de exigences</v>
          </cell>
          <cell r="AN604" t="str">
            <v>kg/m³</v>
          </cell>
          <cell r="AP604">
            <v>0.25</v>
          </cell>
          <cell r="AR604">
            <v>3.3119999999999998</v>
          </cell>
          <cell r="AS604">
            <v>3.5419999999999998</v>
          </cell>
          <cell r="AT604">
            <v>4.68</v>
          </cell>
          <cell r="AU604" t="str">
            <v>CD3</v>
          </cell>
          <cell r="AV604" t="str">
            <v>WP : Wegwerppallet</v>
          </cell>
          <cell r="AW604">
            <v>7</v>
          </cell>
          <cell r="AX604">
            <v>19</v>
          </cell>
          <cell r="AY604" t="str">
            <v>01.07.2015</v>
          </cell>
          <cell r="AZ604">
            <v>0</v>
          </cell>
          <cell r="BA604" t="str">
            <v>00.00.0000</v>
          </cell>
          <cell r="BB604" t="str">
            <v>M2</v>
          </cell>
          <cell r="BC604" t="str">
            <v>M2</v>
          </cell>
          <cell r="BD604">
            <v>2</v>
          </cell>
          <cell r="BE604">
            <v>3496250305564</v>
          </cell>
        </row>
        <row r="605">
          <cell r="A605" t="str">
            <v>H43341800</v>
          </cell>
          <cell r="B605" t="str">
            <v>PANE15B33180</v>
          </cell>
          <cell r="C605" t="str">
            <v>C1CAC03C003C003</v>
          </cell>
          <cell r="D605" t="str">
            <v>Dalles Gyptone Panel Coul BaseE M2</v>
          </cell>
          <cell r="E605" t="str">
            <v>C1CA</v>
          </cell>
          <cell r="F605" t="str">
            <v>Gyptone plafonds</v>
          </cell>
          <cell r="G605" t="str">
            <v>H43341800</v>
          </cell>
          <cell r="H605" t="str">
            <v>bestaand</v>
          </cell>
          <cell r="I605" t="str">
            <v>01.01.2013</v>
          </cell>
          <cell r="J605" t="str">
            <v>Yes</v>
          </cell>
          <cell r="K605" t="str">
            <v>Professional</v>
          </cell>
          <cell r="L605" t="str">
            <v>GYPTONE</v>
          </cell>
          <cell r="M605" t="str">
            <v>GYPTONE BASE 33</v>
          </cell>
          <cell r="N605" t="str">
            <v>GYPT BASE 33 E 12.5 1800X300 WP/12DS</v>
          </cell>
          <cell r="O605" t="str">
            <v>Gyptone® Base 33 E 1800</v>
          </cell>
          <cell r="P605" t="str">
            <v>ivoor</v>
          </cell>
          <cell r="Q605" t="str">
            <v>ivoire</v>
          </cell>
          <cell r="R605" t="str">
            <v>grijs</v>
          </cell>
          <cell r="S605" t="str">
            <v>gris</v>
          </cell>
          <cell r="T605" t="str">
            <v>NBN EN 14190:2014</v>
          </cell>
          <cell r="U605" t="str">
            <v>A</v>
          </cell>
          <cell r="V605" t="str">
            <v>GT</v>
          </cell>
          <cell r="Y605" t="str">
            <v>gipsplaat voor droge binnenafbouw</v>
          </cell>
          <cell r="AA605" t="str">
            <v>A2-s1, d0 (C.4)</v>
          </cell>
          <cell r="AB605" t="str">
            <v>DoP_GYP_14190-3-v-1</v>
          </cell>
          <cell r="AC605" t="str">
            <v>E15/A</v>
          </cell>
          <cell r="AE605">
            <v>12.5</v>
          </cell>
          <cell r="AH605" t="str">
            <v>+/-0.5</v>
          </cell>
          <cell r="AI605">
            <v>0</v>
          </cell>
          <cell r="AJ605">
            <v>0</v>
          </cell>
          <cell r="AL605" t="str">
            <v>Geen eisen gesteld</v>
          </cell>
          <cell r="AM605" t="str">
            <v>Pas de exigences</v>
          </cell>
          <cell r="AN605" t="str">
            <v>kg/m³</v>
          </cell>
          <cell r="AP605">
            <v>0.25</v>
          </cell>
          <cell r="AR605">
            <v>4.968</v>
          </cell>
          <cell r="AS605">
            <v>5.1390000000000002</v>
          </cell>
          <cell r="AT605">
            <v>7.02</v>
          </cell>
          <cell r="AU605" t="str">
            <v>CD3</v>
          </cell>
          <cell r="AV605" t="str">
            <v>WP : Wegwerppallet</v>
          </cell>
          <cell r="AW605">
            <v>7</v>
          </cell>
          <cell r="AX605">
            <v>24.31</v>
          </cell>
          <cell r="AY605" t="str">
            <v>01.02.2015</v>
          </cell>
          <cell r="AZ605">
            <v>0</v>
          </cell>
          <cell r="BA605" t="str">
            <v>00.00.0000</v>
          </cell>
          <cell r="BB605" t="str">
            <v>M2</v>
          </cell>
          <cell r="BC605" t="str">
            <v>M2</v>
          </cell>
          <cell r="BD605">
            <v>2</v>
          </cell>
          <cell r="BE605">
            <v>3496250066601</v>
          </cell>
        </row>
        <row r="606">
          <cell r="A606" t="str">
            <v>H44620600</v>
          </cell>
          <cell r="C606" t="str">
            <v>C1CAC01C009C001</v>
          </cell>
          <cell r="D606" t="str">
            <v>Sixto A M2</v>
          </cell>
          <cell r="E606" t="str">
            <v>C1CA</v>
          </cell>
          <cell r="F606" t="str">
            <v>Gyptone plafonds</v>
          </cell>
          <cell r="G606" t="str">
            <v>H44620600</v>
          </cell>
          <cell r="H606" t="str">
            <v>bestaand</v>
          </cell>
          <cell r="I606" t="str">
            <v>01.01.2013</v>
          </cell>
          <cell r="J606" t="str">
            <v>Yes</v>
          </cell>
          <cell r="K606" t="str">
            <v>Professional</v>
          </cell>
          <cell r="L606" t="str">
            <v>GYPTONE</v>
          </cell>
          <cell r="M606" t="str">
            <v>GYPTONE SIXTO 60</v>
          </cell>
          <cell r="N606" t="str">
            <v>Gyptone®Activ'Air®Sixt60 A 10 60/60</v>
          </cell>
          <cell r="O606" t="str">
            <v>Gyptone®Activ'Air®Sixt60 A 10 60/60</v>
          </cell>
          <cell r="P606" t="str">
            <v>ivoor</v>
          </cell>
          <cell r="Q606" t="str">
            <v>ivoire</v>
          </cell>
          <cell r="R606" t="str">
            <v>wit vlies</v>
          </cell>
          <cell r="S606" t="str">
            <v>voile blanc</v>
          </cell>
          <cell r="T606" t="str">
            <v>NBN EN 14190:2014</v>
          </cell>
          <cell r="U606" t="str">
            <v>A</v>
          </cell>
          <cell r="V606" t="str">
            <v>GT</v>
          </cell>
          <cell r="W606" t="str">
            <v>geperforeerde tegel uit gipskartonplaat</v>
          </cell>
          <cell r="Y606" t="str">
            <v>gipsplaat voor droge binnenafbouw</v>
          </cell>
          <cell r="AA606" t="str">
            <v>A2-s1, d0 (C.4)</v>
          </cell>
          <cell r="AB606" t="str">
            <v>DoP_GYP_14190-1-v-1</v>
          </cell>
          <cell r="AC606" t="str">
            <v>A</v>
          </cell>
          <cell r="AE606">
            <v>10</v>
          </cell>
          <cell r="AH606" t="str">
            <v>+/-0.5</v>
          </cell>
          <cell r="AI606">
            <v>0</v>
          </cell>
          <cell r="AJ606">
            <v>0</v>
          </cell>
          <cell r="AL606" t="str">
            <v>Geen eisen gesteld</v>
          </cell>
          <cell r="AM606" t="str">
            <v>Pas de exigences</v>
          </cell>
          <cell r="AN606" t="str">
            <v>kg/m³</v>
          </cell>
          <cell r="AP606">
            <v>0.25</v>
          </cell>
          <cell r="AR606">
            <v>2.375</v>
          </cell>
          <cell r="AS606">
            <v>2.5</v>
          </cell>
          <cell r="AT606">
            <v>3.6</v>
          </cell>
          <cell r="AU606" t="str">
            <v>CD3</v>
          </cell>
          <cell r="AX606">
            <v>19.7</v>
          </cell>
          <cell r="AY606" t="str">
            <v>01.02.2015</v>
          </cell>
          <cell r="AZ606">
            <v>0</v>
          </cell>
          <cell r="BA606" t="str">
            <v>00.00.0000</v>
          </cell>
          <cell r="BB606" t="str">
            <v>M2</v>
          </cell>
          <cell r="BC606" t="str">
            <v>M2</v>
          </cell>
          <cell r="BD606">
            <v>2</v>
          </cell>
          <cell r="BE606">
            <v>3496250247611</v>
          </cell>
        </row>
        <row r="607">
          <cell r="A607" t="str">
            <v>H44660600</v>
          </cell>
          <cell r="C607" t="str">
            <v>C1CAC01C009C003</v>
          </cell>
          <cell r="D607" t="str">
            <v>Sixto E M2</v>
          </cell>
          <cell r="E607" t="str">
            <v>C1CA</v>
          </cell>
          <cell r="F607" t="str">
            <v>Gyptone plafonds</v>
          </cell>
          <cell r="G607" t="str">
            <v>H44660600</v>
          </cell>
          <cell r="H607" t="str">
            <v>bestaand</v>
          </cell>
          <cell r="I607" t="str">
            <v>01.01.2013</v>
          </cell>
          <cell r="J607" t="str">
            <v>Yes</v>
          </cell>
          <cell r="K607" t="str">
            <v>Professional</v>
          </cell>
          <cell r="L607" t="str">
            <v>GYPTONE</v>
          </cell>
          <cell r="M607" t="str">
            <v>GYPTONE SIXTO 60</v>
          </cell>
          <cell r="N607" t="str">
            <v>Gyptone®Activ'Air®Sixt 60 E15 10 60</v>
          </cell>
          <cell r="O607" t="str">
            <v>Gyptone®Activ'Air®Sixt 60 E15 10 60</v>
          </cell>
          <cell r="P607" t="str">
            <v>ivoor</v>
          </cell>
          <cell r="Q607" t="str">
            <v>ivoire</v>
          </cell>
          <cell r="R607" t="str">
            <v>wit vlies</v>
          </cell>
          <cell r="S607" t="str">
            <v>voile blanc</v>
          </cell>
          <cell r="T607" t="str">
            <v>NBN EN 14190:2014</v>
          </cell>
          <cell r="U607" t="str">
            <v>A</v>
          </cell>
          <cell r="V607" t="str">
            <v>GT</v>
          </cell>
          <cell r="W607" t="str">
            <v>geperforeerde tegel uit gipskartonplaat</v>
          </cell>
          <cell r="Y607" t="str">
            <v>gipsplaat voor droge binnenafbouw</v>
          </cell>
          <cell r="AA607" t="str">
            <v>A2-s1, d0 (C.4)</v>
          </cell>
          <cell r="AB607" t="str">
            <v>DoP_GYP_14190-1-v-1</v>
          </cell>
          <cell r="AC607" t="str">
            <v>E-15</v>
          </cell>
          <cell r="AE607">
            <v>10</v>
          </cell>
          <cell r="AH607" t="str">
            <v>+/-0.5</v>
          </cell>
          <cell r="AI607">
            <v>0</v>
          </cell>
          <cell r="AJ607">
            <v>0</v>
          </cell>
          <cell r="AL607" t="str">
            <v>Geen eisen gesteld</v>
          </cell>
          <cell r="AM607" t="str">
            <v>Pas de exigences</v>
          </cell>
          <cell r="AN607" t="str">
            <v>kg/m³</v>
          </cell>
          <cell r="AP607">
            <v>0.25</v>
          </cell>
          <cell r="AR607">
            <v>2.3130000000000002</v>
          </cell>
          <cell r="AS607">
            <v>2.5</v>
          </cell>
          <cell r="AT607">
            <v>3.6</v>
          </cell>
          <cell r="AU607" t="str">
            <v>CD3</v>
          </cell>
          <cell r="AX607">
            <v>24.2</v>
          </cell>
          <cell r="AY607" t="str">
            <v>01.02.2015</v>
          </cell>
          <cell r="AZ607">
            <v>0</v>
          </cell>
          <cell r="BA607" t="str">
            <v>00.00.0000</v>
          </cell>
          <cell r="BB607" t="str">
            <v>M2</v>
          </cell>
          <cell r="BC607" t="str">
            <v>M2</v>
          </cell>
          <cell r="BD607">
            <v>2</v>
          </cell>
          <cell r="BE607">
            <v>3496250247635</v>
          </cell>
        </row>
        <row r="608">
          <cell r="A608" t="str">
            <v>H44680600</v>
          </cell>
          <cell r="C608" t="str">
            <v>C1CAC01C009C005</v>
          </cell>
          <cell r="D608" t="str">
            <v>Sixto D2 M2</v>
          </cell>
          <cell r="E608" t="str">
            <v>C1CA</v>
          </cell>
          <cell r="F608" t="str">
            <v>Gyptone plafonds</v>
          </cell>
          <cell r="G608" t="str">
            <v>H44680600</v>
          </cell>
          <cell r="H608" t="str">
            <v>nieuw</v>
          </cell>
          <cell r="I608" t="str">
            <v>01.02.2016</v>
          </cell>
          <cell r="J608" t="str">
            <v>Yes</v>
          </cell>
          <cell r="K608" t="str">
            <v>Professional</v>
          </cell>
          <cell r="L608" t="str">
            <v>GYPTONE</v>
          </cell>
          <cell r="M608" t="str">
            <v>GYPTONE SIXTO 60</v>
          </cell>
          <cell r="N608" t="str">
            <v>Gyptone®Activ'Air®Sixto60 D2 12,5 60/60</v>
          </cell>
          <cell r="O608" t="str">
            <v>Gyptone®Activ'Air®Sixto60 D2 12,5 60/60</v>
          </cell>
          <cell r="P608" t="str">
            <v>ivoor</v>
          </cell>
          <cell r="Q608" t="str">
            <v>ivoire</v>
          </cell>
          <cell r="R608" t="str">
            <v>wit vlies</v>
          </cell>
          <cell r="S608" t="str">
            <v>voile blanc</v>
          </cell>
          <cell r="T608" t="str">
            <v>NBN EN 14190:2014</v>
          </cell>
          <cell r="U608" t="str">
            <v>A</v>
          </cell>
          <cell r="V608" t="str">
            <v>GT</v>
          </cell>
          <cell r="W608" t="str">
            <v>geperforeerde tegel uit gipskartonplaat</v>
          </cell>
          <cell r="Y608" t="str">
            <v>gipsplaat voor droge binnenafbouw</v>
          </cell>
          <cell r="AA608" t="str">
            <v>A2-s1, d0 (C.4)</v>
          </cell>
          <cell r="AB608" t="str">
            <v>DoP_GYP_14190-1-v-1</v>
          </cell>
          <cell r="AC608" t="str">
            <v>D1</v>
          </cell>
          <cell r="AE608">
            <v>12.5</v>
          </cell>
          <cell r="AH608" t="str">
            <v>+/-0.5</v>
          </cell>
          <cell r="AI608">
            <v>0</v>
          </cell>
          <cell r="AJ608">
            <v>0</v>
          </cell>
          <cell r="AL608" t="str">
            <v>Geen eisen gesteld</v>
          </cell>
          <cell r="AM608" t="str">
            <v>Pas de exigences</v>
          </cell>
          <cell r="AN608" t="str">
            <v>kg/m³</v>
          </cell>
          <cell r="AP608">
            <v>0.25</v>
          </cell>
          <cell r="AR608">
            <v>2.7360000000000002</v>
          </cell>
          <cell r="AS608">
            <v>2.9169999999999998</v>
          </cell>
          <cell r="AT608">
            <v>4.68</v>
          </cell>
          <cell r="AU608" t="str">
            <v>CD3</v>
          </cell>
          <cell r="AV608" t="str">
            <v>WP : Wegwerppallet</v>
          </cell>
          <cell r="AW608">
            <v>7</v>
          </cell>
          <cell r="AX608">
            <v>22.95</v>
          </cell>
          <cell r="AY608" t="str">
            <v>01.07.2015</v>
          </cell>
          <cell r="AZ608">
            <v>0</v>
          </cell>
          <cell r="BA608" t="str">
            <v>00.00.0000</v>
          </cell>
          <cell r="BB608" t="str">
            <v>M2</v>
          </cell>
          <cell r="BC608" t="str">
            <v>M2</v>
          </cell>
          <cell r="BD608">
            <v>2</v>
          </cell>
          <cell r="BE608">
            <v>3496250305861</v>
          </cell>
        </row>
        <row r="609">
          <cell r="A609" t="str">
            <v>H46452400</v>
          </cell>
          <cell r="C609" t="str">
            <v>C1CGC03C001C001</v>
          </cell>
          <cell r="D609" t="str">
            <v>Gyptone Activ'Air Quattro SP platen M2</v>
          </cell>
          <cell r="E609" t="str">
            <v>C1CG</v>
          </cell>
          <cell r="F609" t="str">
            <v>Gyptone platen M2</v>
          </cell>
          <cell r="G609" t="str">
            <v>H46452400</v>
          </cell>
          <cell r="H609" t="str">
            <v>bestaand</v>
          </cell>
          <cell r="I609" t="str">
            <v>01.01.2013</v>
          </cell>
          <cell r="J609" t="str">
            <v>Yes</v>
          </cell>
          <cell r="K609" t="str">
            <v>Professional</v>
          </cell>
          <cell r="L609" t="str">
            <v>GYPTONE</v>
          </cell>
          <cell r="M609" t="str">
            <v>GYPTONE BIG QUATTRO 46</v>
          </cell>
          <cell r="N609" t="str">
            <v>Gyptone®Activ'Air®Quat46 13 120/240</v>
          </cell>
          <cell r="O609" t="str">
            <v>Gyptone®Activ'Air®Quat46 13 120/240</v>
          </cell>
          <cell r="P609" t="str">
            <v>ivoor</v>
          </cell>
          <cell r="Q609" t="str">
            <v>ivoire</v>
          </cell>
          <cell r="R609" t="str">
            <v>wit vlies</v>
          </cell>
          <cell r="S609" t="str">
            <v>voile blanc</v>
          </cell>
          <cell r="T609" t="str">
            <v>NBN EN 14190:2014</v>
          </cell>
          <cell r="U609" t="str">
            <v>A</v>
          </cell>
          <cell r="V609" t="str">
            <v>GT</v>
          </cell>
          <cell r="W609" t="str">
            <v>geperforeerde gipskartonplaat met 4 afgeschuinde boorden</v>
          </cell>
          <cell r="Y609" t="str">
            <v>gipsplaat voor droge binnenafbouw</v>
          </cell>
          <cell r="AA609" t="str">
            <v>A2-s1, d0 (C.4)</v>
          </cell>
          <cell r="AB609" t="str">
            <v>DoP_GYP_14190-2-v1</v>
          </cell>
          <cell r="AC609" t="str">
            <v>4xABA</v>
          </cell>
          <cell r="AE609">
            <v>12.5</v>
          </cell>
          <cell r="AH609" t="str">
            <v>+/-0.5</v>
          </cell>
          <cell r="AI609">
            <v>0</v>
          </cell>
          <cell r="AJ609">
            <v>0</v>
          </cell>
          <cell r="AL609" t="str">
            <v>Geen eisen gesteld</v>
          </cell>
          <cell r="AM609" t="str">
            <v>Pas de exigences</v>
          </cell>
          <cell r="AN609" t="str">
            <v>kg/m³</v>
          </cell>
          <cell r="AP609">
            <v>0.25</v>
          </cell>
          <cell r="AR609">
            <v>23.25</v>
          </cell>
          <cell r="AS609">
            <v>25</v>
          </cell>
          <cell r="AT609">
            <v>37.44</v>
          </cell>
          <cell r="AU609" t="str">
            <v>CD3</v>
          </cell>
          <cell r="AX609">
            <v>16.63</v>
          </cell>
          <cell r="AY609" t="str">
            <v>01.02.2015</v>
          </cell>
          <cell r="AZ609">
            <v>0</v>
          </cell>
          <cell r="BA609" t="str">
            <v>00.00.0000</v>
          </cell>
          <cell r="BB609" t="str">
            <v>M2</v>
          </cell>
          <cell r="BC609" t="str">
            <v>M2</v>
          </cell>
          <cell r="BD609" t="str">
            <v>S</v>
          </cell>
          <cell r="BE609">
            <v>3496250247772</v>
          </cell>
        </row>
        <row r="610">
          <cell r="A610" t="str">
            <v>H47452400</v>
          </cell>
          <cell r="C610" t="str">
            <v>C1CGC03C001C001</v>
          </cell>
          <cell r="D610" t="str">
            <v>Gyptone Activ'Air Quattro SP platen M2</v>
          </cell>
          <cell r="E610" t="str">
            <v>C1CG</v>
          </cell>
          <cell r="F610" t="str">
            <v>Gyptone platen M2</v>
          </cell>
          <cell r="G610" t="str">
            <v>H47452400</v>
          </cell>
          <cell r="H610" t="str">
            <v>bestaand</v>
          </cell>
          <cell r="I610" t="str">
            <v>01.01.2013</v>
          </cell>
          <cell r="J610" t="str">
            <v>Yes</v>
          </cell>
          <cell r="K610" t="str">
            <v>Professional</v>
          </cell>
          <cell r="L610" t="str">
            <v>GYPTONE</v>
          </cell>
          <cell r="M610" t="str">
            <v>GYPTONE BIG QUATTRO 47</v>
          </cell>
          <cell r="N610" t="str">
            <v>Gyptone®Activ'Air®Quat47 13 120/240</v>
          </cell>
          <cell r="O610" t="str">
            <v>Gyptone®Activ'Air®Quat47 13 120/240</v>
          </cell>
          <cell r="P610" t="str">
            <v>ivoor</v>
          </cell>
          <cell r="Q610" t="str">
            <v>ivoire</v>
          </cell>
          <cell r="R610" t="str">
            <v>wit vlies</v>
          </cell>
          <cell r="S610" t="str">
            <v>voile blanc</v>
          </cell>
          <cell r="T610" t="str">
            <v>NBN EN 14190:2014</v>
          </cell>
          <cell r="U610" t="str">
            <v>A</v>
          </cell>
          <cell r="V610" t="str">
            <v>GT</v>
          </cell>
          <cell r="W610" t="str">
            <v>geperforeerde gipskartonplaat met 4 afgeschuinde boorden</v>
          </cell>
          <cell r="Y610" t="str">
            <v>gipsplaat voor droge binnenafbouw</v>
          </cell>
          <cell r="AA610" t="str">
            <v>A2-s1, d0 (C.4)</v>
          </cell>
          <cell r="AB610" t="str">
            <v>DoP_GYP_14190-2-v1</v>
          </cell>
          <cell r="AC610" t="str">
            <v>4xABA</v>
          </cell>
          <cell r="AE610">
            <v>12.5</v>
          </cell>
          <cell r="AH610" t="str">
            <v>+/-0.5</v>
          </cell>
          <cell r="AI610">
            <v>0</v>
          </cell>
          <cell r="AJ610">
            <v>0</v>
          </cell>
          <cell r="AL610" t="str">
            <v>Geen eisen gesteld</v>
          </cell>
          <cell r="AM610" t="str">
            <v>Pas de exigences</v>
          </cell>
          <cell r="AN610" t="str">
            <v>kg/m³</v>
          </cell>
          <cell r="AP610">
            <v>0.25</v>
          </cell>
          <cell r="AR610">
            <v>24.27</v>
          </cell>
          <cell r="AS610">
            <v>25</v>
          </cell>
          <cell r="AT610">
            <v>37.44</v>
          </cell>
          <cell r="AU610" t="str">
            <v>CD3</v>
          </cell>
          <cell r="AX610">
            <v>16.63</v>
          </cell>
          <cell r="AY610" t="str">
            <v>01.02.2015</v>
          </cell>
          <cell r="AZ610">
            <v>0</v>
          </cell>
          <cell r="BA610" t="str">
            <v>00.00.0000</v>
          </cell>
          <cell r="BB610" t="str">
            <v>M2</v>
          </cell>
          <cell r="BC610" t="str">
            <v>M2</v>
          </cell>
          <cell r="BD610" t="str">
            <v>S</v>
          </cell>
          <cell r="BE610">
            <v>3496250247796</v>
          </cell>
        </row>
        <row r="611">
          <cell r="A611" t="str">
            <v>H62040600</v>
          </cell>
          <cell r="B611" t="str">
            <v>QUATD120</v>
          </cell>
          <cell r="C611" t="str">
            <v>C1CAC01C001C005</v>
          </cell>
          <cell r="D611" t="str">
            <v>Quattro D1 M2</v>
          </cell>
          <cell r="E611" t="str">
            <v>C1CA</v>
          </cell>
          <cell r="F611" t="str">
            <v>Gyptone plafonds</v>
          </cell>
          <cell r="G611" t="str">
            <v>H62040600</v>
          </cell>
          <cell r="H611" t="str">
            <v>te verwijderen</v>
          </cell>
          <cell r="I611" t="str">
            <v>01.01.2013</v>
          </cell>
          <cell r="J611" t="str">
            <v>Yes</v>
          </cell>
          <cell r="K611" t="str">
            <v>Professional</v>
          </cell>
          <cell r="L611" t="str">
            <v>GYPTONE</v>
          </cell>
          <cell r="M611" t="str">
            <v>GYPTONE QUATTRO 20</v>
          </cell>
          <cell r="N611" t="str">
            <v>GYPT QUATTRO 20 D1 12.5 600X600 WP/14DS</v>
          </cell>
          <cell r="O611" t="str">
            <v>Gyptone® Quattro 20 D1 600X600</v>
          </cell>
          <cell r="P611" t="str">
            <v>ivoor</v>
          </cell>
          <cell r="Q611" t="str">
            <v>ivoire</v>
          </cell>
          <cell r="R611" t="str">
            <v>wit vlies</v>
          </cell>
          <cell r="S611" t="str">
            <v>voile blanc</v>
          </cell>
          <cell r="T611" t="str">
            <v>NBN EN 14190:2014</v>
          </cell>
          <cell r="U611" t="str">
            <v>A</v>
          </cell>
          <cell r="V611" t="str">
            <v>GT</v>
          </cell>
          <cell r="W611" t="str">
            <v>geperforeerde tegel uit gipskartonplaat</v>
          </cell>
          <cell r="Y611" t="str">
            <v>gipsplaat voor droge binnenafbouw</v>
          </cell>
          <cell r="AA611" t="str">
            <v>A2-s1, d0 (C.4)</v>
          </cell>
          <cell r="AB611" t="str">
            <v>DoP_GYP_14190-1-v-1</v>
          </cell>
          <cell r="AC611" t="str">
            <v>D1</v>
          </cell>
          <cell r="AE611">
            <v>12.5</v>
          </cell>
          <cell r="AH611" t="str">
            <v>+/-0.5</v>
          </cell>
          <cell r="AI611">
            <v>0</v>
          </cell>
          <cell r="AJ611">
            <v>0</v>
          </cell>
          <cell r="AL611" t="str">
            <v>Geen eisen gesteld</v>
          </cell>
          <cell r="AM611" t="str">
            <v>Pas de exigences</v>
          </cell>
          <cell r="AN611" t="str">
            <v>kg/m³</v>
          </cell>
          <cell r="AP611">
            <v>0.25</v>
          </cell>
          <cell r="AR611">
            <v>2.87</v>
          </cell>
          <cell r="AS611">
            <v>2.87</v>
          </cell>
          <cell r="AT611">
            <v>4.5</v>
          </cell>
          <cell r="AU611" t="str">
            <v>CD3</v>
          </cell>
          <cell r="AV611" t="str">
            <v>WP : Wegwerppallet</v>
          </cell>
          <cell r="AW611">
            <v>7</v>
          </cell>
          <cell r="AX611">
            <v>35.299999999999997</v>
          </cell>
          <cell r="AY611" t="str">
            <v>01.02.2015</v>
          </cell>
          <cell r="AZ611">
            <v>0</v>
          </cell>
          <cell r="BA611" t="str">
            <v>00.00.0000</v>
          </cell>
          <cell r="BB611" t="str">
            <v>M2</v>
          </cell>
          <cell r="BC611" t="str">
            <v>M2</v>
          </cell>
          <cell r="BD611">
            <v>2</v>
          </cell>
          <cell r="BE611">
            <v>3496250066793</v>
          </cell>
        </row>
        <row r="612">
          <cell r="A612" t="str">
            <v>H63040600</v>
          </cell>
          <cell r="B612" t="str">
            <v>BASED1</v>
          </cell>
          <cell r="C612" t="str">
            <v>C1CAC01C007C005</v>
          </cell>
          <cell r="D612" t="str">
            <v>Base D1 M2</v>
          </cell>
          <cell r="E612" t="str">
            <v>C1CA</v>
          </cell>
          <cell r="F612" t="str">
            <v>Gyptone plafonds</v>
          </cell>
          <cell r="G612" t="str">
            <v>H63040600</v>
          </cell>
          <cell r="H612" t="str">
            <v>te verwijderen</v>
          </cell>
          <cell r="I612" t="str">
            <v>01.01.2013</v>
          </cell>
          <cell r="J612" t="str">
            <v>Yes</v>
          </cell>
          <cell r="K612" t="str">
            <v>Professional</v>
          </cell>
          <cell r="L612" t="str">
            <v>GYPTONE</v>
          </cell>
          <cell r="M612" t="str">
            <v>GYPTONE BASE 31</v>
          </cell>
          <cell r="N612" t="str">
            <v>GYPT BASE 31 D1 12.5 600X600 WP/14DS</v>
          </cell>
          <cell r="O612" t="str">
            <v>Gyptone® Base D1 60/60</v>
          </cell>
          <cell r="P612" t="str">
            <v>ivoor</v>
          </cell>
          <cell r="Q612" t="str">
            <v>ivoire</v>
          </cell>
          <cell r="R612" t="str">
            <v>grijs</v>
          </cell>
          <cell r="S612" t="str">
            <v>gris</v>
          </cell>
          <cell r="T612" t="str">
            <v>NBN EN 14190:2014</v>
          </cell>
          <cell r="U612" t="str">
            <v>A</v>
          </cell>
          <cell r="V612" t="str">
            <v>GT</v>
          </cell>
          <cell r="Y612" t="str">
            <v>gipsplaat voor droge binnenafbouw</v>
          </cell>
          <cell r="AA612" t="str">
            <v>A2-s1, d0 (C.4)</v>
          </cell>
          <cell r="AB612" t="str">
            <v>DoP_GYP_14190-1-v-1</v>
          </cell>
          <cell r="AC612" t="str">
            <v>D1</v>
          </cell>
          <cell r="AE612">
            <v>12.5</v>
          </cell>
          <cell r="AH612" t="str">
            <v>+/-0.5</v>
          </cell>
          <cell r="AI612">
            <v>0</v>
          </cell>
          <cell r="AJ612">
            <v>0</v>
          </cell>
          <cell r="AL612" t="str">
            <v>Geen eisen gesteld</v>
          </cell>
          <cell r="AM612" t="str">
            <v>Pas de exigences</v>
          </cell>
          <cell r="AN612" t="str">
            <v>kg/m³</v>
          </cell>
          <cell r="AP612">
            <v>0.25</v>
          </cell>
          <cell r="AR612">
            <v>3.1859999999999999</v>
          </cell>
          <cell r="AS612">
            <v>3.1859999999999999</v>
          </cell>
          <cell r="AT612">
            <v>4.5</v>
          </cell>
          <cell r="AU612" t="str">
            <v>CD3</v>
          </cell>
          <cell r="AV612" t="str">
            <v>WP : Wegwerppallet</v>
          </cell>
          <cell r="AW612">
            <v>7</v>
          </cell>
          <cell r="AX612">
            <v>30.6</v>
          </cell>
          <cell r="AY612" t="str">
            <v>01.02.2015</v>
          </cell>
          <cell r="AZ612">
            <v>0</v>
          </cell>
          <cell r="BA612" t="str">
            <v>00.00.0000</v>
          </cell>
          <cell r="BB612" t="str">
            <v>M2</v>
          </cell>
          <cell r="BC612" t="str">
            <v>M2</v>
          </cell>
          <cell r="BD612">
            <v>2</v>
          </cell>
          <cell r="BE612">
            <v>3496250066991</v>
          </cell>
        </row>
        <row r="613">
          <cell r="A613" t="str">
            <v>H64452400</v>
          </cell>
          <cell r="C613" t="str">
            <v>C1CGC03C002C001</v>
          </cell>
          <cell r="D613" t="str">
            <v>Gyptone Activ'Air Line SP platen M2</v>
          </cell>
          <cell r="E613" t="str">
            <v>C1CG</v>
          </cell>
          <cell r="F613" t="str">
            <v>Gyptone platen M2</v>
          </cell>
          <cell r="G613" t="str">
            <v>H64452400</v>
          </cell>
          <cell r="H613" t="str">
            <v>bestaand</v>
          </cell>
          <cell r="I613" t="str">
            <v>01.01.2013</v>
          </cell>
          <cell r="J613" t="str">
            <v>Yes</v>
          </cell>
          <cell r="K613" t="str">
            <v>Professional</v>
          </cell>
          <cell r="L613" t="str">
            <v>GYPTONE</v>
          </cell>
          <cell r="M613" t="str">
            <v>GYPTONE BIG LINE 6</v>
          </cell>
          <cell r="N613" t="str">
            <v>Gyptone®Activ'Air®Line6 13 120/240</v>
          </cell>
          <cell r="O613" t="str">
            <v>Gyptone®Activ'Air®Line6 13 120/240</v>
          </cell>
          <cell r="P613" t="str">
            <v>ivoor</v>
          </cell>
          <cell r="Q613" t="str">
            <v>ivoire</v>
          </cell>
          <cell r="R613" t="str">
            <v>wit vlies</v>
          </cell>
          <cell r="S613" t="str">
            <v>voile blanc</v>
          </cell>
          <cell r="T613" t="str">
            <v>NBN EN 14190:2014</v>
          </cell>
          <cell r="U613" t="str">
            <v>A</v>
          </cell>
          <cell r="V613" t="str">
            <v>GT</v>
          </cell>
          <cell r="W613" t="str">
            <v>geperforeerde gipskartonplaat met 4 afgeschuinde boorden</v>
          </cell>
          <cell r="Y613" t="str">
            <v>gipsplaat voor droge binnenafbouw</v>
          </cell>
          <cell r="AA613" t="str">
            <v>A2-s1, d0 (C.4)</v>
          </cell>
          <cell r="AB613" t="str">
            <v>DoP_GYP_14190-2-v1</v>
          </cell>
          <cell r="AC613" t="str">
            <v>4xABA</v>
          </cell>
          <cell r="AE613">
            <v>12.5</v>
          </cell>
          <cell r="AH613" t="str">
            <v>+/-0.5</v>
          </cell>
          <cell r="AI613">
            <v>0</v>
          </cell>
          <cell r="AJ613">
            <v>0</v>
          </cell>
          <cell r="AL613" t="str">
            <v>Geen eisen gesteld</v>
          </cell>
          <cell r="AM613" t="str">
            <v>Pas de exigences</v>
          </cell>
          <cell r="AN613" t="str">
            <v>kg/m³</v>
          </cell>
          <cell r="AP613">
            <v>0.25</v>
          </cell>
          <cell r="AR613">
            <v>22.48</v>
          </cell>
          <cell r="AS613">
            <v>23.6</v>
          </cell>
          <cell r="AT613">
            <v>37.44</v>
          </cell>
          <cell r="AU613" t="str">
            <v>CD3</v>
          </cell>
          <cell r="AX613">
            <v>16.63</v>
          </cell>
          <cell r="AY613" t="str">
            <v>01.02.2015</v>
          </cell>
          <cell r="AZ613">
            <v>0</v>
          </cell>
          <cell r="BA613" t="str">
            <v>00.00.0000</v>
          </cell>
          <cell r="BB613" t="str">
            <v>M2</v>
          </cell>
          <cell r="BC613" t="str">
            <v>M2</v>
          </cell>
          <cell r="BD613" t="str">
            <v>S</v>
          </cell>
          <cell r="BE613">
            <v>3496250247819</v>
          </cell>
        </row>
        <row r="614">
          <cell r="A614" t="str">
            <v>H65011998</v>
          </cell>
          <cell r="C614" t="str">
            <v>C1CBC01C001C021</v>
          </cell>
          <cell r="D614" t="str">
            <v>Rigitone 8/18 M2</v>
          </cell>
          <cell r="E614" t="str">
            <v>C1CB</v>
          </cell>
          <cell r="F614" t="str">
            <v>Rigitone platen</v>
          </cell>
          <cell r="G614" t="str">
            <v>ZIB00028</v>
          </cell>
          <cell r="H614" t="str">
            <v>te verwijderen</v>
          </cell>
          <cell r="I614" t="str">
            <v>01.01.2013</v>
          </cell>
          <cell r="J614" t="str">
            <v>Yes</v>
          </cell>
          <cell r="K614" t="str">
            <v>Professional</v>
          </cell>
          <cell r="L614" t="str">
            <v>RIGITONE</v>
          </cell>
          <cell r="M614" t="str">
            <v>RIGITONE 8/18</v>
          </cell>
          <cell r="N614" t="str">
            <v>RIGITONE 8/18 BT 12.5X1998X1188 DP/40</v>
          </cell>
          <cell r="O614" t="str">
            <v>Rigitone™8/18 BT 13 118,8/199,8</v>
          </cell>
          <cell r="P614" t="str">
            <v>ivoor</v>
          </cell>
          <cell r="Q614" t="str">
            <v>ivoire</v>
          </cell>
          <cell r="R614" t="str">
            <v>zwart vlies</v>
          </cell>
          <cell r="S614" t="str">
            <v>voile noir</v>
          </cell>
          <cell r="T614" t="str">
            <v>NBN EN 14190:2014</v>
          </cell>
          <cell r="U614" t="str">
            <v>A</v>
          </cell>
          <cell r="V614" t="str">
            <v>RT</v>
          </cell>
          <cell r="W614" t="str">
            <v>geperforeerde gipskartonplaat met gesneden boorden</v>
          </cell>
          <cell r="Y614" t="str">
            <v>gipsplaat voor droge binnenafbouw</v>
          </cell>
          <cell r="AA614" t="str">
            <v>A2-s1, d0 (C.1)</v>
          </cell>
          <cell r="AB614" t="str">
            <v>Rigiton_Air_LE_0613</v>
          </cell>
          <cell r="AC614" t="str">
            <v>GBC</v>
          </cell>
          <cell r="AE614">
            <v>12.5</v>
          </cell>
          <cell r="AH614" t="str">
            <v>+/-0.5</v>
          </cell>
          <cell r="AI614">
            <v>0</v>
          </cell>
          <cell r="AJ614">
            <v>0</v>
          </cell>
          <cell r="AL614" t="str">
            <v>Geen eisen gesteld</v>
          </cell>
          <cell r="AM614" t="str">
            <v>Pas de exigences</v>
          </cell>
          <cell r="AN614" t="str">
            <v>kg/m³</v>
          </cell>
          <cell r="AP614">
            <v>0.25</v>
          </cell>
          <cell r="AR614">
            <v>23.736000000000001</v>
          </cell>
          <cell r="AS614">
            <v>24.236000000000001</v>
          </cell>
          <cell r="AT614">
            <v>29.67</v>
          </cell>
          <cell r="AU614" t="str">
            <v>CD3</v>
          </cell>
          <cell r="AV614" t="str">
            <v>DP : Duitse Pallet</v>
          </cell>
          <cell r="AW614">
            <v>3</v>
          </cell>
          <cell r="AX614">
            <v>18.54</v>
          </cell>
          <cell r="AY614" t="str">
            <v>01.02.2015</v>
          </cell>
          <cell r="AZ614">
            <v>0</v>
          </cell>
          <cell r="BA614" t="str">
            <v>00.00.0000</v>
          </cell>
          <cell r="BB614" t="str">
            <v>M2</v>
          </cell>
          <cell r="BC614" t="str">
            <v>M2</v>
          </cell>
          <cell r="BD614" t="str">
            <v>S</v>
          </cell>
          <cell r="BE614">
            <v>3496250109698</v>
          </cell>
        </row>
        <row r="615">
          <cell r="A615" t="str">
            <v>H65051980</v>
          </cell>
          <cell r="C615" t="str">
            <v>C1CBC01C001C015</v>
          </cell>
          <cell r="D615" t="str">
            <v>Rigitone 12/20/66 M2</v>
          </cell>
          <cell r="E615" t="str">
            <v>C1CB</v>
          </cell>
          <cell r="F615" t="str">
            <v>Rigitone platen</v>
          </cell>
          <cell r="G615" t="str">
            <v>ZIB00028</v>
          </cell>
          <cell r="H615" t="str">
            <v>te verwijderen</v>
          </cell>
          <cell r="I615" t="str">
            <v>01.01.2013</v>
          </cell>
          <cell r="J615" t="str">
            <v>Yes</v>
          </cell>
          <cell r="K615" t="str">
            <v>Professional</v>
          </cell>
          <cell r="L615" t="str">
            <v>RIGITONE</v>
          </cell>
          <cell r="M615" t="str">
            <v>RIGITONE 12-20/66</v>
          </cell>
          <cell r="N615" t="str">
            <v>RIGITONE 12-20/66 12.5X1980X1188 DP/40</v>
          </cell>
          <cell r="O615" t="str">
            <v>Rigitone™12-20/66 BT 13 118,8/198,0</v>
          </cell>
          <cell r="P615" t="str">
            <v>ivoor</v>
          </cell>
          <cell r="Q615" t="str">
            <v>ivoire</v>
          </cell>
          <cell r="R615" t="str">
            <v>zwart vlies</v>
          </cell>
          <cell r="S615" t="str">
            <v>voile noir</v>
          </cell>
          <cell r="T615" t="str">
            <v>NBN EN 14190:2014</v>
          </cell>
          <cell r="U615" t="str">
            <v>A</v>
          </cell>
          <cell r="V615" t="str">
            <v>RT</v>
          </cell>
          <cell r="W615" t="str">
            <v>geperforeerde gipskartonplaat met gesneden boorden</v>
          </cell>
          <cell r="Y615" t="str">
            <v>gipsplaat voor droge binnenafbouw</v>
          </cell>
          <cell r="AA615" t="str">
            <v>A2-s1, d0 (C.1)</v>
          </cell>
          <cell r="AB615" t="str">
            <v>Rigiton_Air_LE_0613</v>
          </cell>
          <cell r="AC615" t="str">
            <v>GBC</v>
          </cell>
          <cell r="AE615">
            <v>12.5</v>
          </cell>
          <cell r="AH615" t="str">
            <v>+/-0.5</v>
          </cell>
          <cell r="AI615">
            <v>0</v>
          </cell>
          <cell r="AJ615">
            <v>0</v>
          </cell>
          <cell r="AL615" t="str">
            <v>Geen eisen gesteld</v>
          </cell>
          <cell r="AM615" t="str">
            <v>Pas de exigences</v>
          </cell>
          <cell r="AN615" t="str">
            <v>kg/m³</v>
          </cell>
          <cell r="AP615">
            <v>0.25</v>
          </cell>
          <cell r="AR615">
            <v>22.5</v>
          </cell>
          <cell r="AS615">
            <v>23</v>
          </cell>
          <cell r="AT615">
            <v>29.402999999999999</v>
          </cell>
          <cell r="AU615" t="str">
            <v>CD3</v>
          </cell>
          <cell r="AV615" t="str">
            <v>DP : Duitse Pallet</v>
          </cell>
          <cell r="AW615">
            <v>3</v>
          </cell>
          <cell r="AX615">
            <v>18.54</v>
          </cell>
          <cell r="AY615" t="str">
            <v>01.02.2015</v>
          </cell>
          <cell r="AZ615">
            <v>0</v>
          </cell>
          <cell r="BA615" t="str">
            <v>00.00.0000</v>
          </cell>
          <cell r="BB615" t="str">
            <v>M2</v>
          </cell>
          <cell r="BC615" t="str">
            <v>M2</v>
          </cell>
          <cell r="BD615" t="str">
            <v>S</v>
          </cell>
          <cell r="BE615">
            <v>3496250109711</v>
          </cell>
        </row>
        <row r="616">
          <cell r="A616" t="str">
            <v>H65080000</v>
          </cell>
          <cell r="B616" t="str">
            <v>RTONE818</v>
          </cell>
          <cell r="C616" t="str">
            <v>F5FAF01F002F004</v>
          </cell>
          <cell r="D616" t="str">
            <v>Rigitone Montagehulp *</v>
          </cell>
          <cell r="E616" t="str">
            <v>F5FA</v>
          </cell>
          <cell r="F616" t="str">
            <v>Gereedschap bevestigingen *</v>
          </cell>
          <cell r="G616" t="str">
            <v>H65080000</v>
          </cell>
          <cell r="H616" t="str">
            <v>bestaand</v>
          </cell>
          <cell r="I616" t="str">
            <v>01.01.2013</v>
          </cell>
          <cell r="J616" t="str">
            <v>Yes</v>
          </cell>
          <cell r="K616" t="str">
            <v>Professional</v>
          </cell>
          <cell r="L616" t="str">
            <v>RIGITONE</v>
          </cell>
          <cell r="M616" t="str">
            <v>AFSTANDSHOUDER RIGITONE</v>
          </cell>
          <cell r="N616" t="str">
            <v>MONTAGEHULP RIGITONE 8/18</v>
          </cell>
          <cell r="O616" t="str">
            <v>Gabarit Pose Rigitone™ 8/18, 8/18Q</v>
          </cell>
          <cell r="P616" t="str">
            <v>(blanco)</v>
          </cell>
          <cell r="Q616" t="str">
            <v>(blanco)</v>
          </cell>
          <cell r="R616" t="str">
            <v>(blanco)</v>
          </cell>
          <cell r="S616" t="str">
            <v>(blanco)</v>
          </cell>
          <cell r="T616" t="str">
            <v>--</v>
          </cell>
          <cell r="AA616" t="str">
            <v>(blanco)</v>
          </cell>
          <cell r="AC616" t="str">
            <v>(blanco)</v>
          </cell>
          <cell r="AD616" t="str">
            <v>(blanco)</v>
          </cell>
          <cell r="AH616" t="str">
            <v>(blanco)</v>
          </cell>
          <cell r="AI616" t="str">
            <v>(blanco)</v>
          </cell>
          <cell r="AJ616" t="str">
            <v>(blanco)</v>
          </cell>
          <cell r="AL616" t="str">
            <v>(blanco)</v>
          </cell>
          <cell r="AM616" t="str">
            <v>(blanco)</v>
          </cell>
          <cell r="AN616" t="str">
            <v>(blanco)</v>
          </cell>
          <cell r="AR616">
            <v>0.24399999999999999</v>
          </cell>
          <cell r="AS616">
            <v>0.24399999999999999</v>
          </cell>
          <cell r="AT616">
            <v>2.1970000000000001</v>
          </cell>
          <cell r="AU616" t="str">
            <v>CD3</v>
          </cell>
          <cell r="AX616">
            <v>29.2</v>
          </cell>
          <cell r="AY616" t="str">
            <v>01.02.2015</v>
          </cell>
          <cell r="AZ616">
            <v>0</v>
          </cell>
          <cell r="BA616" t="str">
            <v>00.00.0000</v>
          </cell>
          <cell r="BB616" t="str">
            <v>******</v>
          </cell>
          <cell r="BC616" t="str">
            <v>DS</v>
          </cell>
          <cell r="BD616" t="str">
            <v>S</v>
          </cell>
          <cell r="BE616">
            <v>4002806056126</v>
          </cell>
        </row>
        <row r="617">
          <cell r="A617" t="str">
            <v>H65090000</v>
          </cell>
          <cell r="C617" t="str">
            <v>F5FAF01F002F004</v>
          </cell>
          <cell r="D617" t="str">
            <v>Rigitone Montagehulp *</v>
          </cell>
          <cell r="E617" t="str">
            <v>F5FA</v>
          </cell>
          <cell r="F617" t="str">
            <v>Gereedschap bevestigingen *</v>
          </cell>
          <cell r="G617" t="str">
            <v>H65090000</v>
          </cell>
          <cell r="H617" t="str">
            <v>bestaand</v>
          </cell>
          <cell r="I617" t="str">
            <v>01.01.2013</v>
          </cell>
          <cell r="J617" t="str">
            <v>Yes</v>
          </cell>
          <cell r="K617" t="str">
            <v>Professional</v>
          </cell>
          <cell r="L617" t="str">
            <v>RIGITONE</v>
          </cell>
          <cell r="M617" t="str">
            <v>AFSTANDSHOUDER RIGITONE</v>
          </cell>
          <cell r="N617" t="str">
            <v>MONTAGEHULP RIGITONE 12-20/66</v>
          </cell>
          <cell r="O617" t="str">
            <v>Gabarit Pose Rigitone™ 12-20/66</v>
          </cell>
          <cell r="P617" t="str">
            <v>(blanco)</v>
          </cell>
          <cell r="Q617" t="str">
            <v>(blanco)</v>
          </cell>
          <cell r="R617" t="str">
            <v>(blanco)</v>
          </cell>
          <cell r="S617" t="str">
            <v>(blanco)</v>
          </cell>
          <cell r="T617" t="str">
            <v>--</v>
          </cell>
          <cell r="AA617" t="str">
            <v>(blanco)</v>
          </cell>
          <cell r="AC617" t="str">
            <v>(blanco)</v>
          </cell>
          <cell r="AD617" t="str">
            <v>(blanco)</v>
          </cell>
          <cell r="AH617" t="str">
            <v>(blanco)</v>
          </cell>
          <cell r="AI617" t="str">
            <v>(blanco)</v>
          </cell>
          <cell r="AJ617" t="str">
            <v>(blanco)</v>
          </cell>
          <cell r="AL617" t="str">
            <v>(blanco)</v>
          </cell>
          <cell r="AM617" t="str">
            <v>(blanco)</v>
          </cell>
          <cell r="AN617" t="str">
            <v>(blanco)</v>
          </cell>
          <cell r="AR617">
            <v>0.23899999999999999</v>
          </cell>
          <cell r="AS617">
            <v>0.23899999999999999</v>
          </cell>
          <cell r="AT617">
            <v>2.1970000000000001</v>
          </cell>
          <cell r="AU617" t="str">
            <v>CD3</v>
          </cell>
          <cell r="AX617">
            <v>29.2</v>
          </cell>
          <cell r="AY617" t="str">
            <v>01.02.2015</v>
          </cell>
          <cell r="AZ617">
            <v>0</v>
          </cell>
          <cell r="BA617" t="str">
            <v>00.00.0000</v>
          </cell>
          <cell r="BB617" t="str">
            <v>******</v>
          </cell>
          <cell r="BC617" t="str">
            <v>DS</v>
          </cell>
          <cell r="BD617" t="str">
            <v>S</v>
          </cell>
          <cell r="BE617">
            <v>4002806056157</v>
          </cell>
        </row>
        <row r="618">
          <cell r="A618" t="str">
            <v>H65100000</v>
          </cell>
          <cell r="B618" t="str">
            <v>RTONE1520</v>
          </cell>
          <cell r="C618" t="str">
            <v>F5FAF01F002F004</v>
          </cell>
          <cell r="D618" t="str">
            <v>Rigitone Montagehulp *</v>
          </cell>
          <cell r="E618" t="str">
            <v>F5FA</v>
          </cell>
          <cell r="F618" t="str">
            <v>Gereedschap bevestigingen *</v>
          </cell>
          <cell r="G618" t="str">
            <v>H65100000</v>
          </cell>
          <cell r="H618" t="str">
            <v>bestaand</v>
          </cell>
          <cell r="I618" t="str">
            <v>01.01.2013</v>
          </cell>
          <cell r="J618" t="str">
            <v>Yes</v>
          </cell>
          <cell r="K618" t="str">
            <v>Professional</v>
          </cell>
          <cell r="L618" t="str">
            <v>RIGITONE</v>
          </cell>
          <cell r="M618" t="str">
            <v>AFSTANDSHOUDER RIGITONE</v>
          </cell>
          <cell r="N618" t="str">
            <v>MONTAGEHULP RIGITONE 8-15-20</v>
          </cell>
          <cell r="O618" t="str">
            <v>Gabarit Pose Rigitone™ 8-15-20 Sup</v>
          </cell>
          <cell r="P618" t="str">
            <v>(blanco)</v>
          </cell>
          <cell r="Q618" t="str">
            <v>(blanco)</v>
          </cell>
          <cell r="R618" t="str">
            <v>(blanco)</v>
          </cell>
          <cell r="S618" t="str">
            <v>(blanco)</v>
          </cell>
          <cell r="T618" t="str">
            <v>--</v>
          </cell>
          <cell r="AA618" t="str">
            <v>(blanco)</v>
          </cell>
          <cell r="AC618" t="str">
            <v>(blanco)</v>
          </cell>
          <cell r="AD618" t="str">
            <v>(blanco)</v>
          </cell>
          <cell r="AH618" t="str">
            <v>(blanco)</v>
          </cell>
          <cell r="AI618" t="str">
            <v>(blanco)</v>
          </cell>
          <cell r="AJ618" t="str">
            <v>(blanco)</v>
          </cell>
          <cell r="AL618" t="str">
            <v>(blanco)</v>
          </cell>
          <cell r="AM618" t="str">
            <v>(blanco)</v>
          </cell>
          <cell r="AN618" t="str">
            <v>(blanco)</v>
          </cell>
          <cell r="AR618">
            <v>0.23799999999999999</v>
          </cell>
          <cell r="AS618">
            <v>0.23799999999999999</v>
          </cell>
          <cell r="AT618">
            <v>2.1970000000000001</v>
          </cell>
          <cell r="AU618" t="str">
            <v>CD3</v>
          </cell>
          <cell r="AX618">
            <v>29.2</v>
          </cell>
          <cell r="AY618" t="str">
            <v>01.02.2015</v>
          </cell>
          <cell r="AZ618">
            <v>0</v>
          </cell>
          <cell r="BA618" t="str">
            <v>00.00.0000</v>
          </cell>
          <cell r="BB618" t="str">
            <v>******</v>
          </cell>
          <cell r="BC618" t="str">
            <v>DS</v>
          </cell>
          <cell r="BD618" t="str">
            <v>S</v>
          </cell>
          <cell r="BE618">
            <v>4002806056164</v>
          </cell>
        </row>
        <row r="619">
          <cell r="A619" t="str">
            <v>H65122000</v>
          </cell>
          <cell r="C619" t="str">
            <v>C1CBC01C001C017</v>
          </cell>
          <cell r="D619" t="str">
            <v>Rigitone 12/25 Q M2</v>
          </cell>
          <cell r="E619" t="str">
            <v>C1CB</v>
          </cell>
          <cell r="F619" t="str">
            <v>Rigitone platen</v>
          </cell>
          <cell r="G619" t="str">
            <v>ZIB00030</v>
          </cell>
          <cell r="H619" t="str">
            <v>te verwijderen</v>
          </cell>
          <cell r="I619" t="str">
            <v>01.01.2013</v>
          </cell>
          <cell r="J619" t="str">
            <v>Yes</v>
          </cell>
          <cell r="K619" t="str">
            <v>Professional</v>
          </cell>
          <cell r="L619" t="str">
            <v>RIGITONE</v>
          </cell>
          <cell r="M619" t="str">
            <v>RIGITONE 12/25 Q</v>
          </cell>
          <cell r="N619" t="str">
            <v>RIGITONE 12/25 Q BT 12.5X2000X1200 DP/40</v>
          </cell>
          <cell r="O619" t="str">
            <v>Rigitone™12/25 Q BT 120/200</v>
          </cell>
          <cell r="P619" t="str">
            <v>ivoor</v>
          </cell>
          <cell r="Q619" t="str">
            <v>ivoire</v>
          </cell>
          <cell r="R619" t="str">
            <v>zwart vlies</v>
          </cell>
          <cell r="S619" t="str">
            <v>voile noir</v>
          </cell>
          <cell r="T619" t="str">
            <v>NBN EN 14190:2014</v>
          </cell>
          <cell r="U619" t="str">
            <v>A</v>
          </cell>
          <cell r="V619" t="str">
            <v>RT</v>
          </cell>
          <cell r="W619" t="str">
            <v>geperforeerde gipskartonplaat met gesneden boorden</v>
          </cell>
          <cell r="Y619" t="str">
            <v>gipsplaat voor droge binnenafbouw</v>
          </cell>
          <cell r="AA619" t="str">
            <v>A2-s1, d0 (C.1)</v>
          </cell>
          <cell r="AB619" t="str">
            <v>Rigiton_Air_LE_0613</v>
          </cell>
          <cell r="AC619" t="str">
            <v>GBC</v>
          </cell>
          <cell r="AE619">
            <v>12.5</v>
          </cell>
          <cell r="AH619" t="str">
            <v>+/-0.5</v>
          </cell>
          <cell r="AI619">
            <v>0</v>
          </cell>
          <cell r="AJ619">
            <v>0</v>
          </cell>
          <cell r="AL619" t="str">
            <v>Geen eisen gesteld</v>
          </cell>
          <cell r="AM619" t="str">
            <v>Pas de exigences</v>
          </cell>
          <cell r="AN619" t="str">
            <v>kg/m³</v>
          </cell>
          <cell r="AP619">
            <v>0.25</v>
          </cell>
          <cell r="AR619">
            <v>24</v>
          </cell>
          <cell r="AS619">
            <v>24.875</v>
          </cell>
          <cell r="AT619">
            <v>31.2</v>
          </cell>
          <cell r="AU619" t="str">
            <v>CD3</v>
          </cell>
          <cell r="AV619" t="str">
            <v>DP : Duitse Pallet</v>
          </cell>
          <cell r="AW619">
            <v>3</v>
          </cell>
          <cell r="AX619">
            <v>24.6</v>
          </cell>
          <cell r="AY619" t="str">
            <v>01.02.2015</v>
          </cell>
          <cell r="AZ619">
            <v>0</v>
          </cell>
          <cell r="BA619" t="str">
            <v>00.00.0000</v>
          </cell>
          <cell r="BB619" t="str">
            <v>M2</v>
          </cell>
          <cell r="BC619" t="str">
            <v>M2</v>
          </cell>
          <cell r="BD619" t="str">
            <v>S</v>
          </cell>
          <cell r="BE619">
            <v>3496250125513</v>
          </cell>
        </row>
        <row r="620">
          <cell r="A620" t="str">
            <v>H65133500</v>
          </cell>
          <cell r="C620" t="str">
            <v>F5FAF01F002F004</v>
          </cell>
          <cell r="D620" t="str">
            <v>Rigitone Montagehulp *</v>
          </cell>
          <cell r="E620" t="str">
            <v>F5FA</v>
          </cell>
          <cell r="F620" t="str">
            <v>Gereedschap bevestigingen *</v>
          </cell>
          <cell r="G620" t="str">
            <v>H65133500</v>
          </cell>
          <cell r="H620" t="str">
            <v>nieuw</v>
          </cell>
          <cell r="I620" t="str">
            <v>01.02.2016</v>
          </cell>
          <cell r="J620" t="str">
            <v>Yes</v>
          </cell>
          <cell r="K620" t="str">
            <v>Professional</v>
          </cell>
          <cell r="L620" t="str">
            <v>RIGITONETM</v>
          </cell>
          <cell r="M620" t="str">
            <v>RIGITONE MIX</v>
          </cell>
          <cell r="N620" t="str">
            <v>Rigitone™ Mix</v>
          </cell>
          <cell r="O620" t="str">
            <v>Rigitone™ Mix</v>
          </cell>
          <cell r="P620" t="str">
            <v>(blanco)</v>
          </cell>
          <cell r="Q620" t="str">
            <v>(blanco)</v>
          </cell>
          <cell r="R620" t="str">
            <v>(blanco)</v>
          </cell>
          <cell r="S620" t="str">
            <v>(blanco)</v>
          </cell>
          <cell r="T620" t="str">
            <v>NBN EN 13963:2014</v>
          </cell>
          <cell r="U620" t="str">
            <v>3A</v>
          </cell>
          <cell r="V620" t="str">
            <v>--</v>
          </cell>
          <cell r="AA620" t="str">
            <v>A1</v>
          </cell>
          <cell r="AC620" t="str">
            <v>(blanco)</v>
          </cell>
          <cell r="AD620" t="str">
            <v>(blanco)</v>
          </cell>
          <cell r="AH620" t="str">
            <v>(blanco)</v>
          </cell>
          <cell r="AI620" t="str">
            <v>(blanco)</v>
          </cell>
          <cell r="AJ620" t="str">
            <v>(blanco)</v>
          </cell>
          <cell r="AL620" t="str">
            <v>(blanco)</v>
          </cell>
          <cell r="AM620" t="str">
            <v>(blanco)</v>
          </cell>
          <cell r="AN620" t="str">
            <v>(blanco)</v>
          </cell>
          <cell r="AP620">
            <v>0.25</v>
          </cell>
          <cell r="AR620">
            <v>0.36199999999999999</v>
          </cell>
          <cell r="AS620">
            <v>0.36199999999999999</v>
          </cell>
          <cell r="AT620">
            <v>15.087999999999999</v>
          </cell>
          <cell r="AU620" t="str">
            <v>CD3</v>
          </cell>
          <cell r="AX620">
            <v>96.84</v>
          </cell>
          <cell r="AY620" t="str">
            <v>18.05.2015</v>
          </cell>
          <cell r="AZ620">
            <v>0</v>
          </cell>
          <cell r="BA620" t="str">
            <v>00.00.0000</v>
          </cell>
          <cell r="BB620" t="str">
            <v>KAR</v>
          </cell>
          <cell r="BC620" t="str">
            <v>******</v>
          </cell>
          <cell r="BD620" t="str">
            <v>S</v>
          </cell>
          <cell r="BE620">
            <v>3496250267527</v>
          </cell>
        </row>
        <row r="621">
          <cell r="A621" t="str">
            <v>H65171000</v>
          </cell>
          <cell r="B621" t="str">
            <v>KITMONTAGE</v>
          </cell>
          <cell r="C621" t="str">
            <v>F5FAF01F002F004</v>
          </cell>
          <cell r="D621" t="str">
            <v>Rigitone Montagehulp *</v>
          </cell>
          <cell r="E621" t="str">
            <v>F5FA</v>
          </cell>
          <cell r="F621" t="str">
            <v>Gereedschap bevestigingen *</v>
          </cell>
          <cell r="G621" t="str">
            <v>H65171000</v>
          </cell>
          <cell r="H621" t="str">
            <v>nieuw</v>
          </cell>
          <cell r="I621" t="str">
            <v>01.02.2016</v>
          </cell>
          <cell r="J621" t="str">
            <v>Yes</v>
          </cell>
          <cell r="K621" t="str">
            <v>Professional</v>
          </cell>
          <cell r="L621" t="str">
            <v>RIGITONETM</v>
          </cell>
          <cell r="M621" t="str">
            <v>KIT RIGITONE MIX</v>
          </cell>
          <cell r="N621" t="str">
            <v>Kit Rigitone™ Mix</v>
          </cell>
          <cell r="O621" t="str">
            <v>Kit Rigitone™ Mix</v>
          </cell>
          <cell r="P621" t="str">
            <v>(blanco)</v>
          </cell>
          <cell r="Q621" t="str">
            <v>(blanco)</v>
          </cell>
          <cell r="R621" t="str">
            <v>(blanco)</v>
          </cell>
          <cell r="S621" t="str">
            <v>(blanco)</v>
          </cell>
          <cell r="T621" t="str">
            <v>--</v>
          </cell>
          <cell r="AA621" t="str">
            <v>(blanco)</v>
          </cell>
          <cell r="AC621" t="str">
            <v>(blanco)</v>
          </cell>
          <cell r="AD621" t="str">
            <v>(blanco)</v>
          </cell>
          <cell r="AH621" t="str">
            <v>(blanco)</v>
          </cell>
          <cell r="AI621" t="str">
            <v>(blanco)</v>
          </cell>
          <cell r="AJ621" t="str">
            <v>(blanco)</v>
          </cell>
          <cell r="AL621" t="str">
            <v>(blanco)</v>
          </cell>
          <cell r="AM621" t="str">
            <v>(blanco)</v>
          </cell>
          <cell r="AN621" t="str">
            <v>(blanco)</v>
          </cell>
          <cell r="AR621">
            <v>2</v>
          </cell>
          <cell r="AS621">
            <v>2</v>
          </cell>
          <cell r="AT621">
            <v>8.7449999999999992</v>
          </cell>
          <cell r="AU621" t="str">
            <v>CD3</v>
          </cell>
          <cell r="AX621">
            <v>67.7</v>
          </cell>
          <cell r="AY621" t="str">
            <v>28.04.2015</v>
          </cell>
          <cell r="AZ621">
            <v>0</v>
          </cell>
          <cell r="BA621" t="str">
            <v>00.00.0000</v>
          </cell>
          <cell r="BB621" t="str">
            <v>KAR</v>
          </cell>
          <cell r="BC621" t="str">
            <v>******</v>
          </cell>
          <cell r="BD621" t="str">
            <v>S</v>
          </cell>
          <cell r="BE621">
            <v>3496250267381</v>
          </cell>
        </row>
        <row r="622">
          <cell r="A622" t="str">
            <v>H88700000</v>
          </cell>
          <cell r="B622" t="str">
            <v>CLIPFEU</v>
          </cell>
          <cell r="C622" t="str">
            <v>D1DCD01D006D002</v>
          </cell>
          <cell r="D622" t="str">
            <v>Snap-on clip *</v>
          </cell>
          <cell r="E622" t="str">
            <v>D1DC</v>
          </cell>
          <cell r="F622" t="str">
            <v>Toebehoren Bevestigingen *</v>
          </cell>
          <cell r="G622" t="str">
            <v>H88700000</v>
          </cell>
          <cell r="H622" t="str">
            <v>bestaand</v>
          </cell>
          <cell r="I622" t="str">
            <v>01.01.2013</v>
          </cell>
          <cell r="J622" t="str">
            <v>Yes</v>
          </cell>
          <cell r="K622" t="str">
            <v>Professional</v>
          </cell>
          <cell r="L622" t="str">
            <v>Gyproc</v>
          </cell>
          <cell r="M622" t="str">
            <v>SNAP-ON CLIP</v>
          </cell>
          <cell r="N622" t="str">
            <v>SNAP - ON CLIP SC/60</v>
          </cell>
          <cell r="O622" t="str">
            <v>Clipfeu®/bte 60P</v>
          </cell>
          <cell r="P622" t="str">
            <v>(blanco)</v>
          </cell>
          <cell r="Q622" t="str">
            <v>(blanco)</v>
          </cell>
          <cell r="R622" t="str">
            <v>(blanco)</v>
          </cell>
          <cell r="S622" t="str">
            <v>(blanco)</v>
          </cell>
          <cell r="T622" t="str">
            <v>--</v>
          </cell>
          <cell r="AA622" t="str">
            <v>(blanco)</v>
          </cell>
          <cell r="AC622" t="str">
            <v>(blanco)</v>
          </cell>
          <cell r="AD622" t="str">
            <v>(blanco)</v>
          </cell>
          <cell r="AE622">
            <v>0</v>
          </cell>
          <cell r="AL622" t="str">
            <v>(blanco)</v>
          </cell>
          <cell r="AM622" t="str">
            <v>(blanco)</v>
          </cell>
          <cell r="AN622" t="str">
            <v>(blanco)</v>
          </cell>
          <cell r="AP622">
            <v>50</v>
          </cell>
          <cell r="AR622">
            <v>4.1280000000000001</v>
          </cell>
          <cell r="AS622">
            <v>4.1280000000000001</v>
          </cell>
          <cell r="AT622">
            <v>12</v>
          </cell>
          <cell r="AU622" t="str">
            <v>CD3</v>
          </cell>
          <cell r="AX622">
            <v>1.26</v>
          </cell>
          <cell r="AY622" t="str">
            <v>01.02.2015</v>
          </cell>
          <cell r="AZ622">
            <v>0</v>
          </cell>
          <cell r="BA622" t="str">
            <v>00.00.0000</v>
          </cell>
          <cell r="BB622" t="str">
            <v>ST</v>
          </cell>
          <cell r="BC622" t="str">
            <v>******</v>
          </cell>
          <cell r="BD622" t="str">
            <v>S</v>
          </cell>
          <cell r="BE622">
            <v>3496250212985</v>
          </cell>
        </row>
        <row r="623">
          <cell r="A623" t="str">
            <v>H97021000</v>
          </cell>
          <cell r="C623" t="str">
            <v>A1ABA35A007A001</v>
          </cell>
          <cell r="D623" t="str">
            <v>Rigidur® Sol 20 M2</v>
          </cell>
          <cell r="E623" t="str">
            <v>A1AB</v>
          </cell>
          <cell r="F623" t="str">
            <v>Technische platen M2</v>
          </cell>
          <cell r="G623" t="str">
            <v>H97021000</v>
          </cell>
          <cell r="H623" t="str">
            <v>bestaand</v>
          </cell>
          <cell r="I623" t="str">
            <v>01.01.2013</v>
          </cell>
          <cell r="J623" t="str">
            <v>Yes</v>
          </cell>
          <cell r="K623" t="str">
            <v>Professional</v>
          </cell>
          <cell r="L623" t="str">
            <v>Rigidur</v>
          </cell>
          <cell r="M623" t="str">
            <v>RIGIDUR FLOOR E 20</v>
          </cell>
          <cell r="N623" t="str">
            <v>RIGIDUR VLOERPANEEL E 20 DP/48</v>
          </cell>
          <cell r="O623" t="str">
            <v>Rigidur® Sol 20 P48</v>
          </cell>
          <cell r="P623" t="str">
            <v>bruin</v>
          </cell>
          <cell r="Q623" t="str">
            <v>brun</v>
          </cell>
          <cell r="R623" t="str">
            <v>bruin</v>
          </cell>
          <cell r="S623" t="str">
            <v>brun</v>
          </cell>
          <cell r="T623" t="str">
            <v>NBN EN 14190:2014</v>
          </cell>
          <cell r="U623" t="str">
            <v>GF-C1-I-W2</v>
          </cell>
          <cell r="V623" t="str">
            <v>RDE</v>
          </cell>
          <cell r="Y623" t="str">
            <v>gipsplaat voor droge binnenafbouw</v>
          </cell>
          <cell r="AA623" t="str">
            <v>A2</v>
          </cell>
          <cell r="AB623" t="str">
            <v>SG_GY_2013_A1ABA35A007</v>
          </cell>
          <cell r="AC623" t="str">
            <v>GBC</v>
          </cell>
          <cell r="AD623" t="str">
            <v>ZZB: zichtzijde boven</v>
          </cell>
          <cell r="AE623">
            <v>20</v>
          </cell>
          <cell r="AH623" t="str">
            <v>+/-1</v>
          </cell>
          <cell r="AI623">
            <v>0</v>
          </cell>
          <cell r="AJ623">
            <v>0</v>
          </cell>
          <cell r="AL623" t="str">
            <v>Geen eisen gesteld</v>
          </cell>
          <cell r="AM623" t="str">
            <v>Pas de exigences</v>
          </cell>
          <cell r="AN623" t="str">
            <v>kg/m³</v>
          </cell>
          <cell r="AP623">
            <v>0.35</v>
          </cell>
          <cell r="AQ623">
            <v>0.1</v>
          </cell>
          <cell r="AR623">
            <v>18.899999999999999</v>
          </cell>
          <cell r="AS623">
            <v>19.420999999999999</v>
          </cell>
          <cell r="AT623">
            <v>15</v>
          </cell>
          <cell r="AU623" t="str">
            <v>CD3</v>
          </cell>
          <cell r="AV623" t="str">
            <v>DP : Duitse Pallet</v>
          </cell>
          <cell r="AW623">
            <v>3</v>
          </cell>
          <cell r="AX623">
            <v>18.399999999999999</v>
          </cell>
          <cell r="AY623" t="str">
            <v>01.02.2015</v>
          </cell>
          <cell r="AZ623">
            <v>0</v>
          </cell>
          <cell r="BA623" t="str">
            <v>00.00.0000</v>
          </cell>
          <cell r="BB623" t="str">
            <v>M2</v>
          </cell>
          <cell r="BC623" t="str">
            <v>M2</v>
          </cell>
          <cell r="BD623" t="str">
            <v>S</v>
          </cell>
          <cell r="BE623">
            <v>3496250272255</v>
          </cell>
        </row>
        <row r="624">
          <cell r="A624" t="str">
            <v>H97031000</v>
          </cell>
          <cell r="C624" t="str">
            <v>A1ABA35A007A003</v>
          </cell>
          <cell r="D624" t="str">
            <v>Rigidur® Sol 30 M2</v>
          </cell>
          <cell r="E624" t="str">
            <v>A1AB</v>
          </cell>
          <cell r="F624" t="str">
            <v>Technische platen M2</v>
          </cell>
          <cell r="G624" t="str">
            <v>H97031000</v>
          </cell>
          <cell r="H624" t="str">
            <v>bestaand</v>
          </cell>
          <cell r="I624" t="str">
            <v>01.01.2013</v>
          </cell>
          <cell r="J624" t="str">
            <v>Yes</v>
          </cell>
          <cell r="K624" t="str">
            <v>Professional</v>
          </cell>
          <cell r="L624" t="str">
            <v>Rigidur</v>
          </cell>
          <cell r="M624" t="str">
            <v>RIGIDUR FLOOR E 30 MW</v>
          </cell>
          <cell r="N624" t="str">
            <v>RIGIDUR VLOERPANEEL E 30 MW DP/48</v>
          </cell>
          <cell r="O624" t="str">
            <v>Rigidur® Sol 30 MW Pile de 48</v>
          </cell>
          <cell r="P624" t="str">
            <v>bruin</v>
          </cell>
          <cell r="Q624" t="str">
            <v>brun</v>
          </cell>
          <cell r="R624" t="str">
            <v>bruin</v>
          </cell>
          <cell r="S624" t="str">
            <v>brun</v>
          </cell>
          <cell r="T624" t="str">
            <v>NBN EN 14190:2014</v>
          </cell>
          <cell r="U624" t="str">
            <v>GF-C1-I-W2</v>
          </cell>
          <cell r="V624" t="str">
            <v>RDE</v>
          </cell>
          <cell r="Y624" t="str">
            <v>gipsplaat voor droge binnenafbouw</v>
          </cell>
          <cell r="AA624" t="str">
            <v>A2</v>
          </cell>
          <cell r="AC624" t="str">
            <v>GBC</v>
          </cell>
          <cell r="AD624" t="str">
            <v>ZZB: zichtzijde boven</v>
          </cell>
          <cell r="AE624">
            <v>20</v>
          </cell>
          <cell r="AH624" t="str">
            <v>+/-1</v>
          </cell>
          <cell r="AI624">
            <v>0</v>
          </cell>
          <cell r="AJ624">
            <v>0</v>
          </cell>
          <cell r="AL624" t="str">
            <v>Geen eisen gesteld</v>
          </cell>
          <cell r="AM624" t="str">
            <v>Pas de exigences</v>
          </cell>
          <cell r="AN624" t="str">
            <v>kg/m³</v>
          </cell>
          <cell r="AP624">
            <v>0.35</v>
          </cell>
          <cell r="AQ624">
            <v>0.39</v>
          </cell>
          <cell r="AR624">
            <v>24.75</v>
          </cell>
          <cell r="AS624">
            <v>25.478999999999999</v>
          </cell>
          <cell r="AT624">
            <v>22.5</v>
          </cell>
          <cell r="AU624" t="str">
            <v>CD3</v>
          </cell>
          <cell r="AV624" t="str">
            <v>DP : Duitse Pallet</v>
          </cell>
          <cell r="AW624">
            <v>3</v>
          </cell>
          <cell r="AX624">
            <v>24.71</v>
          </cell>
          <cell r="AY624" t="str">
            <v>01.02.2015</v>
          </cell>
          <cell r="AZ624">
            <v>0</v>
          </cell>
          <cell r="BA624" t="str">
            <v>00.00.0000</v>
          </cell>
          <cell r="BB624" t="str">
            <v>M2</v>
          </cell>
          <cell r="BC624" t="str">
            <v>M2</v>
          </cell>
          <cell r="BD624" t="str">
            <v>S</v>
          </cell>
          <cell r="BE624">
            <v>3496250137677</v>
          </cell>
        </row>
        <row r="625">
          <cell r="A625" t="str">
            <v>H97041000</v>
          </cell>
          <cell r="C625" t="str">
            <v>A1ABA35A007A005</v>
          </cell>
          <cell r="D625" t="str">
            <v>Rigidur® Sol 40 M2</v>
          </cell>
          <cell r="E625" t="str">
            <v>A1AB</v>
          </cell>
          <cell r="F625" t="str">
            <v>Technische platen M2</v>
          </cell>
          <cell r="G625" t="str">
            <v>H97041000</v>
          </cell>
          <cell r="H625" t="str">
            <v>bestaand</v>
          </cell>
          <cell r="I625" t="str">
            <v>01.01.2013</v>
          </cell>
          <cell r="J625" t="str">
            <v>Yes</v>
          </cell>
          <cell r="K625" t="str">
            <v>Professional</v>
          </cell>
          <cell r="L625" t="str">
            <v>Rigidur</v>
          </cell>
          <cell r="M625" t="str">
            <v>RIGIDUR FLOOR E 40 PS</v>
          </cell>
          <cell r="N625" t="str">
            <v>RIGIDUR VLOERPANEEL E 40 PS DP/48</v>
          </cell>
          <cell r="O625" t="str">
            <v>Rigidur® Sol 40 PS Pile de 48</v>
          </cell>
          <cell r="P625" t="str">
            <v>bruin</v>
          </cell>
          <cell r="Q625" t="str">
            <v>brun</v>
          </cell>
          <cell r="R625" t="str">
            <v>bruin</v>
          </cell>
          <cell r="S625" t="str">
            <v>brun</v>
          </cell>
          <cell r="T625" t="str">
            <v>NBN EN 14190:2014</v>
          </cell>
          <cell r="U625" t="str">
            <v>GF-C1-I-W2</v>
          </cell>
          <cell r="V625" t="str">
            <v>RDE</v>
          </cell>
          <cell r="Y625" t="str">
            <v>gipsplaat voor droge binnenafbouw</v>
          </cell>
          <cell r="AA625" t="str">
            <v>B2</v>
          </cell>
          <cell r="AC625" t="str">
            <v>GBC</v>
          </cell>
          <cell r="AD625" t="str">
            <v>ZZB: zichtzijde boven</v>
          </cell>
          <cell r="AE625">
            <v>20</v>
          </cell>
          <cell r="AH625" t="str">
            <v>+/-1</v>
          </cell>
          <cell r="AI625">
            <v>0</v>
          </cell>
          <cell r="AJ625">
            <v>0</v>
          </cell>
          <cell r="AL625" t="str">
            <v>Geen eisen gesteld</v>
          </cell>
          <cell r="AM625" t="str">
            <v>Pas de exigences</v>
          </cell>
          <cell r="AN625" t="str">
            <v>kg/m³</v>
          </cell>
          <cell r="AP625">
            <v>0.35</v>
          </cell>
          <cell r="AQ625">
            <v>0.6</v>
          </cell>
          <cell r="AR625">
            <v>19.13</v>
          </cell>
          <cell r="AS625">
            <v>19.651</v>
          </cell>
          <cell r="AT625">
            <v>30</v>
          </cell>
          <cell r="AU625" t="str">
            <v>CD3</v>
          </cell>
          <cell r="AV625" t="str">
            <v>DP : Duitse Pallet</v>
          </cell>
          <cell r="AW625">
            <v>3</v>
          </cell>
          <cell r="AX625">
            <v>21.39</v>
          </cell>
          <cell r="AY625" t="str">
            <v>01.02.2015</v>
          </cell>
          <cell r="AZ625">
            <v>0</v>
          </cell>
          <cell r="BA625" t="str">
            <v>00.00.0000</v>
          </cell>
          <cell r="BB625" t="str">
            <v>M2</v>
          </cell>
          <cell r="BC625" t="str">
            <v>M2</v>
          </cell>
          <cell r="BD625">
            <v>3</v>
          </cell>
          <cell r="BE625">
            <v>4002806453239</v>
          </cell>
        </row>
        <row r="626">
          <cell r="A626" t="str">
            <v>L10019A4121</v>
          </cell>
          <cell r="C626" t="str">
            <v>E5EAE01E001E029</v>
          </cell>
          <cell r="D626" t="str">
            <v>Platrex TON</v>
          </cell>
          <cell r="E626" t="str">
            <v>E5EA</v>
          </cell>
          <cell r="F626" t="str">
            <v>BOUWPLEISTERS TON</v>
          </cell>
          <cell r="G626" t="str">
            <v>L10019A4121</v>
          </cell>
          <cell r="H626" t="str">
            <v>bestaand</v>
          </cell>
          <cell r="I626" t="str">
            <v>01.01.2013</v>
          </cell>
          <cell r="J626" t="str">
            <v>Yes</v>
          </cell>
          <cell r="K626" t="str">
            <v>Gyproc Pleisters</v>
          </cell>
          <cell r="L626" t="str">
            <v>Gyproc</v>
          </cell>
          <cell r="M626" t="str">
            <v>PLATREX</v>
          </cell>
          <cell r="N626" t="str">
            <v>PLATREX 25KG WP/63 B25</v>
          </cell>
          <cell r="O626" t="str">
            <v>Platrex 25kg 63s</v>
          </cell>
          <cell r="P626" t="str">
            <v>(blanco)</v>
          </cell>
          <cell r="Q626" t="str">
            <v>(blanco)</v>
          </cell>
          <cell r="R626" t="str">
            <v>(blanco)</v>
          </cell>
          <cell r="S626" t="str">
            <v>(blanco)</v>
          </cell>
          <cell r="T626" t="str">
            <v>NBN EN 13279-1:2009</v>
          </cell>
          <cell r="U626" t="str">
            <v>B4/20/2</v>
          </cell>
          <cell r="V626" t="str">
            <v>--</v>
          </cell>
          <cell r="AA626" t="str">
            <v>A1</v>
          </cell>
          <cell r="AC626" t="str">
            <v>(blanco)</v>
          </cell>
          <cell r="AD626" t="str">
            <v>(blanco)</v>
          </cell>
          <cell r="AH626" t="str">
            <v>(blanco)</v>
          </cell>
          <cell r="AI626" t="str">
            <v>(blanco)</v>
          </cell>
          <cell r="AJ626" t="str">
            <v>(blanco)</v>
          </cell>
          <cell r="AN626" t="str">
            <v>kg/m³</v>
          </cell>
          <cell r="AP626">
            <v>0</v>
          </cell>
          <cell r="AR626">
            <v>25</v>
          </cell>
          <cell r="AS626">
            <v>25.286000000000001</v>
          </cell>
          <cell r="AT626">
            <v>21</v>
          </cell>
          <cell r="AU626" t="str">
            <v>CD3</v>
          </cell>
          <cell r="AV626" t="str">
            <v>WP : Wegwerppallet</v>
          </cell>
          <cell r="AW626">
            <v>7</v>
          </cell>
          <cell r="AX626">
            <v>246.62</v>
          </cell>
          <cell r="AY626" t="str">
            <v>01.02.2015</v>
          </cell>
          <cell r="AZ626">
            <v>0</v>
          </cell>
          <cell r="BA626" t="str">
            <v>00.00.0000</v>
          </cell>
          <cell r="BB626" t="str">
            <v>TO</v>
          </cell>
          <cell r="BC626" t="str">
            <v>TO</v>
          </cell>
          <cell r="BD626" t="str">
            <v>S</v>
          </cell>
          <cell r="BE626">
            <v>3496252009989</v>
          </cell>
        </row>
        <row r="627">
          <cell r="A627" t="str">
            <v>L10033A4120</v>
          </cell>
          <cell r="B627" t="str">
            <v>3FINPAL</v>
          </cell>
          <cell r="C627" t="str">
            <v>E5EBE01E001E003</v>
          </cell>
          <cell r="D627" t="str">
            <v>MOLDA 3 FIN TON</v>
          </cell>
          <cell r="E627" t="str">
            <v>E5EB</v>
          </cell>
          <cell r="F627" t="str">
            <v>Industriële Pleisters TON</v>
          </cell>
          <cell r="G627" t="str">
            <v>L10033A4120</v>
          </cell>
          <cell r="H627" t="str">
            <v>bestaand</v>
          </cell>
          <cell r="I627" t="str">
            <v>01.01.2013</v>
          </cell>
          <cell r="J627" t="str">
            <v>Yes</v>
          </cell>
          <cell r="K627" t="str">
            <v>Gyproc Pleisters</v>
          </cell>
          <cell r="L627" t="str">
            <v>MOLDA</v>
          </cell>
          <cell r="M627" t="str">
            <v>MOLDA 3 FIN</v>
          </cell>
          <cell r="N627" t="str">
            <v>MOLDA 3 FIN 25 KG WP/56</v>
          </cell>
          <cell r="O627" t="str">
            <v>Molda® 3 Fin 25kg 56s</v>
          </cell>
          <cell r="P627" t="str">
            <v>(blanco)</v>
          </cell>
          <cell r="Q627" t="str">
            <v>(blanco)</v>
          </cell>
          <cell r="R627" t="str">
            <v>(blanco)</v>
          </cell>
          <cell r="S627" t="str">
            <v>(blanco)</v>
          </cell>
          <cell r="T627" t="str">
            <v>NF B 12 302:1982</v>
          </cell>
          <cell r="V627" t="str">
            <v>--</v>
          </cell>
          <cell r="AA627" t="str">
            <v>A1</v>
          </cell>
          <cell r="AC627" t="str">
            <v>(blanco)</v>
          </cell>
          <cell r="AD627" t="str">
            <v>(blanco)</v>
          </cell>
          <cell r="AH627" t="str">
            <v>(blanco)</v>
          </cell>
          <cell r="AI627" t="str">
            <v>(blanco)</v>
          </cell>
          <cell r="AJ627" t="str">
            <v>(blanco)</v>
          </cell>
          <cell r="AL627" t="str">
            <v>+/- 0.56</v>
          </cell>
          <cell r="AM627" t="str">
            <v>+/- 0.56</v>
          </cell>
          <cell r="AN627" t="str">
            <v>kg/l</v>
          </cell>
          <cell r="AR627">
            <v>25</v>
          </cell>
          <cell r="AS627">
            <v>25.536000000000001</v>
          </cell>
          <cell r="AT627">
            <v>21</v>
          </cell>
          <cell r="AU627" t="str">
            <v>CD3</v>
          </cell>
          <cell r="AV627" t="str">
            <v>WP : Wegwerppallet</v>
          </cell>
          <cell r="AW627">
            <v>7</v>
          </cell>
          <cell r="AX627">
            <v>315.32</v>
          </cell>
          <cell r="AY627" t="str">
            <v>01.02.2015</v>
          </cell>
          <cell r="AZ627">
            <v>0</v>
          </cell>
          <cell r="BA627" t="str">
            <v>00.00.0000</v>
          </cell>
          <cell r="BB627" t="str">
            <v>TO</v>
          </cell>
          <cell r="BC627" t="str">
            <v>TO</v>
          </cell>
          <cell r="BD627">
            <v>1</v>
          </cell>
          <cell r="BE627">
            <v>3496252003703</v>
          </cell>
        </row>
        <row r="628">
          <cell r="A628" t="str">
            <v>L10035A4320</v>
          </cell>
          <cell r="B628" t="str">
            <v>3N25</v>
          </cell>
          <cell r="C628" t="str">
            <v>E5EBE01E001E005</v>
          </cell>
          <cell r="D628" t="str">
            <v>MOLDA 3 NORMAL TON</v>
          </cell>
          <cell r="E628" t="str">
            <v>E5EB</v>
          </cell>
          <cell r="F628" t="str">
            <v>Industriële Pleisters TON</v>
          </cell>
          <cell r="G628" t="str">
            <v>L10035A4320</v>
          </cell>
          <cell r="H628" t="str">
            <v>bestaand</v>
          </cell>
          <cell r="I628" t="str">
            <v>01.01.2013</v>
          </cell>
          <cell r="J628" t="str">
            <v>Yes</v>
          </cell>
          <cell r="K628" t="str">
            <v>Gyproc Pleisters</v>
          </cell>
          <cell r="L628" t="str">
            <v>MOLDA</v>
          </cell>
          <cell r="M628" t="str">
            <v>MOLDA 3 NORMAL</v>
          </cell>
          <cell r="N628" t="str">
            <v>MOLDA 3 NORMAL 25 KG WP/56</v>
          </cell>
          <cell r="O628" t="str">
            <v>Molda® 3 Normal 25kg 56s</v>
          </cell>
          <cell r="P628" t="str">
            <v>(blanco)</v>
          </cell>
          <cell r="Q628" t="str">
            <v>(blanco)</v>
          </cell>
          <cell r="R628" t="str">
            <v>(blanco)</v>
          </cell>
          <cell r="S628" t="str">
            <v>(blanco)</v>
          </cell>
          <cell r="T628" t="str">
            <v>NF B 12 302:1982</v>
          </cell>
          <cell r="V628" t="str">
            <v>--</v>
          </cell>
          <cell r="AA628" t="str">
            <v>A1</v>
          </cell>
          <cell r="AC628" t="str">
            <v>(blanco)</v>
          </cell>
          <cell r="AD628" t="str">
            <v>(blanco)</v>
          </cell>
          <cell r="AH628" t="str">
            <v>(blanco)</v>
          </cell>
          <cell r="AI628" t="str">
            <v>(blanco)</v>
          </cell>
          <cell r="AJ628" t="str">
            <v>(blanco)</v>
          </cell>
          <cell r="AL628" t="str">
            <v>+/- 0.60</v>
          </cell>
          <cell r="AM628" t="str">
            <v>+/- 0.60</v>
          </cell>
          <cell r="AN628" t="str">
            <v>kg/l</v>
          </cell>
          <cell r="AR628">
            <v>25</v>
          </cell>
          <cell r="AS628">
            <v>25.536000000000001</v>
          </cell>
          <cell r="AT628">
            <v>21</v>
          </cell>
          <cell r="AU628" t="str">
            <v>CD3</v>
          </cell>
          <cell r="AV628" t="str">
            <v>WP : Wegwerppallet</v>
          </cell>
          <cell r="AW628">
            <v>7</v>
          </cell>
          <cell r="AX628">
            <v>320.67</v>
          </cell>
          <cell r="AY628" t="str">
            <v>01.02.2015</v>
          </cell>
          <cell r="AZ628">
            <v>0</v>
          </cell>
          <cell r="BA628" t="str">
            <v>00.00.0000</v>
          </cell>
          <cell r="BB628" t="str">
            <v>TO</v>
          </cell>
          <cell r="BC628" t="str">
            <v>TO</v>
          </cell>
          <cell r="BD628" t="str">
            <v>S</v>
          </cell>
          <cell r="BE628">
            <v>3496252010497</v>
          </cell>
        </row>
        <row r="629">
          <cell r="A629" t="str">
            <v>L10038A4120</v>
          </cell>
          <cell r="C629" t="str">
            <v>E5EBE01E001E007</v>
          </cell>
          <cell r="D629" t="str">
            <v>MOLDA 3 BIS TON</v>
          </cell>
          <cell r="E629" t="str">
            <v>E5EB</v>
          </cell>
          <cell r="F629" t="str">
            <v>Industriële Pleisters TON</v>
          </cell>
          <cell r="G629" t="str">
            <v>L10038A4120</v>
          </cell>
          <cell r="H629" t="str">
            <v>bestaand</v>
          </cell>
          <cell r="I629" t="str">
            <v>01.01.2013</v>
          </cell>
          <cell r="J629" t="str">
            <v>Yes</v>
          </cell>
          <cell r="K629" t="str">
            <v>Gyproc Pleisters</v>
          </cell>
          <cell r="L629" t="str">
            <v>MOLDA</v>
          </cell>
          <cell r="M629" t="str">
            <v>MOLDA 3 BIS</v>
          </cell>
          <cell r="N629" t="str">
            <v>MOLDA 3 BIS 25 KG WP/56</v>
          </cell>
          <cell r="O629" t="str">
            <v>Molda® 3 Bis 25kg 56s</v>
          </cell>
          <cell r="P629" t="str">
            <v>(blanco)</v>
          </cell>
          <cell r="Q629" t="str">
            <v>(blanco)</v>
          </cell>
          <cell r="R629" t="str">
            <v>(blanco)</v>
          </cell>
          <cell r="S629" t="str">
            <v>(blanco)</v>
          </cell>
          <cell r="T629" t="str">
            <v>NF B 12 302:1982</v>
          </cell>
          <cell r="V629" t="str">
            <v>--</v>
          </cell>
          <cell r="AA629" t="str">
            <v>A1</v>
          </cell>
          <cell r="AC629" t="str">
            <v>(blanco)</v>
          </cell>
          <cell r="AD629" t="str">
            <v>(blanco)</v>
          </cell>
          <cell r="AH629" t="str">
            <v>(blanco)</v>
          </cell>
          <cell r="AI629" t="str">
            <v>(blanco)</v>
          </cell>
          <cell r="AJ629" t="str">
            <v>(blanco)</v>
          </cell>
          <cell r="AL629" t="str">
            <v>+/- 0.65</v>
          </cell>
          <cell r="AM629" t="str">
            <v>+/- 0.65</v>
          </cell>
          <cell r="AN629" t="str">
            <v>kg/l</v>
          </cell>
          <cell r="AR629">
            <v>25</v>
          </cell>
          <cell r="AS629">
            <v>25.536000000000001</v>
          </cell>
          <cell r="AT629">
            <v>21</v>
          </cell>
          <cell r="AU629" t="str">
            <v>CD3</v>
          </cell>
          <cell r="AV629" t="str">
            <v>WP : Wegwerppallet</v>
          </cell>
          <cell r="AW629">
            <v>7</v>
          </cell>
          <cell r="AX629">
            <v>350.61</v>
          </cell>
          <cell r="AY629" t="str">
            <v>01.02.2015</v>
          </cell>
          <cell r="AZ629">
            <v>0</v>
          </cell>
          <cell r="BA629" t="str">
            <v>00.00.0000</v>
          </cell>
          <cell r="BB629" t="str">
            <v>TO</v>
          </cell>
          <cell r="BC629" t="str">
            <v>TO</v>
          </cell>
          <cell r="BD629">
            <v>1</v>
          </cell>
          <cell r="BE629">
            <v>3496252008616</v>
          </cell>
        </row>
        <row r="630">
          <cell r="A630" t="str">
            <v>L10039A4120</v>
          </cell>
          <cell r="B630" t="str">
            <v>DURPAL</v>
          </cell>
          <cell r="C630" t="str">
            <v>E5EBE01E001E012</v>
          </cell>
          <cell r="D630" t="str">
            <v>MOLDA DUR TON</v>
          </cell>
          <cell r="E630" t="str">
            <v>E5EB</v>
          </cell>
          <cell r="F630" t="str">
            <v>Industriële Pleisters TON</v>
          </cell>
          <cell r="G630" t="str">
            <v>L10039A4120</v>
          </cell>
          <cell r="H630" t="str">
            <v>bestaand</v>
          </cell>
          <cell r="I630" t="str">
            <v>01.01.2013</v>
          </cell>
          <cell r="J630" t="str">
            <v>Yes</v>
          </cell>
          <cell r="K630" t="str">
            <v>Gyproc Pleisters</v>
          </cell>
          <cell r="L630" t="str">
            <v>MOLDA</v>
          </cell>
          <cell r="M630" t="str">
            <v>MOLDA DUR</v>
          </cell>
          <cell r="N630" t="str">
            <v>MOLDA DUR 25 KG WP/56 B25</v>
          </cell>
          <cell r="O630" t="str">
            <v>Molda® Dur 25kg 56s</v>
          </cell>
          <cell r="P630" t="str">
            <v>(blanco)</v>
          </cell>
          <cell r="Q630" t="str">
            <v>(blanco)</v>
          </cell>
          <cell r="R630" t="str">
            <v>(blanco)</v>
          </cell>
          <cell r="S630" t="str">
            <v>(blanco)</v>
          </cell>
          <cell r="T630" t="str">
            <v>NF B 12 302:1982</v>
          </cell>
          <cell r="V630" t="str">
            <v>--</v>
          </cell>
          <cell r="AA630" t="str">
            <v>A1</v>
          </cell>
          <cell r="AC630" t="str">
            <v>(blanco)</v>
          </cell>
          <cell r="AD630" t="str">
            <v>(blanco)</v>
          </cell>
          <cell r="AH630" t="str">
            <v>(blanco)</v>
          </cell>
          <cell r="AI630" t="str">
            <v>(blanco)</v>
          </cell>
          <cell r="AJ630" t="str">
            <v>(blanco)</v>
          </cell>
          <cell r="AL630" t="str">
            <v>+/- 0.75</v>
          </cell>
          <cell r="AM630" t="str">
            <v>+/- 0.75</v>
          </cell>
          <cell r="AN630" t="str">
            <v>kg/l</v>
          </cell>
          <cell r="AR630">
            <v>25</v>
          </cell>
          <cell r="AS630">
            <v>25.536000000000001</v>
          </cell>
          <cell r="AT630">
            <v>21</v>
          </cell>
          <cell r="AU630" t="str">
            <v>CD3</v>
          </cell>
          <cell r="AV630" t="str">
            <v>WP : Wegwerppallet</v>
          </cell>
          <cell r="AW630">
            <v>7</v>
          </cell>
          <cell r="AX630">
            <v>405.98</v>
          </cell>
          <cell r="AY630" t="str">
            <v>01.02.2015</v>
          </cell>
          <cell r="AZ630">
            <v>0</v>
          </cell>
          <cell r="BA630" t="str">
            <v>00.00.0000</v>
          </cell>
          <cell r="BB630" t="str">
            <v>TO</v>
          </cell>
          <cell r="BC630" t="str">
            <v>TO</v>
          </cell>
          <cell r="BD630">
            <v>1</v>
          </cell>
          <cell r="BE630">
            <v>3496252008715</v>
          </cell>
        </row>
        <row r="631">
          <cell r="A631" t="str">
            <v>L10275A0000</v>
          </cell>
          <cell r="C631" t="str">
            <v>E5EAE03E003E023</v>
          </cell>
          <cell r="D631" t="str">
            <v>X Pro bulk TON</v>
          </cell>
          <cell r="E631" t="str">
            <v>E5EA</v>
          </cell>
          <cell r="F631" t="str">
            <v>BOUWPLEISTERS TON</v>
          </cell>
          <cell r="G631" t="str">
            <v>L10275A0000</v>
          </cell>
          <cell r="H631" t="str">
            <v>bestaand</v>
          </cell>
          <cell r="I631" t="str">
            <v>01.01.2013</v>
          </cell>
          <cell r="J631" t="str">
            <v>Yes</v>
          </cell>
          <cell r="K631" t="str">
            <v>Gyproc Pleisters</v>
          </cell>
          <cell r="L631" t="str">
            <v>Gyproc</v>
          </cell>
          <cell r="M631" t="str">
            <v>X PRO</v>
          </cell>
          <cell r="N631" t="str">
            <v>X PRO bulk</v>
          </cell>
          <cell r="O631" t="str">
            <v>X Pro Vrac</v>
          </cell>
          <cell r="P631" t="str">
            <v>(blanco)</v>
          </cell>
          <cell r="Q631" t="str">
            <v>(blanco)</v>
          </cell>
          <cell r="R631" t="str">
            <v>(blanco)</v>
          </cell>
          <cell r="S631" t="str">
            <v>(blanco)</v>
          </cell>
          <cell r="T631" t="str">
            <v>NBN EN 13279-1:2009</v>
          </cell>
          <cell r="U631" t="str">
            <v>B4/50/2</v>
          </cell>
          <cell r="V631" t="str">
            <v>--</v>
          </cell>
          <cell r="AA631" t="str">
            <v>A1</v>
          </cell>
          <cell r="AC631" t="str">
            <v>(blanco)</v>
          </cell>
          <cell r="AD631" t="str">
            <v>(blanco)</v>
          </cell>
          <cell r="AH631" t="str">
            <v>(blanco)</v>
          </cell>
          <cell r="AI631" t="str">
            <v>(blanco)</v>
          </cell>
          <cell r="AJ631" t="str">
            <v>(blanco)</v>
          </cell>
          <cell r="AL631" t="str">
            <v>+/- 0.65</v>
          </cell>
          <cell r="AM631" t="str">
            <v>+/- 0.65</v>
          </cell>
          <cell r="AN631" t="str">
            <v>kg/l</v>
          </cell>
          <cell r="AP631">
            <v>0.34</v>
          </cell>
          <cell r="AR631" t="str">
            <v xml:space="preserve"> 1,000.000</v>
          </cell>
          <cell r="AS631" t="str">
            <v xml:space="preserve"> 1,000.000</v>
          </cell>
          <cell r="AT631">
            <v>1</v>
          </cell>
          <cell r="AU631" t="str">
            <v>CD3</v>
          </cell>
          <cell r="AV631" t="str">
            <v>N.A.</v>
          </cell>
          <cell r="AW631">
            <v>0</v>
          </cell>
          <cell r="AX631">
            <v>309.45</v>
          </cell>
          <cell r="AY631" t="str">
            <v>01.02.2015</v>
          </cell>
          <cell r="AZ631">
            <v>0</v>
          </cell>
          <cell r="BA631" t="str">
            <v>00.00.0000</v>
          </cell>
          <cell r="BB631" t="str">
            <v>TO</v>
          </cell>
          <cell r="BC631" t="str">
            <v>TO</v>
          </cell>
          <cell r="BD631" t="str">
            <v>S</v>
          </cell>
          <cell r="BE631">
            <v>3496250247314</v>
          </cell>
        </row>
        <row r="632">
          <cell r="A632" t="str">
            <v>L10275A4121</v>
          </cell>
          <cell r="C632" t="str">
            <v>E5EAE03E003E011</v>
          </cell>
          <cell r="D632" t="str">
            <v>X Pro zakgoed TON</v>
          </cell>
          <cell r="E632" t="str">
            <v>E5EA</v>
          </cell>
          <cell r="F632" t="str">
            <v>BOUWPLEISTERS TON</v>
          </cell>
          <cell r="G632" t="str">
            <v>L10275A4121</v>
          </cell>
          <cell r="H632" t="str">
            <v>bestaand</v>
          </cell>
          <cell r="I632" t="str">
            <v>01.01.2013</v>
          </cell>
          <cell r="J632" t="str">
            <v>Yes</v>
          </cell>
          <cell r="K632" t="str">
            <v>Gyproc Pleisters</v>
          </cell>
          <cell r="L632" t="str">
            <v>Gyproc</v>
          </cell>
          <cell r="M632" t="str">
            <v>X PRO</v>
          </cell>
          <cell r="N632" t="str">
            <v>X Pro 25kg EP/45</v>
          </cell>
          <cell r="O632" t="str">
            <v>X Pro 25kg 45s PalEur</v>
          </cell>
          <cell r="P632" t="str">
            <v>(blanco)</v>
          </cell>
          <cell r="Q632" t="str">
            <v>(blanco)</v>
          </cell>
          <cell r="R632" t="str">
            <v>(blanco)</v>
          </cell>
          <cell r="S632" t="str">
            <v>(blanco)</v>
          </cell>
          <cell r="T632" t="str">
            <v>NBN EN 13279-1:2009</v>
          </cell>
          <cell r="U632" t="str">
            <v>B4/50/2</v>
          </cell>
          <cell r="V632" t="str">
            <v>--</v>
          </cell>
          <cell r="AA632" t="str">
            <v>A1</v>
          </cell>
          <cell r="AC632" t="str">
            <v>(blanco)</v>
          </cell>
          <cell r="AD632" t="str">
            <v>(blanco)</v>
          </cell>
          <cell r="AH632" t="str">
            <v>(blanco)</v>
          </cell>
          <cell r="AI632" t="str">
            <v>(blanco)</v>
          </cell>
          <cell r="AJ632" t="str">
            <v>(blanco)</v>
          </cell>
          <cell r="AL632" t="str">
            <v>+/- 0.65</v>
          </cell>
          <cell r="AM632" t="str">
            <v>+/- 0.65</v>
          </cell>
          <cell r="AN632" t="str">
            <v>kg/l</v>
          </cell>
          <cell r="AP632">
            <v>0.34</v>
          </cell>
          <cell r="AR632">
            <v>25</v>
          </cell>
          <cell r="AS632">
            <v>25.332999999999998</v>
          </cell>
          <cell r="AT632">
            <v>21</v>
          </cell>
          <cell r="AU632" t="str">
            <v>CD3</v>
          </cell>
          <cell r="AV632" t="str">
            <v>EP : Euro Pallet</v>
          </cell>
          <cell r="AW632">
            <v>2</v>
          </cell>
          <cell r="AX632">
            <v>331.35</v>
          </cell>
          <cell r="AY632" t="str">
            <v>01.02.2015</v>
          </cell>
          <cell r="AZ632">
            <v>0</v>
          </cell>
          <cell r="BA632" t="str">
            <v>00.00.0000</v>
          </cell>
          <cell r="BB632" t="str">
            <v>TO</v>
          </cell>
          <cell r="BC632" t="str">
            <v>TO</v>
          </cell>
          <cell r="BD632" t="str">
            <v>S</v>
          </cell>
          <cell r="BE632">
            <v>3496250207165</v>
          </cell>
        </row>
        <row r="633">
          <cell r="A633" t="str">
            <v>L1030000000</v>
          </cell>
          <cell r="C633" t="str">
            <v>E5EAE03E003E007</v>
          </cell>
          <cell r="D633" t="str">
            <v>X L bulk TON</v>
          </cell>
          <cell r="E633" t="str">
            <v>E5EA</v>
          </cell>
          <cell r="F633" t="str">
            <v>BOUWPLEISTERS TON</v>
          </cell>
          <cell r="G633" t="str">
            <v>L1030000000</v>
          </cell>
          <cell r="H633" t="str">
            <v>bestaand</v>
          </cell>
          <cell r="I633" t="str">
            <v>01.01.2013</v>
          </cell>
          <cell r="J633" t="str">
            <v>Yes</v>
          </cell>
          <cell r="K633" t="str">
            <v>Gyproc Pleisters</v>
          </cell>
          <cell r="L633" t="str">
            <v>Gyproc</v>
          </cell>
          <cell r="M633" t="str">
            <v>X L</v>
          </cell>
          <cell r="N633" t="str">
            <v>XL bulk</v>
          </cell>
          <cell r="O633" t="str">
            <v>XL vrac</v>
          </cell>
          <cell r="P633" t="str">
            <v>(blanco)</v>
          </cell>
          <cell r="Q633" t="str">
            <v>(blanco)</v>
          </cell>
          <cell r="R633" t="str">
            <v>(blanco)</v>
          </cell>
          <cell r="S633" t="str">
            <v>(blanco)</v>
          </cell>
          <cell r="T633" t="str">
            <v>NBN EN 13279-1:2009</v>
          </cell>
          <cell r="U633" t="str">
            <v>B4/50/2</v>
          </cell>
          <cell r="V633" t="str">
            <v>--</v>
          </cell>
          <cell r="AA633" t="str">
            <v>A1</v>
          </cell>
          <cell r="AC633" t="str">
            <v>(blanco)</v>
          </cell>
          <cell r="AD633" t="str">
            <v>(blanco)</v>
          </cell>
          <cell r="AH633" t="str">
            <v>(blanco)</v>
          </cell>
          <cell r="AI633" t="str">
            <v>(blanco)</v>
          </cell>
          <cell r="AJ633" t="str">
            <v>(blanco)</v>
          </cell>
          <cell r="AL633" t="str">
            <v>+/- 0.70</v>
          </cell>
          <cell r="AM633" t="str">
            <v>+/- 0.70</v>
          </cell>
          <cell r="AN633" t="str">
            <v>kg/l</v>
          </cell>
          <cell r="AP633">
            <v>0.34</v>
          </cell>
          <cell r="AR633" t="str">
            <v xml:space="preserve"> 1,000.000</v>
          </cell>
          <cell r="AS633" t="str">
            <v xml:space="preserve"> 1,000.000</v>
          </cell>
          <cell r="AT633">
            <v>1</v>
          </cell>
          <cell r="AU633" t="str">
            <v>CD3</v>
          </cell>
          <cell r="AV633" t="str">
            <v>N.A.</v>
          </cell>
          <cell r="AW633">
            <v>0</v>
          </cell>
          <cell r="AX633">
            <v>309.45</v>
          </cell>
          <cell r="AY633" t="str">
            <v>01.02.2015</v>
          </cell>
          <cell r="AZ633">
            <v>0</v>
          </cell>
          <cell r="BA633" t="str">
            <v>00.00.0000</v>
          </cell>
          <cell r="BB633" t="str">
            <v>TO</v>
          </cell>
          <cell r="BC633" t="str">
            <v>TO</v>
          </cell>
          <cell r="BD633" t="str">
            <v>S</v>
          </cell>
          <cell r="BE633">
            <v>3496252011364</v>
          </cell>
        </row>
        <row r="634">
          <cell r="A634" t="str">
            <v>L10300A4122</v>
          </cell>
          <cell r="C634" t="str">
            <v>E5EAE03E003E003</v>
          </cell>
          <cell r="D634" t="str">
            <v>X L zakgoed TON</v>
          </cell>
          <cell r="E634" t="str">
            <v>E5EA</v>
          </cell>
          <cell r="F634" t="str">
            <v>BOUWPLEISTERS TON</v>
          </cell>
          <cell r="G634" t="str">
            <v>L10300A4122</v>
          </cell>
          <cell r="H634" t="str">
            <v>bestaand</v>
          </cell>
          <cell r="I634" t="str">
            <v>01.01.2013</v>
          </cell>
          <cell r="J634" t="str">
            <v>Yes</v>
          </cell>
          <cell r="K634" t="str">
            <v>Gyproc Pleisters</v>
          </cell>
          <cell r="L634" t="str">
            <v>Gyproc</v>
          </cell>
          <cell r="M634" t="str">
            <v>X L</v>
          </cell>
          <cell r="N634" t="str">
            <v>X L 25kg EP/45</v>
          </cell>
          <cell r="O634" t="str">
            <v>X L 25kg 45s PalEur</v>
          </cell>
          <cell r="P634" t="str">
            <v>(blanco)</v>
          </cell>
          <cell r="Q634" t="str">
            <v>(blanco)</v>
          </cell>
          <cell r="R634" t="str">
            <v>(blanco)</v>
          </cell>
          <cell r="S634" t="str">
            <v>(blanco)</v>
          </cell>
          <cell r="T634" t="str">
            <v>NBN EN 13279-1:2009</v>
          </cell>
          <cell r="U634" t="str">
            <v>B4/50/2</v>
          </cell>
          <cell r="V634" t="str">
            <v>--</v>
          </cell>
          <cell r="AA634" t="str">
            <v>A1</v>
          </cell>
          <cell r="AC634" t="str">
            <v>(blanco)</v>
          </cell>
          <cell r="AD634" t="str">
            <v>(blanco)</v>
          </cell>
          <cell r="AH634" t="str">
            <v>(blanco)</v>
          </cell>
          <cell r="AI634" t="str">
            <v>(blanco)</v>
          </cell>
          <cell r="AJ634" t="str">
            <v>(blanco)</v>
          </cell>
          <cell r="AL634" t="str">
            <v>+/- 0.70</v>
          </cell>
          <cell r="AM634" t="str">
            <v>+/- 0.70</v>
          </cell>
          <cell r="AN634" t="str">
            <v>kg/l</v>
          </cell>
          <cell r="AP634">
            <v>0.34</v>
          </cell>
          <cell r="AR634">
            <v>25</v>
          </cell>
          <cell r="AS634">
            <v>25.6</v>
          </cell>
          <cell r="AT634">
            <v>21</v>
          </cell>
          <cell r="AU634" t="str">
            <v>CD3</v>
          </cell>
          <cell r="AV634" t="str">
            <v>EP : Euro Pallet</v>
          </cell>
          <cell r="AW634">
            <v>2</v>
          </cell>
          <cell r="AX634">
            <v>331.35</v>
          </cell>
          <cell r="AY634" t="str">
            <v>01.02.2015</v>
          </cell>
          <cell r="AZ634">
            <v>0</v>
          </cell>
          <cell r="BA634" t="str">
            <v>00.00.0000</v>
          </cell>
          <cell r="BB634" t="str">
            <v>TO</v>
          </cell>
          <cell r="BC634" t="str">
            <v>TO</v>
          </cell>
          <cell r="BD634" t="str">
            <v>S</v>
          </cell>
          <cell r="BE634">
            <v>3496252010237</v>
          </cell>
        </row>
        <row r="635">
          <cell r="A635" t="str">
            <v>L10301A4121</v>
          </cell>
          <cell r="C635" t="str">
            <v>E5EAE03E001E007</v>
          </cell>
          <cell r="D635" t="str">
            <v>Lambert Express TON</v>
          </cell>
          <cell r="E635" t="str">
            <v>E5EA</v>
          </cell>
          <cell r="F635" t="str">
            <v>BOUWPLEISTERS TON</v>
          </cell>
          <cell r="G635" t="str">
            <v>L10301A4121</v>
          </cell>
          <cell r="H635" t="str">
            <v>bestaand</v>
          </cell>
          <cell r="I635" t="str">
            <v>01.01.2013</v>
          </cell>
          <cell r="J635" t="str">
            <v>Yes</v>
          </cell>
          <cell r="K635" t="str">
            <v>Gyproc Pleisters</v>
          </cell>
          <cell r="L635" t="str">
            <v>Gyproc</v>
          </cell>
          <cell r="M635" t="str">
            <v>EXPRESS</v>
          </cell>
          <cell r="N635" t="str">
            <v>Express 25kg EP/45</v>
          </cell>
          <cell r="O635" t="str">
            <v>PL Express BNL 25kg 45s palette Europe</v>
          </cell>
          <cell r="P635" t="str">
            <v>(blanco)</v>
          </cell>
          <cell r="Q635" t="str">
            <v>(blanco)</v>
          </cell>
          <cell r="R635" t="str">
            <v>(blanco)</v>
          </cell>
          <cell r="S635" t="str">
            <v>(blanco)</v>
          </cell>
          <cell r="T635" t="str">
            <v>NBN EN 13279-1:2009</v>
          </cell>
          <cell r="U635" t="str">
            <v>B4/20/2</v>
          </cell>
          <cell r="V635" t="str">
            <v>--</v>
          </cell>
          <cell r="AA635" t="str">
            <v>A1</v>
          </cell>
          <cell r="AC635" t="str">
            <v>(blanco)</v>
          </cell>
          <cell r="AD635" t="str">
            <v>(blanco)</v>
          </cell>
          <cell r="AH635" t="str">
            <v>(blanco)</v>
          </cell>
          <cell r="AI635" t="str">
            <v>(blanco)</v>
          </cell>
          <cell r="AJ635" t="str">
            <v>(blanco)</v>
          </cell>
          <cell r="AL635" t="str">
            <v>+/- 0.70</v>
          </cell>
          <cell r="AM635" t="str">
            <v>+/- 0.70</v>
          </cell>
          <cell r="AN635" t="str">
            <v>kg/l</v>
          </cell>
          <cell r="AP635">
            <v>0.34</v>
          </cell>
          <cell r="AR635">
            <v>25</v>
          </cell>
          <cell r="AS635">
            <v>25.6</v>
          </cell>
          <cell r="AT635">
            <v>21</v>
          </cell>
          <cell r="AU635" t="str">
            <v>CD3</v>
          </cell>
          <cell r="AV635" t="str">
            <v>EP : Euro Pallet</v>
          </cell>
          <cell r="AW635">
            <v>2</v>
          </cell>
          <cell r="AX635">
            <v>400.89</v>
          </cell>
          <cell r="AY635" t="str">
            <v>01.02.2015</v>
          </cell>
          <cell r="AZ635">
            <v>0</v>
          </cell>
          <cell r="BA635" t="str">
            <v>00.00.0000</v>
          </cell>
          <cell r="BB635" t="str">
            <v>TO</v>
          </cell>
          <cell r="BC635" t="str">
            <v>TO</v>
          </cell>
          <cell r="BD635" t="str">
            <v>S</v>
          </cell>
          <cell r="BE635">
            <v>3496252011289</v>
          </cell>
        </row>
        <row r="636">
          <cell r="A636" t="str">
            <v>L1030300000</v>
          </cell>
          <cell r="C636" t="str">
            <v>E5EAE03E003E009</v>
          </cell>
          <cell r="D636" t="str">
            <v>X Plus bulk TON</v>
          </cell>
          <cell r="E636" t="str">
            <v>E5EA</v>
          </cell>
          <cell r="F636" t="str">
            <v>BOUWPLEISTERS TON</v>
          </cell>
          <cell r="G636" t="str">
            <v>L1030300000</v>
          </cell>
          <cell r="H636" t="str">
            <v>bestaand</v>
          </cell>
          <cell r="I636" t="str">
            <v>01.01.2013</v>
          </cell>
          <cell r="J636" t="str">
            <v>Yes</v>
          </cell>
          <cell r="K636" t="str">
            <v>Gyproc Pleisters</v>
          </cell>
          <cell r="L636" t="str">
            <v>Gyproc</v>
          </cell>
          <cell r="M636" t="str">
            <v>X PLUS</v>
          </cell>
          <cell r="N636" t="str">
            <v>X Plus bulk</v>
          </cell>
          <cell r="O636" t="str">
            <v>X Plus Vrac</v>
          </cell>
          <cell r="P636" t="str">
            <v>(blanco)</v>
          </cell>
          <cell r="Q636" t="str">
            <v>(blanco)</v>
          </cell>
          <cell r="R636" t="str">
            <v>(blanco)</v>
          </cell>
          <cell r="S636" t="str">
            <v>(blanco)</v>
          </cell>
          <cell r="T636" t="str">
            <v>NBN EN 13279-1:2009</v>
          </cell>
          <cell r="U636" t="str">
            <v>B4/50/2</v>
          </cell>
          <cell r="V636" t="str">
            <v>--</v>
          </cell>
          <cell r="AA636" t="str">
            <v>A1</v>
          </cell>
          <cell r="AC636" t="str">
            <v>(blanco)</v>
          </cell>
          <cell r="AD636" t="str">
            <v>(blanco)</v>
          </cell>
          <cell r="AH636" t="str">
            <v>(blanco)</v>
          </cell>
          <cell r="AI636" t="str">
            <v>(blanco)</v>
          </cell>
          <cell r="AJ636" t="str">
            <v>(blanco)</v>
          </cell>
          <cell r="AL636" t="str">
            <v>+/- 0.70</v>
          </cell>
          <cell r="AM636" t="str">
            <v>+/- 0.70</v>
          </cell>
          <cell r="AN636" t="str">
            <v>kg/l</v>
          </cell>
          <cell r="AP636">
            <v>0.34</v>
          </cell>
          <cell r="AR636" t="str">
            <v xml:space="preserve"> 1,000.000</v>
          </cell>
          <cell r="AS636" t="str">
            <v xml:space="preserve"> 1,000.000</v>
          </cell>
          <cell r="AT636">
            <v>0</v>
          </cell>
          <cell r="AV636" t="str">
            <v>N.A.</v>
          </cell>
          <cell r="AW636">
            <v>0</v>
          </cell>
          <cell r="AX636">
            <v>309.45</v>
          </cell>
          <cell r="AY636" t="str">
            <v>01.02.2015</v>
          </cell>
          <cell r="AZ636">
            <v>0</v>
          </cell>
          <cell r="BA636" t="str">
            <v>00.00.0000</v>
          </cell>
          <cell r="BB636" t="str">
            <v>TO</v>
          </cell>
          <cell r="BC636" t="str">
            <v>TO</v>
          </cell>
          <cell r="BD636" t="str">
            <v>S</v>
          </cell>
          <cell r="BE636">
            <v>3496252011388</v>
          </cell>
        </row>
        <row r="637">
          <cell r="A637" t="str">
            <v>L10303A4121</v>
          </cell>
          <cell r="C637" t="str">
            <v>E5EAE03E003E005</v>
          </cell>
          <cell r="D637" t="str">
            <v>X Plus zakgoed TON</v>
          </cell>
          <cell r="E637" t="str">
            <v>E5EA</v>
          </cell>
          <cell r="F637" t="str">
            <v>BOUWPLEISTERS TON</v>
          </cell>
          <cell r="G637" t="str">
            <v>L10303A4121</v>
          </cell>
          <cell r="H637" t="str">
            <v>bestaand</v>
          </cell>
          <cell r="I637" t="str">
            <v>01.01.2013</v>
          </cell>
          <cell r="J637" t="str">
            <v>Yes</v>
          </cell>
          <cell r="K637" t="str">
            <v>Gyproc Pleisters</v>
          </cell>
          <cell r="L637" t="str">
            <v>Gyproc</v>
          </cell>
          <cell r="M637" t="str">
            <v>X PLUS</v>
          </cell>
          <cell r="N637" t="str">
            <v>X Plus 25kg EP/45</v>
          </cell>
          <cell r="O637" t="str">
            <v>X Plus 25kg 45s PalEur</v>
          </cell>
          <cell r="P637" t="str">
            <v>(blanco)</v>
          </cell>
          <cell r="Q637" t="str">
            <v>(blanco)</v>
          </cell>
          <cell r="R637" t="str">
            <v>(blanco)</v>
          </cell>
          <cell r="S637" t="str">
            <v>(blanco)</v>
          </cell>
          <cell r="T637" t="str">
            <v>NBN EN 13279-1:2009</v>
          </cell>
          <cell r="U637" t="str">
            <v>B4/50/2</v>
          </cell>
          <cell r="V637" t="str">
            <v>--</v>
          </cell>
          <cell r="AA637" t="str">
            <v>A1</v>
          </cell>
          <cell r="AC637" t="str">
            <v>(blanco)</v>
          </cell>
          <cell r="AD637" t="str">
            <v>(blanco)</v>
          </cell>
          <cell r="AH637" t="str">
            <v>(blanco)</v>
          </cell>
          <cell r="AI637" t="str">
            <v>(blanco)</v>
          </cell>
          <cell r="AJ637" t="str">
            <v>(blanco)</v>
          </cell>
          <cell r="AL637" t="str">
            <v>+/- 0.70</v>
          </cell>
          <cell r="AM637" t="str">
            <v>+/- 0.70</v>
          </cell>
          <cell r="AN637" t="str">
            <v>kg/l</v>
          </cell>
          <cell r="AP637">
            <v>0.34</v>
          </cell>
          <cell r="AR637">
            <v>25</v>
          </cell>
          <cell r="AS637">
            <v>25.6</v>
          </cell>
          <cell r="AT637">
            <v>21</v>
          </cell>
          <cell r="AU637" t="str">
            <v>CD3</v>
          </cell>
          <cell r="AV637" t="str">
            <v>EP : Euro Pallet</v>
          </cell>
          <cell r="AW637">
            <v>2</v>
          </cell>
          <cell r="AX637">
            <v>331.35</v>
          </cell>
          <cell r="AY637" t="str">
            <v>01.02.2015</v>
          </cell>
          <cell r="AZ637">
            <v>0</v>
          </cell>
          <cell r="BA637" t="str">
            <v>00.00.0000</v>
          </cell>
          <cell r="BB637" t="str">
            <v>TO</v>
          </cell>
          <cell r="BC637" t="str">
            <v>TO</v>
          </cell>
          <cell r="BD637" t="str">
            <v>S</v>
          </cell>
          <cell r="BE637">
            <v>3496252011302</v>
          </cell>
        </row>
        <row r="638">
          <cell r="A638" t="str">
            <v>L10915A4221</v>
          </cell>
          <cell r="C638" t="str">
            <v>E5EAE03E003E013</v>
          </cell>
          <cell r="D638" t="str">
            <v>ACTIV air zakgoed TON</v>
          </cell>
          <cell r="E638" t="str">
            <v>E5EA</v>
          </cell>
          <cell r="F638" t="str">
            <v>BOUWPLEISTERS TON</v>
          </cell>
          <cell r="G638" t="str">
            <v>L10915A4221</v>
          </cell>
          <cell r="H638" t="str">
            <v>bestaand</v>
          </cell>
          <cell r="I638" t="str">
            <v>01.01.2013</v>
          </cell>
          <cell r="J638" t="str">
            <v>Yes</v>
          </cell>
          <cell r="K638" t="str">
            <v>Gyproc Pleisters</v>
          </cell>
          <cell r="L638" t="str">
            <v>Gyproc</v>
          </cell>
          <cell r="M638" t="str">
            <v>ACTIV AIR</v>
          </cell>
          <cell r="N638" t="str">
            <v>Activ'Air® 25kg EP/45</v>
          </cell>
          <cell r="O638" t="str">
            <v>Activ'Air® 25kg 45s palette Europe</v>
          </cell>
          <cell r="P638" t="str">
            <v>(blanco)</v>
          </cell>
          <cell r="Q638" t="str">
            <v>(blanco)</v>
          </cell>
          <cell r="R638" t="str">
            <v>(blanco)</v>
          </cell>
          <cell r="S638" t="str">
            <v>(blanco)</v>
          </cell>
          <cell r="T638" t="str">
            <v>NBN EN 13279-1:2009</v>
          </cell>
          <cell r="U638" t="str">
            <v>B4/20/2</v>
          </cell>
          <cell r="V638" t="str">
            <v>--</v>
          </cell>
          <cell r="AA638" t="str">
            <v>A1</v>
          </cell>
          <cell r="AC638" t="str">
            <v>(blanco)</v>
          </cell>
          <cell r="AD638" t="str">
            <v>(blanco)</v>
          </cell>
          <cell r="AH638" t="str">
            <v>(blanco)</v>
          </cell>
          <cell r="AI638" t="str">
            <v>(blanco)</v>
          </cell>
          <cell r="AJ638" t="str">
            <v>(blanco)</v>
          </cell>
          <cell r="AL638" t="str">
            <v>+/- 0.70</v>
          </cell>
          <cell r="AM638" t="str">
            <v>+/- 0.70</v>
          </cell>
          <cell r="AN638" t="str">
            <v>kg/l</v>
          </cell>
          <cell r="AP638">
            <v>0.34</v>
          </cell>
          <cell r="AR638">
            <v>25</v>
          </cell>
          <cell r="AS638">
            <v>25.6</v>
          </cell>
          <cell r="AT638">
            <v>23.625</v>
          </cell>
          <cell r="AU638" t="str">
            <v>CD3</v>
          </cell>
          <cell r="AV638" t="str">
            <v>EP : Euro Pallet</v>
          </cell>
          <cell r="AW638">
            <v>2</v>
          </cell>
          <cell r="AX638">
            <v>0</v>
          </cell>
          <cell r="AY638" t="str">
            <v>00.00.0000</v>
          </cell>
          <cell r="AZ638">
            <v>0</v>
          </cell>
          <cell r="BA638" t="str">
            <v>00.00.0000</v>
          </cell>
          <cell r="BD638">
            <v>5</v>
          </cell>
          <cell r="BE638">
            <v>3496250193420</v>
          </cell>
        </row>
        <row r="639">
          <cell r="A639" t="str">
            <v>L40541A4120</v>
          </cell>
          <cell r="B639" t="str">
            <v>FINI25PAL</v>
          </cell>
          <cell r="C639" t="str">
            <v>E5ECE01E001E011</v>
          </cell>
          <cell r="D639" t="str">
            <v>Enduits Pelliculaire Surfenduit TON</v>
          </cell>
          <cell r="E639" t="str">
            <v>E5EC</v>
          </cell>
          <cell r="F639" t="str">
            <v>Enduits pelliculaires TON</v>
          </cell>
          <cell r="G639" t="str">
            <v>L40541A4120</v>
          </cell>
          <cell r="H639" t="str">
            <v>bestaand</v>
          </cell>
          <cell r="I639" t="str">
            <v>01.01.2013</v>
          </cell>
          <cell r="J639" t="str">
            <v>Yes</v>
          </cell>
          <cell r="K639" t="str">
            <v>Gyproc Pleisters</v>
          </cell>
          <cell r="L639" t="str">
            <v>Gyproc</v>
          </cell>
          <cell r="M639" t="str">
            <v>SURFENDUIT FINITION</v>
          </cell>
          <cell r="N639" t="str">
            <v>SURFENDUIT FINITION 25KG WP/56 B25</v>
          </cell>
          <cell r="O639" t="str">
            <v>Surfenduit® Finition 25kg 56s</v>
          </cell>
          <cell r="P639" t="str">
            <v>(blanco)</v>
          </cell>
          <cell r="Q639" t="str">
            <v>(blanco)</v>
          </cell>
          <cell r="R639" t="str">
            <v>(blanco)</v>
          </cell>
          <cell r="S639" t="str">
            <v>(blanco)</v>
          </cell>
          <cell r="T639" t="str">
            <v>NBN EN 13279-1:2009</v>
          </cell>
          <cell r="U639" t="str">
            <v>B4/20/2</v>
          </cell>
          <cell r="V639" t="str">
            <v>--</v>
          </cell>
          <cell r="AA639" t="str">
            <v>A1</v>
          </cell>
          <cell r="AC639" t="str">
            <v>(blanco)</v>
          </cell>
          <cell r="AD639" t="str">
            <v>(blanco)</v>
          </cell>
          <cell r="AH639" t="str">
            <v>(blanco)</v>
          </cell>
          <cell r="AI639" t="str">
            <v>(blanco)</v>
          </cell>
          <cell r="AJ639" t="str">
            <v>(blanco)</v>
          </cell>
          <cell r="AN639" t="str">
            <v>kg/l</v>
          </cell>
          <cell r="AP639">
            <v>0</v>
          </cell>
          <cell r="AR639">
            <v>25</v>
          </cell>
          <cell r="AS639">
            <v>25.536000000000001</v>
          </cell>
          <cell r="AT639">
            <v>21</v>
          </cell>
          <cell r="AU639" t="str">
            <v>CD3</v>
          </cell>
          <cell r="AV639" t="str">
            <v>WP : Wegwerppallet</v>
          </cell>
          <cell r="AW639">
            <v>7</v>
          </cell>
          <cell r="AX639">
            <v>639.59</v>
          </cell>
          <cell r="AY639" t="str">
            <v>01.02.2015</v>
          </cell>
          <cell r="AZ639">
            <v>0</v>
          </cell>
          <cell r="BA639" t="str">
            <v>00.00.0000</v>
          </cell>
          <cell r="BB639" t="str">
            <v>TO</v>
          </cell>
          <cell r="BC639" t="str">
            <v>TO</v>
          </cell>
          <cell r="BD639" t="str">
            <v>S</v>
          </cell>
          <cell r="BE639">
            <v>3496252001662</v>
          </cell>
        </row>
        <row r="640">
          <cell r="A640" t="str">
            <v>P66012500</v>
          </cell>
          <cell r="B640" t="str">
            <v>CEM250</v>
          </cell>
          <cell r="C640" t="str">
            <v>A1ABA31A003A001</v>
          </cell>
          <cell r="D640" t="str">
            <v>Placocem® 13 120 M2</v>
          </cell>
          <cell r="E640" t="str">
            <v>A1AB</v>
          </cell>
          <cell r="F640" t="str">
            <v>Technische platen M2</v>
          </cell>
          <cell r="G640" t="str">
            <v>ZIB00123</v>
          </cell>
          <cell r="H640" t="str">
            <v>bestaand</v>
          </cell>
          <cell r="I640" t="str">
            <v>01.02.2014</v>
          </cell>
          <cell r="J640" t="str">
            <v>Yes</v>
          </cell>
          <cell r="K640" t="str">
            <v>Professional</v>
          </cell>
          <cell r="L640" t="str">
            <v>AQUAROC</v>
          </cell>
          <cell r="M640" t="str">
            <v>AQUAROC</v>
          </cell>
          <cell r="N640" t="str">
            <v>Placocem® 13 120/250 P15</v>
          </cell>
          <cell r="O640" t="str">
            <v>Placocem® 13 120/250 P15</v>
          </cell>
          <cell r="P640" t="str">
            <v>grijs</v>
          </cell>
          <cell r="Q640" t="str">
            <v>gris</v>
          </cell>
          <cell r="R640" t="str">
            <v>grijs</v>
          </cell>
          <cell r="S640" t="str">
            <v>gris</v>
          </cell>
          <cell r="T640" t="str">
            <v>NBN EN 12467:2012</v>
          </cell>
          <cell r="U640" t="str">
            <v>NT</v>
          </cell>
          <cell r="V640" t="str">
            <v>AR</v>
          </cell>
          <cell r="Y640" t="str">
            <v>gipscementplaat voor droge binnenafbouw</v>
          </cell>
          <cell r="AA640" t="str">
            <v>A2-s1, d0</v>
          </cell>
          <cell r="AC640" t="str">
            <v>GBC</v>
          </cell>
          <cell r="AD640" t="str">
            <v>ZZB: zichtzijde boven</v>
          </cell>
          <cell r="AE640">
            <v>12.5</v>
          </cell>
          <cell r="AH640" t="str">
            <v>+/-1.25</v>
          </cell>
          <cell r="AN640" t="str">
            <v>kg/l</v>
          </cell>
          <cell r="AP640">
            <v>0.28199999999999997</v>
          </cell>
          <cell r="AQ640">
            <v>0</v>
          </cell>
          <cell r="AR640">
            <v>40.5</v>
          </cell>
          <cell r="AS640">
            <v>43.4</v>
          </cell>
          <cell r="AT640">
            <v>39</v>
          </cell>
          <cell r="AU640" t="str">
            <v>CD3</v>
          </cell>
          <cell r="AV640" t="str">
            <v>WP : Wegwerppallet</v>
          </cell>
          <cell r="AW640">
            <v>7</v>
          </cell>
          <cell r="AX640">
            <v>17.82</v>
          </cell>
          <cell r="AY640" t="str">
            <v>01.02.2015</v>
          </cell>
          <cell r="AZ640">
            <v>0</v>
          </cell>
          <cell r="BA640" t="str">
            <v>00.00.0000</v>
          </cell>
          <cell r="BB640" t="str">
            <v>M2</v>
          </cell>
          <cell r="BC640" t="str">
            <v>M2</v>
          </cell>
          <cell r="BD640">
            <v>1</v>
          </cell>
          <cell r="BE640">
            <v>3496250088139</v>
          </cell>
        </row>
        <row r="641">
          <cell r="A641" t="str">
            <v>P66013000</v>
          </cell>
          <cell r="B641" t="str">
            <v>CEM300</v>
          </cell>
          <cell r="C641" t="str">
            <v>A1ABA31A003A001</v>
          </cell>
          <cell r="D641" t="str">
            <v>Placocem® 13 120 M2</v>
          </cell>
          <cell r="E641" t="str">
            <v>A1AB</v>
          </cell>
          <cell r="F641" t="str">
            <v>Technische platen M2</v>
          </cell>
          <cell r="G641" t="str">
            <v>ZIB00123</v>
          </cell>
          <cell r="H641" t="str">
            <v>bestaand</v>
          </cell>
          <cell r="I641" t="str">
            <v>01.02.2014</v>
          </cell>
          <cell r="J641" t="str">
            <v>Yes</v>
          </cell>
          <cell r="K641" t="str">
            <v>Professional</v>
          </cell>
          <cell r="L641" t="str">
            <v>AQUAROC</v>
          </cell>
          <cell r="M641" t="str">
            <v>AQUAROC</v>
          </cell>
          <cell r="N641" t="str">
            <v>Placocem® 13 120/300 P15</v>
          </cell>
          <cell r="O641" t="str">
            <v>Placocem® 13 120/300 P15</v>
          </cell>
          <cell r="P641" t="str">
            <v>grijs</v>
          </cell>
          <cell r="Q641" t="str">
            <v>gris</v>
          </cell>
          <cell r="R641" t="str">
            <v>grijs</v>
          </cell>
          <cell r="S641" t="str">
            <v>gris</v>
          </cell>
          <cell r="T641" t="str">
            <v>NBN EN 12467:2012</v>
          </cell>
          <cell r="U641" t="str">
            <v>NT</v>
          </cell>
          <cell r="V641" t="str">
            <v>AR</v>
          </cell>
          <cell r="Y641" t="str">
            <v>gipscementplaat voor droge binnenafbouw</v>
          </cell>
          <cell r="AA641" t="str">
            <v>A2-s1, d0</v>
          </cell>
          <cell r="AC641" t="str">
            <v>GBC</v>
          </cell>
          <cell r="AD641" t="str">
            <v>ZZB: zichtzijde boven</v>
          </cell>
          <cell r="AE641">
            <v>12.5</v>
          </cell>
          <cell r="AH641" t="str">
            <v>+/-1.25</v>
          </cell>
          <cell r="AP641">
            <v>0.28199999999999997</v>
          </cell>
          <cell r="AQ641">
            <v>0</v>
          </cell>
          <cell r="AR641">
            <v>48.6</v>
          </cell>
          <cell r="AS641">
            <v>52</v>
          </cell>
          <cell r="AT641">
            <v>46.8</v>
          </cell>
          <cell r="AU641" t="str">
            <v>CD3</v>
          </cell>
          <cell r="AV641" t="str">
            <v>WP : Wegwerppallet</v>
          </cell>
          <cell r="AW641">
            <v>7</v>
          </cell>
          <cell r="AX641">
            <v>17.82</v>
          </cell>
          <cell r="AY641" t="str">
            <v>01.02.2015</v>
          </cell>
          <cell r="AZ641">
            <v>0</v>
          </cell>
          <cell r="BA641" t="str">
            <v>00.00.0000</v>
          </cell>
          <cell r="BB641" t="str">
            <v>M2</v>
          </cell>
          <cell r="BC641" t="str">
            <v>M2</v>
          </cell>
          <cell r="BD641">
            <v>1</v>
          </cell>
          <cell r="BE641">
            <v>3496250088153</v>
          </cell>
        </row>
        <row r="642">
          <cell r="A642" t="str">
            <v>P80802600</v>
          </cell>
          <cell r="C642" t="str">
            <v>A1ABA25A003A011</v>
          </cell>
          <cell r="D642" t="str">
            <v>Gyproc SoundBlock BA 13 120 M2</v>
          </cell>
          <cell r="E642" t="str">
            <v>A1AB</v>
          </cell>
          <cell r="F642" t="str">
            <v>Technische platen M2</v>
          </cell>
          <cell r="G642" t="str">
            <v>ZIB00122</v>
          </cell>
          <cell r="H642" t="str">
            <v>bestaand</v>
          </cell>
          <cell r="I642" t="str">
            <v>01.01.2013</v>
          </cell>
          <cell r="J642" t="str">
            <v>Yes</v>
          </cell>
          <cell r="K642" t="str">
            <v>Professional</v>
          </cell>
          <cell r="L642" t="str">
            <v>Gyproc</v>
          </cell>
          <cell r="M642" t="str">
            <v>SOUNDBLOCK</v>
          </cell>
          <cell r="N642" t="str">
            <v>GY ABA dB 12.5 x 2600 x 1200 WP/50</v>
          </cell>
          <cell r="O642" t="str">
            <v>Gyproc® SoundBlock ABA 12,5 120/260</v>
          </cell>
          <cell r="P642" t="str">
            <v>blauw</v>
          </cell>
          <cell r="Q642" t="str">
            <v>bleu</v>
          </cell>
          <cell r="R642" t="str">
            <v>grijs</v>
          </cell>
          <cell r="S642" t="str">
            <v>gris</v>
          </cell>
          <cell r="T642" t="str">
            <v>NBN EN 520:2009</v>
          </cell>
          <cell r="U642" t="str">
            <v>D</v>
          </cell>
          <cell r="V642" t="str">
            <v>dB</v>
          </cell>
          <cell r="Y642" t="str">
            <v>gipsplaat voor droge binnenafbouw</v>
          </cell>
          <cell r="AA642" t="str">
            <v>A2-s1, d0 (B)</v>
          </cell>
          <cell r="AB642" t="str">
            <v>SG_GY_2013_A1ABA25A003</v>
          </cell>
          <cell r="AC642" t="str">
            <v>ABA</v>
          </cell>
          <cell r="AD642" t="str">
            <v>ZOZ: zichtzijde op zichtzijde</v>
          </cell>
          <cell r="AE642">
            <v>12.5</v>
          </cell>
          <cell r="AH642" t="str">
            <v>+/-0.5</v>
          </cell>
          <cell r="AI642">
            <v>0</v>
          </cell>
          <cell r="AJ642">
            <v>0</v>
          </cell>
          <cell r="AL642" t="str">
            <v>&gt; 800</v>
          </cell>
          <cell r="AM642" t="str">
            <v>&gt; 800</v>
          </cell>
          <cell r="AN642" t="str">
            <v>kg/m³</v>
          </cell>
          <cell r="AP642">
            <v>0.25</v>
          </cell>
          <cell r="AQ642">
            <v>0.05</v>
          </cell>
          <cell r="AR642">
            <v>37.44</v>
          </cell>
          <cell r="AS642">
            <v>38</v>
          </cell>
          <cell r="AT642">
            <v>40.56</v>
          </cell>
          <cell r="AU642" t="str">
            <v>CD3</v>
          </cell>
          <cell r="AV642" t="str">
            <v>WP : Wegwerppallet</v>
          </cell>
          <cell r="AW642">
            <v>7</v>
          </cell>
          <cell r="AX642">
            <v>5.45</v>
          </cell>
          <cell r="AY642" t="str">
            <v>01.02.2015</v>
          </cell>
          <cell r="AZ642">
            <v>0</v>
          </cell>
          <cell r="BA642" t="str">
            <v>00.00.0000</v>
          </cell>
          <cell r="BB642" t="str">
            <v>M2</v>
          </cell>
          <cell r="BC642" t="str">
            <v>M2</v>
          </cell>
          <cell r="BD642" t="str">
            <v>S</v>
          </cell>
          <cell r="BE642">
            <v>3496250191310</v>
          </cell>
        </row>
        <row r="643">
          <cell r="A643" t="str">
            <v>P80803000</v>
          </cell>
          <cell r="C643" t="str">
            <v>A1ABA25A003A011</v>
          </cell>
          <cell r="D643" t="str">
            <v>Gyproc SoundBlock BA 13 120 M2</v>
          </cell>
          <cell r="E643" t="str">
            <v>A1AB</v>
          </cell>
          <cell r="F643" t="str">
            <v>Technische platen M2</v>
          </cell>
          <cell r="G643" t="str">
            <v>ZIB00122</v>
          </cell>
          <cell r="H643" t="str">
            <v>bestaand</v>
          </cell>
          <cell r="I643" t="str">
            <v>01.01.2013</v>
          </cell>
          <cell r="J643" t="str">
            <v>Yes</v>
          </cell>
          <cell r="K643" t="str">
            <v>Professional</v>
          </cell>
          <cell r="L643" t="str">
            <v>Gyproc</v>
          </cell>
          <cell r="M643" t="str">
            <v>SOUNDBLOCK</v>
          </cell>
          <cell r="N643" t="str">
            <v>GY ABA dB 12.5 x 3000 x 1200 WP/40</v>
          </cell>
          <cell r="O643" t="str">
            <v>Gyproc® SoundBlock ABA 12,5 120/300</v>
          </cell>
          <cell r="P643" t="str">
            <v>blauw</v>
          </cell>
          <cell r="Q643" t="str">
            <v>bleu</v>
          </cell>
          <cell r="R643" t="str">
            <v>grijs</v>
          </cell>
          <cell r="S643" t="str">
            <v>gris</v>
          </cell>
          <cell r="T643" t="str">
            <v>NBN EN 520:2009</v>
          </cell>
          <cell r="U643" t="str">
            <v>D</v>
          </cell>
          <cell r="V643" t="str">
            <v>dB</v>
          </cell>
          <cell r="Y643" t="str">
            <v>gipsplaat voor droge binnenafbouw</v>
          </cell>
          <cell r="AA643" t="str">
            <v>A2-s1, d0 (B)</v>
          </cell>
          <cell r="AB643" t="str">
            <v>SG_GY_2013_A1ABA25A003</v>
          </cell>
          <cell r="AC643" t="str">
            <v>ABA</v>
          </cell>
          <cell r="AD643" t="str">
            <v>ZOZ: zichtzijde op zichtzijde</v>
          </cell>
          <cell r="AE643">
            <v>12.5</v>
          </cell>
          <cell r="AH643" t="str">
            <v>+/-0.5</v>
          </cell>
          <cell r="AI643">
            <v>0</v>
          </cell>
          <cell r="AJ643">
            <v>0</v>
          </cell>
          <cell r="AL643" t="str">
            <v>&gt; 800</v>
          </cell>
          <cell r="AM643" t="str">
            <v>&gt; 800</v>
          </cell>
          <cell r="AN643" t="str">
            <v>kg/m³</v>
          </cell>
          <cell r="AP643">
            <v>0.25</v>
          </cell>
          <cell r="AQ643">
            <v>0.05</v>
          </cell>
          <cell r="AR643">
            <v>43.2</v>
          </cell>
          <cell r="AS643">
            <v>43.975000000000001</v>
          </cell>
          <cell r="AT643">
            <v>46.8</v>
          </cell>
          <cell r="AU643" t="str">
            <v>CD3</v>
          </cell>
          <cell r="AV643" t="str">
            <v>WP : Wegwerppallet</v>
          </cell>
          <cell r="AW643">
            <v>7</v>
          </cell>
          <cell r="AX643">
            <v>5.45</v>
          </cell>
          <cell r="AY643" t="str">
            <v>01.02.2015</v>
          </cell>
          <cell r="AZ643">
            <v>0</v>
          </cell>
          <cell r="BA643" t="str">
            <v>00.00.0000</v>
          </cell>
          <cell r="BB643" t="str">
            <v>M2</v>
          </cell>
          <cell r="BC643" t="str">
            <v>M2</v>
          </cell>
          <cell r="BD643" t="str">
            <v>S</v>
          </cell>
          <cell r="BE643">
            <v>3496250191334</v>
          </cell>
        </row>
        <row r="644">
          <cell r="A644" t="str">
            <v>P80812600</v>
          </cell>
          <cell r="C644" t="str">
            <v>A1ABA25A003A011</v>
          </cell>
          <cell r="D644" t="str">
            <v>Gyproc SoundBlock BA 13 120 M2</v>
          </cell>
          <cell r="E644" t="str">
            <v>A1AB</v>
          </cell>
          <cell r="F644" t="str">
            <v>Technische platen M2</v>
          </cell>
          <cell r="G644" t="str">
            <v>ZIB00122</v>
          </cell>
          <cell r="H644" t="str">
            <v>bestaand</v>
          </cell>
          <cell r="I644" t="str">
            <v>01.01.2013</v>
          </cell>
          <cell r="J644" t="str">
            <v>Yes</v>
          </cell>
          <cell r="K644" t="str">
            <v>Professional</v>
          </cell>
          <cell r="L644" t="str">
            <v>Gyproc</v>
          </cell>
          <cell r="M644" t="str">
            <v>SOUNDBLOCK</v>
          </cell>
          <cell r="N644" t="str">
            <v>GY ABA dB 12.5 x 2600 x 1200 WP/20 ZOZ</v>
          </cell>
          <cell r="O644" t="str">
            <v>Gyproc® SoundBlock ABA 12,5 120/260 P20</v>
          </cell>
          <cell r="P644" t="str">
            <v>blauw</v>
          </cell>
          <cell r="Q644" t="str">
            <v>bleu</v>
          </cell>
          <cell r="R644" t="str">
            <v>grijs</v>
          </cell>
          <cell r="S644" t="str">
            <v>gris</v>
          </cell>
          <cell r="T644" t="str">
            <v>NBN EN 520:2009</v>
          </cell>
          <cell r="U644" t="str">
            <v>D</v>
          </cell>
          <cell r="V644" t="str">
            <v>dB</v>
          </cell>
          <cell r="Y644" t="str">
            <v>gipsplaat voor droge binnenafbouw</v>
          </cell>
          <cell r="AA644" t="str">
            <v>A2-s1, d0 (B)</v>
          </cell>
          <cell r="AB644" t="str">
            <v>SG_GY_2013_A1ABA25A003</v>
          </cell>
          <cell r="AC644" t="str">
            <v>ABA</v>
          </cell>
          <cell r="AD644" t="str">
            <v>ZOZ: zichtzijde op zichtzijde</v>
          </cell>
          <cell r="AE644">
            <v>12.5</v>
          </cell>
          <cell r="AH644" t="str">
            <v>+/-0.5</v>
          </cell>
          <cell r="AI644">
            <v>0</v>
          </cell>
          <cell r="AJ644">
            <v>0</v>
          </cell>
          <cell r="AL644" t="str">
            <v>&gt; 800</v>
          </cell>
          <cell r="AM644" t="str">
            <v>&gt; 800</v>
          </cell>
          <cell r="AN644" t="str">
            <v>kg/m³</v>
          </cell>
          <cell r="AP644">
            <v>0.25</v>
          </cell>
          <cell r="AQ644">
            <v>0.05</v>
          </cell>
          <cell r="AR644">
            <v>37.44</v>
          </cell>
          <cell r="AS644">
            <v>38</v>
          </cell>
          <cell r="AT644">
            <v>46.8</v>
          </cell>
          <cell r="AU644" t="str">
            <v>CD3</v>
          </cell>
          <cell r="AV644" t="str">
            <v>DP : Duitse Pallet</v>
          </cell>
          <cell r="AW644">
            <v>3</v>
          </cell>
          <cell r="AX644">
            <v>5.45</v>
          </cell>
          <cell r="AY644" t="str">
            <v>01.02.2015</v>
          </cell>
          <cell r="AZ644">
            <v>0</v>
          </cell>
          <cell r="BA644" t="str">
            <v>00.00.0000</v>
          </cell>
          <cell r="BB644" t="str">
            <v>M2</v>
          </cell>
          <cell r="BC644" t="str">
            <v>M2</v>
          </cell>
          <cell r="BD644" t="str">
            <v>S</v>
          </cell>
          <cell r="BE644">
            <v>3496250191310</v>
          </cell>
        </row>
        <row r="645">
          <cell r="A645" t="str">
            <v>P80822600</v>
          </cell>
          <cell r="C645" t="str">
            <v>A1ABA25A003A013</v>
          </cell>
          <cell r="D645" t="str">
            <v>Gyproc® Soundblock ABA 12,5 60 M2</v>
          </cell>
          <cell r="E645" t="str">
            <v>A1AB</v>
          </cell>
          <cell r="F645" t="str">
            <v>Technische platen M2</v>
          </cell>
          <cell r="G645" t="str">
            <v>P80822600</v>
          </cell>
          <cell r="H645" t="str">
            <v>bestaand</v>
          </cell>
          <cell r="I645" t="str">
            <v>01.01.2013</v>
          </cell>
          <cell r="J645" t="str">
            <v>Yes</v>
          </cell>
          <cell r="K645" t="str">
            <v>Prof + DIY</v>
          </cell>
          <cell r="L645" t="str">
            <v>Gyproc</v>
          </cell>
          <cell r="M645" t="str">
            <v>SOUNDBLOCK</v>
          </cell>
          <cell r="N645" t="str">
            <v>GY ABA dB 12.5 x 2600 x 600 WP/60 ZOZ</v>
          </cell>
          <cell r="O645" t="str">
            <v>Gyproc® SoundBlock ABA 12,5 60/260</v>
          </cell>
          <cell r="P645" t="str">
            <v>blauw</v>
          </cell>
          <cell r="Q645" t="str">
            <v>bleu</v>
          </cell>
          <cell r="R645" t="str">
            <v>grijs</v>
          </cell>
          <cell r="S645" t="str">
            <v>gris</v>
          </cell>
          <cell r="T645" t="str">
            <v>NBN EN 520:2009</v>
          </cell>
          <cell r="U645" t="str">
            <v>D</v>
          </cell>
          <cell r="V645" t="str">
            <v>dB</v>
          </cell>
          <cell r="Y645" t="str">
            <v>gipsplaat voor droge binnenafbouw</v>
          </cell>
          <cell r="AA645" t="str">
            <v>A2-s1, d0 (B)</v>
          </cell>
          <cell r="AB645" t="str">
            <v>SG_GY_2013_A1ABA25A003</v>
          </cell>
          <cell r="AC645" t="str">
            <v>ABA</v>
          </cell>
          <cell r="AD645" t="str">
            <v>ZOZ: zichtzijde op zichtzijde</v>
          </cell>
          <cell r="AE645">
            <v>12.5</v>
          </cell>
          <cell r="AH645" t="str">
            <v>+/-0.5</v>
          </cell>
          <cell r="AI645">
            <v>0</v>
          </cell>
          <cell r="AJ645">
            <v>0</v>
          </cell>
          <cell r="AL645" t="str">
            <v>&gt; 800</v>
          </cell>
          <cell r="AM645" t="str">
            <v>&gt; 800</v>
          </cell>
          <cell r="AN645" t="str">
            <v>kg/m³</v>
          </cell>
          <cell r="AP645">
            <v>0.25</v>
          </cell>
          <cell r="AQ645">
            <v>0.05</v>
          </cell>
          <cell r="AR645">
            <v>18.72</v>
          </cell>
          <cell r="AS645">
            <v>19</v>
          </cell>
          <cell r="AT645">
            <v>20.28</v>
          </cell>
          <cell r="AU645" t="str">
            <v>CD3</v>
          </cell>
          <cell r="AV645" t="str">
            <v>WP : Wegwerppallet</v>
          </cell>
          <cell r="AW645">
            <v>7</v>
          </cell>
          <cell r="AX645">
            <v>5.73</v>
          </cell>
          <cell r="AY645" t="str">
            <v>01.02.2015</v>
          </cell>
          <cell r="AZ645">
            <v>0</v>
          </cell>
          <cell r="BA645" t="str">
            <v>00.00.0000</v>
          </cell>
          <cell r="BB645" t="str">
            <v>M2</v>
          </cell>
          <cell r="BC645" t="str">
            <v>M2</v>
          </cell>
          <cell r="BD645" t="str">
            <v>S</v>
          </cell>
          <cell r="BE645">
            <v>3496250236042</v>
          </cell>
        </row>
        <row r="646">
          <cell r="A646" t="str">
            <v>T110460</v>
          </cell>
          <cell r="B646" t="str">
            <v>T110460</v>
          </cell>
          <cell r="C646" t="str">
            <v>F5FAF01F002F005</v>
          </cell>
          <cell r="D646" t="str">
            <v>Gyproc gereedschappen ST</v>
          </cell>
          <cell r="E646" t="str">
            <v>F5FA</v>
          </cell>
          <cell r="F646" t="str">
            <v>Gereedschap bevestigingen *</v>
          </cell>
          <cell r="G646" t="str">
            <v>T110460</v>
          </cell>
          <cell r="H646" t="str">
            <v>bestaand</v>
          </cell>
          <cell r="I646" t="str">
            <v>01.02.2014</v>
          </cell>
          <cell r="J646" t="str">
            <v>Yes</v>
          </cell>
          <cell r="K646" t="str">
            <v>Professional</v>
          </cell>
          <cell r="L646" t="str">
            <v>Gyproc</v>
          </cell>
          <cell r="M646" t="str">
            <v>PLATENLIFT</v>
          </cell>
          <cell r="N646" t="str">
            <v>PLATENLIFT TOMPLAC</v>
          </cell>
          <cell r="O646" t="str">
            <v>Lève-plaques Tomplac</v>
          </cell>
          <cell r="P646" t="str">
            <v>(blanco)</v>
          </cell>
          <cell r="Q646" t="str">
            <v>(blanco)</v>
          </cell>
          <cell r="R646" t="str">
            <v>(blanco)</v>
          </cell>
          <cell r="S646" t="str">
            <v>(blanco)</v>
          </cell>
          <cell r="T646" t="str">
            <v>--</v>
          </cell>
          <cell r="AA646" t="str">
            <v>(blanco)</v>
          </cell>
          <cell r="AC646" t="str">
            <v>(blanco)</v>
          </cell>
          <cell r="AD646" t="str">
            <v>(blanco)</v>
          </cell>
          <cell r="AH646" t="str">
            <v>(blanco)</v>
          </cell>
          <cell r="AI646" t="str">
            <v>(blanco)</v>
          </cell>
          <cell r="AJ646" t="str">
            <v>(blanco)</v>
          </cell>
          <cell r="AL646" t="str">
            <v>(blanco)</v>
          </cell>
          <cell r="AM646" t="str">
            <v>(blanco)</v>
          </cell>
          <cell r="AN646" t="str">
            <v>(blanco)</v>
          </cell>
          <cell r="AR646">
            <v>41</v>
          </cell>
          <cell r="AS646">
            <v>41</v>
          </cell>
          <cell r="AT646">
            <v>0</v>
          </cell>
          <cell r="AX646">
            <v>957.17</v>
          </cell>
          <cell r="AY646" t="str">
            <v>01.02.2015</v>
          </cell>
          <cell r="AZ646">
            <v>0</v>
          </cell>
          <cell r="BA646" t="str">
            <v>00.00.0000</v>
          </cell>
          <cell r="BB646" t="str">
            <v>ST</v>
          </cell>
          <cell r="BC646" t="str">
            <v>******</v>
          </cell>
          <cell r="BD646" t="str">
            <v>S</v>
          </cell>
          <cell r="BE646">
            <v>3496259007988</v>
          </cell>
        </row>
        <row r="647">
          <cell r="A647" t="str">
            <v>T112205</v>
          </cell>
          <cell r="C647" t="str">
            <v>F5FAF01F001F003</v>
          </cell>
          <cell r="D647" t="str">
            <v>Outillage Fixations *</v>
          </cell>
          <cell r="E647" t="str">
            <v>F5FA</v>
          </cell>
          <cell r="F647" t="str">
            <v>Gereedschap bevestigingen *</v>
          </cell>
          <cell r="G647" t="str">
            <v>T112205</v>
          </cell>
          <cell r="H647" t="str">
            <v>bestaand</v>
          </cell>
          <cell r="I647" t="str">
            <v>01.01.2013</v>
          </cell>
          <cell r="J647" t="str">
            <v>Yes</v>
          </cell>
          <cell r="K647" t="str">
            <v>Professional</v>
          </cell>
          <cell r="L647" t="str">
            <v>Gyproc</v>
          </cell>
          <cell r="M647" t="str">
            <v>GIPSZAAG 600</v>
          </cell>
          <cell r="N647" t="str">
            <v>GIPSZAAG 600</v>
          </cell>
          <cell r="O647" t="str">
            <v>Scie égoïne mixte lame téflon 60</v>
          </cell>
          <cell r="P647" t="str">
            <v>(blanco)</v>
          </cell>
          <cell r="Q647" t="str">
            <v>(blanco)</v>
          </cell>
          <cell r="R647" t="str">
            <v>(blanco)</v>
          </cell>
          <cell r="S647" t="str">
            <v>(blanco)</v>
          </cell>
          <cell r="T647" t="str">
            <v>--</v>
          </cell>
          <cell r="AA647" t="str">
            <v>(blanco)</v>
          </cell>
          <cell r="AC647" t="str">
            <v>(blanco)</v>
          </cell>
          <cell r="AD647" t="str">
            <v>(blanco)</v>
          </cell>
          <cell r="AH647" t="str">
            <v>(blanco)</v>
          </cell>
          <cell r="AI647" t="str">
            <v>(blanco)</v>
          </cell>
          <cell r="AJ647" t="str">
            <v>(blanco)</v>
          </cell>
          <cell r="AL647" t="str">
            <v>(blanco)</v>
          </cell>
          <cell r="AM647" t="str">
            <v>(blanco)</v>
          </cell>
          <cell r="AN647" t="str">
            <v>(blanco)</v>
          </cell>
          <cell r="AR647">
            <v>0.52400000000000002</v>
          </cell>
          <cell r="AS647">
            <v>0.52400000000000002</v>
          </cell>
          <cell r="AT647">
            <v>0</v>
          </cell>
          <cell r="AX647">
            <v>26.84</v>
          </cell>
          <cell r="AY647" t="str">
            <v>01.02.2015</v>
          </cell>
          <cell r="AZ647">
            <v>0</v>
          </cell>
          <cell r="BA647" t="str">
            <v>00.00.0000</v>
          </cell>
          <cell r="BB647" t="str">
            <v>ST</v>
          </cell>
          <cell r="BC647" t="str">
            <v>******</v>
          </cell>
          <cell r="BD647" t="str">
            <v>S</v>
          </cell>
          <cell r="BE647">
            <v>3496259000194</v>
          </cell>
        </row>
        <row r="648">
          <cell r="A648" t="str">
            <v>T115700</v>
          </cell>
          <cell r="B648" t="str">
            <v>T115700</v>
          </cell>
          <cell r="C648" t="str">
            <v>F5FAF01F001F003</v>
          </cell>
          <cell r="D648" t="str">
            <v>Outillage Fixations *</v>
          </cell>
          <cell r="E648" t="str">
            <v>F5FA</v>
          </cell>
          <cell r="F648" t="str">
            <v>Gereedschap bevestigingen *</v>
          </cell>
          <cell r="G648" t="str">
            <v>T115700</v>
          </cell>
          <cell r="H648" t="str">
            <v>bestaand</v>
          </cell>
          <cell r="I648" t="str">
            <v>01.01.2013</v>
          </cell>
          <cell r="J648" t="str">
            <v>Yes</v>
          </cell>
          <cell r="K648" t="str">
            <v>Professional</v>
          </cell>
          <cell r="L648" t="str">
            <v>Gyproc</v>
          </cell>
          <cell r="M648" t="str">
            <v>KNABBELSCHAAR</v>
          </cell>
          <cell r="N648" t="str">
            <v>KNABBELSCHAAR</v>
          </cell>
          <cell r="O648" t="str">
            <v>Cisaille grIgnoteuse Placoplatre®</v>
          </cell>
          <cell r="P648" t="str">
            <v>(blanco)</v>
          </cell>
          <cell r="Q648" t="str">
            <v>(blanco)</v>
          </cell>
          <cell r="R648" t="str">
            <v>(blanco)</v>
          </cell>
          <cell r="S648" t="str">
            <v>(blanco)</v>
          </cell>
          <cell r="T648" t="str">
            <v>--</v>
          </cell>
          <cell r="AA648" t="str">
            <v>(blanco)</v>
          </cell>
          <cell r="AC648" t="str">
            <v>(blanco)</v>
          </cell>
          <cell r="AD648" t="str">
            <v>(blanco)</v>
          </cell>
          <cell r="AH648" t="str">
            <v>(blanco)</v>
          </cell>
          <cell r="AI648" t="str">
            <v>(blanco)</v>
          </cell>
          <cell r="AJ648" t="str">
            <v>(blanco)</v>
          </cell>
          <cell r="AL648" t="str">
            <v>(blanco)</v>
          </cell>
          <cell r="AM648" t="str">
            <v>(blanco)</v>
          </cell>
          <cell r="AN648" t="str">
            <v>(blanco)</v>
          </cell>
          <cell r="AR648">
            <v>0.46</v>
          </cell>
          <cell r="AS648">
            <v>0.46</v>
          </cell>
          <cell r="AT648">
            <v>0</v>
          </cell>
          <cell r="AX648">
            <v>63.12</v>
          </cell>
          <cell r="AY648" t="str">
            <v>01.02.2015</v>
          </cell>
          <cell r="AZ648">
            <v>0</v>
          </cell>
          <cell r="BA648" t="str">
            <v>00.00.0000</v>
          </cell>
          <cell r="BB648" t="str">
            <v>ST</v>
          </cell>
          <cell r="BC648" t="str">
            <v>******</v>
          </cell>
          <cell r="BD648" t="str">
            <v>S</v>
          </cell>
          <cell r="BE648">
            <v>3496259000361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e"/>
      <sheetName val="Structuur"/>
      <sheetName val="System lists"/>
      <sheetName val="System lists_Perf"/>
      <sheetName val="Bestek-tek"/>
      <sheetName val="U-waarden"/>
      <sheetName val="Vertaling"/>
      <sheetName val="Overzicht Prestaties"/>
      <sheetName val="Schoeftype"/>
      <sheetName val="Drop down"/>
      <sheetName val="Sch_Wand"/>
      <sheetName val="V_Wand"/>
      <sheetName val="Plafond"/>
      <sheetName val="Geperf_Plafond_GT"/>
      <sheetName val="Geperf_Plafond_RT"/>
      <sheetName val="Demont_GTtegels"/>
      <sheetName val="Demont_GTpanelen_GR"/>
      <sheetName val="Vloeren"/>
    </sheetNames>
    <sheetDataSet>
      <sheetData sheetId="0" refreshError="1"/>
      <sheetData sheetId="1">
        <row r="3">
          <cell r="E3" t="str">
            <v>Subcategory NL (line 145)</v>
          </cell>
          <cell r="F3" t="str">
            <v>Subcategory FR (line 146)</v>
          </cell>
        </row>
        <row r="5">
          <cell r="E5" t="str">
            <v>Metal Stud-scheidingswand op enkel frame</v>
          </cell>
          <cell r="F5" t="str">
            <v>Cloison Metal Stud sur ossature simple</v>
          </cell>
        </row>
        <row r="6">
          <cell r="E6" t="str">
            <v>Metal Stud-scheidingswand op dubbel frame - Onafhankelijk</v>
          </cell>
          <cell r="F6" t="str">
            <v>Cloison Metal Stud sur ossature double indépendante</v>
          </cell>
        </row>
        <row r="7">
          <cell r="E7" t="str">
            <v>Metal Stud-scheidingswand op dubbel frame - Gekoppeld</v>
          </cell>
          <cell r="F7" t="str">
            <v>Cloison Metal Stud sur ossature double accouplée</v>
          </cell>
        </row>
        <row r="8">
          <cell r="E8" t="str">
            <v>Metal Stud-scheidingswand op dubbel frame - Gekoppeld met isobutyl</v>
          </cell>
          <cell r="F8" t="str">
            <v>Cloison Metal Stud sur ossature double accouplée avec isobutyle</v>
          </cell>
        </row>
        <row r="9">
          <cell r="E9" t="str">
            <v>Geluidswerende Metal Stud-scheidingswand op enkel frame</v>
          </cell>
          <cell r="F9" t="str">
            <v>Cloison Metal Stud pour un meilleur confort acoustique sur ossature simple</v>
          </cell>
        </row>
        <row r="10">
          <cell r="E10" t="str">
            <v>Geluidswerende Metal Stud-scheidingswand op dubbel frame - Onafhankelijk</v>
          </cell>
          <cell r="F10" t="str">
            <v>Cloison Metal Stud pour un meilleur confort acoustique sur ossature double indépendante</v>
          </cell>
        </row>
        <row r="11">
          <cell r="E11" t="str">
            <v>Geluidswerende Metal Stud-scheidingswand op dubbel frame - Gekoppeld</v>
          </cell>
          <cell r="F11" t="str">
            <v>Cloison Metal Stud pour un meilleur confort acoustique sur ossature double accouplée</v>
          </cell>
        </row>
        <row r="12">
          <cell r="E12" t="str">
            <v>Stootvaste Metal Stud-scheidingswand met DuraGyp-platen</v>
          </cell>
          <cell r="F12" t="e">
            <v>#N/A</v>
          </cell>
        </row>
        <row r="13">
          <cell r="E13" t="str">
            <v>Gebogen scheidingswand</v>
          </cell>
          <cell r="F13" t="str">
            <v>Cloison courbe</v>
          </cell>
        </row>
        <row r="14">
          <cell r="E14" t="str">
            <v>Scheidingswand op enkel houten frame</v>
          </cell>
          <cell r="F14" t="str">
            <v>Cloison sur ossature en bois simple</v>
          </cell>
        </row>
        <row r="15">
          <cell r="E15" t="str">
            <v>Scheidingswand op dubbel houten frame - Onafhankelijk</v>
          </cell>
          <cell r="F15" t="str">
            <v>Cloison sur ossature en bois double indépendante</v>
          </cell>
        </row>
        <row r="16">
          <cell r="E16" t="str">
            <v>Metal Stud-scheidingswand met bredere profielen</v>
          </cell>
          <cell r="F16" t="str">
            <v>Cloison Metal Stud avec profilés plus larges</v>
          </cell>
        </row>
        <row r="17">
          <cell r="E17" t="str">
            <v>Metal Stud-scheidingswand voor grotere hoogte</v>
          </cell>
          <cell r="F17" t="str">
            <v>Cloison Metal Stud pour grande hauteur</v>
          </cell>
        </row>
        <row r="18">
          <cell r="E18" t="str">
            <v>Metal Stud-scheidingswand in combinatie met Metal Stud-voorzetwand</v>
          </cell>
          <cell r="F18" t="str">
            <v>Cloison Metal Stud en combinaison avec un doublage Metal Stud</v>
          </cell>
        </row>
        <row r="25">
          <cell r="E25" t="str">
            <v>Vrijstaande Metal Stud-voorzetwand</v>
          </cell>
          <cell r="F25" t="str">
            <v>Doublage Metal Stud indépendant</v>
          </cell>
        </row>
        <row r="26">
          <cell r="E26" t="str">
            <v>Geluidswerende Metal Stud-voorzetwand</v>
          </cell>
          <cell r="F26" t="str">
            <v>Doublage Metal Stud indépendant pour un meilleur confort acoustique</v>
          </cell>
        </row>
        <row r="27">
          <cell r="E27" t="str">
            <v>Gebogen voorzetwand</v>
          </cell>
          <cell r="F27" t="str">
            <v>Doublage courbe</v>
          </cell>
        </row>
        <row r="28">
          <cell r="E28" t="str">
            <v>Droge bepleistering</v>
          </cell>
          <cell r="F28" t="str">
            <v>Plafonnage à sec</v>
          </cell>
        </row>
        <row r="29">
          <cell r="E29" t="str">
            <v>Muurbekleding op houten onderstructuur</v>
          </cell>
          <cell r="F29" t="str">
            <v>Revêtement mural sur sous-structure en bois</v>
          </cell>
        </row>
        <row r="35">
          <cell r="E35" t="str">
            <v>Vrijdragend Metal Stud-plafond</v>
          </cell>
          <cell r="F35" t="str">
            <v>Plafond Metal Stud autoportant</v>
          </cell>
        </row>
        <row r="36">
          <cell r="E36" t="str">
            <v>Geluidswerend vrijdragend Metal Stud-plafond</v>
          </cell>
          <cell r="F36" t="str">
            <v>Plafond Metal Stud autoportant pour un meilleur confort acoustique</v>
          </cell>
        </row>
        <row r="37">
          <cell r="E37" t="str">
            <v>Afgehangen PlaGyp S-plafond op enkel regelwerk</v>
          </cell>
          <cell r="F37" t="str">
            <v>Plafond PlaGyp S suspendu sur sous-structure simple</v>
          </cell>
        </row>
        <row r="38">
          <cell r="E38" t="str">
            <v>Geluidswerend afgehangen PlaGyp S-plafond op enkel regelwerk</v>
          </cell>
          <cell r="F38" t="str">
            <v>Plafond PlaGyp S suspendu sur sous-structure simple pour un meilleur confort acoustique</v>
          </cell>
        </row>
        <row r="39">
          <cell r="E39" t="str">
            <v>Afgehangen PlaGyp D-plafond op dubbel profielenrooster</v>
          </cell>
          <cell r="F39" t="str">
            <v>Plafond PlaGyp D suspendu sur sous-structure double</v>
          </cell>
        </row>
        <row r="40">
          <cell r="E40" t="str">
            <v>Geluidswerend afgehangen PlaGyp D-plafond op dubbel profielenrooster</v>
          </cell>
          <cell r="F40" t="str">
            <v>Plafond PlaGyp D suspendu sur sous-structure double pour un meilleur confort acoustique</v>
          </cell>
        </row>
        <row r="41">
          <cell r="E41" t="str">
            <v>Gebogen plafond</v>
          </cell>
          <cell r="F41" t="str">
            <v>Plafond courbe</v>
          </cell>
        </row>
        <row r="42">
          <cell r="E42" t="str">
            <v>Plafond op veerregels</v>
          </cell>
          <cell r="F42" t="str">
            <v>Plafond sur profilés à ressort</v>
          </cell>
        </row>
        <row r="43">
          <cell r="E43" t="str">
            <v>Plafond op houten regels</v>
          </cell>
          <cell r="F43" t="str">
            <v>Plafond sur sous-structure en bois</v>
          </cell>
        </row>
        <row r="49">
          <cell r="E49" t="str">
            <v>Modulair geperforeerd plafond op PlaGyp D-onderstructuur</v>
          </cell>
          <cell r="F49" t="str">
            <v>Plafond avec perforations modulaires sur sous-structure PlaGyp D</v>
          </cell>
        </row>
        <row r="52">
          <cell r="E52" t="str">
            <v>Doorlopend geperforeerd plafond op PlaGyp D-onderstructuur</v>
          </cell>
          <cell r="F52" t="str">
            <v>Plafond avec perforations continues sur sous-structure PlaGyp D</v>
          </cell>
        </row>
        <row r="64">
          <cell r="E64" t="str">
            <v>Rigidur Floor droge vloersysteem</v>
          </cell>
          <cell r="F64" t="str">
            <v>Rigidur Floor système de chape sèche</v>
          </cell>
        </row>
      </sheetData>
      <sheetData sheetId="2" refreshError="1"/>
      <sheetData sheetId="3" refreshError="1"/>
      <sheetData sheetId="4"/>
      <sheetData sheetId="5">
        <row r="2">
          <cell r="B2" t="str">
            <v>U</v>
          </cell>
          <cell r="C2" t="str">
            <v>l</v>
          </cell>
          <cell r="D2" t="str">
            <v>dikte</v>
          </cell>
        </row>
        <row r="3">
          <cell r="A3" t="str">
            <v>Sch.Wand</v>
          </cell>
        </row>
        <row r="4">
          <cell r="A4" t="str">
            <v>MS 150/2.100.2 A</v>
          </cell>
          <cell r="B4">
            <v>0.495</v>
          </cell>
          <cell r="C4">
            <v>3.6999999999999998E-2</v>
          </cell>
          <cell r="D4">
            <v>100</v>
          </cell>
        </row>
        <row r="5">
          <cell r="A5" t="str">
            <v>MS 150 DG+A/2.100.2 A</v>
          </cell>
          <cell r="B5">
            <v>0.495</v>
          </cell>
          <cell r="C5">
            <v>3.6999999999999998E-2</v>
          </cell>
          <cell r="D5">
            <v>100</v>
          </cell>
        </row>
        <row r="6">
          <cell r="A6" t="str">
            <v>MS 150 WR+A/2.100.2 A</v>
          </cell>
          <cell r="B6">
            <v>0.495</v>
          </cell>
          <cell r="C6">
            <v>3.6999999999999998E-2</v>
          </cell>
          <cell r="D6">
            <v>100</v>
          </cell>
        </row>
        <row r="7">
          <cell r="A7" t="str">
            <v>MS 150 RD+A/2.100.2 A</v>
          </cell>
          <cell r="B7">
            <v>0.50600000000000001</v>
          </cell>
          <cell r="C7">
            <v>3.6999999999999998E-2</v>
          </cell>
          <cell r="D7">
            <v>100</v>
          </cell>
        </row>
        <row r="8">
          <cell r="A8" t="str">
            <v>MS 210/2.75-75.2 AA</v>
          </cell>
          <cell r="B8">
            <v>0.189</v>
          </cell>
          <cell r="C8">
            <v>3.6999999999999998E-2</v>
          </cell>
          <cell r="D8" t="str">
            <v>70 + 70</v>
          </cell>
        </row>
        <row r="9">
          <cell r="A9" t="str">
            <v>MS dB 150 dB/2.100.2 A</v>
          </cell>
          <cell r="B9">
            <v>0.48099999999999998</v>
          </cell>
          <cell r="C9">
            <v>3.6999999999999998E-2</v>
          </cell>
          <cell r="D9">
            <v>100</v>
          </cell>
        </row>
        <row r="10">
          <cell r="A10" t="str">
            <v>MS dB 150 DG+dB/2.100.2 A</v>
          </cell>
          <cell r="B10">
            <v>0.48099999999999998</v>
          </cell>
          <cell r="C10">
            <v>3.6999999999999998E-2</v>
          </cell>
          <cell r="D10">
            <v>100</v>
          </cell>
        </row>
        <row r="11">
          <cell r="A11" t="str">
            <v>MS 225/2.75.1 A-75.2 A</v>
          </cell>
          <cell r="B11">
            <v>0.186</v>
          </cell>
          <cell r="C11">
            <v>3.6999999999999998E-2</v>
          </cell>
          <cell r="D11" t="str">
            <v>70 + 70</v>
          </cell>
        </row>
        <row r="12">
          <cell r="A12" t="str">
            <v>MS dB 150 DG+2xdB/3.75.3 A</v>
          </cell>
          <cell r="B12">
            <v>0.54300000000000004</v>
          </cell>
          <cell r="C12">
            <v>3.6999999999999998E-2</v>
          </cell>
          <cell r="D12">
            <v>70</v>
          </cell>
        </row>
        <row r="13">
          <cell r="A13" t="str">
            <v>MS 235/2.75.2 A-75.2 A</v>
          </cell>
          <cell r="B13">
            <v>0.183</v>
          </cell>
          <cell r="C13">
            <v>3.6999999999999998E-2</v>
          </cell>
          <cell r="D13" t="str">
            <v>70 + 70</v>
          </cell>
        </row>
        <row r="14">
          <cell r="A14" t="str">
            <v>MS 150 Rf/2.100.2 A</v>
          </cell>
          <cell r="B14">
            <v>0.495</v>
          </cell>
          <cell r="C14">
            <v>3.6999999999999998E-2</v>
          </cell>
          <cell r="D14">
            <v>100</v>
          </cell>
        </row>
        <row r="15">
          <cell r="A15" t="str">
            <v>MS 150 2xRf.Rf+WR/2.100.2 A</v>
          </cell>
          <cell r="B15">
            <v>0.495</v>
          </cell>
          <cell r="C15">
            <v>3.6999999999999998E-2</v>
          </cell>
          <cell r="D15">
            <v>100</v>
          </cell>
        </row>
        <row r="16">
          <cell r="A16" t="str">
            <v>MS 150 DG+Rf.Rf+WR/2.100.2 A</v>
          </cell>
          <cell r="B16">
            <v>0.495</v>
          </cell>
          <cell r="C16">
            <v>3.6999999999999998E-2</v>
          </cell>
          <cell r="D16">
            <v>100</v>
          </cell>
        </row>
        <row r="17">
          <cell r="A17" t="str">
            <v>MS dB 150 dB/3.75.3 A</v>
          </cell>
          <cell r="B17">
            <v>0.54300000000000004</v>
          </cell>
          <cell r="C17">
            <v>3.6999999999999998E-2</v>
          </cell>
          <cell r="D17">
            <v>70</v>
          </cell>
        </row>
        <row r="18">
          <cell r="A18" t="str">
            <v>MS 125/2.75.2 A</v>
          </cell>
          <cell r="B18">
            <v>0.6</v>
          </cell>
          <cell r="C18">
            <v>3.6999999999999998E-2</v>
          </cell>
          <cell r="D18">
            <v>70</v>
          </cell>
        </row>
        <row r="19">
          <cell r="A19" t="str">
            <v>MS 125 2xA.A+DG/2.75.2 A</v>
          </cell>
          <cell r="B19">
            <v>0.6</v>
          </cell>
          <cell r="C19">
            <v>3.6999999999999998E-2</v>
          </cell>
          <cell r="D19">
            <v>70</v>
          </cell>
        </row>
        <row r="20">
          <cell r="A20" t="str">
            <v>MS 125 2xA.A+RD/2.75.2 A</v>
          </cell>
          <cell r="B20">
            <v>0.60699999999999998</v>
          </cell>
          <cell r="C20">
            <v>3.6999999999999998E-2</v>
          </cell>
          <cell r="D20">
            <v>70</v>
          </cell>
        </row>
        <row r="21">
          <cell r="A21" t="str">
            <v>MS 125 2xA.A+WR/2.75.2 A</v>
          </cell>
          <cell r="B21">
            <v>0.60299999999999998</v>
          </cell>
          <cell r="C21">
            <v>3.6999999999999998E-2</v>
          </cell>
          <cell r="D21">
            <v>70</v>
          </cell>
        </row>
        <row r="22">
          <cell r="A22" t="str">
            <v>MS 125 DG+A.A+WR/2.75.2 A</v>
          </cell>
          <cell r="B22">
            <v>0.6</v>
          </cell>
          <cell r="C22">
            <v>3.6999999999999998E-2</v>
          </cell>
          <cell r="D22">
            <v>70</v>
          </cell>
        </row>
        <row r="23">
          <cell r="A23" t="str">
            <v>MS 125 RD+A.A+WR/2.75.2 A</v>
          </cell>
          <cell r="B23">
            <v>0.60699999999999998</v>
          </cell>
          <cell r="C23">
            <v>3.6999999999999998E-2</v>
          </cell>
          <cell r="D23">
            <v>70</v>
          </cell>
        </row>
        <row r="24">
          <cell r="A24" t="str">
            <v>MS 125 DG+A/2.75.2 A</v>
          </cell>
          <cell r="B24">
            <v>0.6</v>
          </cell>
          <cell r="C24">
            <v>3.6999999999999998E-2</v>
          </cell>
          <cell r="D24">
            <v>70</v>
          </cell>
        </row>
        <row r="25">
          <cell r="A25" t="str">
            <v>MS 125 RD+A/2.75.2 A</v>
          </cell>
          <cell r="B25">
            <v>0.61499999999999999</v>
          </cell>
          <cell r="C25">
            <v>3.6999999999999998E-2</v>
          </cell>
          <cell r="D25">
            <v>70</v>
          </cell>
        </row>
        <row r="26">
          <cell r="A26" t="str">
            <v>MS 235/3.75-75.3 AA</v>
          </cell>
          <cell r="B26">
            <v>0.17899999999999999</v>
          </cell>
          <cell r="C26">
            <v>3.6999999999999998E-2</v>
          </cell>
          <cell r="D26">
            <v>70</v>
          </cell>
        </row>
        <row r="27">
          <cell r="A27" t="str">
            <v>MS dB 125 dB/2.75.2 A</v>
          </cell>
          <cell r="B27">
            <v>0.57899999999999996</v>
          </cell>
          <cell r="C27">
            <v>3.6999999999999998E-2</v>
          </cell>
          <cell r="D27">
            <v>70</v>
          </cell>
        </row>
        <row r="28">
          <cell r="A28" t="str">
            <v>MS dB 125 DG+dB/2.75.2 A</v>
          </cell>
          <cell r="B28">
            <v>0.57899999999999996</v>
          </cell>
          <cell r="C28">
            <v>3.6999999999999998E-2</v>
          </cell>
          <cell r="D28">
            <v>70</v>
          </cell>
        </row>
        <row r="29">
          <cell r="A29" t="str">
            <v>MS dB 210 dB/2.75-75.2 A</v>
          </cell>
          <cell r="B29">
            <v>0.53200000000000003</v>
          </cell>
          <cell r="C29">
            <v>3.6999999999999998E-2</v>
          </cell>
          <cell r="D29">
            <v>70</v>
          </cell>
        </row>
        <row r="30">
          <cell r="A30" t="str">
            <v>MS 285/2.100.2 A-100.2 A</v>
          </cell>
          <cell r="B30">
            <v>0.126</v>
          </cell>
          <cell r="C30">
            <v>3.6999999999999998E-2</v>
          </cell>
          <cell r="D30" t="str">
            <v>100 + 100</v>
          </cell>
        </row>
        <row r="31">
          <cell r="A31" t="str">
            <v>MS 100/2.50.2 A</v>
          </cell>
          <cell r="B31">
            <v>0.80200000000000005</v>
          </cell>
          <cell r="C31">
            <v>3.6999999999999998E-2</v>
          </cell>
          <cell r="D31">
            <v>40</v>
          </cell>
        </row>
        <row r="32">
          <cell r="A32" t="str">
            <v>MS 100/1.75.1 A</v>
          </cell>
          <cell r="B32">
            <v>0.69499999999999995</v>
          </cell>
          <cell r="C32">
            <v>3.6999999999999998E-2</v>
          </cell>
          <cell r="D32">
            <v>60</v>
          </cell>
        </row>
        <row r="33">
          <cell r="A33" t="str">
            <v>MS dB 100 dB/2.50.2 A</v>
          </cell>
          <cell r="B33">
            <v>0.74299999999999999</v>
          </cell>
          <cell r="C33">
            <v>3.6999999999999998E-2</v>
          </cell>
          <cell r="D33">
            <v>40</v>
          </cell>
        </row>
        <row r="34">
          <cell r="A34" t="str">
            <v>MS dB 100 dB/1.75.1 A</v>
          </cell>
          <cell r="B34">
            <v>0.623</v>
          </cell>
          <cell r="C34">
            <v>3.6999999999999998E-2</v>
          </cell>
          <cell r="D34">
            <v>70</v>
          </cell>
        </row>
        <row r="35">
          <cell r="A35" t="str">
            <v>HS 375 A.RD/1.38+1.120 A-120.1 A+38.1</v>
          </cell>
          <cell r="B35">
            <v>0.16</v>
          </cell>
          <cell r="C35">
            <v>3.6999999999999998E-2</v>
          </cell>
          <cell r="D35" t="str">
            <v>120 + 120</v>
          </cell>
        </row>
        <row r="36">
          <cell r="A36" t="str">
            <v>HS 310 DG.Multiplex/1.120.1 A-1.120.1 A</v>
          </cell>
          <cell r="B36">
            <v>0.16500000000000001</v>
          </cell>
          <cell r="C36">
            <v>3.6999999999999998E-2</v>
          </cell>
          <cell r="D36" t="str">
            <v>120 + 120</v>
          </cell>
        </row>
        <row r="37">
          <cell r="A37" t="str">
            <v>HS 310 DG OSM/2.120-120.2 AA</v>
          </cell>
          <cell r="B37">
            <v>0.16900000000000001</v>
          </cell>
          <cell r="C37">
            <v>3.6999999999999998E-2</v>
          </cell>
          <cell r="D37" t="str">
            <v>120 + 120</v>
          </cell>
        </row>
        <row r="38">
          <cell r="A38" t="str">
            <v>HSB 140/2.90.2</v>
          </cell>
          <cell r="B38">
            <v>1.401</v>
          </cell>
          <cell r="C38">
            <v>3.6999999999999998E-2</v>
          </cell>
        </row>
        <row r="40">
          <cell r="A40" t="str">
            <v>V.Wand</v>
          </cell>
        </row>
        <row r="41">
          <cell r="A41" t="str">
            <v>HS 150 DG OSM V/120.2 A</v>
          </cell>
          <cell r="B41">
            <v>0.34100000000000003</v>
          </cell>
          <cell r="C41">
            <v>3.6999999999999998E-2</v>
          </cell>
          <cell r="D41">
            <v>120</v>
          </cell>
        </row>
        <row r="42">
          <cell r="A42" t="str">
            <v>MS 63 dB V/50.1 A</v>
          </cell>
          <cell r="B42">
            <v>0.93200000000000005</v>
          </cell>
          <cell r="C42">
            <v>3.6999999999999998E-2</v>
          </cell>
          <cell r="D42">
            <v>40</v>
          </cell>
        </row>
        <row r="43">
          <cell r="A43" t="str">
            <v>MS 75 V/50.2 A</v>
          </cell>
          <cell r="B43">
            <v>0.89200000000000002</v>
          </cell>
          <cell r="C43">
            <v>3.6999999999999998E-2</v>
          </cell>
          <cell r="D43">
            <v>40</v>
          </cell>
        </row>
        <row r="44">
          <cell r="A44" t="str">
            <v>MS 88 dB V/75.1 A</v>
          </cell>
          <cell r="B44">
            <v>0.73299999999999998</v>
          </cell>
          <cell r="C44">
            <v>3.6999999999999998E-2</v>
          </cell>
          <cell r="D44">
            <v>60</v>
          </cell>
        </row>
        <row r="45">
          <cell r="A45" t="str">
            <v>MS 88 V/75.1 A</v>
          </cell>
          <cell r="B45">
            <v>0.73299999999999998</v>
          </cell>
          <cell r="C45">
            <v>3.6999999999999998E-2</v>
          </cell>
          <cell r="D45">
            <v>60</v>
          </cell>
        </row>
        <row r="46">
          <cell r="A46" t="str">
            <v>MS 95 DG+2xRf V/50.3 A</v>
          </cell>
          <cell r="B46">
            <v>0.82799999999999996</v>
          </cell>
          <cell r="C46">
            <v>3.6999999999999998E-2</v>
          </cell>
          <cell r="D46">
            <v>40</v>
          </cell>
        </row>
        <row r="47">
          <cell r="A47" t="str">
            <v>MS 95 Rf V/50.3 A</v>
          </cell>
          <cell r="B47">
            <v>0.82799999999999996</v>
          </cell>
          <cell r="C47">
            <v>3.6999999999999998E-2</v>
          </cell>
          <cell r="D47">
            <v>40</v>
          </cell>
        </row>
        <row r="48">
          <cell r="A48" t="str">
            <v>MS 95 WR+2xRf V/50.3 A</v>
          </cell>
          <cell r="B48">
            <v>0.82799999999999996</v>
          </cell>
          <cell r="C48">
            <v>3.6999999999999998E-2</v>
          </cell>
          <cell r="D48">
            <v>40</v>
          </cell>
        </row>
        <row r="49">
          <cell r="A49" t="str">
            <v>MS 100 DG+Rf V/75.2 A</v>
          </cell>
          <cell r="B49">
            <v>0.65700000000000003</v>
          </cell>
          <cell r="C49">
            <v>3.6999999999999998E-2</v>
          </cell>
          <cell r="D49">
            <v>70</v>
          </cell>
        </row>
        <row r="50">
          <cell r="A50" t="str">
            <v>MS 100 Rf V/75.2 A</v>
          </cell>
          <cell r="B50">
            <v>0.65700000000000003</v>
          </cell>
          <cell r="C50">
            <v>3.6999999999999998E-2</v>
          </cell>
          <cell r="D50">
            <v>70</v>
          </cell>
        </row>
        <row r="51">
          <cell r="A51" t="str">
            <v>MS 100 SW/2.50.2 A</v>
          </cell>
          <cell r="B51">
            <v>0.80200000000000005</v>
          </cell>
          <cell r="C51">
            <v>3.6999999999999998E-2</v>
          </cell>
          <cell r="D51">
            <v>40</v>
          </cell>
        </row>
        <row r="52">
          <cell r="A52" t="str">
            <v>MS 100 V/75.2 A</v>
          </cell>
          <cell r="B52">
            <v>0.65700000000000003</v>
          </cell>
          <cell r="C52">
            <v>3.6999999999999998E-2</v>
          </cell>
          <cell r="D52">
            <v>70</v>
          </cell>
        </row>
        <row r="53">
          <cell r="A53" t="str">
            <v>MS 100 WR+Rf V/75.2 A</v>
          </cell>
          <cell r="B53">
            <v>0.65700000000000003</v>
          </cell>
          <cell r="C53">
            <v>3.6999999999999998E-2</v>
          </cell>
          <cell r="D53">
            <v>70</v>
          </cell>
        </row>
        <row r="54">
          <cell r="A54" t="str">
            <v>PlaGyp 40 V/27.1 A</v>
          </cell>
          <cell r="B54">
            <v>1.3839999999999999</v>
          </cell>
          <cell r="C54">
            <v>3.6999999999999998E-2</v>
          </cell>
          <cell r="D54">
            <v>40</v>
          </cell>
        </row>
        <row r="55">
          <cell r="A55" t="str">
            <v>PlaGyp 52 V/27.2 A</v>
          </cell>
          <cell r="B55">
            <v>1.27</v>
          </cell>
          <cell r="C55">
            <v>3.6999999999999998E-2</v>
          </cell>
          <cell r="D55">
            <v>40</v>
          </cell>
        </row>
        <row r="56">
          <cell r="A56" t="str">
            <v>PlaGyp FX 120 ThermC V/27.1</v>
          </cell>
          <cell r="B56">
            <v>0.27900000000000003</v>
          </cell>
          <cell r="C56">
            <v>3.2000000000000001E-2</v>
          </cell>
          <cell r="D56">
            <v>80</v>
          </cell>
        </row>
        <row r="58">
          <cell r="A58" t="str">
            <v>Plafond</v>
          </cell>
        </row>
        <row r="59">
          <cell r="A59" t="str">
            <v>MS 63 dB P/50.1 A</v>
          </cell>
          <cell r="B59">
            <v>1.26</v>
          </cell>
          <cell r="C59">
            <v>3.6999999999999998E-2</v>
          </cell>
          <cell r="D59">
            <v>40</v>
          </cell>
        </row>
        <row r="60">
          <cell r="A60" t="str">
            <v>MS 63 P/50.1</v>
          </cell>
          <cell r="B60">
            <v>5.3289999999999997</v>
          </cell>
        </row>
        <row r="61">
          <cell r="A61" t="str">
            <v>MS 63 P/50.1 A</v>
          </cell>
          <cell r="B61">
            <v>1.26</v>
          </cell>
          <cell r="C61">
            <v>3.6999999999999998E-2</v>
          </cell>
          <cell r="D61">
            <v>40</v>
          </cell>
        </row>
        <row r="62">
          <cell r="A62" t="str">
            <v>MS 63 P/50.1 A</v>
          </cell>
          <cell r="B62">
            <v>0.61399999999999999</v>
          </cell>
          <cell r="C62">
            <v>3.6999999999999998E-2</v>
          </cell>
          <cell r="D62">
            <v>70</v>
          </cell>
        </row>
        <row r="63">
          <cell r="A63" t="str">
            <v>MS 63 WR P/50.1</v>
          </cell>
          <cell r="B63">
            <v>5.3289999999999997</v>
          </cell>
        </row>
        <row r="64">
          <cell r="A64" t="str">
            <v>MS 65 Rf P/50.1</v>
          </cell>
          <cell r="B64">
            <v>5.0590000000000002</v>
          </cell>
        </row>
        <row r="65">
          <cell r="A65" t="str">
            <v>MS 75 dB P/50.2 A</v>
          </cell>
          <cell r="B65">
            <v>1.024</v>
          </cell>
          <cell r="C65">
            <v>3.6999999999999998E-2</v>
          </cell>
          <cell r="D65">
            <v>40</v>
          </cell>
        </row>
        <row r="66">
          <cell r="A66" t="str">
            <v>MS 75 P/50.2 A</v>
          </cell>
          <cell r="B66">
            <v>1.024</v>
          </cell>
          <cell r="C66">
            <v>3.6999999999999998E-2</v>
          </cell>
          <cell r="D66">
            <v>40</v>
          </cell>
        </row>
        <row r="67">
          <cell r="A67" t="str">
            <v>MS 75 P/50.2 A</v>
          </cell>
          <cell r="B67">
            <v>0.54600000000000004</v>
          </cell>
          <cell r="C67">
            <v>3.6999999999999998E-2</v>
          </cell>
          <cell r="D67">
            <v>70</v>
          </cell>
        </row>
        <row r="68">
          <cell r="A68" t="str">
            <v>MS 80 Rf P/50.2</v>
          </cell>
          <cell r="B68">
            <v>3.8809999999999998</v>
          </cell>
        </row>
        <row r="69">
          <cell r="A69" t="str">
            <v>MS 80 Rf P/50.2 A</v>
          </cell>
          <cell r="B69">
            <v>1.0089999999999999</v>
          </cell>
          <cell r="C69">
            <v>3.6999999999999998E-2</v>
          </cell>
          <cell r="D69">
            <v>40</v>
          </cell>
        </row>
        <row r="70">
          <cell r="A70" t="str">
            <v>MS 88 dB P/75.1 A</v>
          </cell>
          <cell r="B70">
            <v>0.60799999999999998</v>
          </cell>
          <cell r="C70">
            <v>3.6999999999999998E-2</v>
          </cell>
          <cell r="D70">
            <v>70</v>
          </cell>
        </row>
        <row r="71">
          <cell r="A71" t="str">
            <v>MS 88 P/75.1</v>
          </cell>
          <cell r="B71">
            <v>5.3289999999999997</v>
          </cell>
        </row>
        <row r="72">
          <cell r="A72" t="str">
            <v>MS 88 P/75.1 A</v>
          </cell>
          <cell r="B72">
            <v>0.9</v>
          </cell>
          <cell r="C72">
            <v>3.6999999999999998E-2</v>
          </cell>
          <cell r="D72">
            <v>70</v>
          </cell>
        </row>
        <row r="73">
          <cell r="A73" t="str">
            <v>MS 88 WR P/75.1</v>
          </cell>
          <cell r="B73">
            <v>5.3289999999999997</v>
          </cell>
        </row>
        <row r="74">
          <cell r="A74" t="str">
            <v>MS 90 Rf P/75.1</v>
          </cell>
          <cell r="B74">
            <v>5.0590000000000002</v>
          </cell>
        </row>
        <row r="75">
          <cell r="A75" t="str">
            <v>MS 100 dB P/75.2 A</v>
          </cell>
          <cell r="B75">
            <v>0.85199999999999998</v>
          </cell>
          <cell r="C75">
            <v>3.6999999999999998E-2</v>
          </cell>
          <cell r="D75">
            <v>70</v>
          </cell>
        </row>
        <row r="76">
          <cell r="A76" t="str">
            <v>MS 100 P/75.2 A</v>
          </cell>
          <cell r="B76">
            <v>1.038</v>
          </cell>
          <cell r="C76">
            <v>3.6999999999999998E-2</v>
          </cell>
          <cell r="D76">
            <v>50</v>
          </cell>
        </row>
        <row r="77">
          <cell r="A77" t="str">
            <v>MS 100 P/75.2 A</v>
          </cell>
          <cell r="B77">
            <v>0.85199999999999998</v>
          </cell>
          <cell r="C77">
            <v>3.6999999999999998E-2</v>
          </cell>
          <cell r="D77">
            <v>70</v>
          </cell>
        </row>
        <row r="78">
          <cell r="A78" t="str">
            <v>MS 105 Rf P/75.2</v>
          </cell>
          <cell r="B78">
            <v>3.8809999999999998</v>
          </cell>
        </row>
        <row r="79">
          <cell r="A79" t="str">
            <v>MS 105 Rf P/75.2 A</v>
          </cell>
          <cell r="B79">
            <v>0.64</v>
          </cell>
          <cell r="C79">
            <v>3.6999999999999998E-2</v>
          </cell>
          <cell r="D79">
            <v>70</v>
          </cell>
        </row>
        <row r="80">
          <cell r="A80" t="str">
            <v>MS 113 dB P/100.1 A</v>
          </cell>
          <cell r="B80">
            <v>0.45500000000000002</v>
          </cell>
          <cell r="C80">
            <v>3.6999999999999998E-2</v>
          </cell>
          <cell r="D80">
            <v>100</v>
          </cell>
        </row>
        <row r="81">
          <cell r="A81" t="str">
            <v>MS 113 P/100.1</v>
          </cell>
          <cell r="B81">
            <v>5.3289999999999997</v>
          </cell>
        </row>
        <row r="82">
          <cell r="A82" t="str">
            <v>MS 113 P/100.1 A</v>
          </cell>
          <cell r="B82">
            <v>0.45500000000000002</v>
          </cell>
          <cell r="C82">
            <v>3.6999999999999998E-2</v>
          </cell>
          <cell r="D82">
            <v>100</v>
          </cell>
        </row>
        <row r="83">
          <cell r="A83" t="str">
            <v>MS 113 WR P/100.1</v>
          </cell>
          <cell r="B83">
            <v>5.3289999999999997</v>
          </cell>
        </row>
        <row r="84">
          <cell r="A84" t="str">
            <v>MS 115 Rf P/100.1</v>
          </cell>
          <cell r="B84">
            <v>5.0590000000000002</v>
          </cell>
        </row>
        <row r="85">
          <cell r="A85" t="str">
            <v>MS 125 dB P/100.2 A</v>
          </cell>
          <cell r="B85">
            <v>0.437</v>
          </cell>
          <cell r="C85">
            <v>3.6999999999999998E-2</v>
          </cell>
          <cell r="D85">
            <v>100</v>
          </cell>
        </row>
        <row r="86">
          <cell r="A86" t="str">
            <v>MS 125 P/100.2 A</v>
          </cell>
          <cell r="B86">
            <v>0.437</v>
          </cell>
          <cell r="C86">
            <v>3.6999999999999998E-2</v>
          </cell>
          <cell r="D86">
            <v>100</v>
          </cell>
        </row>
        <row r="87">
          <cell r="A87" t="str">
            <v>MS 130 Rf P/100.2</v>
          </cell>
          <cell r="B87">
            <v>3.8809999999999998</v>
          </cell>
        </row>
        <row r="88">
          <cell r="A88" t="str">
            <v>MS 130 Rf P/100.2 A</v>
          </cell>
          <cell r="B88">
            <v>0.43099999999999999</v>
          </cell>
          <cell r="C88">
            <v>3.6999999999999998E-2</v>
          </cell>
          <cell r="D88">
            <v>100</v>
          </cell>
        </row>
        <row r="89">
          <cell r="A89" t="str">
            <v>MS 138 dB P/125.1 A</v>
          </cell>
          <cell r="B89">
            <v>0.41499999999999998</v>
          </cell>
          <cell r="C89">
            <v>3.6999999999999998E-2</v>
          </cell>
          <cell r="D89">
            <v>125</v>
          </cell>
        </row>
        <row r="90">
          <cell r="A90" t="str">
            <v>MS 138 P/125.1 A</v>
          </cell>
          <cell r="B90">
            <v>0.41499999999999998</v>
          </cell>
          <cell r="C90">
            <v>3.6999999999999998E-2</v>
          </cell>
          <cell r="D90">
            <v>125</v>
          </cell>
        </row>
        <row r="91">
          <cell r="A91" t="str">
            <v>MS 150 dB P/125.2 A</v>
          </cell>
          <cell r="B91">
            <v>0.40100000000000002</v>
          </cell>
          <cell r="C91">
            <v>3.6999999999999998E-2</v>
          </cell>
          <cell r="D91">
            <v>125</v>
          </cell>
        </row>
        <row r="92">
          <cell r="A92" t="str">
            <v>MS 150 P/125.2 A</v>
          </cell>
          <cell r="B92">
            <v>0.40100000000000002</v>
          </cell>
          <cell r="C92">
            <v>3.6999999999999998E-2</v>
          </cell>
          <cell r="D92">
            <v>125</v>
          </cell>
        </row>
        <row r="93">
          <cell r="A93" t="str">
            <v>MS 150 Rf P/125.2 A</v>
          </cell>
          <cell r="B93">
            <v>0.40100000000000002</v>
          </cell>
          <cell r="C93">
            <v>3.6999999999999998E-2</v>
          </cell>
          <cell r="D93">
            <v>125</v>
          </cell>
        </row>
        <row r="94">
          <cell r="A94" t="str">
            <v>MS 155 P/125.2</v>
          </cell>
          <cell r="B94">
            <v>3.8809999999999998</v>
          </cell>
        </row>
        <row r="95">
          <cell r="A95" t="str">
            <v>MS 155 P/125.2 A</v>
          </cell>
          <cell r="B95">
            <v>0.39600000000000002</v>
          </cell>
          <cell r="C95">
            <v>3.6999999999999998E-2</v>
          </cell>
          <cell r="D95">
            <v>125</v>
          </cell>
        </row>
        <row r="96">
          <cell r="A96" t="str">
            <v>MS 155 Rf P/125.2</v>
          </cell>
          <cell r="B96">
            <v>3.8809999999999998</v>
          </cell>
        </row>
        <row r="97">
          <cell r="A97" t="str">
            <v>MS 155 Rf P/125.2 A</v>
          </cell>
          <cell r="B97">
            <v>0.39600000000000002</v>
          </cell>
          <cell r="C97">
            <v>3.6999999999999998E-2</v>
          </cell>
          <cell r="D97">
            <v>125</v>
          </cell>
        </row>
        <row r="98">
          <cell r="A98" t="str">
            <v>PlaGyp D dB/12,5 A</v>
          </cell>
          <cell r="B98">
            <v>0.60099999999999998</v>
          </cell>
          <cell r="C98">
            <v>3.6999999999999998E-2</v>
          </cell>
          <cell r="D98">
            <v>50</v>
          </cell>
        </row>
        <row r="99">
          <cell r="A99" t="str">
            <v>PlaGyp D dB/2x12,5 A</v>
          </cell>
          <cell r="B99">
            <v>0.58399999999999996</v>
          </cell>
          <cell r="C99">
            <v>3.6999999999999998E-2</v>
          </cell>
          <cell r="D99">
            <v>50</v>
          </cell>
        </row>
        <row r="100">
          <cell r="A100" t="str">
            <v>PlaGyp D Rf/15</v>
          </cell>
          <cell r="B100">
            <v>5.0839999999999996</v>
          </cell>
        </row>
        <row r="101">
          <cell r="A101" t="str">
            <v>PlaGyp D Rf/18</v>
          </cell>
          <cell r="B101">
            <v>4.7919999999999998</v>
          </cell>
        </row>
        <row r="102">
          <cell r="A102" t="str">
            <v>PlaGyp D Rf/2x12,5 A</v>
          </cell>
          <cell r="B102">
            <v>0.58399999999999996</v>
          </cell>
          <cell r="C102">
            <v>3.6999999999999998E-2</v>
          </cell>
          <cell r="D102">
            <v>50</v>
          </cell>
        </row>
        <row r="103">
          <cell r="A103" t="str">
            <v>PlaGyp D WR/12,5</v>
          </cell>
          <cell r="B103">
            <v>4.6260000000000003</v>
          </cell>
        </row>
        <row r="104">
          <cell r="A104" t="str">
            <v>PlaGyp D/12,5</v>
          </cell>
          <cell r="B104">
            <v>4.6260000000000003</v>
          </cell>
        </row>
        <row r="105">
          <cell r="A105" t="str">
            <v>PlaGyp D/12,5 A</v>
          </cell>
          <cell r="B105">
            <v>0.60099999999999998</v>
          </cell>
          <cell r="C105">
            <v>3.6999999999999998E-2</v>
          </cell>
          <cell r="D105">
            <v>50</v>
          </cell>
        </row>
        <row r="106">
          <cell r="A106" t="str">
            <v>PlaGyp D/2x12,5 A</v>
          </cell>
          <cell r="B106">
            <v>0.58399999999999996</v>
          </cell>
          <cell r="C106">
            <v>3.6999999999999998E-2</v>
          </cell>
          <cell r="D106">
            <v>50</v>
          </cell>
        </row>
        <row r="107">
          <cell r="A107" t="str">
            <v>PlaGyp N GF/3x15</v>
          </cell>
          <cell r="B107">
            <v>0.51900000000000002</v>
          </cell>
          <cell r="C107">
            <v>3.6999999999999998E-2</v>
          </cell>
          <cell r="D107">
            <v>60</v>
          </cell>
        </row>
        <row r="108">
          <cell r="A108" t="str">
            <v>PlaGyp S dB/12,5 A</v>
          </cell>
          <cell r="B108">
            <v>0.70099999999999996</v>
          </cell>
          <cell r="C108">
            <v>3.6999999999999998E-2</v>
          </cell>
          <cell r="D108">
            <v>50</v>
          </cell>
        </row>
        <row r="109">
          <cell r="A109" t="str">
            <v>PlaGyp S dB/2x12,5 A</v>
          </cell>
          <cell r="B109">
            <v>0.67700000000000005</v>
          </cell>
          <cell r="C109">
            <v>3.6999999999999998E-2</v>
          </cell>
          <cell r="D109">
            <v>50</v>
          </cell>
        </row>
        <row r="110">
          <cell r="A110" t="str">
            <v>PlaGyp S Rf/12,5 A</v>
          </cell>
          <cell r="B110">
            <v>0.70099999999999996</v>
          </cell>
          <cell r="C110">
            <v>3.6999999999999998E-2</v>
          </cell>
          <cell r="D110">
            <v>50</v>
          </cell>
        </row>
        <row r="111">
          <cell r="A111" t="str">
            <v>PlaGyp S Rf/15</v>
          </cell>
          <cell r="B111">
            <v>5.0389999999999997</v>
          </cell>
        </row>
        <row r="112">
          <cell r="A112" t="str">
            <v>PlaGyp S Rf/2x12,5 A</v>
          </cell>
          <cell r="B112">
            <v>0.67700000000000005</v>
          </cell>
          <cell r="C112">
            <v>3.6999999999999998E-2</v>
          </cell>
          <cell r="D112">
            <v>50</v>
          </cell>
        </row>
        <row r="113">
          <cell r="A113" t="str">
            <v>PlaGyp S/12,5 A</v>
          </cell>
          <cell r="B113">
            <v>0.70099999999999996</v>
          </cell>
          <cell r="C113">
            <v>3.6999999999999998E-2</v>
          </cell>
          <cell r="D113">
            <v>50</v>
          </cell>
        </row>
        <row r="114">
          <cell r="A114" t="str">
            <v>PlaGyp S/2x12,5 A</v>
          </cell>
          <cell r="B114">
            <v>0.67700000000000005</v>
          </cell>
          <cell r="C114">
            <v>3.6999999999999998E-2</v>
          </cell>
          <cell r="D114">
            <v>50</v>
          </cell>
        </row>
        <row r="116">
          <cell r="A116" t="str">
            <v>Vloer</v>
          </cell>
        </row>
        <row r="117">
          <cell r="A117" t="str">
            <v>Rigidur Floor E 30 MW</v>
          </cell>
          <cell r="B117">
            <v>1.9790000000000001</v>
          </cell>
          <cell r="C117">
            <v>4.2000000000000003E-2</v>
          </cell>
          <cell r="D117">
            <v>10</v>
          </cell>
        </row>
        <row r="118">
          <cell r="A118" t="str">
            <v>Rigidur Floor E 35 MW</v>
          </cell>
          <cell r="B118">
            <v>1.925</v>
          </cell>
          <cell r="C118">
            <v>4.2000000000000003E-2</v>
          </cell>
          <cell r="D118">
            <v>10</v>
          </cell>
        </row>
      </sheetData>
      <sheetData sheetId="6">
        <row r="1">
          <cell r="B1" t="str">
            <v>Subcategorie NL (Line 145)</v>
          </cell>
          <cell r="C1" t="str">
            <v>Subcategorie FR (Line 146)</v>
          </cell>
        </row>
        <row r="2">
          <cell r="B2" t="str">
            <v>x</v>
          </cell>
          <cell r="C2" t="str">
            <v>x</v>
          </cell>
        </row>
        <row r="3">
          <cell r="B3" t="str">
            <v>Metal Stud-scheidingswand op enkel frame</v>
          </cell>
          <cell r="C3" t="str">
            <v>Cloison Metal Stud sur ossature simple</v>
          </cell>
        </row>
        <row r="4">
          <cell r="B4" t="str">
            <v>Metal Stud-scheidingswand op dubbel frame - Onafhankelijk</v>
          </cell>
          <cell r="C4" t="str">
            <v>Cloison Metal Stud sur ossature double indépendante</v>
          </cell>
        </row>
        <row r="5">
          <cell r="B5" t="str">
            <v>Metal Stud-scheidingswand op dubbel frame - Gekoppeld</v>
          </cell>
          <cell r="C5" t="str">
            <v>Cloison Metal Stud sur ossature double accouplée</v>
          </cell>
        </row>
        <row r="6">
          <cell r="B6" t="str">
            <v>Metal Stud-scheidingswand op dubbel frame - Gekoppeld met isobutyl</v>
          </cell>
          <cell r="C6" t="str">
            <v>Cloison Metal Stud sur ossature double accouplée avec isobutyle</v>
          </cell>
        </row>
        <row r="7">
          <cell r="B7" t="str">
            <v>Geluidswerende Metal Stud-scheidingswand op enkel frame</v>
          </cell>
          <cell r="C7" t="str">
            <v>Cloison Metal Stud pour un meilleur confort acoustique sur ossature simple</v>
          </cell>
        </row>
        <row r="8">
          <cell r="B8" t="str">
            <v>Geluidswerende Metal Stud-scheidingswand op dubbel frame - Onafhankelijk</v>
          </cell>
          <cell r="C8" t="str">
            <v>Cloison Metal Stud pour un meilleur confort acoustique sur ossature double indépendante</v>
          </cell>
        </row>
        <row r="9">
          <cell r="B9" t="str">
            <v>Geluidswerende Metal Stud-scheidingswand op dubbel frame - Gekoppeld</v>
          </cell>
          <cell r="C9" t="str">
            <v>Cloison Metal Stud pour un meilleur confort acoustique sur ossature double accouplée</v>
          </cell>
        </row>
        <row r="10">
          <cell r="B10" t="str">
            <v>Stootvaste Metal Stud-scheidingswand</v>
          </cell>
          <cell r="C10" t="str">
            <v>Cloison Metal Stud pour une haute résistance aux chocs</v>
          </cell>
        </row>
        <row r="11">
          <cell r="B11" t="str">
            <v>Metal Stud-scheidingswand in vochtige ruimte</v>
          </cell>
          <cell r="C11" t="str">
            <v xml:space="preserve">Cloison Metal Stud pour locaux humides </v>
          </cell>
        </row>
        <row r="12">
          <cell r="B12" t="str">
            <v>Stootvaste Metal Stud-scheidingswand in vochtige ruimte</v>
          </cell>
          <cell r="C12" t="str">
            <v xml:space="preserve">Cloison Metal Stud pour une haute résistance aux chocs et pour locaux humides </v>
          </cell>
        </row>
        <row r="13">
          <cell r="B13" t="str">
            <v>Geluidwerende en stootvaste Metal Stud-scheidingswand</v>
          </cell>
          <cell r="C13" t="str">
            <v>Cloison Metal Stud  pour un meilleur confort acoustique et une haute résistance aux chocs</v>
          </cell>
        </row>
        <row r="14">
          <cell r="B14" t="str">
            <v>Gebogen scheidingswand</v>
          </cell>
          <cell r="C14" t="str">
            <v>Cloison courbe</v>
          </cell>
        </row>
        <row r="15">
          <cell r="B15" t="str">
            <v>Scheidingswand op enkel houten frame</v>
          </cell>
          <cell r="C15" t="str">
            <v>Cloison sur ossature en bois simple</v>
          </cell>
        </row>
        <row r="16">
          <cell r="B16" t="str">
            <v>Scheidingswand op dubbel houten frame - onafhankelijk</v>
          </cell>
          <cell r="C16" t="str">
            <v>Cloison sur ossature en bois double indépendante</v>
          </cell>
        </row>
        <row r="17">
          <cell r="B17" t="str">
            <v>Dubbele scheidingswand op houten frame</v>
          </cell>
          <cell r="C17" t="str">
            <v>Cloison double sur ossature en bois</v>
          </cell>
        </row>
        <row r="18">
          <cell r="B18" t="str">
            <v>Metal Stud-scheidingswand met bredere profielen</v>
          </cell>
          <cell r="C18" t="str">
            <v>Cloison Metal Stud avec profilés plus larges</v>
          </cell>
        </row>
        <row r="19">
          <cell r="B19" t="str">
            <v>Metal Stud-scheidingswand voor grotere hoogte</v>
          </cell>
          <cell r="C19" t="str">
            <v>Cloison Metal Stud pour grande hauteur</v>
          </cell>
        </row>
        <row r="20">
          <cell r="B20" t="str">
            <v>Metal Stud-scheidingswand in combinatie met Metal Stud-voorzetwand</v>
          </cell>
          <cell r="C20" t="str">
            <v>Cloison Metal Stud en combinaison avec un doublage Metal Stud</v>
          </cell>
        </row>
        <row r="21">
          <cell r="B21" t="str">
            <v>Vrijstaande Metal Stud-voorzetwand</v>
          </cell>
          <cell r="C21" t="str">
            <v>Doublage Metal Stud indépendant</v>
          </cell>
        </row>
        <row r="22">
          <cell r="B22" t="str">
            <v>Geluidswerende Metal Stud-voorzetwand</v>
          </cell>
          <cell r="C22" t="str">
            <v>Doublage Metal Stud indépendant pour un meilleur confort acoustique</v>
          </cell>
        </row>
        <row r="23">
          <cell r="B23" t="str">
            <v>Stootvaste Metal Stud-voorzetwand</v>
          </cell>
          <cell r="C23" t="str">
            <v>Doublage Metal Stud indépendant pour une haute résistance aux chocs</v>
          </cell>
        </row>
        <row r="24">
          <cell r="B24" t="str">
            <v>Metal Stud-voorzetwand in vochtige ruimte</v>
          </cell>
          <cell r="C24" t="str">
            <v xml:space="preserve">Doublage Metal Stud pour locaux humides </v>
          </cell>
        </row>
        <row r="25">
          <cell r="B25" t="str">
            <v>Gebogen voorzetwand</v>
          </cell>
          <cell r="C25" t="str">
            <v>Doublage courbe</v>
          </cell>
        </row>
        <row r="26">
          <cell r="B26" t="str">
            <v>Droge bepleistering</v>
          </cell>
          <cell r="C26" t="str">
            <v>Plafonnage à sec</v>
          </cell>
        </row>
        <row r="27">
          <cell r="B27" t="str">
            <v>Muurbekleding op houten onderstructuur</v>
          </cell>
          <cell r="C27" t="str">
            <v>Revêtement mural sur sous-structure en bois</v>
          </cell>
        </row>
        <row r="28">
          <cell r="B28" t="str">
            <v>Vrijdragend Metal Stud-plafond</v>
          </cell>
          <cell r="C28" t="str">
            <v>Plafond Metal Stud autoportant</v>
          </cell>
        </row>
        <row r="29">
          <cell r="B29" t="str">
            <v>Geluidswerend vrijdragend Metal Stud-plafond</v>
          </cell>
          <cell r="C29" t="str">
            <v>Plafond Metal Stud autoportant pour un meilleur confort acoustique</v>
          </cell>
        </row>
        <row r="30">
          <cell r="B30" t="str">
            <v>Afgehangen PlaGyp S-plafond op enkel regelwerk</v>
          </cell>
          <cell r="C30" t="str">
            <v>Plafond PlaGyp S suspendu sur sous-structure simple</v>
          </cell>
        </row>
        <row r="31">
          <cell r="B31" t="str">
            <v>Geluidswerend afgehangen PlaGyp S-plafond op enkel regelwerk</v>
          </cell>
          <cell r="C31" t="str">
            <v>Plafond PlaGyp S suspendu sur sous-structure simple pour un meilleur confort acoustique</v>
          </cell>
        </row>
        <row r="32">
          <cell r="B32" t="str">
            <v>Afgehangen PlaGyp D-plafond op dubbel profielenrooster</v>
          </cell>
          <cell r="C32" t="str">
            <v>Plafond PlaGyp D suspendu sur sous-structure double</v>
          </cell>
        </row>
        <row r="33">
          <cell r="B33" t="str">
            <v>Geluidswerend afgehangen PlaGyp D-plafond op dubbel profielenrooster</v>
          </cell>
          <cell r="C33" t="str">
            <v>Plafond PlaGyp D suspendu sur sous-structure double pour un meilleur confort acoustique</v>
          </cell>
        </row>
        <row r="34">
          <cell r="B34" t="str">
            <v>Afgehangen PlaGyp S-plafond op enkel regelwerk met C5-M coating voor buitentoepassing</v>
          </cell>
          <cell r="C34" t="str">
            <v>Plafond PlaGyp S suspendu sur sous-structure simple avec coating C5-M pour application à l'extérieur</v>
          </cell>
        </row>
        <row r="35">
          <cell r="B35" t="str">
            <v>Afgehangen PlaGyp S-plafond op enkel regelwerk met C5-M coating voor binnentoepassing</v>
          </cell>
          <cell r="C35" t="str">
            <v>Plafond PlaGyp S suspendu sur sous-structure simple avec coating C5-M pour application à l'intérieur</v>
          </cell>
        </row>
        <row r="36">
          <cell r="B36" t="str">
            <v>Afgehangen PlaGyp D-plafond op dubbel profielenrooster met C5-M coating voor binnentoepassing</v>
          </cell>
          <cell r="C36" t="str">
            <v>Plafond PlaGyp D suspendu sur sous-structure double avec coating C5-M pour application à l'intérieur</v>
          </cell>
        </row>
        <row r="37">
          <cell r="B37" t="str">
            <v>Gebogen plafond</v>
          </cell>
          <cell r="C37" t="str">
            <v>Plafond courbe</v>
          </cell>
        </row>
        <row r="38">
          <cell r="B38" t="str">
            <v>Plafond op veerregels</v>
          </cell>
          <cell r="C38" t="str">
            <v>Plafond sur profilés à ressort</v>
          </cell>
        </row>
        <row r="39">
          <cell r="B39" t="str">
            <v>Plafond op houten regels</v>
          </cell>
          <cell r="C39" t="str">
            <v>Plafond sur sous-structure en bois</v>
          </cell>
        </row>
        <row r="40">
          <cell r="B40" t="str">
            <v>Plafond op houten structuur voor buitentoepassing</v>
          </cell>
          <cell r="C40" t="str">
            <v>Plafond sur sous-structure en bois pour application à l'extérieure</v>
          </cell>
        </row>
        <row r="41">
          <cell r="B41" t="str">
            <v>Modulair geperforeerd plafond op PlaGyp D-onderstructuur</v>
          </cell>
          <cell r="C41" t="str">
            <v>Plafond avec perforations modulaires sur sous-structure PlaGyp D</v>
          </cell>
        </row>
        <row r="42">
          <cell r="B42" t="str">
            <v>Doorlopend geperforeerd plafond op PlaGyp D-onderstructuur</v>
          </cell>
          <cell r="C42" t="str">
            <v>Plafond avec perforations continues sur sous-structure PlaGyp D</v>
          </cell>
        </row>
        <row r="43">
          <cell r="B43" t="str">
            <v>Demonteerbaar systeemplafond met Gyptone tegels met A-kant</v>
          </cell>
          <cell r="C43" t="str">
            <v>Système de plafond démontable avec des dalles Gyptone bord A</v>
          </cell>
        </row>
        <row r="44">
          <cell r="B44" t="str">
            <v>Demonteerbaar systeemplafond met Gyptone tegels met D1-kant</v>
          </cell>
          <cell r="C44" t="str">
            <v>Système de plafond démontable avec des dalles Gyptone bord D1</v>
          </cell>
        </row>
        <row r="45">
          <cell r="B45" t="str">
            <v>Demonteerbaar systeemplafond met Gyptone tegels met E15-kant</v>
          </cell>
          <cell r="C45" t="str">
            <v>Système de plafond démontable avec des dalles Gyptone bord E15</v>
          </cell>
        </row>
        <row r="46">
          <cell r="B46" t="str">
            <v>Demonteerbaar systeemplafond met Gyptone panelen met kopse kant A en langskant E15</v>
          </cell>
          <cell r="C46" t="str">
            <v>Système de plafond démontable avec des panneaux Gyptone bord d'about A et bord longitudinal E15</v>
          </cell>
        </row>
        <row r="47">
          <cell r="B47" t="str">
            <v>Demonteerbaar systeemplafond met Gyprex tegels met A-kant</v>
          </cell>
          <cell r="C47" t="str">
            <v>Système de plafond démontable avec des dalles Gyprex bord A</v>
          </cell>
        </row>
        <row r="48">
          <cell r="B48" t="str">
            <v>Rigidur Floor droge vloersysteem</v>
          </cell>
          <cell r="C48" t="str">
            <v>Rigidur Floor système de chape sèche</v>
          </cell>
        </row>
        <row r="49">
          <cell r="B49" t="str">
            <v>Demonteerbaar systeemplafond met Gyptone tegels</v>
          </cell>
          <cell r="C49" t="str">
            <v>Système de plafond démontable avec des dalles Gyptone</v>
          </cell>
        </row>
        <row r="50">
          <cell r="B50" t="str">
            <v>Dubbele scheidingswand op houten frame</v>
          </cell>
          <cell r="C50" t="str">
            <v>Cloison double sur ossature en bois</v>
          </cell>
        </row>
        <row r="51">
          <cell r="B51" t="str">
            <v>Vrijstaande PlaGyp-voorzetwand</v>
          </cell>
          <cell r="C51" t="str">
            <v>Doublage PlaGyp indépendant</v>
          </cell>
        </row>
        <row r="52">
          <cell r="B52" t="str">
            <v>Vrijstaande voorzetwand op houten frame</v>
          </cell>
          <cell r="C52" t="str">
            <v>Doublage indépendant sur ossature en bois</v>
          </cell>
        </row>
        <row r="53">
          <cell r="B53" t="str">
            <v>Afgehangen PlaGyp N-plafond met kruisverbinders</v>
          </cell>
          <cell r="C53" t="str">
            <v>Plafond PlaGyp N suspendu avec les raccords croisés</v>
          </cell>
        </row>
        <row r="54">
          <cell r="B54" t="str">
            <v>Houten vloer beschermd met PlaGyp S-plafond</v>
          </cell>
          <cell r="C54" t="str">
            <v>Plancher en bois, protégé par plafond PlaGyp S</v>
          </cell>
        </row>
        <row r="55">
          <cell r="B55" t="str">
            <v>Houten vloer beschermd met PlaGyp D-plafond</v>
          </cell>
          <cell r="C55" t="str">
            <v>Plancher en bois, protégé par plafond PlaGyp D</v>
          </cell>
        </row>
        <row r="56">
          <cell r="B56" t="str">
            <v>Houten dak beschermd met PlaGyp S-plafond</v>
          </cell>
          <cell r="C56" t="str">
            <v>Toiture en bois, protégée par plafond PlaGyp S</v>
          </cell>
        </row>
        <row r="57">
          <cell r="B57" t="str">
            <v>Montage NL (line 149)</v>
          </cell>
          <cell r="C57" t="str">
            <v>Montage FR (line 150)</v>
          </cell>
        </row>
        <row r="58">
          <cell r="B58" t="str">
            <v>MSH profielen bevestigen aan vloer en plafond met spijkerpluggen h.o.h. 800 mm. MSV profielen klemmen in de MSH profielen max. h.o.h. 600 mm. Soepele isolatieband aanbrengen ter plaatse van alle randaansluitingen tegen het gebouw.</v>
          </cell>
          <cell r="C58" t="str">
            <v>Fixer les profilés MSH au sol et au plafond avec chevilles clouables tous les 800 mm. Placer les profilés MSV entre les profilés MSH avec un entre-axe maximal de 600 mm. Appliquer la bande d'étanchéité entre les profilés MS et le gros oeuvre.</v>
          </cell>
        </row>
        <row r="59">
          <cell r="B59" t="str">
            <v>De 2 frames onafhankelijk van elkaar opbouwen: MSH profielen bevestigen aan vloer en plafond met spijkerpluggen h.o.h. 800 mm. MSV profielen klemmen in de MSH profielen max. h.o.h. 600 mm. Soepele isolatieband aanbrengen ter plaatse van alle randaansluitingen tegen het gebouw.</v>
          </cell>
          <cell r="C59" t="str">
            <v>Monter les deux ossatures indépendantes: fixer les profilés MSH au sol et au plafond avec chevilles clouables tous les 800 mm. Placer les profilés MSV entre les profilés MSH avec un entre-axe maximal de 600 mm. Poser la bande d'étanchéité entre les profilés MS et le gros oeuvre.</v>
          </cell>
        </row>
        <row r="60">
          <cell r="B60" t="str">
            <v>De 2 frames onafhankelijk van elkaar opbouwen: MSH profielen bevestigen aan vloer en plafond met spijkerpluggen h.o.h. 800 mm. MSV profielen klemmen in de MSH profielen max. h.o.h. 600 mm. Soepele isolatieband aanbrengen ter plaatse van alle randaansluitingen tegen het gebouw.
De frames daarna met elkaar verbinden dmv stroken Gyproc-plaat met min. hoogte van 300 mm, telkens op 1/3 en 2/3 van de wandhoogte.</v>
          </cell>
          <cell r="C60" t="str">
            <v>Monter les deux ossatures indépendantes: fixer les profilés MSH au sol et au plafond avec chevilles clouables tous les 800 mm. Placer les profilés MSV entre les profilés MSH avec un entre-axe maximal de 600 mm. Poser la bande d'étanchéité entre les profilés MS et le gros oeuvre.
Ensuite, connecter les deux ossatures par des bandes de plaque Gyproc avec une hauteur de min. 300 mm, toujours à 1/3 et 2/3 de la hauteur du système.</v>
          </cell>
        </row>
        <row r="61">
          <cell r="B61" t="str">
            <v>De 2 frames opbouwen en met elkaar verbinden dmv isobutylstroken met min. hoogte van 100 mm en maximale tussenafstand van 500 mm: MSH profielen bevestigen aan vloer en plafond met spijkerpluggen h.o.h. 800 mm. MSV profielen klemmen in de MSH profielen max. h.o.h. 600 mm. Soepele isolatieband aanbrengen ter plaatse van alle randaansluitingen tegen het gebouw.</v>
          </cell>
          <cell r="C61" t="str">
            <v>Monter les deux ossatures et les connecter avec une bande isobutyl avec une hauteur min. de 100 mm et un entre-axe maximal de 500 mm: fixer les profilés MSH au sol et au plafond avec chevilles clouables tous les 800 mm. Placer les profilés MSV entre les profilés MSH avec un entre-axe maximal de 600 mm. Poser la bande d'étanchéité entre les profilés MS et le gros oeuvre.</v>
          </cell>
        </row>
        <row r="62">
          <cell r="B62" t="str">
            <v>Horizontale profielen Vertebra GV bevestigen met spijkerpluggen ter plaatse van de stijlen. Verticale profielen Metal Stud MSV klemmen in het GV profiel max. h.o.h. 500 mm.**
(**) afhankelijk van plaatdikte en kromtestraal zie tabel p37 van de brochure “Scheidingswanden”.</v>
          </cell>
          <cell r="C62" t="str">
            <v>Fixer les profilés horizontaux Vertebra GV avec chevilles clouables à la hauteur des montants. Placer les profilés verticaux Metal Stud MSV entre les profilés GV avec un entre-axe maximal de 500 mm.**
(**) dépend de l'épaisseur de la plaque et du rayon de courbure, voir tableau p37 de la brochure “Cloisons".</v>
          </cell>
        </row>
        <row r="63">
          <cell r="B63" t="str">
            <v>Horizontale regels bevestigen met spijkerpluggen h.o.h. 800 mm. Verticale regels h.o.h. 600 mm bevestigen met steeknagels aan de regels.</v>
          </cell>
          <cell r="C63" t="str">
            <v>Fixer les lisses avec chevilles clouable tous les 800 mm. Fixer les montants aux lattes tous les 600 mm avec des clous obliques .</v>
          </cell>
        </row>
        <row r="64">
          <cell r="B64" t="str">
            <v>Horizontale profielen Vertebra GV bevestigen met spijkerpluggen ter plaatse van de stijlen. Verticale profielen Metal Stud MSV klemmen in het GV profiel max. h.o.h. 500 mm.**
(**) afhankelijk van plaatdikte en kromtestraal zie tabel p25 van de brochure “Muurbekledingen en voorzetwanden”.</v>
          </cell>
          <cell r="C64" t="str">
            <v>Fixer les profilés horizontaux Vertebra GV avec chevilles clouables à la hauteur des montants. Placer les profilés verticaux Metal Stud MSV entre les profilés GV avec un entre-axe maximal de 500 mm.**
(**) dépend de l'épaisseur de la plaque et du rayon de courbure, voir tableau p25 de la brochure “Revêtements muraux et doublages".</v>
          </cell>
        </row>
        <row r="65">
          <cell r="B65" t="str">
            <v>De L-gips kleefmethode kan worden gebruikt op de meeste ondergronden, die stabiel zijn en vrij van loshangende delen, oude bepleistering, stof, olie of vet- en roetsporen.
Afhankelijk van de porositeit of gladheid van de muur eerst voorbehandelen met X Prim of Betongrip Easy.
Doppen en stroken L-gips op de muur aanbrengen:
- in stroken waar de langskanten van de plaat komen en langs de vloer.
- in doppen met een breedte van 40 à 80 mm en een hoogte van ong. 250 mm in het plaatmidden.
De plaat met reilat (en rubberen hamer) op de juiste plaats drukken.
Op zeer onregelmatige oppervlakken een eerste uitvlakking uitvoeren door het kleven van stroken plaat.</v>
          </cell>
          <cell r="C65" t="str">
            <v>La méthode du collage au plâtre L convient à la plupart des supports, à condition qu’ils soient stables et propres, débarrassés des parties instables, du vieux plafonnage, de la poussière, de traces d’huile, de graisse et de suie.
Les supports poreux ou lisses doivent être prétraité avec X Prim ou Betongrip Easy.
Disposer le plâtre L en plots et en bandes sur le mur :
- en bandes à l’endroit où seront posés les bords longitudinaux des plaques et le long du sol.
- en plots (de 40 à 80 mm sur environ 250 mm) au centre des plaques.
Mettre la plaque correctement en place et aligner à l’aide d’une règle et d’un marteau en caoutchouc.
Les surfaces très irrégulières doivent être égalisées au préalable en y collant des bandes de plaques.</v>
          </cell>
        </row>
        <row r="66">
          <cell r="B66" t="str">
            <v>De onderstructuur wordt opgebouwd met op dikte geschaafde regels van minimaal 30 x 45 mm bevestigd met een tussenafstand tot 800 mm.
Doorgaans wordt gekozen voor een horizontaal geplaatst regelwerk (dwarse plaatsing). In sommige omstandigheden kan ook worden gekozen voor een verticaal regelwerk (overlangse plaatsing).</v>
          </cell>
          <cell r="C66" t="str">
            <v>La sous-structure est constituée de lattes rabotées sur épaisseur de dimensions minimales 30 x 45 mm, pour des portées de maximum 800 mm.
En général, l'ossature est disposée horizontalement (pose perpendiculaire) mais dans certaines circonstances, elle peut aussi être disposée verticalement (pose parallèle).</v>
          </cell>
        </row>
        <row r="67">
          <cell r="B67" t="str">
            <v>Randprofielen aan 2 tegenoverliggende wanden met spijkerpluggen h.o.h. 625 mm. Plaatdragende profielen geklemd in het randprofiel, bevestigd met een Teksschroef langs de onderzijde. Soepele isolatieband aanbrengen ter plaatse van alle randaansluitingen tegen het gebouw.</v>
          </cell>
          <cell r="C67" t="str">
            <v>Fixer les profilés périphériques à deux cloisons ou à deux murs opposés avec des chevilles clouables tous les 625 mm. Serrer les profilés porteurs dans les profilés périphériques, fixer avec une vis teks au côté inférieur. Poser une bande d’étanchéité souple PE/.. entre les profilés Metal Stud et le gros oeuvre.</v>
          </cell>
        </row>
        <row r="68">
          <cell r="B68" t="str">
            <v>Randprofielen aan 2 tegenoverliggende wanden met spijkerpluggen h.o.h. 625 mm. Plaatdragende profielen monteren tussen de randprofielen en ophangen aan de plafondhanger. Soepele isolatieband aanbrengen ter plaatse van alle randaansluitingen tegen het gebouw.</v>
          </cell>
          <cell r="C68" t="str">
            <v>Fixer les profilés périphériques à deux cloisons ou à deux murs opposés avec des chevilles clouables tous les 625 mm. Monter les profilés porteurs dans les profilés périphériques, et fixer ces profilés porteurs à la suspente choisie. Poser une bande d’étanchéité souple PE/.. entre les profilés périphériques et le gros oeuvre.</v>
          </cell>
        </row>
        <row r="69">
          <cell r="B69" t="str">
            <v>Randprofielen aan 2 tegenoverliggende wanden met spijkerpluggen h.o.h. 625 mm. Primaire profielen monteren boven de randprofielen en ophangen aan de plafondhangers. Plaatdragende profielen monteren tussen de randprofielen en ophangen aan de verbindingsruiters. Soepele isolatieband aanbrengen ter plaatse van alle randaansluitingen tegen het gebouw.</v>
          </cell>
          <cell r="C69" t="str">
            <v>Fixer les profilés périphériques à deux cloisons ou à deux murs opposés avec des chevilles clouables tous les 625 mm. Monter les profilés primaires au-dessus des profilés périphériques, et fixer ces profilés primaires à la suspente choisie. Monter les profilés porteurs dans les profilés périphériques, et fixer ces profilés porteurs aux cavaliers d'ancrage. Poser une bande d’étanchéité souple PE/.. entre les profilés périphériques et le gros oeuvre.</v>
          </cell>
        </row>
        <row r="70">
          <cell r="B70" t="str">
            <v>Randprofielen aan 2 tegenoverliggende wanden met spijkerpluggen h.o.h. 625 mm. Primaire profielen monteren boven de randprofielen en ophangen aan de akoestische plafondhangers. Plaatdragende profielen monteren tussen de randprofielen en ophangen aan de verbindingsruiters. Soepele isolatieband aanbrengen ter plaatse van alle randaansluitingen tegen het gebouw.</v>
          </cell>
          <cell r="C70" t="str">
            <v>Fixer les profilés périphériques à deux cloisons ou à deux murs opposés avec des chevilles clouables tous les 625 mm. Monter les profilés primaires au-dessus des profilés périphériques, et fixer ces profilés primaires à la suspente acoustique choisie. Monter les profilés porteurs dans les profilés périphériques, et fixer ces profilés porteurs aux cavaliers d'ancrage. Poser une bande d’étanchéité souple PE/.. entre les profilés périphériques et le gros oeuvre.</v>
          </cell>
        </row>
        <row r="71">
          <cell r="B71" t="str">
            <v>Primaire profielen vormvast ophangen aan de dubbele veerklemmen. Plaatdragende profielen klikken op de primaire profielen.</v>
          </cell>
          <cell r="C71" t="str">
            <v>Fixer les profilés primaires, dont la forme est maintenue, aux suspentes à ressort doubles. Clipser les profilés porteurs sur les profilés primaires.</v>
          </cell>
        </row>
        <row r="72">
          <cell r="B72" t="str">
            <v>Veerregels RB66 bevestigen aan de houten balklaag van vloer of dak; of aan houten latten, h.o.h. 600 mm.</v>
          </cell>
          <cell r="C72" t="str">
            <v>Fixer les profilés à ressort RB66 aux solives en bois du plancher ou de la toiture tous les 600 mm.</v>
          </cell>
        </row>
        <row r="73">
          <cell r="B73" t="str">
            <v>Op dikte geschaafde latten bevestigen aan de houten balklaag van vloer of dak.</v>
          </cell>
          <cell r="C73" t="str">
            <v>Fixer les lattes rabotées sur épaisseur directement sur les solives en bois du plancher ou de la toiture.</v>
          </cell>
        </row>
        <row r="74">
          <cell r="B74" t="str">
            <v>Plafondtegels met kantvorm A (inleg) zijn geschikt voor montage in een zichtbaar ophangsysteem T15 of T24.
Bij de montage dienen de volgende punten in acht te worden genomen:
- Draag bij het monteren van de plafondtegels schone witte handschoenen.
- Houd bij het inleggen van de tegels steeds dezelfde richting aan: let hierbij op de merktekens op de rugzijde van de tegels.
- Verwerk tegels van hetzelfde type uit verschillende productieseries niet door elkaar binnen dezelfde ruimte.
- Maak pastegels uit optische overwegingen groter dan een halve tegel en aan beide zijden van de ruimte even groot.
- Houd een minimale plenumhoogte van ± 120 mm aan.</v>
          </cell>
          <cell r="C74" t="str">
            <v>Les dalles de plafond avec bords A (pose plane) sont prévues pour être montées sur un système de suspension apparent de type T15 ou T24.
Lors du montage les points suivants doivent être pris en considération :
- Portez des gants blancs et propres lors du montage des dalles de plafond.
- Lors de la pose des dalles, respectez toujours le même sens : tenez compte des marquages situés au dos des dalles.
- Utiliser toujours des dalles provenant d'une même série de production pour un même espace.
- Dans un souci esthétique, les dalles de raccord doivent avoir une dimension supérieure à une demi-dalle et doivent être de dimension identique de part et d’autre de la pièce.
- Conservez une hauteur de plénum minimale de ± 120 mm.</v>
          </cell>
        </row>
        <row r="75">
          <cell r="B75" t="str">
            <v>Plafondtegels met kantvorm E15 (doorzak) zijn geschikt voor montage in een zichtbaar, half verdoken ophangsysteem T15.
Bij de montage dienen de volgende punten in acht te worden genomen:
- Draag bij het monteren van de plafondtegels schone witte handschoenen.
- Houd bij het inleggen van de tegels steeds dezelfde richting aan: let hierbij op de merktekens op de rugzijde van de tegels.
- Verwerk tegels van hetzelfde type uit verschillende productieseries niet door elkaar binnen dezelfde ruimte.
- Maak pastegels uit optische overwegingen groter dan een halve tegel en aan beide zijden van de ruimte even groot.
- Houd een minimale plenumhoogte van ± 120 mm aan.</v>
          </cell>
          <cell r="C75" t="str">
            <v>Les dalles de plafond à bords feuillurés E15 sont prévues pour être montées sur un système de suspension, semi-apparent de type T15.
Lors du montage les points suivants doivent être pris en considération :
- Portez des gants blancs et propres lors du montage des dalles de plafond.
- Lors de la pose des dalles, respectez toujours le même sens: tenez compte des marquages situés au dos des dalles.
- Utiliser toujours des dalles provenant d'une même série de production pour un même espace.
- Dans un souci esthétique, les dalles de raccord doivent avoir une dimension supérieure à une demi-dalle et doivent être de dimension identique de part et d’autre de la pièce.
- Conservez une hauteur de plénum minimale de ± 120 mm.</v>
          </cell>
        </row>
        <row r="76">
          <cell r="B76" t="str">
            <v>Plafondtegels met kantvorm D1 zijn geschikt voor montage in een achteraf niet zichtbaar ophangsysteem T24.
Bij de montage dienen de volgende punten in acht te worden genomen:
- Draag bij het monteren van de plafondtegels schone witte handschoenen.
- Houd bij het inleggen van de tegels steeds dezelfde richting aan: let hierbij op de merktekens op de rugzijde van de tegels.
- Verwerk tegels van hetzelfde type uit verschillende productieseries niet door elkaar binnen dezelfde ruimte.
- Maak pastegels uit optische overwegingen groter dan een halve tegel en aan beide zijden van de ruimte even groot.
- Houd een minimale plenumhoogte van ± 100 mm aan.</v>
          </cell>
          <cell r="C76" t="str">
            <v>Les dalles de plafond avec bords D1 sont prévues pour être montées sur un système de suspension non apparent par la suite, de type T24.
Lors du montage les points suivants doivent être pris en considération :
- Portez des gants blancs et propres lors du montage des dalles de plafond.
- Lors de la pose des dalles, respectez toujours le même sens: tenez compte des marquages situés au dos des dalles.
- Utiliser toujours des dalles provenant d'une même série de production pour un même espace.
- Dans un souci esthétique, les dalles de raccord doivent avoir une dimension supérieure à une demi-dalle et doivent être de dimension identique de part et d’autre de la pièce.
- Conservez une hauteur de plénum minimale de ± 100 mm.</v>
          </cell>
        </row>
        <row r="77">
          <cell r="B77" t="str">
            <v>Gyptone panelen met langskant E15 (doorzak) en kopse kant A (inleg) zijn geschikt voor montage in een zichtbaar ophangsysteem T15.
Bij de montage dienen de volgende punten in acht te worden genomen:
- Draag bij het monteren van de plafondtegels schone witte handschoenen.
- Verwerk panelen van hetzelfde type uit verschillende productieseries niet door elkaar binnen één ruimte.
- Houd een minimale plenumhoogte van ± 150 mm aan.</v>
          </cell>
          <cell r="C77" t="str">
            <v>Les plaques Gyptone à bord longitudinal E15 (feuilluré) et bord d'about A (bord franc) sont prévues pour être montées dans un système de suspension apparent de type T15.
Lors du montage les points suivants doivent être pris en considération :
- Portez des gants blancs et propres lors du montage des dalles de plafond.
- N’assemblez pas des dalles de même type mais provenant de séries de production différentes dans un même espace.
- Conservez une hauteur de plénum minimale de ± 150 mm.</v>
          </cell>
        </row>
        <row r="78">
          <cell r="B78" t="str">
            <v>De ondergrond dient stabiel en vlak te zijn. Eventueel een onderlaag toepassen of, bij grote oneffenheden Rigidur-egalisatiekorrels voorzien.
De elementen plaatsen vanuit de uiterste linkerhoek van de ruimte of, met egalisatiekorrels, zo dicht mogelijk bij de deur, en steeds van links naar rechts (van binnen de ruimte gezien).
De lipverbinding voorzien van 2 lijmstrips Rigidur lijm en de panelen aan elkaar vastschroeven met Rigidur Floor-snelbouwschroeven (h.o.h. max 250 mm).
Het wordt aanbevolen de vloer pas af te werken 12 uur na plaatsting (i.v.m. uitharding van de lijm).</v>
          </cell>
          <cell r="C78" t="str">
            <v>Le support doit être plan et stable. Appliquer éventuellement une sous-couche ou, en cas de grandes inégalités, une couche de granules d'égalisation Rigidur.
Commencer la mise en place des éléments dans le coin gauche au fond de la pièce ou, avec granules d’égalisation, poser les éléments en commençant par l’angle de la pièce situé le plus près de la porte, et toujours de la gauche vers la droite (vu de l’intérieur de l’espace en question).
Appliquer 2 cordons de colle Rigidur sur les batées et visser les éléments l'un à l'autre avec des  vis à fixation rapide Rigidur (entre-axe maximal de 250 mm).
Nous vous conseillons de respecter un temps de durcissement pour la colle de +/- 12 heures, avant de commencer la finition définitive.</v>
          </cell>
        </row>
        <row r="79">
          <cell r="B79" t="str">
            <v>De 2 frames onafhankelijk van elkaar opbouwen: MSH profielen bevestigen aan vloer en plafond met spijkerpluggen h.o.h. 800 mm. MSV profielen klemmen in de MSH profielen max. h.o.h. 600 mm. Na het aanbrengen van de beplating, een derde frame opbouwen onafhankelijk van de scheidingswand. Soepele isolatieband aanbrengen ter plaatse van alle randaansluitingen tegen het gebouw.</v>
          </cell>
          <cell r="C79" t="str">
            <v>Monter les deux ossatures indépendantes: fixer les profilés MSH au sol et au plafond avec chevilles clouables tous les 800 mm. Placer les profilés MSV entre les profilés MSH avec un entre-axe maximal de 600 mm. Après pose de revêtement, monter la troisième ossature indépendante de la cloison. Poser la bande d'étanchéité entre les profilés MS et le gros oeuvre.</v>
          </cell>
        </row>
        <row r="80">
          <cell r="B80" t="str">
            <v>De 2 frames onafhankelijk van elkaar opbouwen: MSH profielen bevestigen aan vloer en plafond met spijkerpluggen h.o.h. 800 mm. MSV profielen klemmen in de MSH profielen max. h.o.h. 600 mm. De frames daarna met elkaar verbinden dmv stroken Gyproc-plaat met min. hoogte van 300 mm, telkens op 1/3 en 2/3 van de wandhoogte. Na het aanbrengen van de beplating, een derde frame opbouwen en verbinden aan de scheidingswand. Soepele isolatieband aanbrengen ter plaatse van alle randaansluitingen tegen het gebouw.</v>
          </cell>
          <cell r="C80" t="str">
            <v>Monter les deux ossatures indépendantes: fixer les profilés MSH au sol et au plafond avec chevilles clouables tous les 800 mm. Placer les profilés MSV entre les profilés MSH avec un entre-axe maximal de 600 mm. Ensuite, connecter les deux ossatures par des bandes de plaque Gyproc avec une hauteur de min. 300 mm, toujours à 1/3 et 2/3 de la hauteur du système. Après pose de revêtement, monter la troisième ossature et connecter à la cloison. Poser la bande d'étanchéité entre les profilés MS et le gros oeuvre.</v>
          </cell>
        </row>
        <row r="81">
          <cell r="B81" t="str">
            <v>De 2 frames opbouwen en met elkaar verbinden dmv isobutylstroken met min. hoogte van 100 mm en maximale tussenafstand van 500 mm: MSH profielen bevestigen aan vloer en plafond met spijkerpluggen h.o.h. 800 mm. MSV profielen klemmen in de MSH profielen max. h.o.h. 600 mm. Na het aanbrengen van de beplating, een derde frame opbouwen onafhankelijk van de scheidingswand. Soepele isolatieband aanbrengen ter plaatse van alle randaansluitingen tegen het gebouw.</v>
          </cell>
          <cell r="C81" t="str">
            <v>Monter les deux ossatures et les connecter avec une bande isobutyl avec une hauteur min. de 100 mm et un entre-axe maximal de 500 mm: fixer les profilés MSH au sol et au plafond avec chevilles clouables tous les 800 mm. Placer les profilés MSV entre les profilés MSH avec un entre-axe maximal de 600 mm. Après pose de revêtement, monter la troisième ossature indépendante de la cloison. Poser la bande d'étanchéité entre les profilés MS et le gros oeuvre.</v>
          </cell>
        </row>
        <row r="82">
          <cell r="B82" t="str">
            <v>MSH profielen bevestigen aan vloer en plafond met spijkerpluggen h.o.h. 800 mm. MSV profielen klemmen in de MSH profielen max. h.o.h. 600 mm. Na het aanbrengen van de beplating, een tweede frame opbouwen onafhankelijk van de scheidingswand. Soepele isolatieband aanbrengen ter plaatse van alle randaansluitingen tegen het gebouw.</v>
          </cell>
          <cell r="C82" t="str">
            <v>Fixer les profilés MSH au sol et au plafond avec chevilles clouables tous les 800 mm. Placer les profilés MSV entre les profilés MSH avec un entre-axe maximal de 600 mm. Après pose de revêtement, monter la deuxième ossature indépendante de la cloison. Appliquer la bande d'étanchéité entre les profilés MS et le gros oeuvre.</v>
          </cell>
        </row>
        <row r="83">
          <cell r="B83" t="str">
            <v>Randprofielen bovenaan en onderaan bevestigen met spijkerpluggen h.o.h. 625 mm. Soepele isolatieband aanbrengen ter plaatse van alle randaansluitingen tegen het gebouw. Plaatdragende profielen geklemd in het randprofiel, bevestigd met een Teksschroef langs de onderzijde en minstens om de 1600 mm bevestigen aan de achterliggende constructie.</v>
          </cell>
          <cell r="C83" t="str">
            <v>Fixer les profilés périphériques en haut et en bas avec des chevilles clouables tous les 625 mm. Poser une bande d’étanchéité souple PE/.. entre les profilés Metal Stud et le gros oeuvre. Serrer les profilés porteurs dans les profilés périphériques, fixer avec une vis teks au côté inférieur et soutenir au mur se trouvant à l'arrière, avec un entre-axe de 1600 mm au maximum.</v>
          </cell>
        </row>
        <row r="84">
          <cell r="B84" t="str">
            <v>Randprofielen aan 2 tegenoverliggende wanden met spijkerpluggen h.o.h. 625 mm. Primaire profielen monteren tussen de randprofielen en ophangen aan de plafondhanger. Dwarsprofielen monteren tussen de primaire profielen door middel van de kruisverbinders. Soepele isolatieband aanbrengen ter plaatse van alle randaansluitingen tegen het gebouw.</v>
          </cell>
          <cell r="C84" t="str">
            <v>Fixer les profilés périphériques à deux cloisons ou à deux murs opposés avec des chevilles clouables tous les 625 mm. Monter les profilés primaires entre les profilés périphériques, et fixer les à la suspente. Monter les profilés transversals entre les profilés primaires par les raccords croisés. Poser une bande d’étanchéité souple PE/.. entre les profilés périphériques et le gros oeuvre.</v>
          </cell>
        </row>
        <row r="85">
          <cell r="B85" t="str">
            <v>Randprofielen aan 2 tegenoverliggende wanden met spijkerpluggen h.o.h. 625 mm. Primaire profielen monteren boven de randprofielen en ophangen aan de plafondhangers. Plaatdragende profielen monteren tussen de randprofielen en ophangen aan de verbindingsruiters. Soepele isolatieband aanbrengen ter plaatse van alle randaansluitingen tegen het gebouw. Aan de beplating verbindingsruiters of universele hangers monteren. Plaatdragende profielen monteren aan de plafondhangers en isolatie plaatsen.</v>
          </cell>
          <cell r="C85" t="str">
            <v>Fixer les profilés périphériques à deux cloisons ou à deux murs opposés avec des chevilles clouables tous les 625 mm. Monter les profilés primaires au-dessus des profilés périphériques, et fixer ces profilés primaires à la suspente choisie. Monter les profilés porteurs dans les profilés périphériques, et fixer ces profilés porteurs aux cavaliers d'ancrage. Poser une bande d’étanchéité souple PE/.. entre les profilés périphériques et le gros oeuvre. Monter des cavaliers d’ancrage ou suspentes universelle au plaques. Monter les profilés porteurs aux suspentes et mettre d'isolation.</v>
          </cell>
        </row>
        <row r="86">
          <cell r="B86" t="str">
            <v>Randprofielen aan 2 tegenoverliggende wanden met spijkerpluggen h.o.h. 625 mm. Plaatdragende profielen monteren tussen de randprofielen en ophangen aan de plafondhanger. Soepele isolatieband aanbrengen ter plaatse van alle randaansluitingen tegen het gebouw. Rotswoldeken op gaas, bevestigen met bevestigingsschijven en Snelbouwschroeven.</v>
          </cell>
          <cell r="C86" t="str">
            <v>Fixer les profilés périphériques à deux cloisons ou à deux murs opposés avec des chevilles clouables tous les 625 mm. Monter les profilés porteurs dans les profilés périphériques, et fixer ces profilés porteurs à la suspente choisie. Poser une bande d’étanchéité souple PE/.. entre les profilés périphériques et le gros oeuvre. Fixer un matelas de laine de roche sur treillis au moyen de rondelles métalliques et Vis à fixation rapide.</v>
          </cell>
        </row>
        <row r="87">
          <cell r="B87" t="str">
            <v>Randprofielen aan 2 tegenoverliggende wanden met spijkerpluggen h.o.h. 625 mm. Plaatdragende profielen monteren tussen de randprofielen en ophangen aan de plafondhanger. Soepele isolatieband aanbrengen ter plaatse van alle randaansluitingen tegen het gebouw. Glaswol aanbrengen tussen de spanten.</v>
          </cell>
          <cell r="C87" t="str">
            <v>Fixer les profilés périphériques à deux cloisons ou à deux murs opposés avec des chevilles clouables tous les 625 mm. Monter les profilés porteurs dans les profilés périphériques, et fixer ces profilés porteurs à la suspente choisie. Poser une bande d’étanchéité souple PE/.. entre les profilés périphériques et le gros oeuvre. Monter de laine de verre entre les fermes en bois.</v>
          </cell>
        </row>
        <row r="88">
          <cell r="B88" t="str">
            <v>MSH profielen bevestigen aan vloer en plafond met spijkerpluggen h.o.h. 800 mm. MSV profielen klemmen in de MSH profielen max. h.o.h. 600 mm. Soepele isolatieband aanbrengen ter plaatse van alle randaansluitingen tegen het gebouw. Op de achterzijde van de MSV profielen stroken Gyproc Rf 12,5 mm aanbrengen.</v>
          </cell>
          <cell r="C88" t="str">
            <v>Fixer les profilés MSH au sol et au plafond avec chevilles clouables tous les 800 mm. Placer les profilés MSV entre les profilés MSH avec un entre-axe maximal de 600 mm. Appliquer la bande d'étanchéité entre les profilés MS et le gros oeuvre. Visser des bandes de plaque Gyproc Rf 12,5 mm sur le dos des montants.</v>
          </cell>
        </row>
        <row r="89">
          <cell r="B89" t="str">
            <v>MSH profielen bevestigen aan vloer en plafond met spijkerpluggen h.o.h. 800 mm. MSV profielen klemmen in de MSH profielen max. h.o.h. 600 mm. Soepele isolatieband aanbrengen ter plaatse van alle randaansluitingen tegen het gebouw. Op de achterzijde van de MSV profielen stroken Gyproc Rf 15 mm aanbrengen.</v>
          </cell>
          <cell r="C89" t="str">
            <v>Fixer les profilés MSH au sol et au plafond avec chevilles clouables tous les 800 mm. Placer les profilés MSV entre les profilés MSH avec un entre-axe maximal de 600 mm. Appliquer la bande d'étanchéité entre les profilés MS et le gros oeuvre. Visser des bandes de plaque Gyproc Rf 15 mm sur le dos des montants.</v>
          </cell>
        </row>
        <row r="90">
          <cell r="B90" t="str">
            <v>Plaatdragende profielen ophangen aan de plafondhanger. Platen monteren met schroeven. Bepleistering aanbrengen in juiste dikte.</v>
          </cell>
          <cell r="C90" t="str">
            <v>Fixer les profilés porteurs à la suspente choisie. Monter les plaques avec des vis. Appliquer le plâtre en épaisseur nécéssaire.</v>
          </cell>
        </row>
        <row r="91">
          <cell r="B91" t="str">
            <v>Primaire profielen ophangen aan de plafondhangers, plaatdragende profielen ophangen aan de verbindingsruiters. Platen monteren met schroeven. Bepleistering aanbrengen in juiste dikte.</v>
          </cell>
          <cell r="C91" t="str">
            <v>Fixer les profilés primaires à la suspente choisie et les profilés porteurs aux cavaliers d'ancrage. Monter les plaques avec des vis. Appliquer le plâtre en épaisseur nécéssaire.</v>
          </cell>
        </row>
        <row r="92">
          <cell r="B92" t="str">
            <v>Op dikte geschaafde latten bevestigen aan de bovenliggende contructie.</v>
          </cell>
          <cell r="C92" t="str">
            <v>Fixer les lattes rabotées sur épaisseur directement au structure en haut.</v>
          </cell>
        </row>
        <row r="93">
          <cell r="B93" t="str">
            <v>Randprofielen aan 2 tegenoverliggende wanden met spijkerpluggen h.o.h. 625 mm. Plaatdragende profielen monteren tussen de randprofielen en ophangen aan de plafondhanger.</v>
          </cell>
          <cell r="C93" t="str">
            <v>Fixer les profilés périphériques à deux cloisons ou à deux murs opposés avec des chevilles clouables tous les 625 mm. Monter les profilés porteurs dans les profilés périphériques, et fixer ces profilés porteurs à la suspente choisie.</v>
          </cell>
        </row>
        <row r="94">
          <cell r="B94" t="str">
            <v>Plafondtegels met kantvorm D2 zijn geschikt voor montage in een achteraf niet zichtbaar ophangsysteem T24.
Bij de montage dienen de volgende punten in acht te worden genomen:
- Draag bij het monteren van de plafondtegels schone witte handschoenen.
- Houd bij het inleggen van de tegels steeds dezelfde richting aan: let hierbij op de merktekens op de rugzijde van de tegels.
- Verwerk tegels van hetzelfde type uit verschillende productieseries niet door elkaar binnen dezelfde ruimte.
- Maak pastegels uit optische overwegingen groter dan een halve tegel en aan beide zijden van de ruimte even groot.
- Houd een minimale plenumhoogte van ± 100 mm aan.</v>
          </cell>
          <cell r="C94" t="str">
            <v>Les dalles de plafond avec bords D2 sont prévues pour être montées sur un système de suspension non apparent par la suite, de type T24.
Lors du montage les points suivants doivent être pris en considération :
- Portez des gants blancs et propres lors du montage des dalles de plafond.
- Lors de la pose des dalles, respectez toujours le même sens: tenez compte des marquages situés au dos des dalles.
- Utiliser toujours des dalles provenant d'une même série de production pour un même espace.
- Dans un souci esthétique, les dalles de raccord doivent avoir une dimension supérieure à une demi-dalle et doivent être de dimension identique de part et d’autre de la pièce.
- Conservez une hauteur de plénum minimale de ± 100 mm.</v>
          </cell>
        </row>
        <row r="95">
          <cell r="B95" t="str">
            <v>UW C5-M profielen bevestigen aan vloer en plafond met spijkerpluggen h.o.h. 800 mm. CW C5-M profielen klemmen in de UW C5-M profielen max. h.o.h. 600 mm. Soepele isolatieband aanbrengen ter plaatse van alle randaansluitingen tegen het gebouw.</v>
          </cell>
          <cell r="C95" t="str">
            <v>Fixer les profilés UW C5-M au sol et au plafond avec chevilles clouables tous les 800 mm. Placer les profilés CW C5-M entre les profilés UW C5-M avec un entre-axe maximal de 600 mm. Appliquer la bande d'étanchéité entre les profilés MS et le gros oeuvre.</v>
          </cell>
        </row>
        <row r="96">
          <cell r="B96" t="str">
            <v>Randprofielen aan 2 tegenoverliggende wanden met spijkerpluggen h.o.h. 600 mm. Primaire profielen monteren boven de randprofielen en ophangen aan NONIUS plafondhangers. Plaatdragende profielen monteren tussen de randprofielen en ophangen aan de verbindingsruiters. Soepele isolatieband aanbrengen ter plaatse van alle randaansluitingen tegen het gebouw.</v>
          </cell>
          <cell r="C96" t="str">
            <v>Fixer les profilés périphériques à deux cloisons ou à deux murs opposés avec des chevilles clouables tous les 600 mm. Monter les profilés primaires au-dessus des profilés périphériques, et fixer ces profilés primaires à la suspentes NONIUS. Monter les profilés porteurs dans les profilés périphériques, et fixer ces profilés porteurs aux cavaliers d'ancrage. Poser une bande d’étanchéité souple PE/.. entre les profilés périphériques et le gros oeuvre.</v>
          </cell>
        </row>
        <row r="97">
          <cell r="B97" t="str">
            <v>Randprofielen aan 2 tegenoverliggende wanden met spijkerpluggen h.o.h. 625 mm. Primaire profielen monteren boven de randprofielen en ophangen aan de plafondhangers. Plaatdragende profielen monteren tussen de randprofielen en ophangen aan de verbindingsruiters. Soepele isolatieband aanbrengen ter plaatse van alle randaansluitingen tegen het gebouw.
De kopse naden langs de achterzijde over de volledige breedte beschermen met een plaatdragend profiel, bevestigd aan beide zijden van de naad.</v>
          </cell>
          <cell r="C97" t="str">
            <v>Fixer les profilés périphériques à deux cloisons ou à deux murs opposés avec des chevilles clouables tous les 625 mm. Monter les profilés primaires au-dessus des profilés périphériques, et fixer ces profilés primaires à la suspente choisie. Monter les profilés porteurs dans les profilés périphériques, et fixer ces profilés porteurs aux cavaliers d'ancrage. Poser une bande d’étanchéité souple PE/.. entre les profilés périphériques et le gros oeuvre.
Joints d’about recouvrir par l’arrière sur toute la longueur du joint avec un profilé porteur, fixé aux deux côtés du joint.</v>
          </cell>
        </row>
      </sheetData>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e"/>
      <sheetName val="Structuur"/>
      <sheetName val="System lists"/>
      <sheetName val="System lists_Perf"/>
      <sheetName val="Bestek-tek"/>
      <sheetName val="U-waarden"/>
      <sheetName val="Vertaling"/>
      <sheetName val="Overzicht Prestaties"/>
      <sheetName val="Schoeftype"/>
      <sheetName val="Drop down"/>
      <sheetName val="Sch_Wand"/>
      <sheetName val="V_Wand"/>
      <sheetName val="Plafond"/>
      <sheetName val="Geperf_Plafond_GT"/>
      <sheetName val="Geperf_Plafond_RT"/>
      <sheetName val="Demont_GTtegels"/>
      <sheetName val="Demont_GTpanelen_GR"/>
      <sheetName val="Vloer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Z46"/>
  <sheetViews>
    <sheetView tabSelected="1" zoomScaleNormal="100" workbookViewId="0">
      <pane xSplit="6" ySplit="1" topLeftCell="G2" activePane="bottomRight" state="frozen"/>
      <selection pane="topRight" activeCell="J1" sqref="J1"/>
      <selection pane="bottomLeft" activeCell="A2" sqref="A2"/>
      <selection pane="bottomRight" activeCell="G2" sqref="G2"/>
    </sheetView>
  </sheetViews>
  <sheetFormatPr defaultRowHeight="12.75" customHeight="1" outlineLevelRow="1" outlineLevelCol="1"/>
  <cols>
    <col min="1" max="1" width="13.42578125" style="5" bestFit="1" customWidth="1"/>
    <col min="2" max="2" width="32.140625" style="6" customWidth="1"/>
    <col min="3" max="3" width="39.7109375" style="6" hidden="1" customWidth="1" outlineLevel="1"/>
    <col min="4" max="4" width="30.42578125" style="6" hidden="1" customWidth="1" outlineLevel="1"/>
    <col min="5" max="5" width="6.28515625" style="6" customWidth="1" collapsed="1"/>
    <col min="6" max="6" width="11.85546875" style="5" bestFit="1" customWidth="1"/>
    <col min="7" max="7" width="20.7109375" style="5" customWidth="1" outlineLevel="1"/>
    <col min="8" max="8" width="2.7109375" style="5" customWidth="1"/>
    <col min="9" max="26" width="9.140625" style="4" customWidth="1" outlineLevel="1"/>
    <col min="27" max="27" width="2.7109375" style="5" customWidth="1"/>
    <col min="28" max="16384" width="9.140625" style="5"/>
  </cols>
  <sheetData>
    <row r="1" spans="1:26" s="3" customFormat="1" ht="12.75" customHeight="1">
      <c r="A1" s="1" t="s">
        <v>0</v>
      </c>
      <c r="B1" s="1" t="s">
        <v>1</v>
      </c>
      <c r="C1" s="1" t="s">
        <v>2</v>
      </c>
      <c r="D1" s="1" t="s">
        <v>3</v>
      </c>
      <c r="E1" s="2" t="s">
        <v>4</v>
      </c>
      <c r="F1" s="3" t="s">
        <v>5</v>
      </c>
      <c r="G1" s="3" t="s">
        <v>6</v>
      </c>
      <c r="I1" s="4" t="s">
        <v>376</v>
      </c>
      <c r="J1" s="4" t="s">
        <v>377</v>
      </c>
      <c r="K1" s="4" t="s">
        <v>378</v>
      </c>
      <c r="L1" s="4" t="s">
        <v>32</v>
      </c>
      <c r="M1" s="4" t="s">
        <v>33</v>
      </c>
      <c r="N1" s="4" t="s">
        <v>379</v>
      </c>
      <c r="O1" s="4" t="s">
        <v>149</v>
      </c>
      <c r="P1" s="4" t="s">
        <v>380</v>
      </c>
      <c r="Q1" s="4" t="s">
        <v>381</v>
      </c>
      <c r="R1" s="4" t="s">
        <v>382</v>
      </c>
      <c r="S1" s="4" t="s">
        <v>383</v>
      </c>
      <c r="T1" s="4" t="s">
        <v>384</v>
      </c>
      <c r="U1" s="4" t="s">
        <v>7</v>
      </c>
      <c r="V1" s="4" t="s">
        <v>34</v>
      </c>
      <c r="W1" s="4" t="s">
        <v>385</v>
      </c>
      <c r="X1" s="4" t="s">
        <v>35</v>
      </c>
      <c r="Y1" s="4" t="s">
        <v>386</v>
      </c>
      <c r="Z1" s="4" t="s">
        <v>387</v>
      </c>
    </row>
    <row r="2" spans="1:26" ht="12.75" customHeight="1">
      <c r="B2" s="6" t="s">
        <v>8</v>
      </c>
      <c r="C2" s="6" t="s">
        <v>9</v>
      </c>
      <c r="D2" s="6" t="s">
        <v>10</v>
      </c>
      <c r="E2" s="6">
        <v>2</v>
      </c>
      <c r="G2" s="5" t="s">
        <v>11</v>
      </c>
      <c r="I2" s="4" t="s">
        <v>13</v>
      </c>
      <c r="J2" s="4" t="s">
        <v>13</v>
      </c>
      <c r="K2" s="4" t="s">
        <v>13</v>
      </c>
      <c r="L2" s="4" t="s">
        <v>13</v>
      </c>
      <c r="M2" s="4" t="s">
        <v>13</v>
      </c>
      <c r="N2" s="4" t="s">
        <v>13</v>
      </c>
      <c r="O2" s="4" t="s">
        <v>13</v>
      </c>
      <c r="P2" s="4" t="s">
        <v>13</v>
      </c>
      <c r="Q2" s="4" t="s">
        <v>13</v>
      </c>
      <c r="R2" s="4" t="s">
        <v>13</v>
      </c>
      <c r="S2" s="4" t="s">
        <v>13</v>
      </c>
      <c r="T2" s="4" t="s">
        <v>13</v>
      </c>
      <c r="U2" s="4" t="s">
        <v>13</v>
      </c>
      <c r="V2" s="4" t="s">
        <v>13</v>
      </c>
      <c r="W2" s="4" t="s">
        <v>13</v>
      </c>
      <c r="X2" s="4" t="s">
        <v>13</v>
      </c>
      <c r="Y2" s="4" t="s">
        <v>13</v>
      </c>
      <c r="Z2" s="4" t="s">
        <v>13</v>
      </c>
    </row>
    <row r="3" spans="1:26" ht="12.75" customHeight="1">
      <c r="A3" s="5" t="s">
        <v>14</v>
      </c>
      <c r="B3" s="6" t="s">
        <v>15</v>
      </c>
      <c r="C3" s="6" t="s">
        <v>16</v>
      </c>
      <c r="D3" s="6" t="s">
        <v>15</v>
      </c>
      <c r="E3" s="6">
        <v>6</v>
      </c>
      <c r="G3" s="5" t="s">
        <v>11</v>
      </c>
      <c r="I3" s="4" t="s">
        <v>13</v>
      </c>
      <c r="J3" s="4" t="s">
        <v>13</v>
      </c>
      <c r="K3" s="4" t="s">
        <v>13</v>
      </c>
      <c r="L3" s="4" t="s">
        <v>13</v>
      </c>
      <c r="M3" s="4" t="s">
        <v>13</v>
      </c>
      <c r="N3" s="4" t="s">
        <v>13</v>
      </c>
      <c r="O3" s="4" t="s">
        <v>13</v>
      </c>
      <c r="P3" s="4" t="s">
        <v>13</v>
      </c>
      <c r="Q3" s="4" t="s">
        <v>13</v>
      </c>
      <c r="R3" s="4" t="s">
        <v>13</v>
      </c>
      <c r="S3" s="4" t="s">
        <v>13</v>
      </c>
      <c r="T3" s="4" t="s">
        <v>13</v>
      </c>
      <c r="U3" s="4" t="s">
        <v>13</v>
      </c>
      <c r="V3" s="4" t="s">
        <v>13</v>
      </c>
      <c r="W3" s="4" t="s">
        <v>13</v>
      </c>
      <c r="X3" s="4" t="s">
        <v>13</v>
      </c>
      <c r="Y3" s="4" t="s">
        <v>13</v>
      </c>
      <c r="Z3" s="4" t="s">
        <v>13</v>
      </c>
    </row>
    <row r="4" spans="1:26" ht="12.75" customHeight="1">
      <c r="A4" s="5" t="s">
        <v>14</v>
      </c>
      <c r="B4" s="6" t="s">
        <v>20</v>
      </c>
      <c r="C4" s="6" t="s">
        <v>21</v>
      </c>
      <c r="D4" s="6" t="s">
        <v>22</v>
      </c>
      <c r="E4" s="6">
        <v>300</v>
      </c>
      <c r="G4" s="5" t="s">
        <v>19</v>
      </c>
      <c r="I4" s="4" t="s">
        <v>13</v>
      </c>
      <c r="J4" s="4" t="s">
        <v>13</v>
      </c>
      <c r="K4" s="4" t="s">
        <v>13</v>
      </c>
      <c r="L4" s="4" t="s">
        <v>13</v>
      </c>
      <c r="M4" s="4" t="s">
        <v>13</v>
      </c>
      <c r="N4" s="4" t="s">
        <v>13</v>
      </c>
      <c r="O4" s="4" t="s">
        <v>13</v>
      </c>
      <c r="P4" s="4" t="s">
        <v>13</v>
      </c>
      <c r="Q4" s="4" t="s">
        <v>13</v>
      </c>
      <c r="R4" s="4" t="s">
        <v>13</v>
      </c>
      <c r="S4" s="4" t="s">
        <v>13</v>
      </c>
      <c r="T4" s="4" t="s">
        <v>13</v>
      </c>
      <c r="U4" s="4" t="s">
        <v>13</v>
      </c>
      <c r="V4" s="4" t="s">
        <v>13</v>
      </c>
      <c r="W4" s="4" t="s">
        <v>13</v>
      </c>
      <c r="X4" s="4" t="s">
        <v>13</v>
      </c>
      <c r="Y4" s="4" t="s">
        <v>13</v>
      </c>
      <c r="Z4" s="4" t="s">
        <v>13</v>
      </c>
    </row>
    <row r="5" spans="1:26" ht="12.75" customHeight="1">
      <c r="A5" s="5" t="s">
        <v>14</v>
      </c>
      <c r="B5" s="6" t="s">
        <v>23</v>
      </c>
      <c r="C5" s="6" t="s">
        <v>24</v>
      </c>
      <c r="D5" s="6" t="s">
        <v>25</v>
      </c>
      <c r="E5" s="6">
        <v>345</v>
      </c>
      <c r="G5" s="5" t="s">
        <v>19</v>
      </c>
      <c r="I5" s="4" t="s">
        <v>13</v>
      </c>
      <c r="J5" s="4" t="s">
        <v>13</v>
      </c>
      <c r="K5" s="4" t="s">
        <v>13</v>
      </c>
      <c r="L5" s="4" t="s">
        <v>13</v>
      </c>
      <c r="M5" s="4" t="s">
        <v>13</v>
      </c>
      <c r="N5" s="4" t="s">
        <v>13</v>
      </c>
      <c r="O5" s="4" t="s">
        <v>13</v>
      </c>
      <c r="P5" s="4" t="s">
        <v>13</v>
      </c>
      <c r="Q5" s="4" t="s">
        <v>13</v>
      </c>
      <c r="R5" s="4" t="s">
        <v>13</v>
      </c>
      <c r="S5" s="4" t="s">
        <v>13</v>
      </c>
      <c r="T5" s="4" t="s">
        <v>13</v>
      </c>
      <c r="U5" s="4" t="s">
        <v>13</v>
      </c>
      <c r="V5" s="4" t="s">
        <v>13</v>
      </c>
      <c r="W5" s="4" t="s">
        <v>13</v>
      </c>
      <c r="X5" s="4" t="s">
        <v>13</v>
      </c>
      <c r="Y5" s="4" t="s">
        <v>13</v>
      </c>
      <c r="Z5" s="4" t="s">
        <v>13</v>
      </c>
    </row>
    <row r="6" spans="1:26" ht="12.75" customHeight="1">
      <c r="A6" s="5" t="s">
        <v>14</v>
      </c>
      <c r="B6" s="6" t="s">
        <v>26</v>
      </c>
      <c r="C6" s="6" t="s">
        <v>27</v>
      </c>
      <c r="D6" s="6" t="s">
        <v>28</v>
      </c>
      <c r="E6" s="6">
        <v>301</v>
      </c>
      <c r="G6" s="5" t="s">
        <v>19</v>
      </c>
      <c r="I6" s="4" t="s">
        <v>13</v>
      </c>
      <c r="J6" s="4" t="s">
        <v>13</v>
      </c>
      <c r="K6" s="4" t="s">
        <v>13</v>
      </c>
      <c r="L6" s="4" t="s">
        <v>13</v>
      </c>
      <c r="M6" s="4" t="s">
        <v>13</v>
      </c>
      <c r="N6" s="4" t="s">
        <v>13</v>
      </c>
      <c r="O6" s="4" t="s">
        <v>13</v>
      </c>
      <c r="P6" s="4" t="s">
        <v>13</v>
      </c>
      <c r="Q6" s="4" t="s">
        <v>13</v>
      </c>
      <c r="R6" s="4" t="s">
        <v>13</v>
      </c>
      <c r="S6" s="4" t="s">
        <v>13</v>
      </c>
      <c r="T6" s="4" t="s">
        <v>13</v>
      </c>
      <c r="U6" s="4" t="s">
        <v>13</v>
      </c>
      <c r="V6" s="4" t="s">
        <v>13</v>
      </c>
      <c r="W6" s="4" t="s">
        <v>13</v>
      </c>
      <c r="X6" s="4" t="s">
        <v>13</v>
      </c>
      <c r="Y6" s="4" t="s">
        <v>13</v>
      </c>
      <c r="Z6" s="4" t="s">
        <v>13</v>
      </c>
    </row>
    <row r="7" spans="1:26" ht="12.75" customHeight="1">
      <c r="A7" s="5" t="s">
        <v>14</v>
      </c>
      <c r="B7" s="6" t="s">
        <v>29</v>
      </c>
      <c r="C7" s="6" t="s">
        <v>30</v>
      </c>
      <c r="D7" s="6" t="s">
        <v>31</v>
      </c>
      <c r="E7" s="6">
        <v>302</v>
      </c>
      <c r="G7" s="5" t="s">
        <v>19</v>
      </c>
      <c r="I7" s="4" t="s">
        <v>13</v>
      </c>
      <c r="J7" s="4" t="s">
        <v>13</v>
      </c>
      <c r="K7" s="4" t="s">
        <v>13</v>
      </c>
      <c r="L7" s="4" t="s">
        <v>13</v>
      </c>
      <c r="M7" s="4" t="s">
        <v>13</v>
      </c>
      <c r="N7" s="4" t="s">
        <v>13</v>
      </c>
      <c r="O7" s="4" t="s">
        <v>13</v>
      </c>
      <c r="P7" s="4" t="s">
        <v>13</v>
      </c>
      <c r="Q7" s="4" t="s">
        <v>13</v>
      </c>
      <c r="R7" s="4" t="s">
        <v>13</v>
      </c>
      <c r="S7" s="4" t="s">
        <v>13</v>
      </c>
      <c r="T7" s="4" t="s">
        <v>13</v>
      </c>
      <c r="U7" s="4" t="s">
        <v>13</v>
      </c>
      <c r="V7" s="4" t="s">
        <v>13</v>
      </c>
      <c r="W7" s="4" t="s">
        <v>13</v>
      </c>
      <c r="X7" s="4" t="s">
        <v>13</v>
      </c>
      <c r="Y7" s="4" t="s">
        <v>13</v>
      </c>
      <c r="Z7" s="4" t="s">
        <v>13</v>
      </c>
    </row>
    <row r="8" spans="1:26" ht="12.75" customHeight="1" outlineLevel="1">
      <c r="A8" s="5" t="s">
        <v>14</v>
      </c>
      <c r="B8" s="1" t="s">
        <v>36</v>
      </c>
      <c r="C8" s="1" t="s">
        <v>37</v>
      </c>
      <c r="D8" s="1" t="s">
        <v>38</v>
      </c>
      <c r="E8" s="6">
        <v>289</v>
      </c>
      <c r="G8" s="5" t="s">
        <v>11</v>
      </c>
      <c r="I8" s="4" t="s">
        <v>13</v>
      </c>
      <c r="J8" s="4" t="s">
        <v>13</v>
      </c>
      <c r="K8" s="4" t="s">
        <v>13</v>
      </c>
      <c r="L8" s="4" t="s">
        <v>13</v>
      </c>
      <c r="M8" s="4" t="s">
        <v>13</v>
      </c>
      <c r="N8" s="4" t="s">
        <v>13</v>
      </c>
      <c r="O8" s="4" t="s">
        <v>13</v>
      </c>
      <c r="P8" s="4" t="s">
        <v>13</v>
      </c>
      <c r="Q8" s="4" t="s">
        <v>13</v>
      </c>
      <c r="R8" s="4" t="s">
        <v>13</v>
      </c>
      <c r="S8" s="4" t="s">
        <v>13</v>
      </c>
      <c r="T8" s="4" t="s">
        <v>13</v>
      </c>
      <c r="U8" s="4" t="s">
        <v>13</v>
      </c>
      <c r="V8" s="4" t="s">
        <v>13</v>
      </c>
      <c r="W8" s="4" t="s">
        <v>13</v>
      </c>
      <c r="X8" s="4" t="s">
        <v>13</v>
      </c>
      <c r="Y8" s="4" t="s">
        <v>13</v>
      </c>
      <c r="Z8" s="4" t="s">
        <v>13</v>
      </c>
    </row>
    <row r="9" spans="1:26" ht="12.75" customHeight="1" outlineLevel="1">
      <c r="A9" s="6" t="s">
        <v>39</v>
      </c>
      <c r="B9" s="6" t="s">
        <v>40</v>
      </c>
      <c r="C9" s="6" t="s">
        <v>41</v>
      </c>
      <c r="D9" s="6" t="s">
        <v>42</v>
      </c>
      <c r="E9" s="6">
        <v>25</v>
      </c>
      <c r="G9" s="5" t="s">
        <v>19</v>
      </c>
      <c r="I9" s="4" t="s">
        <v>13</v>
      </c>
      <c r="J9" s="4" t="s">
        <v>13</v>
      </c>
      <c r="K9" s="4" t="s">
        <v>13</v>
      </c>
      <c r="L9" s="4" t="s">
        <v>13</v>
      </c>
      <c r="M9" s="4" t="s">
        <v>13</v>
      </c>
      <c r="N9" s="4" t="s">
        <v>13</v>
      </c>
      <c r="O9" s="4" t="s">
        <v>13</v>
      </c>
      <c r="P9" s="4" t="s">
        <v>13</v>
      </c>
      <c r="Q9" s="4" t="s">
        <v>13</v>
      </c>
      <c r="R9" s="4" t="s">
        <v>13</v>
      </c>
      <c r="S9" s="4" t="s">
        <v>13</v>
      </c>
      <c r="T9" s="4" t="s">
        <v>13</v>
      </c>
      <c r="U9" s="4" t="s">
        <v>13</v>
      </c>
      <c r="V9" s="4" t="s">
        <v>13</v>
      </c>
      <c r="W9" s="4" t="s">
        <v>13</v>
      </c>
      <c r="X9" s="4" t="s">
        <v>13</v>
      </c>
      <c r="Y9" s="4" t="s">
        <v>13</v>
      </c>
      <c r="Z9" s="4" t="s">
        <v>13</v>
      </c>
    </row>
    <row r="10" spans="1:26" ht="12.75" customHeight="1" outlineLevel="1">
      <c r="A10" s="6" t="s">
        <v>39</v>
      </c>
      <c r="B10" s="6" t="s">
        <v>43</v>
      </c>
      <c r="C10" s="6" t="s">
        <v>44</v>
      </c>
      <c r="D10" s="6" t="s">
        <v>45</v>
      </c>
      <c r="E10" s="6">
        <v>26</v>
      </c>
      <c r="G10" s="5" t="s">
        <v>19</v>
      </c>
      <c r="I10" s="4" t="s">
        <v>13</v>
      </c>
      <c r="J10" s="4" t="s">
        <v>13</v>
      </c>
      <c r="K10" s="4" t="s">
        <v>13</v>
      </c>
      <c r="L10" s="4" t="s">
        <v>13</v>
      </c>
      <c r="M10" s="4" t="s">
        <v>13</v>
      </c>
      <c r="N10" s="4" t="s">
        <v>13</v>
      </c>
      <c r="O10" s="4" t="s">
        <v>13</v>
      </c>
      <c r="P10" s="4" t="s">
        <v>13</v>
      </c>
      <c r="Q10" s="4" t="s">
        <v>13</v>
      </c>
      <c r="R10" s="4" t="s">
        <v>13</v>
      </c>
      <c r="S10" s="4" t="s">
        <v>13</v>
      </c>
      <c r="T10" s="4" t="s">
        <v>13</v>
      </c>
      <c r="U10" s="4" t="s">
        <v>13</v>
      </c>
      <c r="V10" s="4" t="s">
        <v>13</v>
      </c>
      <c r="W10" s="4" t="s">
        <v>13</v>
      </c>
      <c r="X10" s="4" t="s">
        <v>13</v>
      </c>
      <c r="Y10" s="4" t="s">
        <v>13</v>
      </c>
      <c r="Z10" s="4" t="s">
        <v>13</v>
      </c>
    </row>
    <row r="11" spans="1:26" ht="12.75" customHeight="1" outlineLevel="1">
      <c r="A11" s="5" t="s">
        <v>39</v>
      </c>
      <c r="B11" s="6" t="s">
        <v>48</v>
      </c>
      <c r="C11" s="6" t="s">
        <v>49</v>
      </c>
      <c r="D11" s="6" t="s">
        <v>49</v>
      </c>
      <c r="E11" s="6">
        <v>169</v>
      </c>
      <c r="G11" s="5" t="s">
        <v>46</v>
      </c>
      <c r="H11" s="6"/>
      <c r="I11" s="4" t="s">
        <v>13</v>
      </c>
      <c r="J11" s="4" t="s">
        <v>13</v>
      </c>
      <c r="K11" s="4" t="s">
        <v>13</v>
      </c>
      <c r="L11" s="4" t="s">
        <v>13</v>
      </c>
      <c r="M11" s="4" t="s">
        <v>13</v>
      </c>
      <c r="N11" s="4" t="s">
        <v>13</v>
      </c>
      <c r="O11" s="4" t="s">
        <v>13</v>
      </c>
      <c r="P11" s="4" t="s">
        <v>13</v>
      </c>
      <c r="Q11" s="4" t="s">
        <v>13</v>
      </c>
      <c r="R11" s="4" t="s">
        <v>13</v>
      </c>
      <c r="S11" s="4" t="s">
        <v>13</v>
      </c>
      <c r="T11" s="4" t="s">
        <v>13</v>
      </c>
      <c r="U11" s="4" t="s">
        <v>13</v>
      </c>
      <c r="V11" s="4" t="s">
        <v>13</v>
      </c>
      <c r="W11" s="4" t="s">
        <v>13</v>
      </c>
      <c r="X11" s="4" t="s">
        <v>13</v>
      </c>
      <c r="Y11" s="4" t="s">
        <v>13</v>
      </c>
      <c r="Z11" s="4" t="s">
        <v>13</v>
      </c>
    </row>
    <row r="12" spans="1:26" ht="12.75" customHeight="1" outlineLevel="1">
      <c r="A12" s="5" t="s">
        <v>39</v>
      </c>
      <c r="B12" s="6" t="s">
        <v>50</v>
      </c>
      <c r="C12" s="6" t="s">
        <v>51</v>
      </c>
      <c r="D12" s="6" t="s">
        <v>51</v>
      </c>
      <c r="E12" s="6">
        <v>170</v>
      </c>
      <c r="G12" s="5" t="s">
        <v>46</v>
      </c>
      <c r="H12" s="6"/>
      <c r="I12" s="4" t="s">
        <v>13</v>
      </c>
      <c r="J12" s="4" t="s">
        <v>13</v>
      </c>
      <c r="K12" s="4" t="s">
        <v>13</v>
      </c>
      <c r="L12" s="4" t="s">
        <v>13</v>
      </c>
      <c r="M12" s="4" t="s">
        <v>13</v>
      </c>
      <c r="N12" s="4" t="s">
        <v>13</v>
      </c>
      <c r="O12" s="4" t="s">
        <v>13</v>
      </c>
      <c r="P12" s="4" t="s">
        <v>13</v>
      </c>
      <c r="Q12" s="4" t="s">
        <v>13</v>
      </c>
      <c r="R12" s="4" t="s">
        <v>13</v>
      </c>
      <c r="S12" s="4" t="s">
        <v>13</v>
      </c>
      <c r="T12" s="4" t="s">
        <v>13</v>
      </c>
      <c r="U12" s="4" t="s">
        <v>13</v>
      </c>
      <c r="V12" s="4" t="s">
        <v>13</v>
      </c>
      <c r="W12" s="4" t="s">
        <v>13</v>
      </c>
      <c r="X12" s="4" t="s">
        <v>13</v>
      </c>
      <c r="Y12" s="4" t="s">
        <v>13</v>
      </c>
      <c r="Z12" s="4" t="s">
        <v>13</v>
      </c>
    </row>
    <row r="13" spans="1:26" ht="12.75" customHeight="1" outlineLevel="1">
      <c r="A13" s="5" t="s">
        <v>52</v>
      </c>
      <c r="B13" s="6" t="s">
        <v>53</v>
      </c>
      <c r="C13" s="6" t="s">
        <v>54</v>
      </c>
      <c r="D13" s="6" t="s">
        <v>55</v>
      </c>
      <c r="E13" s="6">
        <v>38</v>
      </c>
      <c r="G13" s="5" t="s">
        <v>11</v>
      </c>
      <c r="I13" s="4" t="s">
        <v>13</v>
      </c>
      <c r="J13" s="4" t="s">
        <v>13</v>
      </c>
      <c r="K13" s="4" t="s">
        <v>13</v>
      </c>
      <c r="L13" s="4" t="s">
        <v>13</v>
      </c>
      <c r="M13" s="4" t="s">
        <v>13</v>
      </c>
      <c r="N13" s="4" t="s">
        <v>13</v>
      </c>
      <c r="O13" s="4" t="s">
        <v>13</v>
      </c>
      <c r="P13" s="4" t="s">
        <v>13</v>
      </c>
      <c r="Q13" s="4" t="s">
        <v>13</v>
      </c>
      <c r="R13" s="4" t="s">
        <v>13</v>
      </c>
      <c r="S13" s="4" t="s">
        <v>13</v>
      </c>
      <c r="T13" s="4" t="s">
        <v>13</v>
      </c>
      <c r="U13" s="4" t="s">
        <v>13</v>
      </c>
      <c r="V13" s="4" t="s">
        <v>13</v>
      </c>
      <c r="W13" s="4" t="s">
        <v>13</v>
      </c>
      <c r="X13" s="4" t="s">
        <v>13</v>
      </c>
      <c r="Y13" s="4" t="s">
        <v>13</v>
      </c>
      <c r="Z13" s="4" t="s">
        <v>13</v>
      </c>
    </row>
    <row r="14" spans="1:26" ht="12.75" customHeight="1" outlineLevel="1">
      <c r="A14" s="5" t="s">
        <v>52</v>
      </c>
      <c r="B14" s="6" t="s">
        <v>56</v>
      </c>
      <c r="C14" s="6" t="s">
        <v>57</v>
      </c>
      <c r="D14" s="6" t="s">
        <v>58</v>
      </c>
      <c r="E14" s="6">
        <v>39</v>
      </c>
      <c r="G14" s="5" t="s">
        <v>11</v>
      </c>
      <c r="I14" s="4" t="s">
        <v>13</v>
      </c>
      <c r="J14" s="4" t="s">
        <v>13</v>
      </c>
      <c r="K14" s="4" t="s">
        <v>13</v>
      </c>
      <c r="L14" s="4" t="s">
        <v>13</v>
      </c>
      <c r="M14" s="4" t="s">
        <v>13</v>
      </c>
      <c r="N14" s="4" t="s">
        <v>13</v>
      </c>
      <c r="O14" s="4" t="s">
        <v>13</v>
      </c>
      <c r="P14" s="4" t="s">
        <v>13</v>
      </c>
      <c r="Q14" s="4" t="s">
        <v>13</v>
      </c>
      <c r="R14" s="4" t="s">
        <v>13</v>
      </c>
      <c r="S14" s="4" t="s">
        <v>13</v>
      </c>
      <c r="T14" s="4" t="s">
        <v>13</v>
      </c>
      <c r="U14" s="4" t="s">
        <v>13</v>
      </c>
      <c r="V14" s="4" t="s">
        <v>13</v>
      </c>
      <c r="W14" s="4" t="s">
        <v>13</v>
      </c>
      <c r="X14" s="4" t="s">
        <v>13</v>
      </c>
      <c r="Y14" s="4" t="s">
        <v>13</v>
      </c>
      <c r="Z14" s="4" t="s">
        <v>13</v>
      </c>
    </row>
    <row r="15" spans="1:26" ht="12.75" customHeight="1" outlineLevel="1">
      <c r="A15" s="5" t="s">
        <v>52</v>
      </c>
      <c r="B15" s="6" t="s">
        <v>59</v>
      </c>
      <c r="C15" s="6" t="s">
        <v>60</v>
      </c>
      <c r="D15" s="6" t="s">
        <v>61</v>
      </c>
      <c r="E15" s="6">
        <v>40</v>
      </c>
      <c r="G15" s="5" t="s">
        <v>19</v>
      </c>
      <c r="I15" s="4" t="s">
        <v>13</v>
      </c>
      <c r="J15" s="4" t="s">
        <v>13</v>
      </c>
      <c r="K15" s="4" t="s">
        <v>13</v>
      </c>
      <c r="L15" s="4" t="s">
        <v>13</v>
      </c>
      <c r="M15" s="4" t="s">
        <v>13</v>
      </c>
      <c r="N15" s="4" t="s">
        <v>13</v>
      </c>
      <c r="O15" s="4" t="s">
        <v>13</v>
      </c>
      <c r="P15" s="4" t="s">
        <v>13</v>
      </c>
      <c r="Q15" s="4" t="s">
        <v>13</v>
      </c>
      <c r="R15" s="4" t="s">
        <v>13</v>
      </c>
      <c r="S15" s="4" t="s">
        <v>13</v>
      </c>
      <c r="T15" s="4" t="s">
        <v>13</v>
      </c>
      <c r="U15" s="4" t="s">
        <v>13</v>
      </c>
      <c r="V15" s="4" t="s">
        <v>13</v>
      </c>
      <c r="W15" s="4" t="s">
        <v>13</v>
      </c>
      <c r="X15" s="4" t="s">
        <v>13</v>
      </c>
      <c r="Y15" s="4" t="s">
        <v>13</v>
      </c>
      <c r="Z15" s="4" t="s">
        <v>13</v>
      </c>
    </row>
    <row r="16" spans="1:26" s="4" customFormat="1" ht="12.75" customHeight="1" outlineLevel="1">
      <c r="A16" s="5" t="s">
        <v>52</v>
      </c>
      <c r="B16" s="6" t="s">
        <v>62</v>
      </c>
      <c r="C16" s="6" t="s">
        <v>63</v>
      </c>
      <c r="D16" s="6" t="s">
        <v>64</v>
      </c>
      <c r="E16" s="6">
        <v>41</v>
      </c>
      <c r="F16" s="5"/>
      <c r="G16" s="5" t="s">
        <v>19</v>
      </c>
      <c r="H16" s="5"/>
      <c r="I16" s="4" t="s">
        <v>13</v>
      </c>
      <c r="J16" s="4" t="s">
        <v>13</v>
      </c>
      <c r="K16" s="4" t="s">
        <v>13</v>
      </c>
      <c r="L16" s="4" t="s">
        <v>13</v>
      </c>
      <c r="M16" s="4" t="s">
        <v>13</v>
      </c>
      <c r="N16" s="4" t="s">
        <v>13</v>
      </c>
      <c r="O16" s="4" t="s">
        <v>13</v>
      </c>
      <c r="P16" s="4" t="s">
        <v>13</v>
      </c>
      <c r="Q16" s="4" t="s">
        <v>13</v>
      </c>
      <c r="R16" s="4" t="s">
        <v>13</v>
      </c>
      <c r="S16" s="4" t="s">
        <v>13</v>
      </c>
      <c r="T16" s="4" t="s">
        <v>13</v>
      </c>
      <c r="U16" s="4" t="s">
        <v>13</v>
      </c>
      <c r="V16" s="4" t="s">
        <v>13</v>
      </c>
      <c r="W16" s="4" t="s">
        <v>13</v>
      </c>
      <c r="X16" s="4" t="s">
        <v>13</v>
      </c>
      <c r="Y16" s="4" t="s">
        <v>13</v>
      </c>
      <c r="Z16" s="4" t="s">
        <v>13</v>
      </c>
    </row>
    <row r="17" spans="1:26" s="4" customFormat="1" ht="12.75" customHeight="1" outlineLevel="1">
      <c r="A17" s="5" t="s">
        <v>52</v>
      </c>
      <c r="B17" s="6" t="s">
        <v>65</v>
      </c>
      <c r="C17" s="6" t="s">
        <v>66</v>
      </c>
      <c r="D17" s="6" t="s">
        <v>67</v>
      </c>
      <c r="E17" s="6">
        <v>49</v>
      </c>
      <c r="F17" s="5"/>
      <c r="G17" s="6" t="s">
        <v>11</v>
      </c>
      <c r="H17" s="5"/>
      <c r="I17" s="4" t="s">
        <v>13</v>
      </c>
      <c r="J17" s="4" t="s">
        <v>13</v>
      </c>
      <c r="K17" s="4" t="s">
        <v>13</v>
      </c>
      <c r="L17" s="4" t="s">
        <v>13</v>
      </c>
      <c r="M17" s="4" t="s">
        <v>13</v>
      </c>
      <c r="N17" s="4" t="s">
        <v>13</v>
      </c>
      <c r="O17" s="4" t="s">
        <v>13</v>
      </c>
      <c r="P17" s="4" t="s">
        <v>13</v>
      </c>
      <c r="Q17" s="4" t="s">
        <v>13</v>
      </c>
      <c r="R17" s="4" t="s">
        <v>13</v>
      </c>
      <c r="S17" s="4" t="s">
        <v>13</v>
      </c>
      <c r="T17" s="4" t="s">
        <v>13</v>
      </c>
      <c r="U17" s="4" t="s">
        <v>13</v>
      </c>
      <c r="V17" s="4" t="s">
        <v>13</v>
      </c>
      <c r="W17" s="4" t="s">
        <v>13</v>
      </c>
      <c r="X17" s="4" t="s">
        <v>13</v>
      </c>
      <c r="Y17" s="4" t="s">
        <v>13</v>
      </c>
      <c r="Z17" s="4" t="s">
        <v>13</v>
      </c>
    </row>
    <row r="18" spans="1:26" ht="12.75" customHeight="1" outlineLevel="1">
      <c r="A18" s="4" t="s">
        <v>52</v>
      </c>
      <c r="B18" s="6" t="s">
        <v>68</v>
      </c>
      <c r="C18" s="6" t="s">
        <v>69</v>
      </c>
      <c r="D18" s="6" t="s">
        <v>70</v>
      </c>
      <c r="E18" s="6">
        <v>50</v>
      </c>
      <c r="F18" s="4"/>
      <c r="G18" s="5" t="s">
        <v>17</v>
      </c>
      <c r="H18" s="4"/>
      <c r="I18" s="4" t="s">
        <v>13</v>
      </c>
      <c r="J18" s="4" t="s">
        <v>13</v>
      </c>
      <c r="K18" s="4" t="s">
        <v>13</v>
      </c>
      <c r="L18" s="4" t="s">
        <v>13</v>
      </c>
      <c r="M18" s="4" t="s">
        <v>13</v>
      </c>
      <c r="N18" s="4" t="s">
        <v>13</v>
      </c>
      <c r="O18" s="4" t="s">
        <v>13</v>
      </c>
      <c r="P18" s="4" t="s">
        <v>13</v>
      </c>
      <c r="Q18" s="4" t="s">
        <v>13</v>
      </c>
      <c r="R18" s="4" t="s">
        <v>13</v>
      </c>
      <c r="S18" s="4" t="s">
        <v>13</v>
      </c>
      <c r="T18" s="4" t="s">
        <v>13</v>
      </c>
      <c r="U18" s="4" t="s">
        <v>13</v>
      </c>
      <c r="V18" s="4" t="s">
        <v>13</v>
      </c>
      <c r="W18" s="4" t="s">
        <v>13</v>
      </c>
      <c r="X18" s="4" t="s">
        <v>13</v>
      </c>
      <c r="Y18" s="4" t="s">
        <v>13</v>
      </c>
      <c r="Z18" s="4" t="s">
        <v>13</v>
      </c>
    </row>
    <row r="19" spans="1:26" ht="12.75" customHeight="1" outlineLevel="1">
      <c r="A19" s="4" t="s">
        <v>71</v>
      </c>
      <c r="B19" s="6" t="s">
        <v>72</v>
      </c>
      <c r="C19" s="6" t="s">
        <v>73</v>
      </c>
      <c r="D19" s="6" t="s">
        <v>74</v>
      </c>
      <c r="E19" s="6">
        <v>56</v>
      </c>
      <c r="F19" s="4"/>
      <c r="G19" s="5" t="s">
        <v>11</v>
      </c>
      <c r="H19" s="4"/>
      <c r="I19" s="4" t="s">
        <v>13</v>
      </c>
      <c r="J19" s="4" t="s">
        <v>13</v>
      </c>
      <c r="K19" s="4" t="s">
        <v>13</v>
      </c>
      <c r="L19" s="4" t="s">
        <v>13</v>
      </c>
      <c r="M19" s="4" t="s">
        <v>13</v>
      </c>
      <c r="N19" s="4" t="s">
        <v>13</v>
      </c>
      <c r="O19" s="4" t="s">
        <v>13</v>
      </c>
      <c r="P19" s="4" t="s">
        <v>13</v>
      </c>
      <c r="Q19" s="4" t="s">
        <v>13</v>
      </c>
      <c r="R19" s="4" t="s">
        <v>13</v>
      </c>
      <c r="S19" s="4" t="s">
        <v>13</v>
      </c>
      <c r="T19" s="4" t="s">
        <v>13</v>
      </c>
      <c r="U19" s="4" t="s">
        <v>13</v>
      </c>
      <c r="V19" s="4" t="s">
        <v>13</v>
      </c>
      <c r="W19" s="4" t="s">
        <v>13</v>
      </c>
      <c r="X19" s="4" t="s">
        <v>13</v>
      </c>
      <c r="Y19" s="4" t="s">
        <v>13</v>
      </c>
      <c r="Z19" s="4" t="s">
        <v>13</v>
      </c>
    </row>
    <row r="20" spans="1:26" ht="12.75" customHeight="1" outlineLevel="1">
      <c r="A20" s="5" t="s">
        <v>78</v>
      </c>
      <c r="B20" s="6" t="s">
        <v>79</v>
      </c>
      <c r="C20" s="6" t="s">
        <v>80</v>
      </c>
      <c r="D20" s="6" t="s">
        <v>81</v>
      </c>
      <c r="E20" s="6">
        <v>92</v>
      </c>
      <c r="G20" s="5" t="s">
        <v>11</v>
      </c>
      <c r="I20" s="4" t="s">
        <v>13</v>
      </c>
      <c r="J20" s="4" t="s">
        <v>13</v>
      </c>
      <c r="K20" s="4" t="s">
        <v>13</v>
      </c>
      <c r="L20" s="4" t="s">
        <v>13</v>
      </c>
      <c r="M20" s="4" t="s">
        <v>13</v>
      </c>
      <c r="N20" s="4" t="s">
        <v>13</v>
      </c>
      <c r="O20" s="4" t="s">
        <v>13</v>
      </c>
      <c r="P20" s="4" t="s">
        <v>13</v>
      </c>
      <c r="Q20" s="4" t="s">
        <v>13</v>
      </c>
      <c r="R20" s="4" t="s">
        <v>13</v>
      </c>
      <c r="S20" s="4" t="s">
        <v>13</v>
      </c>
      <c r="T20" s="4" t="s">
        <v>13</v>
      </c>
      <c r="U20" s="4" t="s">
        <v>13</v>
      </c>
      <c r="V20" s="4" t="s">
        <v>13</v>
      </c>
      <c r="W20" s="4" t="s">
        <v>13</v>
      </c>
      <c r="X20" s="4" t="s">
        <v>13</v>
      </c>
      <c r="Y20" s="4" t="s">
        <v>13</v>
      </c>
      <c r="Z20" s="4" t="s">
        <v>13</v>
      </c>
    </row>
    <row r="21" spans="1:26" ht="12.75" customHeight="1" outlineLevel="1">
      <c r="A21" s="5" t="s">
        <v>78</v>
      </c>
      <c r="B21" s="6" t="s">
        <v>82</v>
      </c>
      <c r="C21" s="6" t="s">
        <v>83</v>
      </c>
      <c r="D21" s="6" t="s">
        <v>84</v>
      </c>
      <c r="E21" s="6">
        <v>94</v>
      </c>
      <c r="F21" s="5" t="s">
        <v>85</v>
      </c>
      <c r="G21" s="5" t="s">
        <v>11</v>
      </c>
      <c r="I21" s="4" t="s">
        <v>47</v>
      </c>
      <c r="J21" s="4" t="s">
        <v>47</v>
      </c>
      <c r="K21" s="4" t="s">
        <v>13</v>
      </c>
      <c r="L21" s="4" t="s">
        <v>13</v>
      </c>
      <c r="M21" s="4" t="s">
        <v>13</v>
      </c>
      <c r="N21" s="4" t="s">
        <v>13</v>
      </c>
      <c r="O21" s="4" t="s">
        <v>13</v>
      </c>
      <c r="P21" s="4" t="s">
        <v>13</v>
      </c>
      <c r="Q21" s="4" t="s">
        <v>47</v>
      </c>
      <c r="R21" s="4" t="s">
        <v>13</v>
      </c>
      <c r="S21" s="4" t="s">
        <v>47</v>
      </c>
      <c r="T21" s="4" t="s">
        <v>13</v>
      </c>
      <c r="U21" s="4" t="s">
        <v>47</v>
      </c>
      <c r="V21" s="4" t="s">
        <v>13</v>
      </c>
      <c r="W21" s="4" t="s">
        <v>13</v>
      </c>
      <c r="X21" s="4" t="s">
        <v>13</v>
      </c>
      <c r="Y21" s="4" t="s">
        <v>13</v>
      </c>
      <c r="Z21" s="4" t="s">
        <v>47</v>
      </c>
    </row>
    <row r="22" spans="1:26" ht="12.75" customHeight="1" outlineLevel="1">
      <c r="A22" s="5" t="s">
        <v>78</v>
      </c>
      <c r="B22" s="6" t="s">
        <v>86</v>
      </c>
      <c r="C22" s="6" t="s">
        <v>87</v>
      </c>
      <c r="D22" s="6" t="s">
        <v>88</v>
      </c>
      <c r="E22" s="6">
        <v>95</v>
      </c>
      <c r="F22" s="5" t="s">
        <v>85</v>
      </c>
      <c r="G22" s="5" t="s">
        <v>75</v>
      </c>
      <c r="I22" s="4" t="s">
        <v>47</v>
      </c>
      <c r="J22" s="4" t="s">
        <v>47</v>
      </c>
      <c r="K22" s="4" t="s">
        <v>13</v>
      </c>
      <c r="L22" s="4" t="s">
        <v>13</v>
      </c>
      <c r="M22" s="4" t="s">
        <v>13</v>
      </c>
      <c r="N22" s="4" t="s">
        <v>13</v>
      </c>
      <c r="O22" s="4" t="s">
        <v>13</v>
      </c>
      <c r="P22" s="4" t="s">
        <v>13</v>
      </c>
      <c r="Q22" s="4" t="s">
        <v>13</v>
      </c>
      <c r="R22" s="4" t="s">
        <v>13</v>
      </c>
      <c r="S22" s="4" t="s">
        <v>47</v>
      </c>
      <c r="T22" s="4" t="s">
        <v>13</v>
      </c>
      <c r="U22" s="4" t="s">
        <v>47</v>
      </c>
      <c r="V22" s="4" t="s">
        <v>13</v>
      </c>
      <c r="W22" s="4" t="s">
        <v>13</v>
      </c>
      <c r="X22" s="4" t="s">
        <v>13</v>
      </c>
      <c r="Y22" s="4" t="s">
        <v>13</v>
      </c>
      <c r="Z22" s="4" t="s">
        <v>47</v>
      </c>
    </row>
    <row r="23" spans="1:26" ht="12.75" customHeight="1" outlineLevel="1">
      <c r="A23" s="5" t="s">
        <v>78</v>
      </c>
      <c r="B23" s="6" t="s">
        <v>89</v>
      </c>
      <c r="C23" s="6" t="s">
        <v>90</v>
      </c>
      <c r="D23" s="6" t="s">
        <v>91</v>
      </c>
      <c r="E23" s="6">
        <v>96</v>
      </c>
      <c r="F23" s="5" t="s">
        <v>85</v>
      </c>
      <c r="G23" s="5" t="s">
        <v>75</v>
      </c>
      <c r="I23" s="4" t="s">
        <v>47</v>
      </c>
      <c r="J23" s="4" t="s">
        <v>47</v>
      </c>
      <c r="K23" s="4" t="s">
        <v>13</v>
      </c>
      <c r="L23" s="4" t="s">
        <v>13</v>
      </c>
      <c r="M23" s="4" t="s">
        <v>13</v>
      </c>
      <c r="N23" s="4" t="s">
        <v>13</v>
      </c>
      <c r="O23" s="4" t="s">
        <v>13</v>
      </c>
      <c r="P23" s="4" t="s">
        <v>13</v>
      </c>
      <c r="Q23" s="4" t="s">
        <v>13</v>
      </c>
      <c r="R23" s="4" t="s">
        <v>13</v>
      </c>
      <c r="S23" s="4" t="s">
        <v>47</v>
      </c>
      <c r="T23" s="4" t="s">
        <v>13</v>
      </c>
      <c r="U23" s="4" t="s">
        <v>47</v>
      </c>
      <c r="V23" s="4" t="s">
        <v>13</v>
      </c>
      <c r="W23" s="4" t="s">
        <v>13</v>
      </c>
      <c r="X23" s="4" t="s">
        <v>13</v>
      </c>
      <c r="Y23" s="4" t="s">
        <v>13</v>
      </c>
      <c r="Z23" s="4" t="s">
        <v>47</v>
      </c>
    </row>
    <row r="24" spans="1:26" ht="12.75" customHeight="1" outlineLevel="1">
      <c r="A24" s="5" t="s">
        <v>78</v>
      </c>
      <c r="B24" s="6" t="s">
        <v>92</v>
      </c>
      <c r="C24" s="6" t="s">
        <v>93</v>
      </c>
      <c r="D24" s="6" t="s">
        <v>94</v>
      </c>
      <c r="E24" s="6">
        <v>100</v>
      </c>
      <c r="F24" s="5" t="s">
        <v>85</v>
      </c>
      <c r="G24" s="5" t="s">
        <v>75</v>
      </c>
      <c r="I24" s="4" t="s">
        <v>47</v>
      </c>
      <c r="J24" s="4" t="s">
        <v>47</v>
      </c>
      <c r="K24" s="4" t="s">
        <v>13</v>
      </c>
      <c r="L24" s="4" t="s">
        <v>13</v>
      </c>
      <c r="M24" s="4" t="s">
        <v>47</v>
      </c>
      <c r="N24" s="4" t="s">
        <v>47</v>
      </c>
      <c r="O24" s="4" t="s">
        <v>13</v>
      </c>
      <c r="P24" s="4" t="s">
        <v>47</v>
      </c>
      <c r="Q24" s="4" t="s">
        <v>47</v>
      </c>
      <c r="R24" s="4" t="s">
        <v>47</v>
      </c>
      <c r="S24" s="4" t="s">
        <v>47</v>
      </c>
      <c r="T24" s="4" t="s">
        <v>13</v>
      </c>
      <c r="U24" s="4" t="s">
        <v>47</v>
      </c>
      <c r="V24" s="4" t="s">
        <v>47</v>
      </c>
      <c r="W24" s="4" t="s">
        <v>47</v>
      </c>
      <c r="X24" s="4" t="s">
        <v>47</v>
      </c>
      <c r="Y24" s="4" t="s">
        <v>47</v>
      </c>
      <c r="Z24" s="4" t="s">
        <v>47</v>
      </c>
    </row>
    <row r="25" spans="1:26" ht="12.75" customHeight="1" outlineLevel="1">
      <c r="A25" s="5" t="s">
        <v>78</v>
      </c>
      <c r="B25" s="6" t="s">
        <v>95</v>
      </c>
      <c r="C25" s="6" t="s">
        <v>96</v>
      </c>
      <c r="D25" s="6" t="s">
        <v>97</v>
      </c>
      <c r="E25" s="6">
        <v>102</v>
      </c>
      <c r="F25" s="5" t="s">
        <v>85</v>
      </c>
      <c r="G25" s="6" t="s">
        <v>11</v>
      </c>
      <c r="I25" s="4" t="s">
        <v>47</v>
      </c>
      <c r="J25" s="4" t="s">
        <v>47</v>
      </c>
      <c r="K25" s="4" t="s">
        <v>13</v>
      </c>
      <c r="L25" s="4" t="s">
        <v>13</v>
      </c>
      <c r="M25" s="4" t="s">
        <v>47</v>
      </c>
      <c r="N25" s="4" t="s">
        <v>47</v>
      </c>
      <c r="O25" s="4" t="s">
        <v>13</v>
      </c>
      <c r="P25" s="4" t="s">
        <v>47</v>
      </c>
      <c r="Q25" s="4" t="s">
        <v>47</v>
      </c>
      <c r="R25" s="4" t="s">
        <v>47</v>
      </c>
      <c r="S25" s="4" t="s">
        <v>47</v>
      </c>
      <c r="T25" s="4" t="s">
        <v>13</v>
      </c>
      <c r="U25" s="4" t="s">
        <v>47</v>
      </c>
      <c r="V25" s="4" t="s">
        <v>47</v>
      </c>
      <c r="W25" s="4" t="s">
        <v>47</v>
      </c>
      <c r="X25" s="4" t="s">
        <v>13</v>
      </c>
      <c r="Y25" s="4" t="s">
        <v>47</v>
      </c>
      <c r="Z25" s="4" t="s">
        <v>47</v>
      </c>
    </row>
    <row r="26" spans="1:26" ht="12.75" customHeight="1" outlineLevel="1">
      <c r="A26" s="5" t="s">
        <v>99</v>
      </c>
      <c r="B26" s="6" t="s">
        <v>101</v>
      </c>
      <c r="C26" s="6" t="s">
        <v>102</v>
      </c>
      <c r="D26" s="6" t="s">
        <v>103</v>
      </c>
      <c r="E26" s="6">
        <v>131</v>
      </c>
      <c r="F26" s="5" t="s">
        <v>104</v>
      </c>
      <c r="G26" s="6" t="s">
        <v>11</v>
      </c>
      <c r="I26" s="4" t="s">
        <v>47</v>
      </c>
      <c r="J26" s="4" t="s">
        <v>47</v>
      </c>
      <c r="K26" s="4" t="s">
        <v>13</v>
      </c>
      <c r="L26" s="4" t="s">
        <v>13</v>
      </c>
      <c r="M26" s="4" t="s">
        <v>13</v>
      </c>
      <c r="N26" s="4" t="s">
        <v>13</v>
      </c>
      <c r="O26" s="4" t="s">
        <v>13</v>
      </c>
      <c r="P26" s="4" t="s">
        <v>47</v>
      </c>
      <c r="Q26" s="4" t="s">
        <v>47</v>
      </c>
      <c r="R26" s="4" t="s">
        <v>13</v>
      </c>
      <c r="S26" s="4" t="s">
        <v>47</v>
      </c>
      <c r="T26" s="4" t="s">
        <v>13</v>
      </c>
      <c r="U26" s="4" t="s">
        <v>47</v>
      </c>
      <c r="V26" s="4" t="s">
        <v>47</v>
      </c>
      <c r="W26" s="4" t="s">
        <v>47</v>
      </c>
      <c r="X26" s="4" t="s">
        <v>47</v>
      </c>
      <c r="Y26" s="4" t="s">
        <v>47</v>
      </c>
      <c r="Z26" s="4" t="s">
        <v>47</v>
      </c>
    </row>
    <row r="27" spans="1:26" ht="12.75" customHeight="1" outlineLevel="1">
      <c r="A27" s="5" t="s">
        <v>106</v>
      </c>
      <c r="B27" s="6" t="s">
        <v>107</v>
      </c>
      <c r="C27" s="6" t="s">
        <v>108</v>
      </c>
      <c r="D27" s="6" t="s">
        <v>109</v>
      </c>
      <c r="E27" s="6">
        <v>150</v>
      </c>
      <c r="F27" s="5" t="s">
        <v>110</v>
      </c>
      <c r="G27" s="5" t="s">
        <v>111</v>
      </c>
      <c r="I27" s="4" t="s">
        <v>13</v>
      </c>
      <c r="J27" s="4" t="s">
        <v>47</v>
      </c>
      <c r="K27" s="4" t="s">
        <v>13</v>
      </c>
      <c r="L27" s="4" t="s">
        <v>13</v>
      </c>
      <c r="M27" s="4" t="s">
        <v>13</v>
      </c>
      <c r="N27" s="4" t="s">
        <v>13</v>
      </c>
      <c r="O27" s="4" t="s">
        <v>13</v>
      </c>
      <c r="P27" s="4" t="s">
        <v>13</v>
      </c>
      <c r="Q27" s="4" t="s">
        <v>13</v>
      </c>
      <c r="R27" s="4" t="s">
        <v>13</v>
      </c>
      <c r="S27" s="4" t="s">
        <v>13</v>
      </c>
      <c r="T27" s="4" t="s">
        <v>47</v>
      </c>
      <c r="U27" s="4" t="s">
        <v>13</v>
      </c>
      <c r="V27" s="4" t="s">
        <v>13</v>
      </c>
      <c r="W27" s="4" t="s">
        <v>13</v>
      </c>
      <c r="X27" s="4" t="s">
        <v>47</v>
      </c>
      <c r="Y27" s="4" t="s">
        <v>13</v>
      </c>
      <c r="Z27" s="4" t="s">
        <v>13</v>
      </c>
    </row>
    <row r="28" spans="1:26" ht="12.75" customHeight="1" outlineLevel="1">
      <c r="A28" s="5" t="s">
        <v>106</v>
      </c>
      <c r="B28" s="6" t="s">
        <v>112</v>
      </c>
      <c r="C28" s="6" t="s">
        <v>113</v>
      </c>
      <c r="D28" s="6" t="s">
        <v>114</v>
      </c>
      <c r="E28" s="6">
        <v>151</v>
      </c>
      <c r="F28" s="5" t="s">
        <v>110</v>
      </c>
      <c r="G28" s="5" t="s">
        <v>115</v>
      </c>
      <c r="I28" s="4" t="s">
        <v>47</v>
      </c>
      <c r="J28" s="4" t="s">
        <v>47</v>
      </c>
      <c r="K28" s="4" t="s">
        <v>13</v>
      </c>
      <c r="L28" s="4" t="s">
        <v>13</v>
      </c>
      <c r="M28" s="4" t="s">
        <v>13</v>
      </c>
      <c r="N28" s="4" t="s">
        <v>13</v>
      </c>
      <c r="O28" s="4" t="s">
        <v>13</v>
      </c>
      <c r="P28" s="4" t="s">
        <v>13</v>
      </c>
      <c r="Q28" s="4" t="s">
        <v>47</v>
      </c>
      <c r="R28" s="4" t="s">
        <v>47</v>
      </c>
      <c r="S28" s="4" t="s">
        <v>47</v>
      </c>
      <c r="T28" s="4" t="s">
        <v>47</v>
      </c>
      <c r="U28" s="4" t="s">
        <v>47</v>
      </c>
      <c r="V28" s="4" t="s">
        <v>47</v>
      </c>
      <c r="W28" s="4" t="s">
        <v>47</v>
      </c>
      <c r="X28" s="4" t="s">
        <v>47</v>
      </c>
      <c r="Y28" s="4" t="s">
        <v>47</v>
      </c>
      <c r="Z28" s="4" t="s">
        <v>47</v>
      </c>
    </row>
    <row r="29" spans="1:26" ht="12.75" customHeight="1" outlineLevel="1">
      <c r="A29" s="5" t="s">
        <v>106</v>
      </c>
      <c r="B29" s="6" t="s">
        <v>116</v>
      </c>
      <c r="C29" s="6" t="s">
        <v>117</v>
      </c>
      <c r="D29" s="6" t="s">
        <v>118</v>
      </c>
      <c r="E29" s="6">
        <v>157</v>
      </c>
      <c r="F29" s="6" t="s">
        <v>119</v>
      </c>
      <c r="G29" s="5" t="s">
        <v>11</v>
      </c>
      <c r="I29" s="4" t="s">
        <v>47</v>
      </c>
      <c r="J29" s="4" t="s">
        <v>47</v>
      </c>
      <c r="K29" s="4" t="s">
        <v>13</v>
      </c>
      <c r="L29" s="4" t="s">
        <v>13</v>
      </c>
      <c r="M29" s="4" t="s">
        <v>13</v>
      </c>
      <c r="N29" s="4" t="s">
        <v>13</v>
      </c>
      <c r="O29" s="4" t="s">
        <v>13</v>
      </c>
      <c r="P29" s="4" t="s">
        <v>47</v>
      </c>
      <c r="Q29" s="4" t="s">
        <v>13</v>
      </c>
      <c r="R29" s="4" t="s">
        <v>13</v>
      </c>
      <c r="S29" s="4" t="s">
        <v>13</v>
      </c>
      <c r="T29" s="4" t="s">
        <v>47</v>
      </c>
      <c r="U29" s="4" t="s">
        <v>13</v>
      </c>
      <c r="V29" s="4" t="s">
        <v>13</v>
      </c>
      <c r="W29" s="4" t="s">
        <v>47</v>
      </c>
      <c r="X29" s="4" t="s">
        <v>47</v>
      </c>
      <c r="Y29" s="4" t="s">
        <v>47</v>
      </c>
      <c r="Z29" s="4" t="s">
        <v>47</v>
      </c>
    </row>
    <row r="30" spans="1:26" ht="12.75" customHeight="1" outlineLevel="1">
      <c r="A30" s="5" t="s">
        <v>106</v>
      </c>
      <c r="B30" s="6" t="s">
        <v>120</v>
      </c>
      <c r="C30" s="6" t="s">
        <v>121</v>
      </c>
      <c r="D30" s="6" t="s">
        <v>122</v>
      </c>
      <c r="E30" s="6">
        <v>158</v>
      </c>
      <c r="G30" s="5" t="s">
        <v>19</v>
      </c>
      <c r="I30" s="4" t="s">
        <v>47</v>
      </c>
      <c r="J30" s="4" t="s">
        <v>47</v>
      </c>
      <c r="K30" s="4" t="s">
        <v>13</v>
      </c>
      <c r="L30" s="4" t="s">
        <v>13</v>
      </c>
      <c r="M30" s="4" t="s">
        <v>13</v>
      </c>
      <c r="N30" s="4" t="s">
        <v>13</v>
      </c>
      <c r="O30" s="4" t="s">
        <v>13</v>
      </c>
      <c r="P30" s="4" t="s">
        <v>47</v>
      </c>
      <c r="Q30" s="4" t="s">
        <v>13</v>
      </c>
      <c r="R30" s="4" t="s">
        <v>13</v>
      </c>
      <c r="S30" s="4" t="s">
        <v>13</v>
      </c>
      <c r="T30" s="4" t="s">
        <v>47</v>
      </c>
      <c r="U30" s="4" t="s">
        <v>13</v>
      </c>
      <c r="V30" s="4" t="s">
        <v>13</v>
      </c>
      <c r="W30" s="4" t="s">
        <v>47</v>
      </c>
      <c r="X30" s="4" t="s">
        <v>47</v>
      </c>
      <c r="Y30" s="4" t="s">
        <v>47</v>
      </c>
      <c r="Z30" s="4" t="s">
        <v>47</v>
      </c>
    </row>
    <row r="31" spans="1:26" ht="12.75" customHeight="1" outlineLevel="1">
      <c r="A31" s="5" t="s">
        <v>106</v>
      </c>
      <c r="B31" s="6" t="s">
        <v>123</v>
      </c>
      <c r="C31" s="6" t="s">
        <v>124</v>
      </c>
      <c r="D31" s="6" t="s">
        <v>125</v>
      </c>
      <c r="E31" s="6">
        <v>159</v>
      </c>
      <c r="G31" s="5" t="s">
        <v>19</v>
      </c>
      <c r="I31" s="4" t="s">
        <v>47</v>
      </c>
      <c r="J31" s="4" t="s">
        <v>47</v>
      </c>
      <c r="K31" s="4" t="s">
        <v>13</v>
      </c>
      <c r="L31" s="4" t="s">
        <v>13</v>
      </c>
      <c r="M31" s="4" t="s">
        <v>13</v>
      </c>
      <c r="N31" s="4" t="s">
        <v>13</v>
      </c>
      <c r="O31" s="4" t="s">
        <v>13</v>
      </c>
      <c r="P31" s="4" t="s">
        <v>47</v>
      </c>
      <c r="Q31" s="4" t="s">
        <v>13</v>
      </c>
      <c r="R31" s="4" t="s">
        <v>13</v>
      </c>
      <c r="S31" s="4" t="s">
        <v>13</v>
      </c>
      <c r="T31" s="4" t="s">
        <v>47</v>
      </c>
      <c r="U31" s="4" t="s">
        <v>13</v>
      </c>
      <c r="V31" s="4" t="s">
        <v>13</v>
      </c>
      <c r="W31" s="4" t="s">
        <v>47</v>
      </c>
      <c r="X31" s="4" t="s">
        <v>47</v>
      </c>
      <c r="Y31" s="4" t="s">
        <v>47</v>
      </c>
      <c r="Z31" s="4" t="s">
        <v>47</v>
      </c>
    </row>
    <row r="32" spans="1:26" ht="12.75" customHeight="1" outlineLevel="1">
      <c r="A32" s="5" t="s">
        <v>126</v>
      </c>
      <c r="B32" s="6" t="s">
        <v>127</v>
      </c>
      <c r="C32" s="6" t="s">
        <v>128</v>
      </c>
      <c r="D32" s="6" t="s">
        <v>129</v>
      </c>
      <c r="E32" s="6">
        <v>161</v>
      </c>
      <c r="G32" s="5" t="s">
        <v>75</v>
      </c>
      <c r="I32" s="4" t="s">
        <v>13</v>
      </c>
      <c r="J32" s="4" t="s">
        <v>47</v>
      </c>
      <c r="K32" s="4" t="s">
        <v>13</v>
      </c>
      <c r="L32" s="4" t="s">
        <v>13</v>
      </c>
      <c r="M32" s="4" t="s">
        <v>13</v>
      </c>
      <c r="N32" s="4" t="s">
        <v>13</v>
      </c>
      <c r="O32" s="4" t="s">
        <v>13</v>
      </c>
      <c r="P32" s="4" t="s">
        <v>13</v>
      </c>
      <c r="Q32" s="4" t="s">
        <v>47</v>
      </c>
      <c r="R32" s="4" t="s">
        <v>13</v>
      </c>
      <c r="S32" s="4" t="s">
        <v>13</v>
      </c>
      <c r="T32" s="4" t="s">
        <v>47</v>
      </c>
      <c r="U32" s="4" t="s">
        <v>13</v>
      </c>
      <c r="V32" s="4" t="s">
        <v>47</v>
      </c>
      <c r="W32" s="4" t="s">
        <v>47</v>
      </c>
      <c r="X32" s="4" t="s">
        <v>47</v>
      </c>
      <c r="Y32" s="4" t="s">
        <v>47</v>
      </c>
      <c r="Z32" s="4" t="s">
        <v>13</v>
      </c>
    </row>
    <row r="33" spans="1:26" ht="12.75" customHeight="1" outlineLevel="1">
      <c r="A33" s="5" t="s">
        <v>126</v>
      </c>
      <c r="B33" s="6" t="s">
        <v>130</v>
      </c>
      <c r="C33" s="6" t="s">
        <v>131</v>
      </c>
      <c r="D33" s="6" t="s">
        <v>132</v>
      </c>
      <c r="E33" s="6">
        <v>162</v>
      </c>
      <c r="G33" s="5" t="s">
        <v>75</v>
      </c>
      <c r="I33" s="4" t="s">
        <v>13</v>
      </c>
      <c r="J33" s="4" t="s">
        <v>47</v>
      </c>
      <c r="K33" s="4" t="s">
        <v>13</v>
      </c>
      <c r="L33" s="4" t="s">
        <v>13</v>
      </c>
      <c r="M33" s="4" t="s">
        <v>13</v>
      </c>
      <c r="N33" s="4" t="s">
        <v>13</v>
      </c>
      <c r="O33" s="4" t="s">
        <v>13</v>
      </c>
      <c r="P33" s="4" t="s">
        <v>13</v>
      </c>
      <c r="Q33" s="4" t="s">
        <v>47</v>
      </c>
      <c r="R33" s="4" t="s">
        <v>13</v>
      </c>
      <c r="S33" s="4" t="s">
        <v>13</v>
      </c>
      <c r="T33" s="4" t="s">
        <v>47</v>
      </c>
      <c r="U33" s="4" t="s">
        <v>13</v>
      </c>
      <c r="V33" s="4" t="s">
        <v>47</v>
      </c>
      <c r="W33" s="4" t="s">
        <v>47</v>
      </c>
      <c r="X33" s="4" t="s">
        <v>47</v>
      </c>
      <c r="Y33" s="4" t="s">
        <v>47</v>
      </c>
      <c r="Z33" s="4" t="s">
        <v>13</v>
      </c>
    </row>
    <row r="34" spans="1:26" ht="12.75" customHeight="1" outlineLevel="1">
      <c r="A34" s="5" t="s">
        <v>126</v>
      </c>
      <c r="B34" s="6" t="s">
        <v>133</v>
      </c>
      <c r="C34" s="6" t="s">
        <v>134</v>
      </c>
      <c r="D34" s="6" t="s">
        <v>135</v>
      </c>
      <c r="E34" s="6">
        <v>163</v>
      </c>
      <c r="F34" s="5" t="s">
        <v>136</v>
      </c>
      <c r="G34" s="5" t="s">
        <v>11</v>
      </c>
      <c r="I34" s="4" t="s">
        <v>13</v>
      </c>
      <c r="J34" s="4" t="s">
        <v>47</v>
      </c>
      <c r="K34" s="4" t="s">
        <v>13</v>
      </c>
      <c r="L34" s="4" t="s">
        <v>13</v>
      </c>
      <c r="M34" s="4" t="s">
        <v>13</v>
      </c>
      <c r="N34" s="4" t="s">
        <v>13</v>
      </c>
      <c r="O34" s="4" t="s">
        <v>13</v>
      </c>
      <c r="P34" s="4" t="s">
        <v>13</v>
      </c>
      <c r="Q34" s="4" t="s">
        <v>47</v>
      </c>
      <c r="R34" s="4" t="s">
        <v>13</v>
      </c>
      <c r="S34" s="4" t="s">
        <v>13</v>
      </c>
      <c r="T34" s="4" t="s">
        <v>47</v>
      </c>
      <c r="U34" s="4" t="s">
        <v>13</v>
      </c>
      <c r="V34" s="4" t="s">
        <v>47</v>
      </c>
      <c r="W34" s="4" t="s">
        <v>47</v>
      </c>
      <c r="X34" s="4" t="s">
        <v>47</v>
      </c>
      <c r="Y34" s="4" t="s">
        <v>47</v>
      </c>
      <c r="Z34" s="4" t="s">
        <v>13</v>
      </c>
    </row>
    <row r="35" spans="1:26" ht="12.75" customHeight="1" outlineLevel="1">
      <c r="A35" s="5" t="s">
        <v>126</v>
      </c>
      <c r="B35" s="6" t="s">
        <v>137</v>
      </c>
      <c r="C35" s="6" t="s">
        <v>138</v>
      </c>
      <c r="D35" s="6" t="s">
        <v>139</v>
      </c>
      <c r="E35" s="6">
        <v>164</v>
      </c>
      <c r="F35" s="5" t="s">
        <v>140</v>
      </c>
      <c r="G35" s="5" t="s">
        <v>11</v>
      </c>
      <c r="I35" s="4" t="s">
        <v>47</v>
      </c>
      <c r="J35" s="4" t="s">
        <v>47</v>
      </c>
      <c r="K35" s="4" t="s">
        <v>13</v>
      </c>
      <c r="L35" s="4" t="s">
        <v>13</v>
      </c>
      <c r="M35" s="4" t="s">
        <v>13</v>
      </c>
      <c r="N35" s="4" t="s">
        <v>13</v>
      </c>
      <c r="O35" s="4" t="s">
        <v>13</v>
      </c>
      <c r="P35" s="4" t="s">
        <v>13</v>
      </c>
      <c r="Q35" s="4" t="s">
        <v>47</v>
      </c>
      <c r="R35" s="4" t="s">
        <v>13</v>
      </c>
      <c r="S35" s="4" t="s">
        <v>13</v>
      </c>
      <c r="T35" s="4" t="s">
        <v>47</v>
      </c>
      <c r="U35" s="4" t="s">
        <v>13</v>
      </c>
      <c r="V35" s="4" t="s">
        <v>47</v>
      </c>
      <c r="W35" s="4" t="s">
        <v>47</v>
      </c>
      <c r="X35" s="4" t="s">
        <v>47</v>
      </c>
      <c r="Y35" s="4" t="s">
        <v>47</v>
      </c>
      <c r="Z35" s="4" t="s">
        <v>47</v>
      </c>
    </row>
    <row r="36" spans="1:26" ht="12.75" customHeight="1" outlineLevel="1">
      <c r="A36" s="5" t="s">
        <v>126</v>
      </c>
      <c r="B36" s="6" t="s">
        <v>141</v>
      </c>
      <c r="C36" s="6" t="s">
        <v>142</v>
      </c>
      <c r="D36" s="6" t="s">
        <v>143</v>
      </c>
      <c r="E36" s="6">
        <v>165</v>
      </c>
      <c r="G36" s="5" t="s">
        <v>19</v>
      </c>
      <c r="I36" s="4" t="s">
        <v>47</v>
      </c>
      <c r="J36" s="4" t="s">
        <v>47</v>
      </c>
      <c r="K36" s="4" t="s">
        <v>13</v>
      </c>
      <c r="L36" s="4" t="s">
        <v>13</v>
      </c>
      <c r="M36" s="4" t="s">
        <v>13</v>
      </c>
      <c r="N36" s="4" t="s">
        <v>13</v>
      </c>
      <c r="O36" s="4" t="s">
        <v>13</v>
      </c>
      <c r="P36" s="4" t="s">
        <v>13</v>
      </c>
      <c r="Q36" s="4" t="s">
        <v>47</v>
      </c>
      <c r="R36" s="4" t="s">
        <v>13</v>
      </c>
      <c r="S36" s="4" t="s">
        <v>13</v>
      </c>
      <c r="T36" s="4" t="s">
        <v>47</v>
      </c>
      <c r="U36" s="4" t="s">
        <v>13</v>
      </c>
      <c r="V36" s="4" t="s">
        <v>47</v>
      </c>
      <c r="W36" s="4" t="s">
        <v>47</v>
      </c>
      <c r="X36" s="4" t="s">
        <v>47</v>
      </c>
      <c r="Y36" s="4" t="s">
        <v>47</v>
      </c>
      <c r="Z36" s="4" t="s">
        <v>47</v>
      </c>
    </row>
    <row r="37" spans="1:26" ht="12.75" customHeight="1">
      <c r="A37" s="5" t="s">
        <v>126</v>
      </c>
      <c r="B37" s="6" t="s">
        <v>144</v>
      </c>
      <c r="C37" s="6" t="s">
        <v>145</v>
      </c>
      <c r="D37" s="6" t="s">
        <v>146</v>
      </c>
      <c r="E37" s="6">
        <v>166</v>
      </c>
      <c r="G37" s="5" t="s">
        <v>19</v>
      </c>
      <c r="I37" s="4" t="s">
        <v>47</v>
      </c>
      <c r="J37" s="4" t="s">
        <v>47</v>
      </c>
      <c r="K37" s="4" t="s">
        <v>13</v>
      </c>
      <c r="L37" s="4" t="s">
        <v>13</v>
      </c>
      <c r="M37" s="4" t="s">
        <v>13</v>
      </c>
      <c r="N37" s="4" t="s">
        <v>13</v>
      </c>
      <c r="O37" s="4" t="s">
        <v>13</v>
      </c>
      <c r="P37" s="4" t="s">
        <v>13</v>
      </c>
      <c r="Q37" s="4" t="s">
        <v>47</v>
      </c>
      <c r="R37" s="4" t="s">
        <v>13</v>
      </c>
      <c r="S37" s="4" t="s">
        <v>13</v>
      </c>
      <c r="T37" s="4" t="s">
        <v>47</v>
      </c>
      <c r="U37" s="4" t="s">
        <v>13</v>
      </c>
      <c r="V37" s="4" t="s">
        <v>47</v>
      </c>
      <c r="W37" s="4" t="s">
        <v>47</v>
      </c>
      <c r="X37" s="4" t="s">
        <v>47</v>
      </c>
      <c r="Y37" s="4" t="s">
        <v>47</v>
      </c>
      <c r="Z37" s="4" t="s">
        <v>47</v>
      </c>
    </row>
    <row r="38" spans="1:26" ht="12.75" customHeight="1" outlineLevel="1">
      <c r="A38" s="5" t="s">
        <v>150</v>
      </c>
      <c r="B38" s="6" t="s">
        <v>151</v>
      </c>
      <c r="C38" s="6" t="s">
        <v>152</v>
      </c>
      <c r="D38" s="6" t="s">
        <v>153</v>
      </c>
      <c r="E38" s="6">
        <v>240</v>
      </c>
      <c r="G38" s="5" t="s">
        <v>19</v>
      </c>
      <c r="I38" s="4" t="s">
        <v>13</v>
      </c>
      <c r="J38" s="4" t="s">
        <v>13</v>
      </c>
      <c r="K38" s="4" t="s">
        <v>13</v>
      </c>
      <c r="L38" s="4" t="s">
        <v>13</v>
      </c>
      <c r="M38" s="4" t="s">
        <v>13</v>
      </c>
      <c r="N38" s="4" t="s">
        <v>13</v>
      </c>
      <c r="O38" s="4" t="s">
        <v>13</v>
      </c>
      <c r="P38" s="4" t="s">
        <v>13</v>
      </c>
      <c r="Q38" s="4" t="s">
        <v>13</v>
      </c>
      <c r="R38" s="4" t="s">
        <v>13</v>
      </c>
      <c r="S38" s="4" t="s">
        <v>13</v>
      </c>
      <c r="T38" s="4" t="s">
        <v>13</v>
      </c>
      <c r="U38" s="4" t="s">
        <v>13</v>
      </c>
      <c r="V38" s="4" t="s">
        <v>13</v>
      </c>
      <c r="W38" s="4" t="s">
        <v>13</v>
      </c>
      <c r="X38" s="4" t="s">
        <v>13</v>
      </c>
      <c r="Y38" s="4" t="s">
        <v>13</v>
      </c>
      <c r="Z38" s="4" t="s">
        <v>13</v>
      </c>
    </row>
    <row r="39" spans="1:26" ht="12.75" customHeight="1" outlineLevel="1">
      <c r="A39" s="5" t="s">
        <v>150</v>
      </c>
      <c r="B39" s="6" t="s">
        <v>154</v>
      </c>
      <c r="C39" s="6" t="s">
        <v>154</v>
      </c>
      <c r="D39" s="6" t="s">
        <v>154</v>
      </c>
      <c r="E39" s="6">
        <v>267</v>
      </c>
      <c r="G39" s="6" t="s">
        <v>11</v>
      </c>
      <c r="I39" s="4" t="s">
        <v>13</v>
      </c>
      <c r="J39" s="4" t="s">
        <v>13</v>
      </c>
      <c r="K39" s="4" t="s">
        <v>13</v>
      </c>
      <c r="L39" s="4" t="s">
        <v>13</v>
      </c>
      <c r="M39" s="4" t="s">
        <v>13</v>
      </c>
      <c r="N39" s="4" t="s">
        <v>13</v>
      </c>
      <c r="O39" s="4" t="s">
        <v>13</v>
      </c>
      <c r="P39" s="4" t="s">
        <v>13</v>
      </c>
      <c r="Q39" s="4" t="s">
        <v>13</v>
      </c>
      <c r="R39" s="4" t="s">
        <v>13</v>
      </c>
      <c r="S39" s="4" t="s">
        <v>13</v>
      </c>
      <c r="T39" s="4" t="s">
        <v>13</v>
      </c>
      <c r="U39" s="4" t="s">
        <v>13</v>
      </c>
      <c r="V39" s="4" t="s">
        <v>13</v>
      </c>
      <c r="W39" s="4" t="s">
        <v>13</v>
      </c>
      <c r="X39" s="4" t="s">
        <v>13</v>
      </c>
      <c r="Y39" s="4" t="s">
        <v>13</v>
      </c>
      <c r="Z39" s="4" t="s">
        <v>13</v>
      </c>
    </row>
    <row r="40" spans="1:26" ht="12.75" customHeight="1" outlineLevel="1">
      <c r="A40" s="5" t="s">
        <v>150</v>
      </c>
      <c r="B40" s="6" t="s">
        <v>155</v>
      </c>
      <c r="C40" s="6" t="s">
        <v>156</v>
      </c>
      <c r="D40" s="6" t="s">
        <v>157</v>
      </c>
      <c r="E40" s="6">
        <v>390</v>
      </c>
      <c r="G40" s="6" t="s">
        <v>11</v>
      </c>
      <c r="I40" s="4" t="s">
        <v>13</v>
      </c>
      <c r="J40" s="4" t="s">
        <v>13</v>
      </c>
      <c r="K40" s="4" t="s">
        <v>13</v>
      </c>
      <c r="L40" s="4" t="s">
        <v>13</v>
      </c>
      <c r="M40" s="4" t="s">
        <v>13</v>
      </c>
      <c r="N40" s="4" t="s">
        <v>13</v>
      </c>
      <c r="O40" s="4" t="s">
        <v>13</v>
      </c>
      <c r="P40" s="4" t="s">
        <v>13</v>
      </c>
      <c r="Q40" s="4" t="s">
        <v>13</v>
      </c>
      <c r="R40" s="4" t="s">
        <v>13</v>
      </c>
      <c r="S40" s="4" t="s">
        <v>13</v>
      </c>
      <c r="T40" s="4" t="s">
        <v>13</v>
      </c>
      <c r="U40" s="4" t="s">
        <v>13</v>
      </c>
      <c r="V40" s="4" t="s">
        <v>13</v>
      </c>
      <c r="W40" s="4" t="s">
        <v>13</v>
      </c>
      <c r="X40" s="4" t="s">
        <v>13</v>
      </c>
      <c r="Y40" s="4" t="s">
        <v>13</v>
      </c>
      <c r="Z40" s="4" t="s">
        <v>13</v>
      </c>
    </row>
    <row r="41" spans="1:26" ht="12.75" customHeight="1" outlineLevel="1">
      <c r="A41" s="5" t="s">
        <v>150</v>
      </c>
      <c r="B41" s="1" t="s">
        <v>158</v>
      </c>
      <c r="C41" s="6" t="s">
        <v>159</v>
      </c>
      <c r="D41" s="6" t="s">
        <v>160</v>
      </c>
      <c r="E41" s="6">
        <v>268</v>
      </c>
      <c r="G41" s="6" t="s">
        <v>11</v>
      </c>
      <c r="I41" s="4" t="s">
        <v>13</v>
      </c>
      <c r="J41" s="4" t="s">
        <v>13</v>
      </c>
      <c r="K41" s="4" t="s">
        <v>13</v>
      </c>
      <c r="L41" s="4" t="s">
        <v>13</v>
      </c>
      <c r="M41" s="4" t="s">
        <v>13</v>
      </c>
      <c r="N41" s="4" t="s">
        <v>13</v>
      </c>
      <c r="O41" s="4" t="s">
        <v>13</v>
      </c>
      <c r="P41" s="4" t="s">
        <v>13</v>
      </c>
      <c r="Q41" s="4" t="s">
        <v>13</v>
      </c>
      <c r="R41" s="4" t="s">
        <v>13</v>
      </c>
      <c r="S41" s="4" t="s">
        <v>13</v>
      </c>
      <c r="T41" s="4" t="s">
        <v>13</v>
      </c>
      <c r="U41" s="4" t="s">
        <v>13</v>
      </c>
      <c r="V41" s="4" t="s">
        <v>13</v>
      </c>
      <c r="W41" s="4" t="s">
        <v>13</v>
      </c>
      <c r="X41" s="4" t="s">
        <v>13</v>
      </c>
      <c r="Y41" s="4" t="s">
        <v>13</v>
      </c>
      <c r="Z41" s="4" t="s">
        <v>13</v>
      </c>
    </row>
    <row r="42" spans="1:26" ht="12.75" customHeight="1" outlineLevel="1">
      <c r="A42" s="4" t="s">
        <v>391</v>
      </c>
      <c r="B42" s="6" t="s">
        <v>76</v>
      </c>
      <c r="C42" s="6" t="s">
        <v>76</v>
      </c>
      <c r="D42" s="6" t="s">
        <v>76</v>
      </c>
      <c r="F42" s="4"/>
      <c r="G42" s="4"/>
      <c r="H42" s="4"/>
      <c r="I42" s="4" t="s">
        <v>13</v>
      </c>
      <c r="J42" s="4" t="s">
        <v>13</v>
      </c>
      <c r="K42" s="4" t="s">
        <v>13</v>
      </c>
      <c r="L42" s="4" t="s">
        <v>13</v>
      </c>
      <c r="M42" s="4" t="s">
        <v>13</v>
      </c>
      <c r="N42" s="4" t="s">
        <v>13</v>
      </c>
      <c r="O42" s="4" t="s">
        <v>13</v>
      </c>
      <c r="P42" s="4" t="s">
        <v>13</v>
      </c>
      <c r="Q42" s="4" t="s">
        <v>13</v>
      </c>
      <c r="R42" s="4" t="s">
        <v>13</v>
      </c>
      <c r="S42" s="4" t="s">
        <v>13</v>
      </c>
      <c r="T42" s="4" t="s">
        <v>13</v>
      </c>
      <c r="U42" s="4" t="s">
        <v>13</v>
      </c>
      <c r="V42" s="4" t="s">
        <v>13</v>
      </c>
      <c r="W42" s="4" t="s">
        <v>13</v>
      </c>
      <c r="X42" s="4" t="s">
        <v>13</v>
      </c>
      <c r="Y42" s="4" t="s">
        <v>13</v>
      </c>
      <c r="Z42" s="4" t="s">
        <v>13</v>
      </c>
    </row>
    <row r="43" spans="1:26" ht="12.75" customHeight="1" outlineLevel="1">
      <c r="A43" s="4" t="s">
        <v>391</v>
      </c>
      <c r="B43" s="6" t="s">
        <v>77</v>
      </c>
      <c r="C43" s="6" t="s">
        <v>77</v>
      </c>
      <c r="D43" s="6" t="s">
        <v>77</v>
      </c>
      <c r="E43" s="4"/>
      <c r="F43" s="4"/>
      <c r="G43" s="4"/>
      <c r="H43" s="4"/>
      <c r="I43" s="4" t="s">
        <v>13</v>
      </c>
      <c r="J43" s="4" t="s">
        <v>13</v>
      </c>
      <c r="K43" s="4" t="s">
        <v>13</v>
      </c>
      <c r="L43" s="4" t="s">
        <v>13</v>
      </c>
      <c r="M43" s="4" t="s">
        <v>13</v>
      </c>
      <c r="N43" s="4" t="s">
        <v>13</v>
      </c>
      <c r="O43" s="4" t="s">
        <v>13</v>
      </c>
      <c r="P43" s="4" t="s">
        <v>13</v>
      </c>
      <c r="Q43" s="4" t="s">
        <v>13</v>
      </c>
      <c r="R43" s="4" t="s">
        <v>13</v>
      </c>
      <c r="S43" s="4" t="s">
        <v>13</v>
      </c>
      <c r="T43" s="4" t="s">
        <v>13</v>
      </c>
      <c r="U43" s="4" t="s">
        <v>13</v>
      </c>
      <c r="V43" s="4" t="s">
        <v>13</v>
      </c>
      <c r="W43" s="4" t="s">
        <v>13</v>
      </c>
      <c r="X43" s="4" t="s">
        <v>13</v>
      </c>
      <c r="Y43" s="4" t="s">
        <v>13</v>
      </c>
      <c r="Z43" s="4" t="s">
        <v>13</v>
      </c>
    </row>
    <row r="44" spans="1:26" ht="12.75" customHeight="1" outlineLevel="1">
      <c r="A44" s="5" t="s">
        <v>391</v>
      </c>
      <c r="B44" s="6" t="s">
        <v>388</v>
      </c>
      <c r="C44" s="6" t="s">
        <v>388</v>
      </c>
      <c r="D44" s="6" t="s">
        <v>388</v>
      </c>
      <c r="I44" s="4" t="s">
        <v>13</v>
      </c>
      <c r="J44" s="4" t="s">
        <v>13</v>
      </c>
      <c r="K44" s="4" t="s">
        <v>13</v>
      </c>
      <c r="L44" s="4" t="s">
        <v>13</v>
      </c>
      <c r="M44" s="4" t="s">
        <v>13</v>
      </c>
      <c r="N44" s="4" t="s">
        <v>13</v>
      </c>
      <c r="O44" s="4" t="s">
        <v>13</v>
      </c>
      <c r="P44" s="4" t="s">
        <v>13</v>
      </c>
      <c r="Q44" s="4" t="s">
        <v>13</v>
      </c>
      <c r="R44" s="4" t="s">
        <v>13</v>
      </c>
      <c r="S44" s="4" t="s">
        <v>13</v>
      </c>
      <c r="T44" s="4" t="s">
        <v>13</v>
      </c>
      <c r="U44" s="4" t="s">
        <v>13</v>
      </c>
      <c r="V44" s="4" t="s">
        <v>13</v>
      </c>
      <c r="W44" s="4" t="s">
        <v>13</v>
      </c>
      <c r="X44" s="4" t="s">
        <v>13</v>
      </c>
      <c r="Y44" s="4" t="s">
        <v>13</v>
      </c>
      <c r="Z44" s="4" t="s">
        <v>13</v>
      </c>
    </row>
    <row r="45" spans="1:26" ht="12.75" customHeight="1" outlineLevel="1">
      <c r="A45" s="5" t="s">
        <v>391</v>
      </c>
      <c r="B45" s="6" t="s">
        <v>389</v>
      </c>
      <c r="C45" s="6" t="s">
        <v>389</v>
      </c>
      <c r="D45" s="6" t="s">
        <v>389</v>
      </c>
      <c r="I45" s="4" t="s">
        <v>13</v>
      </c>
      <c r="J45" s="4" t="s">
        <v>13</v>
      </c>
      <c r="K45" s="4" t="s">
        <v>13</v>
      </c>
      <c r="L45" s="4" t="s">
        <v>13</v>
      </c>
      <c r="M45" s="4" t="s">
        <v>13</v>
      </c>
      <c r="N45" s="4" t="s">
        <v>13</v>
      </c>
      <c r="O45" s="4" t="s">
        <v>13</v>
      </c>
      <c r="P45" s="4" t="s">
        <v>13</v>
      </c>
      <c r="Q45" s="4" t="s">
        <v>13</v>
      </c>
      <c r="R45" s="4" t="s">
        <v>13</v>
      </c>
      <c r="S45" s="4" t="s">
        <v>13</v>
      </c>
      <c r="T45" s="4" t="s">
        <v>13</v>
      </c>
      <c r="U45" s="4" t="s">
        <v>13</v>
      </c>
      <c r="V45" s="4" t="s">
        <v>13</v>
      </c>
      <c r="W45" s="4" t="s">
        <v>13</v>
      </c>
      <c r="X45" s="4" t="s">
        <v>13</v>
      </c>
      <c r="Y45" s="4" t="s">
        <v>13</v>
      </c>
      <c r="Z45" s="4" t="s">
        <v>13</v>
      </c>
    </row>
    <row r="46" spans="1:26" ht="12.75" customHeight="1" outlineLevel="1">
      <c r="A46" s="5" t="s">
        <v>391</v>
      </c>
      <c r="B46" s="6" t="s">
        <v>390</v>
      </c>
      <c r="C46" s="6" t="s">
        <v>390</v>
      </c>
      <c r="D46" s="6" t="s">
        <v>390</v>
      </c>
      <c r="I46" s="4" t="s">
        <v>13</v>
      </c>
      <c r="J46" s="4" t="s">
        <v>13</v>
      </c>
      <c r="K46" s="4" t="s">
        <v>13</v>
      </c>
      <c r="L46" s="4" t="s">
        <v>13</v>
      </c>
      <c r="M46" s="4" t="s">
        <v>13</v>
      </c>
      <c r="N46" s="4" t="s">
        <v>13</v>
      </c>
      <c r="O46" s="4" t="s">
        <v>13</v>
      </c>
      <c r="P46" s="4" t="s">
        <v>13</v>
      </c>
      <c r="Q46" s="4" t="s">
        <v>13</v>
      </c>
      <c r="R46" s="4" t="s">
        <v>13</v>
      </c>
      <c r="S46" s="4" t="s">
        <v>13</v>
      </c>
      <c r="T46" s="4" t="s">
        <v>13</v>
      </c>
      <c r="U46" s="4" t="s">
        <v>13</v>
      </c>
      <c r="V46" s="4" t="s">
        <v>13</v>
      </c>
      <c r="W46" s="4" t="s">
        <v>13</v>
      </c>
      <c r="X46" s="4" t="s">
        <v>13</v>
      </c>
      <c r="Y46" s="4" t="s">
        <v>13</v>
      </c>
      <c r="Z46" s="4" t="s">
        <v>13</v>
      </c>
    </row>
  </sheetData>
  <autoFilter ref="A1:CJ46"/>
  <pageMargins left="0.74803149606299213" right="0.74803149606299213" top="0.6692913385826772" bottom="0.6692913385826772" header="0.51181102362204722" footer="0.51181102362204722"/>
  <pageSetup paperSize="9" fitToHeight="9" orientation="landscape" r:id="rId1"/>
  <headerFooter alignWithMargins="0">
    <oddFooter>&amp;L&amp;D&amp;C&amp;F&amp;R&amp;P/&amp;N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T683"/>
  <sheetViews>
    <sheetView zoomScaleNormal="100" workbookViewId="0">
      <pane xSplit="1" ySplit="1" topLeftCell="B2" activePane="bottomRight" state="frozen"/>
      <selection pane="topRight" activeCell="F1" sqref="F1"/>
      <selection pane="bottomLeft" activeCell="A15" sqref="A15"/>
      <selection pane="bottomRight" activeCell="B2" sqref="B2"/>
    </sheetView>
  </sheetViews>
  <sheetFormatPr defaultRowHeight="12.75" customHeight="1"/>
  <cols>
    <col min="1" max="1" width="17.42578125" style="10" bestFit="1" customWidth="1"/>
    <col min="2" max="2" width="15.85546875" style="10" customWidth="1"/>
    <col min="3" max="3" width="17.5703125" style="10" customWidth="1"/>
    <col min="4" max="9" width="30.7109375" style="10" customWidth="1"/>
    <col min="10" max="10" width="30.140625" style="10" customWidth="1"/>
    <col min="11" max="11" width="32.42578125" style="10" customWidth="1"/>
    <col min="12" max="12" width="23.85546875" style="10" customWidth="1"/>
    <col min="13" max="13" width="8.7109375" style="10" customWidth="1"/>
    <col min="14" max="14" width="24.42578125" style="10" customWidth="1"/>
    <col min="15" max="15" width="25.7109375" style="10" customWidth="1"/>
    <col min="16" max="16" width="19" style="10" customWidth="1"/>
    <col min="17" max="17" width="24.7109375" style="10" customWidth="1"/>
    <col min="18" max="18" width="29.42578125" style="10" customWidth="1"/>
    <col min="19" max="19" width="12.7109375" style="5" customWidth="1"/>
    <col min="20" max="22" width="8.7109375" style="14" customWidth="1"/>
    <col min="23" max="24" width="12.7109375" style="10" customWidth="1"/>
    <col min="25" max="25" width="15.7109375" style="13" customWidth="1"/>
    <col min="26" max="30" width="15.7109375" style="10" customWidth="1"/>
    <col min="31" max="36" width="22.7109375" style="10" customWidth="1"/>
    <col min="37" max="37" width="15.7109375" style="10" customWidth="1"/>
    <col min="38" max="38" width="15.7109375" style="12" customWidth="1"/>
    <col min="39" max="39" width="15.42578125" style="11" customWidth="1"/>
    <col min="40" max="40" width="18.28515625" style="10" customWidth="1"/>
    <col min="41" max="45" width="25.7109375" style="10" customWidth="1"/>
    <col min="46" max="16384" width="9.140625" style="10"/>
  </cols>
  <sheetData>
    <row r="1" spans="1:45" s="121" customFormat="1" ht="15.75">
      <c r="A1" s="121" t="s">
        <v>8</v>
      </c>
      <c r="B1" s="127" t="s">
        <v>36</v>
      </c>
      <c r="C1" s="121" t="s">
        <v>15</v>
      </c>
      <c r="D1" s="126" t="s">
        <v>20</v>
      </c>
      <c r="E1" s="126" t="s">
        <v>23</v>
      </c>
      <c r="F1" s="126" t="s">
        <v>26</v>
      </c>
      <c r="G1" s="126" t="s">
        <v>29</v>
      </c>
      <c r="H1" s="126" t="s">
        <v>48</v>
      </c>
      <c r="I1" s="126" t="s">
        <v>50</v>
      </c>
      <c r="J1" s="121" t="s">
        <v>40</v>
      </c>
      <c r="K1" s="121" t="s">
        <v>43</v>
      </c>
      <c r="L1" s="121" t="s">
        <v>53</v>
      </c>
      <c r="M1" s="121" t="s">
        <v>56</v>
      </c>
      <c r="N1" s="121" t="s">
        <v>59</v>
      </c>
      <c r="O1" s="121" t="s">
        <v>62</v>
      </c>
      <c r="P1" s="121" t="s">
        <v>65</v>
      </c>
      <c r="Q1" s="121" t="s">
        <v>68</v>
      </c>
      <c r="R1" s="121" t="s">
        <v>72</v>
      </c>
      <c r="S1" s="126" t="s">
        <v>79</v>
      </c>
      <c r="T1" s="125" t="s">
        <v>82</v>
      </c>
      <c r="U1" s="125" t="s">
        <v>86</v>
      </c>
      <c r="V1" s="125" t="s">
        <v>89</v>
      </c>
      <c r="W1" s="121" t="s">
        <v>92</v>
      </c>
      <c r="X1" s="121" t="s">
        <v>95</v>
      </c>
      <c r="Y1" s="124" t="s">
        <v>101</v>
      </c>
      <c r="Z1" s="121" t="s">
        <v>3786</v>
      </c>
      <c r="AA1" s="121" t="s">
        <v>3785</v>
      </c>
      <c r="AB1" s="121" t="s">
        <v>116</v>
      </c>
      <c r="AC1" s="121" t="s">
        <v>120</v>
      </c>
      <c r="AD1" s="121" t="s">
        <v>123</v>
      </c>
      <c r="AE1" s="121" t="s">
        <v>127</v>
      </c>
      <c r="AF1" s="121" t="s">
        <v>130</v>
      </c>
      <c r="AG1" s="121" t="s">
        <v>133</v>
      </c>
      <c r="AH1" s="121" t="s">
        <v>137</v>
      </c>
      <c r="AI1" s="121" t="s">
        <v>141</v>
      </c>
      <c r="AJ1" s="121" t="s">
        <v>144</v>
      </c>
      <c r="AK1" s="121" t="s">
        <v>151</v>
      </c>
      <c r="AL1" s="123" t="s">
        <v>154</v>
      </c>
      <c r="AM1" s="122" t="s">
        <v>155</v>
      </c>
      <c r="AN1" s="121" t="s">
        <v>158</v>
      </c>
      <c r="AO1" s="121" t="s">
        <v>76</v>
      </c>
      <c r="AP1" s="121" t="s">
        <v>77</v>
      </c>
      <c r="AQ1" s="121" t="s">
        <v>388</v>
      </c>
      <c r="AR1" s="121" t="s">
        <v>389</v>
      </c>
      <c r="AS1" s="121" t="s">
        <v>390</v>
      </c>
    </row>
    <row r="2" spans="1:45" s="5" customFormat="1" ht="12.75" customHeight="1">
      <c r="A2" s="32" t="s">
        <v>3784</v>
      </c>
      <c r="B2" s="6" t="s">
        <v>396</v>
      </c>
      <c r="C2" s="31" t="s">
        <v>403</v>
      </c>
      <c r="D2" s="5" t="s">
        <v>3779</v>
      </c>
      <c r="E2" s="6" t="s">
        <v>3779</v>
      </c>
      <c r="F2" s="27" t="s">
        <v>3770</v>
      </c>
      <c r="G2" s="27" t="s">
        <v>3769</v>
      </c>
      <c r="H2" s="6" t="s">
        <v>3709</v>
      </c>
      <c r="I2" s="6" t="s">
        <v>3708</v>
      </c>
      <c r="J2" s="6" t="s">
        <v>3779</v>
      </c>
      <c r="K2" s="6" t="s">
        <v>3779</v>
      </c>
      <c r="L2" t="s">
        <v>555</v>
      </c>
      <c r="M2" s="6" t="s">
        <v>3717</v>
      </c>
      <c r="N2" s="6" t="s">
        <v>3695</v>
      </c>
      <c r="O2" s="6" t="s">
        <v>3694</v>
      </c>
      <c r="P2" s="6" t="s">
        <v>479</v>
      </c>
      <c r="Q2" t="s">
        <v>555</v>
      </c>
      <c r="R2" s="6"/>
      <c r="S2" s="27" t="s">
        <v>396</v>
      </c>
      <c r="T2" s="27" t="s">
        <v>396</v>
      </c>
      <c r="U2" s="27" t="s">
        <v>396</v>
      </c>
      <c r="V2" s="27" t="s">
        <v>396</v>
      </c>
      <c r="W2" s="27" t="s">
        <v>396</v>
      </c>
      <c r="X2" s="27" t="s">
        <v>396</v>
      </c>
      <c r="Y2" s="27" t="s">
        <v>396</v>
      </c>
      <c r="Z2" s="39">
        <v>0.34</v>
      </c>
      <c r="AA2" s="27" t="s">
        <v>396</v>
      </c>
      <c r="AB2" s="6" t="s">
        <v>396</v>
      </c>
      <c r="AC2" s="6" t="s">
        <v>396</v>
      </c>
      <c r="AD2" s="6" t="s">
        <v>396</v>
      </c>
      <c r="AE2" s="6">
        <v>6</v>
      </c>
      <c r="AF2" s="27" t="s">
        <v>399</v>
      </c>
      <c r="AG2" s="27" t="s">
        <v>399</v>
      </c>
      <c r="AH2" s="6" t="s">
        <v>396</v>
      </c>
      <c r="AI2" s="6" t="s">
        <v>396</v>
      </c>
      <c r="AJ2" s="6" t="s">
        <v>396</v>
      </c>
      <c r="AK2" s="6" t="s">
        <v>927</v>
      </c>
      <c r="AL2" s="17">
        <v>3496252011302</v>
      </c>
      <c r="AM2" s="15" t="s">
        <v>927</v>
      </c>
      <c r="AN2" s="5">
        <v>25202000</v>
      </c>
      <c r="AO2" s="6" t="s">
        <v>3706</v>
      </c>
      <c r="AP2" s="6" t="s">
        <v>3705</v>
      </c>
      <c r="AQ2" s="6" t="s">
        <v>3783</v>
      </c>
      <c r="AR2" s="6" t="s">
        <v>3782</v>
      </c>
      <c r="AS2" s="6" t="s">
        <v>3781</v>
      </c>
    </row>
    <row r="3" spans="1:45" s="5" customFormat="1" ht="12.75" customHeight="1">
      <c r="A3" s="32" t="s">
        <v>3780</v>
      </c>
      <c r="B3" s="6" t="s">
        <v>396</v>
      </c>
      <c r="C3" s="31" t="s">
        <v>403</v>
      </c>
      <c r="D3" s="5" t="s">
        <v>3779</v>
      </c>
      <c r="E3" s="6" t="s">
        <v>3779</v>
      </c>
      <c r="F3" s="27" t="s">
        <v>3770</v>
      </c>
      <c r="G3" s="27" t="s">
        <v>3769</v>
      </c>
      <c r="H3" s="6" t="s">
        <v>3709</v>
      </c>
      <c r="I3" s="6" t="s">
        <v>3708</v>
      </c>
      <c r="J3" s="6" t="s">
        <v>3779</v>
      </c>
      <c r="K3" s="6" t="s">
        <v>3779</v>
      </c>
      <c r="L3" t="s">
        <v>555</v>
      </c>
      <c r="M3" s="6" t="s">
        <v>3717</v>
      </c>
      <c r="N3" s="6" t="s">
        <v>3695</v>
      </c>
      <c r="O3" s="6" t="s">
        <v>3694</v>
      </c>
      <c r="P3" s="6" t="s">
        <v>479</v>
      </c>
      <c r="Q3" t="s">
        <v>555</v>
      </c>
      <c r="R3" s="6"/>
      <c r="S3" s="27" t="s">
        <v>396</v>
      </c>
      <c r="T3" s="27" t="s">
        <v>396</v>
      </c>
      <c r="U3" s="27" t="s">
        <v>396</v>
      </c>
      <c r="V3" s="27" t="s">
        <v>396</v>
      </c>
      <c r="W3" s="27" t="s">
        <v>396</v>
      </c>
      <c r="X3" s="27" t="s">
        <v>396</v>
      </c>
      <c r="Y3" s="27" t="s">
        <v>396</v>
      </c>
      <c r="Z3" s="39">
        <v>0.34</v>
      </c>
      <c r="AA3" s="27" t="s">
        <v>396</v>
      </c>
      <c r="AB3" s="6" t="s">
        <v>396</v>
      </c>
      <c r="AC3" s="6" t="s">
        <v>396</v>
      </c>
      <c r="AD3" s="6" t="s">
        <v>396</v>
      </c>
      <c r="AE3" s="6">
        <v>6</v>
      </c>
      <c r="AF3" s="27" t="s">
        <v>399</v>
      </c>
      <c r="AG3" s="27" t="s">
        <v>399</v>
      </c>
      <c r="AH3" s="6" t="s">
        <v>396</v>
      </c>
      <c r="AI3" s="6" t="s">
        <v>396</v>
      </c>
      <c r="AJ3" s="6" t="s">
        <v>396</v>
      </c>
      <c r="AK3" s="6" t="s">
        <v>3742</v>
      </c>
      <c r="AL3" s="17">
        <v>3496252011388</v>
      </c>
      <c r="AM3" s="15" t="s">
        <v>3742</v>
      </c>
      <c r="AN3" s="5">
        <v>25202000</v>
      </c>
      <c r="AO3" s="6" t="s">
        <v>3706</v>
      </c>
      <c r="AP3" s="6" t="s">
        <v>3705</v>
      </c>
      <c r="AQ3" s="6" t="s">
        <v>3778</v>
      </c>
      <c r="AR3" s="6" t="s">
        <v>3777</v>
      </c>
      <c r="AS3" s="6" t="s">
        <v>3776</v>
      </c>
    </row>
    <row r="4" spans="1:45" s="5" customFormat="1" ht="12.75" customHeight="1">
      <c r="A4" s="32" t="s">
        <v>3775</v>
      </c>
      <c r="B4" s="6" t="s">
        <v>396</v>
      </c>
      <c r="C4" s="31" t="s">
        <v>403</v>
      </c>
      <c r="D4" s="5" t="s">
        <v>3768</v>
      </c>
      <c r="E4" s="6" t="s">
        <v>3768</v>
      </c>
      <c r="F4" s="27" t="s">
        <v>3770</v>
      </c>
      <c r="G4" s="27" t="s">
        <v>3769</v>
      </c>
      <c r="H4" s="6" t="s">
        <v>3709</v>
      </c>
      <c r="I4" s="6" t="s">
        <v>3708</v>
      </c>
      <c r="J4" s="6" t="s">
        <v>3768</v>
      </c>
      <c r="K4" s="6" t="s">
        <v>3768</v>
      </c>
      <c r="L4" t="s">
        <v>555</v>
      </c>
      <c r="M4" s="6" t="s">
        <v>3717</v>
      </c>
      <c r="N4" s="6" t="s">
        <v>3695</v>
      </c>
      <c r="O4" s="6" t="s">
        <v>3694</v>
      </c>
      <c r="P4" s="6" t="s">
        <v>479</v>
      </c>
      <c r="Q4" t="s">
        <v>555</v>
      </c>
      <c r="R4" s="6"/>
      <c r="S4" s="27" t="s">
        <v>396</v>
      </c>
      <c r="T4" s="27" t="s">
        <v>396</v>
      </c>
      <c r="U4" s="27" t="s">
        <v>396</v>
      </c>
      <c r="V4" s="27" t="s">
        <v>396</v>
      </c>
      <c r="W4" s="27" t="s">
        <v>396</v>
      </c>
      <c r="X4" s="27" t="s">
        <v>396</v>
      </c>
      <c r="Y4" s="27" t="s">
        <v>396</v>
      </c>
      <c r="Z4" s="39">
        <v>0.34</v>
      </c>
      <c r="AA4" s="27" t="s">
        <v>396</v>
      </c>
      <c r="AB4" s="6" t="s">
        <v>396</v>
      </c>
      <c r="AC4" s="6" t="s">
        <v>396</v>
      </c>
      <c r="AD4" s="6" t="s">
        <v>396</v>
      </c>
      <c r="AE4" s="6">
        <v>6</v>
      </c>
      <c r="AF4" s="27" t="s">
        <v>399</v>
      </c>
      <c r="AG4" s="27" t="s">
        <v>399</v>
      </c>
      <c r="AH4" s="6" t="s">
        <v>396</v>
      </c>
      <c r="AI4" s="6" t="s">
        <v>396</v>
      </c>
      <c r="AJ4" s="6" t="s">
        <v>396</v>
      </c>
      <c r="AK4" s="6" t="s">
        <v>927</v>
      </c>
      <c r="AL4" s="17">
        <v>3496252010237</v>
      </c>
      <c r="AM4" s="15" t="s">
        <v>927</v>
      </c>
      <c r="AN4" s="5">
        <v>25202000</v>
      </c>
      <c r="AO4" s="6" t="s">
        <v>3706</v>
      </c>
      <c r="AP4" s="6" t="s">
        <v>3705</v>
      </c>
      <c r="AQ4" s="6" t="s">
        <v>3774</v>
      </c>
      <c r="AR4" s="6" t="s">
        <v>3773</v>
      </c>
      <c r="AS4" s="6" t="s">
        <v>3772</v>
      </c>
    </row>
    <row r="5" spans="1:45" s="5" customFormat="1" ht="12.75" customHeight="1">
      <c r="A5" s="32" t="s">
        <v>3771</v>
      </c>
      <c r="B5" s="6" t="s">
        <v>396</v>
      </c>
      <c r="C5" s="31" t="s">
        <v>403</v>
      </c>
      <c r="D5" s="5" t="s">
        <v>3768</v>
      </c>
      <c r="E5" s="6" t="s">
        <v>3768</v>
      </c>
      <c r="F5" s="27" t="s">
        <v>3770</v>
      </c>
      <c r="G5" s="27" t="s">
        <v>3769</v>
      </c>
      <c r="H5" s="6" t="s">
        <v>3709</v>
      </c>
      <c r="I5" s="6" t="s">
        <v>3708</v>
      </c>
      <c r="J5" s="6" t="s">
        <v>3768</v>
      </c>
      <c r="K5" s="6" t="s">
        <v>3768</v>
      </c>
      <c r="L5" t="s">
        <v>555</v>
      </c>
      <c r="M5" s="6" t="s">
        <v>3717</v>
      </c>
      <c r="N5" s="6" t="s">
        <v>3695</v>
      </c>
      <c r="O5" s="6" t="s">
        <v>3694</v>
      </c>
      <c r="P5" s="6" t="s">
        <v>479</v>
      </c>
      <c r="Q5" t="s">
        <v>555</v>
      </c>
      <c r="R5" s="6"/>
      <c r="S5" s="27" t="s">
        <v>396</v>
      </c>
      <c r="T5" s="27" t="s">
        <v>396</v>
      </c>
      <c r="U5" s="27" t="s">
        <v>396</v>
      </c>
      <c r="V5" s="27" t="s">
        <v>396</v>
      </c>
      <c r="W5" s="27" t="s">
        <v>396</v>
      </c>
      <c r="X5" s="27" t="s">
        <v>396</v>
      </c>
      <c r="Y5" s="27" t="s">
        <v>396</v>
      </c>
      <c r="Z5" s="39">
        <v>0.34</v>
      </c>
      <c r="AA5" s="27" t="s">
        <v>396</v>
      </c>
      <c r="AB5" s="6" t="s">
        <v>396</v>
      </c>
      <c r="AC5" s="6" t="s">
        <v>396</v>
      </c>
      <c r="AD5" s="6" t="s">
        <v>396</v>
      </c>
      <c r="AE5" s="6">
        <v>6</v>
      </c>
      <c r="AF5" s="27" t="s">
        <v>399</v>
      </c>
      <c r="AG5" s="27" t="s">
        <v>399</v>
      </c>
      <c r="AH5" s="6" t="s">
        <v>396</v>
      </c>
      <c r="AI5" s="6" t="s">
        <v>396</v>
      </c>
      <c r="AJ5" s="6" t="s">
        <v>396</v>
      </c>
      <c r="AK5" s="6" t="s">
        <v>3742</v>
      </c>
      <c r="AL5" s="17">
        <v>3496252011364</v>
      </c>
      <c r="AM5" s="15" t="s">
        <v>3742</v>
      </c>
      <c r="AN5" s="5">
        <v>25202010</v>
      </c>
      <c r="AO5" s="6" t="s">
        <v>3706</v>
      </c>
      <c r="AP5" s="6" t="s">
        <v>3705</v>
      </c>
      <c r="AQ5" s="6" t="s">
        <v>3767</v>
      </c>
      <c r="AR5" s="6" t="s">
        <v>3766</v>
      </c>
      <c r="AS5" s="6" t="s">
        <v>3765</v>
      </c>
    </row>
    <row r="6" spans="1:45" s="5" customFormat="1" ht="12.75" customHeight="1">
      <c r="A6" s="32" t="s">
        <v>3764</v>
      </c>
      <c r="B6" s="6" t="s">
        <v>396</v>
      </c>
      <c r="C6" s="31" t="s">
        <v>403</v>
      </c>
      <c r="D6" s="5" t="s">
        <v>3757</v>
      </c>
      <c r="E6" s="6" t="s">
        <v>3757</v>
      </c>
      <c r="F6" s="27" t="s">
        <v>3759</v>
      </c>
      <c r="G6" s="27" t="s">
        <v>3758</v>
      </c>
      <c r="H6" s="6" t="s">
        <v>3709</v>
      </c>
      <c r="I6" s="6" t="s">
        <v>3708</v>
      </c>
      <c r="J6" s="6" t="s">
        <v>3757</v>
      </c>
      <c r="K6" s="6" t="s">
        <v>3757</v>
      </c>
      <c r="L6" t="s">
        <v>555</v>
      </c>
      <c r="M6" s="6" t="s">
        <v>3717</v>
      </c>
      <c r="N6" s="6" t="s">
        <v>3695</v>
      </c>
      <c r="O6" s="6" t="s">
        <v>3694</v>
      </c>
      <c r="P6" s="6" t="s">
        <v>479</v>
      </c>
      <c r="Q6" t="s">
        <v>555</v>
      </c>
      <c r="R6" s="6"/>
      <c r="S6" s="27" t="s">
        <v>396</v>
      </c>
      <c r="T6" s="27" t="s">
        <v>396</v>
      </c>
      <c r="U6" s="27" t="s">
        <v>396</v>
      </c>
      <c r="V6" s="27" t="s">
        <v>396</v>
      </c>
      <c r="W6" s="27" t="s">
        <v>396</v>
      </c>
      <c r="X6" s="27" t="s">
        <v>396</v>
      </c>
      <c r="Y6" s="27" t="s">
        <v>396</v>
      </c>
      <c r="Z6" s="39">
        <v>0.34</v>
      </c>
      <c r="AA6" s="27" t="s">
        <v>396</v>
      </c>
      <c r="AB6" s="6" t="s">
        <v>396</v>
      </c>
      <c r="AC6" s="6" t="s">
        <v>396</v>
      </c>
      <c r="AD6" s="6" t="s">
        <v>396</v>
      </c>
      <c r="AE6" s="6">
        <v>6</v>
      </c>
      <c r="AF6" s="27" t="s">
        <v>399</v>
      </c>
      <c r="AG6" s="27" t="s">
        <v>399</v>
      </c>
      <c r="AH6" s="6" t="s">
        <v>396</v>
      </c>
      <c r="AI6" s="6" t="s">
        <v>396</v>
      </c>
      <c r="AJ6" s="6" t="s">
        <v>396</v>
      </c>
      <c r="AK6" s="6" t="s">
        <v>927</v>
      </c>
      <c r="AL6" s="17">
        <v>3496250207165</v>
      </c>
      <c r="AM6" s="15" t="s">
        <v>927</v>
      </c>
      <c r="AN6" s="5">
        <v>25202000</v>
      </c>
      <c r="AO6" s="6" t="s">
        <v>3706</v>
      </c>
      <c r="AP6" s="6" t="s">
        <v>3705</v>
      </c>
      <c r="AQ6" s="6" t="s">
        <v>3763</v>
      </c>
      <c r="AR6" s="6" t="s">
        <v>3762</v>
      </c>
      <c r="AS6" s="6" t="s">
        <v>3761</v>
      </c>
    </row>
    <row r="7" spans="1:45" s="5" customFormat="1" ht="12.75" customHeight="1">
      <c r="A7" s="32" t="s">
        <v>3760</v>
      </c>
      <c r="B7" s="6" t="s">
        <v>396</v>
      </c>
      <c r="C7" s="31" t="s">
        <v>403</v>
      </c>
      <c r="D7" s="5" t="s">
        <v>3757</v>
      </c>
      <c r="E7" s="6" t="s">
        <v>3757</v>
      </c>
      <c r="F7" s="27" t="s">
        <v>3759</v>
      </c>
      <c r="G7" s="27" t="s">
        <v>3758</v>
      </c>
      <c r="H7" s="6" t="s">
        <v>3709</v>
      </c>
      <c r="I7" s="6" t="s">
        <v>3708</v>
      </c>
      <c r="J7" s="6" t="s">
        <v>3757</v>
      </c>
      <c r="K7" s="6" t="s">
        <v>3757</v>
      </c>
      <c r="L7" t="s">
        <v>555</v>
      </c>
      <c r="M7" s="6" t="s">
        <v>3717</v>
      </c>
      <c r="N7" s="6" t="s">
        <v>3695</v>
      </c>
      <c r="O7" s="6" t="s">
        <v>3694</v>
      </c>
      <c r="P7" s="6" t="s">
        <v>479</v>
      </c>
      <c r="Q7" t="s">
        <v>555</v>
      </c>
      <c r="R7" s="6"/>
      <c r="S7" s="27" t="s">
        <v>396</v>
      </c>
      <c r="T7" s="27" t="s">
        <v>396</v>
      </c>
      <c r="U7" s="27" t="s">
        <v>396</v>
      </c>
      <c r="V7" s="27" t="s">
        <v>396</v>
      </c>
      <c r="W7" s="27" t="s">
        <v>396</v>
      </c>
      <c r="X7" s="27" t="s">
        <v>396</v>
      </c>
      <c r="Y7" s="27" t="s">
        <v>396</v>
      </c>
      <c r="Z7" s="39">
        <v>0.34</v>
      </c>
      <c r="AA7" s="27" t="s">
        <v>396</v>
      </c>
      <c r="AB7" s="6" t="s">
        <v>396</v>
      </c>
      <c r="AC7" s="6" t="s">
        <v>396</v>
      </c>
      <c r="AD7" s="6" t="s">
        <v>396</v>
      </c>
      <c r="AE7" s="6">
        <v>6</v>
      </c>
      <c r="AF7" s="27" t="s">
        <v>399</v>
      </c>
      <c r="AG7" s="27" t="s">
        <v>399</v>
      </c>
      <c r="AH7" s="6" t="s">
        <v>396</v>
      </c>
      <c r="AI7" s="6" t="s">
        <v>396</v>
      </c>
      <c r="AJ7" s="6" t="s">
        <v>396</v>
      </c>
      <c r="AK7" s="6" t="s">
        <v>3742</v>
      </c>
      <c r="AL7" s="17">
        <v>3496250247314</v>
      </c>
      <c r="AM7" s="15" t="s">
        <v>3742</v>
      </c>
      <c r="AN7" s="5">
        <v>25202000</v>
      </c>
      <c r="AO7" s="6" t="s">
        <v>3706</v>
      </c>
      <c r="AP7" s="6" t="s">
        <v>3705</v>
      </c>
      <c r="AQ7" s="6" t="s">
        <v>3756</v>
      </c>
      <c r="AR7" s="6" t="s">
        <v>3755</v>
      </c>
      <c r="AS7" s="6" t="s">
        <v>3754</v>
      </c>
    </row>
    <row r="8" spans="1:45" s="5" customFormat="1" ht="12.75" customHeight="1">
      <c r="A8" s="32" t="s">
        <v>3753</v>
      </c>
      <c r="B8" s="32" t="s">
        <v>3752</v>
      </c>
      <c r="C8" s="31" t="s">
        <v>403</v>
      </c>
      <c r="D8" s="5" t="s">
        <v>3743</v>
      </c>
      <c r="E8" s="6" t="s">
        <v>3743</v>
      </c>
      <c r="F8" s="27" t="s">
        <v>3747</v>
      </c>
      <c r="G8" s="27" t="s">
        <v>3746</v>
      </c>
      <c r="H8" s="5" t="s">
        <v>3745</v>
      </c>
      <c r="I8" s="6" t="s">
        <v>3744</v>
      </c>
      <c r="J8" s="6" t="s">
        <v>3743</v>
      </c>
      <c r="K8" s="6" t="s">
        <v>3743</v>
      </c>
      <c r="L8" t="s">
        <v>555</v>
      </c>
      <c r="M8" s="6" t="s">
        <v>3696</v>
      </c>
      <c r="N8" s="6" t="s">
        <v>3695</v>
      </c>
      <c r="O8" s="6" t="s">
        <v>3694</v>
      </c>
      <c r="P8" s="6" t="s">
        <v>479</v>
      </c>
      <c r="Q8" t="s">
        <v>555</v>
      </c>
      <c r="R8" s="6"/>
      <c r="S8" s="27" t="s">
        <v>396</v>
      </c>
      <c r="T8" s="27" t="s">
        <v>396</v>
      </c>
      <c r="U8" s="27" t="s">
        <v>396</v>
      </c>
      <c r="V8" s="27" t="s">
        <v>396</v>
      </c>
      <c r="W8" s="27" t="s">
        <v>396</v>
      </c>
      <c r="X8" s="27" t="s">
        <v>396</v>
      </c>
      <c r="Y8" s="27" t="s">
        <v>396</v>
      </c>
      <c r="Z8" s="39">
        <v>0.34</v>
      </c>
      <c r="AA8" s="27" t="s">
        <v>396</v>
      </c>
      <c r="AB8" s="6" t="s">
        <v>396</v>
      </c>
      <c r="AC8" s="6" t="s">
        <v>396</v>
      </c>
      <c r="AD8" s="6" t="s">
        <v>396</v>
      </c>
      <c r="AE8" s="36">
        <v>6</v>
      </c>
      <c r="AF8" s="27" t="s">
        <v>399</v>
      </c>
      <c r="AG8" s="27" t="s">
        <v>399</v>
      </c>
      <c r="AH8" s="6" t="s">
        <v>396</v>
      </c>
      <c r="AI8" s="6" t="s">
        <v>396</v>
      </c>
      <c r="AJ8" s="6" t="s">
        <v>396</v>
      </c>
      <c r="AK8" s="6" t="s">
        <v>927</v>
      </c>
      <c r="AL8" s="17">
        <v>5413218563178</v>
      </c>
      <c r="AM8" s="15" t="s">
        <v>927</v>
      </c>
      <c r="AN8" s="5">
        <v>25202000</v>
      </c>
      <c r="AO8" s="6" t="s">
        <v>3741</v>
      </c>
      <c r="AP8" s="6" t="s">
        <v>3740</v>
      </c>
      <c r="AQ8" s="6" t="s">
        <v>3751</v>
      </c>
      <c r="AR8" s="6" t="s">
        <v>3750</v>
      </c>
      <c r="AS8" s="6" t="s">
        <v>3749</v>
      </c>
    </row>
    <row r="9" spans="1:45" s="5" customFormat="1" ht="12.75" customHeight="1">
      <c r="A9" s="32" t="s">
        <v>3748</v>
      </c>
      <c r="B9" s="32" t="s">
        <v>3748</v>
      </c>
      <c r="C9" s="31" t="s">
        <v>403</v>
      </c>
      <c r="D9" s="5" t="s">
        <v>3743</v>
      </c>
      <c r="E9" s="6" t="s">
        <v>3743</v>
      </c>
      <c r="F9" s="27" t="s">
        <v>3747</v>
      </c>
      <c r="G9" s="27" t="s">
        <v>3746</v>
      </c>
      <c r="H9" s="5" t="s">
        <v>3745</v>
      </c>
      <c r="I9" s="6" t="s">
        <v>3744</v>
      </c>
      <c r="J9" s="6" t="s">
        <v>3743</v>
      </c>
      <c r="K9" s="6" t="s">
        <v>3743</v>
      </c>
      <c r="L9" t="s">
        <v>555</v>
      </c>
      <c r="M9" s="6" t="s">
        <v>3696</v>
      </c>
      <c r="N9" s="6" t="s">
        <v>3695</v>
      </c>
      <c r="O9" s="6" t="s">
        <v>3694</v>
      </c>
      <c r="P9" s="6" t="s">
        <v>479</v>
      </c>
      <c r="Q9" t="s">
        <v>555</v>
      </c>
      <c r="R9" s="6"/>
      <c r="S9" s="27" t="s">
        <v>396</v>
      </c>
      <c r="T9" s="27" t="s">
        <v>396</v>
      </c>
      <c r="U9" s="27" t="s">
        <v>396</v>
      </c>
      <c r="V9" s="27" t="s">
        <v>396</v>
      </c>
      <c r="W9" s="27" t="s">
        <v>396</v>
      </c>
      <c r="X9" s="27" t="s">
        <v>396</v>
      </c>
      <c r="Y9" s="27" t="s">
        <v>396</v>
      </c>
      <c r="Z9" s="39">
        <v>0.34</v>
      </c>
      <c r="AA9" s="27" t="s">
        <v>396</v>
      </c>
      <c r="AB9" s="6" t="s">
        <v>396</v>
      </c>
      <c r="AC9" s="6" t="s">
        <v>396</v>
      </c>
      <c r="AD9" s="6" t="s">
        <v>396</v>
      </c>
      <c r="AE9" s="36">
        <v>6</v>
      </c>
      <c r="AF9" s="27" t="s">
        <v>399</v>
      </c>
      <c r="AG9" s="27" t="s">
        <v>399</v>
      </c>
      <c r="AH9" s="6" t="s">
        <v>396</v>
      </c>
      <c r="AI9" s="6" t="s">
        <v>396</v>
      </c>
      <c r="AJ9" s="6" t="s">
        <v>396</v>
      </c>
      <c r="AK9" s="6" t="s">
        <v>3742</v>
      </c>
      <c r="AL9" s="17">
        <v>5413218565875</v>
      </c>
      <c r="AM9" s="15" t="s">
        <v>3742</v>
      </c>
      <c r="AN9" s="5">
        <v>25202000</v>
      </c>
      <c r="AO9" s="6" t="s">
        <v>3741</v>
      </c>
      <c r="AP9" s="6" t="s">
        <v>3740</v>
      </c>
      <c r="AQ9" s="6" t="s">
        <v>3739</v>
      </c>
      <c r="AR9" s="6" t="s">
        <v>3738</v>
      </c>
      <c r="AS9" s="6" t="s">
        <v>3737</v>
      </c>
    </row>
    <row r="10" spans="1:45" s="5" customFormat="1" ht="12.75" customHeight="1">
      <c r="A10" s="32" t="s">
        <v>3736</v>
      </c>
      <c r="B10" s="6" t="s">
        <v>396</v>
      </c>
      <c r="C10" s="31" t="s">
        <v>403</v>
      </c>
      <c r="D10" s="5" t="s">
        <v>3733</v>
      </c>
      <c r="E10" s="6" t="s">
        <v>3733</v>
      </c>
      <c r="F10" s="27" t="s">
        <v>3735</v>
      </c>
      <c r="G10" s="27" t="s">
        <v>3734</v>
      </c>
      <c r="H10" s="6" t="s">
        <v>3699</v>
      </c>
      <c r="I10" s="6" t="s">
        <v>3698</v>
      </c>
      <c r="J10" s="6" t="s">
        <v>3733</v>
      </c>
      <c r="K10" s="6" t="s">
        <v>3733</v>
      </c>
      <c r="L10" t="s">
        <v>555</v>
      </c>
      <c r="M10" s="6" t="s">
        <v>3696</v>
      </c>
      <c r="N10" s="6" t="s">
        <v>3695</v>
      </c>
      <c r="O10" s="6" t="s">
        <v>3694</v>
      </c>
      <c r="P10" s="6" t="s">
        <v>479</v>
      </c>
      <c r="Q10" t="s">
        <v>555</v>
      </c>
      <c r="R10" s="6"/>
      <c r="S10" s="27" t="s">
        <v>396</v>
      </c>
      <c r="T10" s="27" t="s">
        <v>396</v>
      </c>
      <c r="U10" s="27" t="s">
        <v>396</v>
      </c>
      <c r="V10" s="27" t="s">
        <v>396</v>
      </c>
      <c r="W10" s="27" t="s">
        <v>396</v>
      </c>
      <c r="X10" s="27" t="s">
        <v>396</v>
      </c>
      <c r="Y10" s="27" t="s">
        <v>396</v>
      </c>
      <c r="Z10" s="39">
        <v>0.34</v>
      </c>
      <c r="AA10" s="27" t="s">
        <v>396</v>
      </c>
      <c r="AB10" s="6" t="s">
        <v>396</v>
      </c>
      <c r="AC10" s="6" t="s">
        <v>396</v>
      </c>
      <c r="AD10" s="6" t="s">
        <v>396</v>
      </c>
      <c r="AE10" s="36">
        <v>6</v>
      </c>
      <c r="AF10" s="27" t="s">
        <v>399</v>
      </c>
      <c r="AG10" s="27" t="s">
        <v>399</v>
      </c>
      <c r="AH10" s="6" t="s">
        <v>396</v>
      </c>
      <c r="AI10" s="6" t="s">
        <v>396</v>
      </c>
      <c r="AJ10" s="6" t="s">
        <v>396</v>
      </c>
      <c r="AK10" s="6" t="s">
        <v>927</v>
      </c>
      <c r="AL10" s="17">
        <v>3496252009989</v>
      </c>
      <c r="AM10" s="15" t="s">
        <v>927</v>
      </c>
      <c r="AN10" s="5">
        <v>25202010</v>
      </c>
      <c r="AO10" s="6" t="s">
        <v>3732</v>
      </c>
      <c r="AP10" s="6" t="s">
        <v>3731</v>
      </c>
      <c r="AQ10" s="6"/>
      <c r="AR10" s="6"/>
      <c r="AS10" s="6" t="s">
        <v>3730</v>
      </c>
    </row>
    <row r="11" spans="1:45" s="5" customFormat="1" ht="12.75" customHeight="1">
      <c r="A11" s="33" t="s">
        <v>3729</v>
      </c>
      <c r="B11" s="6" t="s">
        <v>396</v>
      </c>
      <c r="C11" s="31" t="s">
        <v>403</v>
      </c>
      <c r="D11" s="5" t="s">
        <v>3726</v>
      </c>
      <c r="E11" s="6" t="s">
        <v>3726</v>
      </c>
      <c r="F11" s="27" t="s">
        <v>3728</v>
      </c>
      <c r="G11" s="27" t="s">
        <v>3727</v>
      </c>
      <c r="H11" s="6" t="s">
        <v>3709</v>
      </c>
      <c r="I11" s="6" t="s">
        <v>3708</v>
      </c>
      <c r="J11" s="6" t="s">
        <v>3726</v>
      </c>
      <c r="K11" s="6" t="s">
        <v>3726</v>
      </c>
      <c r="L11" t="s">
        <v>555</v>
      </c>
      <c r="M11" s="6" t="s">
        <v>3696</v>
      </c>
      <c r="N11" s="6" t="s">
        <v>3695</v>
      </c>
      <c r="O11" s="6" t="s">
        <v>3694</v>
      </c>
      <c r="P11" s="6" t="s">
        <v>479</v>
      </c>
      <c r="Q11" t="s">
        <v>555</v>
      </c>
      <c r="R11" s="6"/>
      <c r="S11" s="27" t="s">
        <v>396</v>
      </c>
      <c r="T11" s="27" t="s">
        <v>396</v>
      </c>
      <c r="U11" s="27" t="s">
        <v>396</v>
      </c>
      <c r="V11" s="27" t="s">
        <v>396</v>
      </c>
      <c r="W11" s="27" t="s">
        <v>396</v>
      </c>
      <c r="X11" s="27" t="s">
        <v>396</v>
      </c>
      <c r="Y11" s="27" t="s">
        <v>396</v>
      </c>
      <c r="Z11" s="39">
        <v>0.34</v>
      </c>
      <c r="AA11" s="27" t="s">
        <v>396</v>
      </c>
      <c r="AB11" s="6" t="s">
        <v>396</v>
      </c>
      <c r="AC11" s="6" t="s">
        <v>396</v>
      </c>
      <c r="AD11" s="6" t="s">
        <v>396</v>
      </c>
      <c r="AE11" s="6">
        <v>6</v>
      </c>
      <c r="AF11" s="27" t="s">
        <v>399</v>
      </c>
      <c r="AG11" s="27" t="s">
        <v>399</v>
      </c>
      <c r="AH11" s="6" t="s">
        <v>396</v>
      </c>
      <c r="AI11" s="6" t="s">
        <v>396</v>
      </c>
      <c r="AJ11" s="6" t="s">
        <v>396</v>
      </c>
      <c r="AK11" s="6" t="s">
        <v>927</v>
      </c>
      <c r="AL11" s="17">
        <v>3496252011289</v>
      </c>
      <c r="AM11" s="15" t="s">
        <v>927</v>
      </c>
      <c r="AN11" s="5">
        <v>25202000</v>
      </c>
      <c r="AO11" s="6" t="s">
        <v>3706</v>
      </c>
      <c r="AP11" s="6" t="s">
        <v>3705</v>
      </c>
      <c r="AQ11" s="6" t="s">
        <v>3725</v>
      </c>
      <c r="AR11" s="6" t="s">
        <v>3724</v>
      </c>
      <c r="AS11" s="6" t="s">
        <v>366</v>
      </c>
    </row>
    <row r="12" spans="1:45" s="16" customFormat="1" ht="12.75" customHeight="1">
      <c r="A12" s="46" t="s">
        <v>3723</v>
      </c>
      <c r="B12" s="18" t="s">
        <v>396</v>
      </c>
      <c r="C12" s="18" t="s">
        <v>403</v>
      </c>
      <c r="D12" s="18" t="s">
        <v>3718</v>
      </c>
      <c r="E12" s="18" t="s">
        <v>3718</v>
      </c>
      <c r="F12" s="19" t="s">
        <v>3722</v>
      </c>
      <c r="G12" s="19" t="s">
        <v>3721</v>
      </c>
      <c r="H12" s="18" t="s">
        <v>3720</v>
      </c>
      <c r="I12" s="18" t="s">
        <v>3719</v>
      </c>
      <c r="J12" s="18" t="s">
        <v>3718</v>
      </c>
      <c r="K12" s="18" t="s">
        <v>3718</v>
      </c>
      <c r="L12" s="120" t="s">
        <v>555</v>
      </c>
      <c r="M12" s="18" t="s">
        <v>3717</v>
      </c>
      <c r="N12" s="18" t="s">
        <v>3695</v>
      </c>
      <c r="O12" s="18" t="s">
        <v>3694</v>
      </c>
      <c r="P12" s="18" t="s">
        <v>479</v>
      </c>
      <c r="Q12" s="120" t="s">
        <v>555</v>
      </c>
      <c r="R12" s="18"/>
      <c r="S12" s="19" t="s">
        <v>396</v>
      </c>
      <c r="T12" s="19" t="s">
        <v>396</v>
      </c>
      <c r="U12" s="19" t="s">
        <v>396</v>
      </c>
      <c r="V12" s="19" t="s">
        <v>396</v>
      </c>
      <c r="W12" s="19" t="s">
        <v>396</v>
      </c>
      <c r="X12" s="19" t="s">
        <v>396</v>
      </c>
      <c r="Y12" s="38" t="s">
        <v>396</v>
      </c>
      <c r="Z12" s="49">
        <v>0.34</v>
      </c>
      <c r="AA12" s="19" t="s">
        <v>396</v>
      </c>
      <c r="AB12" s="6" t="s">
        <v>396</v>
      </c>
      <c r="AC12" s="6" t="s">
        <v>396</v>
      </c>
      <c r="AD12" s="6" t="s">
        <v>396</v>
      </c>
      <c r="AE12" s="18">
        <v>13.2</v>
      </c>
      <c r="AF12" s="19" t="s">
        <v>399</v>
      </c>
      <c r="AG12" s="19" t="s">
        <v>399</v>
      </c>
      <c r="AH12" s="6" t="s">
        <v>396</v>
      </c>
      <c r="AI12" s="6" t="s">
        <v>396</v>
      </c>
      <c r="AJ12" s="6" t="s">
        <v>396</v>
      </c>
      <c r="AK12" s="18" t="s">
        <v>927</v>
      </c>
      <c r="AL12" s="17">
        <v>8711149000449</v>
      </c>
      <c r="AM12" s="15" t="s">
        <v>395</v>
      </c>
      <c r="AN12" s="5">
        <v>68099000</v>
      </c>
      <c r="AO12" s="6"/>
      <c r="AP12" s="6"/>
      <c r="AQ12" s="6" t="s">
        <v>3716</v>
      </c>
      <c r="AR12" s="6" t="s">
        <v>3715</v>
      </c>
      <c r="AS12" s="6" t="s">
        <v>3714</v>
      </c>
    </row>
    <row r="13" spans="1:45" s="5" customFormat="1" ht="12.75" customHeight="1">
      <c r="A13" s="32" t="s">
        <v>3713</v>
      </c>
      <c r="B13" s="6" t="s">
        <v>396</v>
      </c>
      <c r="C13" s="31" t="s">
        <v>403</v>
      </c>
      <c r="D13" s="5" t="s">
        <v>3712</v>
      </c>
      <c r="E13" s="6" t="s">
        <v>3707</v>
      </c>
      <c r="F13" s="27" t="s">
        <v>3711</v>
      </c>
      <c r="G13" s="27" t="s">
        <v>3710</v>
      </c>
      <c r="H13" s="6" t="s">
        <v>3709</v>
      </c>
      <c r="I13" s="6" t="s">
        <v>3708</v>
      </c>
      <c r="J13" s="6" t="s">
        <v>3707</v>
      </c>
      <c r="K13" s="6" t="s">
        <v>3707</v>
      </c>
      <c r="L13" t="s">
        <v>555</v>
      </c>
      <c r="M13" s="6" t="s">
        <v>3696</v>
      </c>
      <c r="N13" s="6" t="s">
        <v>3695</v>
      </c>
      <c r="O13" s="6" t="s">
        <v>3694</v>
      </c>
      <c r="P13" s="6" t="s">
        <v>479</v>
      </c>
      <c r="Q13" t="s">
        <v>555</v>
      </c>
      <c r="R13" s="6"/>
      <c r="S13" s="27" t="s">
        <v>396</v>
      </c>
      <c r="T13" s="27" t="s">
        <v>396</v>
      </c>
      <c r="U13" s="27" t="s">
        <v>396</v>
      </c>
      <c r="V13" s="27" t="s">
        <v>396</v>
      </c>
      <c r="W13" s="27" t="s">
        <v>396</v>
      </c>
      <c r="X13" s="27" t="s">
        <v>396</v>
      </c>
      <c r="Y13" s="27" t="s">
        <v>396</v>
      </c>
      <c r="Z13" s="39">
        <v>0.34</v>
      </c>
      <c r="AA13" s="27" t="s">
        <v>396</v>
      </c>
      <c r="AB13" s="6" t="s">
        <v>396</v>
      </c>
      <c r="AC13" s="6" t="s">
        <v>396</v>
      </c>
      <c r="AD13" s="6" t="s">
        <v>396</v>
      </c>
      <c r="AE13" s="6">
        <v>6</v>
      </c>
      <c r="AF13" s="27" t="s">
        <v>399</v>
      </c>
      <c r="AG13" s="27" t="s">
        <v>399</v>
      </c>
      <c r="AH13" s="6" t="s">
        <v>396</v>
      </c>
      <c r="AI13" s="6" t="s">
        <v>396</v>
      </c>
      <c r="AJ13" s="6" t="s">
        <v>396</v>
      </c>
      <c r="AK13" s="6" t="s">
        <v>927</v>
      </c>
      <c r="AL13" s="17">
        <v>3496250193420</v>
      </c>
      <c r="AM13" s="15" t="s">
        <v>927</v>
      </c>
      <c r="AN13" s="5">
        <v>25202000</v>
      </c>
      <c r="AO13" s="6" t="s">
        <v>3706</v>
      </c>
      <c r="AP13" s="6" t="s">
        <v>3705</v>
      </c>
      <c r="AQ13" s="6" t="s">
        <v>3704</v>
      </c>
      <c r="AR13" s="6" t="s">
        <v>3703</v>
      </c>
      <c r="AS13" s="6" t="s">
        <v>3702</v>
      </c>
    </row>
    <row r="14" spans="1:45" s="5" customFormat="1" ht="12.75" customHeight="1">
      <c r="A14" s="33" t="s">
        <v>3701</v>
      </c>
      <c r="B14" s="6" t="s">
        <v>396</v>
      </c>
      <c r="C14" s="31" t="s">
        <v>403</v>
      </c>
      <c r="D14" s="5" t="s">
        <v>3697</v>
      </c>
      <c r="E14" s="6" t="s">
        <v>3697</v>
      </c>
      <c r="F14" s="27" t="s">
        <v>3700</v>
      </c>
      <c r="G14" s="27" t="s">
        <v>523</v>
      </c>
      <c r="H14" s="6" t="s">
        <v>3699</v>
      </c>
      <c r="I14" s="6" t="s">
        <v>3698</v>
      </c>
      <c r="J14" s="6" t="s">
        <v>3697</v>
      </c>
      <c r="K14" s="6" t="s">
        <v>3697</v>
      </c>
      <c r="L14" t="s">
        <v>555</v>
      </c>
      <c r="M14" s="6" t="s">
        <v>3696</v>
      </c>
      <c r="N14" s="6" t="s">
        <v>3695</v>
      </c>
      <c r="O14" s="6" t="s">
        <v>3694</v>
      </c>
      <c r="P14" s="6" t="s">
        <v>479</v>
      </c>
      <c r="Q14" t="s">
        <v>555</v>
      </c>
      <c r="R14" s="6"/>
      <c r="S14" s="27" t="s">
        <v>396</v>
      </c>
      <c r="T14" s="27" t="s">
        <v>396</v>
      </c>
      <c r="U14" s="27" t="s">
        <v>396</v>
      </c>
      <c r="V14" s="27" t="s">
        <v>396</v>
      </c>
      <c r="W14" s="27" t="s">
        <v>396</v>
      </c>
      <c r="X14" s="27" t="s">
        <v>396</v>
      </c>
      <c r="Y14" s="27" t="s">
        <v>396</v>
      </c>
      <c r="Z14" s="39">
        <v>0.34</v>
      </c>
      <c r="AA14" s="27" t="s">
        <v>396</v>
      </c>
      <c r="AB14" s="6" t="s">
        <v>396</v>
      </c>
      <c r="AC14" s="6" t="s">
        <v>396</v>
      </c>
      <c r="AD14" s="6" t="s">
        <v>396</v>
      </c>
      <c r="AE14" s="36">
        <v>6</v>
      </c>
      <c r="AF14" s="27" t="s">
        <v>399</v>
      </c>
      <c r="AG14" s="27" t="s">
        <v>399</v>
      </c>
      <c r="AH14" s="6" t="s">
        <v>396</v>
      </c>
      <c r="AI14" s="6" t="s">
        <v>396</v>
      </c>
      <c r="AJ14" s="6" t="s">
        <v>396</v>
      </c>
      <c r="AK14" s="6" t="s">
        <v>927</v>
      </c>
      <c r="AL14" s="17">
        <v>3496252001662</v>
      </c>
      <c r="AM14" s="15" t="s">
        <v>927</v>
      </c>
      <c r="AN14" s="5">
        <v>25202000</v>
      </c>
      <c r="AO14" s="6" t="s">
        <v>3693</v>
      </c>
      <c r="AP14" s="6" t="s">
        <v>3692</v>
      </c>
      <c r="AQ14" s="6"/>
      <c r="AR14" s="6"/>
      <c r="AS14" s="6" t="s">
        <v>3691</v>
      </c>
    </row>
    <row r="15" spans="1:45" s="5" customFormat="1" ht="12.75" customHeight="1">
      <c r="A15" s="32" t="s">
        <v>3690</v>
      </c>
      <c r="B15" s="6" t="s">
        <v>396</v>
      </c>
      <c r="C15" s="31" t="s">
        <v>403</v>
      </c>
      <c r="D15" s="5" t="s">
        <v>3689</v>
      </c>
      <c r="E15" s="6" t="s">
        <v>3689</v>
      </c>
      <c r="F15" s="27" t="s">
        <v>3680</v>
      </c>
      <c r="G15" s="27" t="s">
        <v>3679</v>
      </c>
      <c r="H15" s="6" t="s">
        <v>3678</v>
      </c>
      <c r="I15" s="6" t="s">
        <v>3677</v>
      </c>
      <c r="J15" s="6" t="s">
        <v>3689</v>
      </c>
      <c r="K15" s="6" t="s">
        <v>3689</v>
      </c>
      <c r="L15" s="8" t="s">
        <v>3673</v>
      </c>
      <c r="M15" s="6" t="s">
        <v>396</v>
      </c>
      <c r="N15" s="119" t="s">
        <v>3675</v>
      </c>
      <c r="O15" s="118" t="s">
        <v>3674</v>
      </c>
      <c r="P15" s="6" t="s">
        <v>479</v>
      </c>
      <c r="Q15" s="4" t="s">
        <v>3673</v>
      </c>
      <c r="R15" s="6"/>
      <c r="S15" s="27" t="s">
        <v>396</v>
      </c>
      <c r="T15" s="27" t="s">
        <v>396</v>
      </c>
      <c r="U15" s="27" t="s">
        <v>396</v>
      </c>
      <c r="V15" s="27" t="s">
        <v>396</v>
      </c>
      <c r="W15" s="27" t="s">
        <v>396</v>
      </c>
      <c r="X15" s="27" t="s">
        <v>396</v>
      </c>
      <c r="Y15" s="27" t="s">
        <v>396</v>
      </c>
      <c r="Z15" s="39" t="s">
        <v>396</v>
      </c>
      <c r="AA15" s="27" t="s">
        <v>396</v>
      </c>
      <c r="AB15" s="6" t="s">
        <v>396</v>
      </c>
      <c r="AC15" s="6" t="s">
        <v>396</v>
      </c>
      <c r="AD15" s="6" t="s">
        <v>396</v>
      </c>
      <c r="AE15" s="6" t="s">
        <v>396</v>
      </c>
      <c r="AF15" s="27" t="s">
        <v>396</v>
      </c>
      <c r="AG15" s="27" t="s">
        <v>396</v>
      </c>
      <c r="AH15" s="6" t="s">
        <v>396</v>
      </c>
      <c r="AI15" s="6" t="s">
        <v>396</v>
      </c>
      <c r="AJ15" s="6" t="s">
        <v>396</v>
      </c>
      <c r="AK15" s="6" t="s">
        <v>927</v>
      </c>
      <c r="AL15" s="17">
        <v>3496252010497</v>
      </c>
      <c r="AM15" s="15" t="s">
        <v>927</v>
      </c>
      <c r="AN15" s="5">
        <v>25202000</v>
      </c>
      <c r="AO15" s="6" t="s">
        <v>3672</v>
      </c>
      <c r="AP15" s="6" t="s">
        <v>3671</v>
      </c>
      <c r="AQ15" s="6"/>
      <c r="AR15" s="6"/>
      <c r="AS15" s="6" t="s">
        <v>3688</v>
      </c>
    </row>
    <row r="16" spans="1:45" s="5" customFormat="1" ht="12.75" customHeight="1">
      <c r="A16" s="32" t="s">
        <v>3687</v>
      </c>
      <c r="B16" s="6" t="s">
        <v>396</v>
      </c>
      <c r="C16" s="31" t="s">
        <v>403</v>
      </c>
      <c r="D16" s="5" t="s">
        <v>3686</v>
      </c>
      <c r="E16" s="6" t="s">
        <v>3686</v>
      </c>
      <c r="F16" s="27" t="s">
        <v>3680</v>
      </c>
      <c r="G16" s="27" t="s">
        <v>3679</v>
      </c>
      <c r="H16" s="6" t="s">
        <v>3678</v>
      </c>
      <c r="I16" s="6" t="s">
        <v>3677</v>
      </c>
      <c r="J16" s="6" t="s">
        <v>3686</v>
      </c>
      <c r="K16" s="6" t="s">
        <v>3686</v>
      </c>
      <c r="L16" s="4" t="s">
        <v>3673</v>
      </c>
      <c r="M16" s="6" t="s">
        <v>396</v>
      </c>
      <c r="N16" s="119" t="s">
        <v>3675</v>
      </c>
      <c r="O16" s="118" t="s">
        <v>3674</v>
      </c>
      <c r="P16" s="6" t="s">
        <v>479</v>
      </c>
      <c r="Q16" s="4" t="s">
        <v>3673</v>
      </c>
      <c r="R16" s="6"/>
      <c r="S16" s="27" t="s">
        <v>396</v>
      </c>
      <c r="T16" s="27" t="s">
        <v>396</v>
      </c>
      <c r="U16" s="27" t="s">
        <v>396</v>
      </c>
      <c r="V16" s="27" t="s">
        <v>396</v>
      </c>
      <c r="W16" s="27" t="s">
        <v>396</v>
      </c>
      <c r="X16" s="27" t="s">
        <v>396</v>
      </c>
      <c r="Y16" s="27" t="s">
        <v>396</v>
      </c>
      <c r="Z16" s="39" t="s">
        <v>396</v>
      </c>
      <c r="AA16" s="27" t="s">
        <v>396</v>
      </c>
      <c r="AB16" s="6" t="s">
        <v>396</v>
      </c>
      <c r="AC16" s="6" t="s">
        <v>396</v>
      </c>
      <c r="AD16" s="6" t="s">
        <v>396</v>
      </c>
      <c r="AE16" s="6" t="s">
        <v>396</v>
      </c>
      <c r="AF16" s="27" t="s">
        <v>396</v>
      </c>
      <c r="AG16" s="27" t="s">
        <v>396</v>
      </c>
      <c r="AH16" s="6" t="s">
        <v>396</v>
      </c>
      <c r="AI16" s="6" t="s">
        <v>396</v>
      </c>
      <c r="AJ16" s="6" t="s">
        <v>396</v>
      </c>
      <c r="AK16" s="6" t="s">
        <v>927</v>
      </c>
      <c r="AL16" s="17">
        <v>3496252003703</v>
      </c>
      <c r="AM16" s="15" t="s">
        <v>927</v>
      </c>
      <c r="AN16" s="5">
        <v>25202000</v>
      </c>
      <c r="AO16" s="6" t="s">
        <v>3672</v>
      </c>
      <c r="AP16" s="6" t="s">
        <v>3671</v>
      </c>
      <c r="AQ16" s="6"/>
      <c r="AR16" s="6"/>
      <c r="AS16" s="6" t="s">
        <v>3685</v>
      </c>
    </row>
    <row r="17" spans="1:45" s="5" customFormat="1" ht="12.75" customHeight="1">
      <c r="A17" s="32" t="s">
        <v>3684</v>
      </c>
      <c r="B17" s="6" t="s">
        <v>396</v>
      </c>
      <c r="C17" s="31" t="s">
        <v>403</v>
      </c>
      <c r="D17" s="5" t="s">
        <v>3683</v>
      </c>
      <c r="E17" s="6" t="s">
        <v>3683</v>
      </c>
      <c r="F17" s="27" t="s">
        <v>3680</v>
      </c>
      <c r="G17" s="27" t="s">
        <v>3679</v>
      </c>
      <c r="H17" s="6" t="s">
        <v>3678</v>
      </c>
      <c r="I17" s="6" t="s">
        <v>3677</v>
      </c>
      <c r="J17" s="6" t="s">
        <v>3683</v>
      </c>
      <c r="K17" s="6" t="s">
        <v>3683</v>
      </c>
      <c r="L17" s="4" t="s">
        <v>3673</v>
      </c>
      <c r="M17" s="6" t="s">
        <v>396</v>
      </c>
      <c r="N17" s="119" t="s">
        <v>3675</v>
      </c>
      <c r="O17" s="118" t="s">
        <v>3674</v>
      </c>
      <c r="P17" s="6" t="s">
        <v>479</v>
      </c>
      <c r="Q17" s="4" t="s">
        <v>3673</v>
      </c>
      <c r="R17" s="6"/>
      <c r="S17" s="27" t="s">
        <v>396</v>
      </c>
      <c r="T17" s="27" t="s">
        <v>396</v>
      </c>
      <c r="U17" s="27" t="s">
        <v>396</v>
      </c>
      <c r="V17" s="27" t="s">
        <v>396</v>
      </c>
      <c r="W17" s="27" t="s">
        <v>396</v>
      </c>
      <c r="X17" s="27" t="s">
        <v>396</v>
      </c>
      <c r="Y17" s="27" t="s">
        <v>396</v>
      </c>
      <c r="Z17" s="39" t="s">
        <v>396</v>
      </c>
      <c r="AA17" s="27" t="s">
        <v>396</v>
      </c>
      <c r="AB17" s="6" t="s">
        <v>396</v>
      </c>
      <c r="AC17" s="6" t="s">
        <v>396</v>
      </c>
      <c r="AD17" s="6" t="s">
        <v>396</v>
      </c>
      <c r="AE17" s="6" t="s">
        <v>396</v>
      </c>
      <c r="AF17" s="27" t="s">
        <v>396</v>
      </c>
      <c r="AG17" s="27" t="s">
        <v>396</v>
      </c>
      <c r="AH17" s="6" t="s">
        <v>396</v>
      </c>
      <c r="AI17" s="6" t="s">
        <v>396</v>
      </c>
      <c r="AJ17" s="6" t="s">
        <v>396</v>
      </c>
      <c r="AK17" s="6" t="s">
        <v>927</v>
      </c>
      <c r="AL17" s="17">
        <v>3496252008616</v>
      </c>
      <c r="AM17" s="15" t="s">
        <v>927</v>
      </c>
      <c r="AN17" s="5">
        <v>25202000</v>
      </c>
      <c r="AO17" s="6" t="s">
        <v>3672</v>
      </c>
      <c r="AP17" s="6" t="s">
        <v>3671</v>
      </c>
      <c r="AQ17" s="6"/>
      <c r="AR17" s="6"/>
      <c r="AS17" s="6" t="s">
        <v>3682</v>
      </c>
    </row>
    <row r="18" spans="1:45" s="5" customFormat="1" ht="12.75" customHeight="1">
      <c r="A18" s="32" t="s">
        <v>3681</v>
      </c>
      <c r="B18" s="6" t="s">
        <v>396</v>
      </c>
      <c r="C18" s="31" t="s">
        <v>403</v>
      </c>
      <c r="D18" s="5" t="s">
        <v>3676</v>
      </c>
      <c r="E18" s="6" t="s">
        <v>3676</v>
      </c>
      <c r="F18" s="27" t="s">
        <v>3680</v>
      </c>
      <c r="G18" s="27" t="s">
        <v>3679</v>
      </c>
      <c r="H18" s="6" t="s">
        <v>3678</v>
      </c>
      <c r="I18" s="6" t="s">
        <v>3677</v>
      </c>
      <c r="J18" s="6" t="s">
        <v>3676</v>
      </c>
      <c r="K18" s="6" t="s">
        <v>3676</v>
      </c>
      <c r="L18" s="4" t="s">
        <v>3673</v>
      </c>
      <c r="M18" s="6" t="s">
        <v>396</v>
      </c>
      <c r="N18" s="119" t="s">
        <v>3675</v>
      </c>
      <c r="O18" s="118" t="s">
        <v>3674</v>
      </c>
      <c r="P18" s="6" t="s">
        <v>479</v>
      </c>
      <c r="Q18" s="4" t="s">
        <v>3673</v>
      </c>
      <c r="R18" s="6"/>
      <c r="S18" s="27" t="s">
        <v>396</v>
      </c>
      <c r="T18" s="27" t="s">
        <v>396</v>
      </c>
      <c r="U18" s="27" t="s">
        <v>396</v>
      </c>
      <c r="V18" s="27" t="s">
        <v>396</v>
      </c>
      <c r="W18" s="27" t="s">
        <v>396</v>
      </c>
      <c r="X18" s="27" t="s">
        <v>396</v>
      </c>
      <c r="Y18" s="27" t="s">
        <v>396</v>
      </c>
      <c r="Z18" s="39" t="s">
        <v>396</v>
      </c>
      <c r="AA18" s="27" t="s">
        <v>396</v>
      </c>
      <c r="AB18" s="6" t="s">
        <v>396</v>
      </c>
      <c r="AC18" s="6" t="s">
        <v>396</v>
      </c>
      <c r="AD18" s="6" t="s">
        <v>396</v>
      </c>
      <c r="AE18" s="6" t="s">
        <v>396</v>
      </c>
      <c r="AF18" s="27" t="s">
        <v>396</v>
      </c>
      <c r="AG18" s="27" t="s">
        <v>396</v>
      </c>
      <c r="AH18" s="6" t="s">
        <v>396</v>
      </c>
      <c r="AI18" s="6" t="s">
        <v>396</v>
      </c>
      <c r="AJ18" s="6" t="s">
        <v>396</v>
      </c>
      <c r="AK18" s="6" t="s">
        <v>927</v>
      </c>
      <c r="AL18" s="17">
        <v>3496252008715</v>
      </c>
      <c r="AM18" s="15" t="s">
        <v>927</v>
      </c>
      <c r="AN18" s="5">
        <v>25202000</v>
      </c>
      <c r="AO18" s="6" t="s">
        <v>3672</v>
      </c>
      <c r="AP18" s="6" t="s">
        <v>3671</v>
      </c>
      <c r="AQ18" s="6"/>
      <c r="AR18" s="6"/>
      <c r="AS18" s="6" t="s">
        <v>3670</v>
      </c>
    </row>
    <row r="19" spans="1:45" s="16" customFormat="1" ht="12.75" customHeight="1">
      <c r="A19" s="26" t="s">
        <v>3669</v>
      </c>
      <c r="B19" s="18" t="s">
        <v>396</v>
      </c>
      <c r="C19" s="18" t="s">
        <v>403</v>
      </c>
      <c r="D19" s="16" t="s">
        <v>3664</v>
      </c>
      <c r="E19" s="18" t="s">
        <v>3664</v>
      </c>
      <c r="F19" s="117" t="s">
        <v>3668</v>
      </c>
      <c r="G19" s="117" t="s">
        <v>3667</v>
      </c>
      <c r="H19" s="19" t="s">
        <v>3666</v>
      </c>
      <c r="I19" s="19" t="s">
        <v>3665</v>
      </c>
      <c r="J19" s="18" t="s">
        <v>3664</v>
      </c>
      <c r="K19" s="18" t="s">
        <v>3664</v>
      </c>
      <c r="L19" s="19" t="s">
        <v>399</v>
      </c>
      <c r="M19" s="19" t="s">
        <v>396</v>
      </c>
      <c r="N19" s="19" t="s">
        <v>396</v>
      </c>
      <c r="O19" s="19" t="s">
        <v>396</v>
      </c>
      <c r="P19" s="19" t="s">
        <v>396</v>
      </c>
      <c r="Q19" s="19" t="s">
        <v>396</v>
      </c>
      <c r="R19" s="18"/>
      <c r="S19" s="19" t="s">
        <v>396</v>
      </c>
      <c r="T19" s="19" t="s">
        <v>396</v>
      </c>
      <c r="U19" s="19" t="s">
        <v>396</v>
      </c>
      <c r="V19" s="19" t="s">
        <v>396</v>
      </c>
      <c r="W19" s="19" t="s">
        <v>396</v>
      </c>
      <c r="X19" s="19" t="s">
        <v>396</v>
      </c>
      <c r="Y19" s="19" t="s">
        <v>396</v>
      </c>
      <c r="Z19" s="47" t="s">
        <v>396</v>
      </c>
      <c r="AA19" s="19" t="s">
        <v>396</v>
      </c>
      <c r="AB19" s="19" t="s">
        <v>396</v>
      </c>
      <c r="AC19" s="19" t="s">
        <v>396</v>
      </c>
      <c r="AD19" s="19" t="s">
        <v>396</v>
      </c>
      <c r="AE19" s="19" t="s">
        <v>396</v>
      </c>
      <c r="AF19" s="19" t="s">
        <v>396</v>
      </c>
      <c r="AG19" s="19" t="s">
        <v>396</v>
      </c>
      <c r="AH19" s="19" t="s">
        <v>396</v>
      </c>
      <c r="AI19" s="19" t="s">
        <v>396</v>
      </c>
      <c r="AJ19" s="19" t="s">
        <v>396</v>
      </c>
      <c r="AK19" s="18" t="s">
        <v>579</v>
      </c>
      <c r="AL19" s="15">
        <v>5413218569989</v>
      </c>
      <c r="AM19" s="15" t="s">
        <v>395</v>
      </c>
      <c r="AN19" s="16">
        <v>39051100</v>
      </c>
      <c r="AO19" s="18"/>
      <c r="AP19" s="18"/>
      <c r="AQ19" s="18" t="s">
        <v>3663</v>
      </c>
      <c r="AR19" s="18" t="s">
        <v>3662</v>
      </c>
      <c r="AS19" s="18" t="s">
        <v>3661</v>
      </c>
    </row>
    <row r="20" spans="1:45" s="16" customFormat="1" ht="12.75" customHeight="1">
      <c r="A20" s="26" t="s">
        <v>3660</v>
      </c>
      <c r="B20" s="18" t="s">
        <v>396</v>
      </c>
      <c r="C20" s="18" t="s">
        <v>403</v>
      </c>
      <c r="D20" s="16" t="s">
        <v>533</v>
      </c>
      <c r="E20" s="18" t="s">
        <v>533</v>
      </c>
      <c r="F20" s="18" t="s">
        <v>3655</v>
      </c>
      <c r="G20" s="18" t="s">
        <v>3654</v>
      </c>
      <c r="H20" s="19" t="s">
        <v>535</v>
      </c>
      <c r="I20" s="19" t="s">
        <v>534</v>
      </c>
      <c r="J20" s="18" t="s">
        <v>533</v>
      </c>
      <c r="K20" s="18" t="s">
        <v>533</v>
      </c>
      <c r="L20" s="19" t="s">
        <v>399</v>
      </c>
      <c r="M20" s="19" t="s">
        <v>396</v>
      </c>
      <c r="N20" s="19" t="s">
        <v>396</v>
      </c>
      <c r="O20" s="19" t="s">
        <v>396</v>
      </c>
      <c r="P20" s="19" t="s">
        <v>396</v>
      </c>
      <c r="Q20" s="19" t="s">
        <v>396</v>
      </c>
      <c r="R20" s="18"/>
      <c r="S20" s="19" t="s">
        <v>396</v>
      </c>
      <c r="T20" s="19" t="s">
        <v>396</v>
      </c>
      <c r="U20" s="19" t="s">
        <v>396</v>
      </c>
      <c r="V20" s="19" t="s">
        <v>396</v>
      </c>
      <c r="W20" s="19" t="s">
        <v>396</v>
      </c>
      <c r="X20" s="19" t="s">
        <v>396</v>
      </c>
      <c r="Y20" s="19" t="s">
        <v>396</v>
      </c>
      <c r="Z20" s="47" t="s">
        <v>396</v>
      </c>
      <c r="AA20" s="19" t="s">
        <v>396</v>
      </c>
      <c r="AB20" s="19" t="s">
        <v>396</v>
      </c>
      <c r="AC20" s="19" t="s">
        <v>396</v>
      </c>
      <c r="AD20" s="19" t="s">
        <v>396</v>
      </c>
      <c r="AE20" s="19" t="s">
        <v>396</v>
      </c>
      <c r="AF20" s="19" t="s">
        <v>396</v>
      </c>
      <c r="AG20" s="19" t="s">
        <v>396</v>
      </c>
      <c r="AH20" s="19" t="s">
        <v>396</v>
      </c>
      <c r="AI20" s="19" t="s">
        <v>396</v>
      </c>
      <c r="AJ20" s="19" t="s">
        <v>396</v>
      </c>
      <c r="AK20" s="18" t="s">
        <v>579</v>
      </c>
      <c r="AL20" s="15">
        <v>5413218550000</v>
      </c>
      <c r="AM20" s="15" t="s">
        <v>1246</v>
      </c>
      <c r="AN20" s="16">
        <v>32091000</v>
      </c>
      <c r="AO20" s="18"/>
      <c r="AP20" s="18"/>
      <c r="AQ20" s="18" t="s">
        <v>3659</v>
      </c>
      <c r="AR20" s="18" t="s">
        <v>3658</v>
      </c>
      <c r="AS20" s="18" t="s">
        <v>3657</v>
      </c>
    </row>
    <row r="21" spans="1:45" s="16" customFormat="1" ht="12.75" customHeight="1">
      <c r="A21" s="26" t="s">
        <v>3656</v>
      </c>
      <c r="B21" s="18" t="s">
        <v>396</v>
      </c>
      <c r="C21" s="18" t="s">
        <v>403</v>
      </c>
      <c r="D21" s="16" t="s">
        <v>533</v>
      </c>
      <c r="E21" s="18" t="s">
        <v>533</v>
      </c>
      <c r="F21" s="18" t="s">
        <v>3655</v>
      </c>
      <c r="G21" s="18" t="s">
        <v>3654</v>
      </c>
      <c r="H21" s="19" t="s">
        <v>535</v>
      </c>
      <c r="I21" s="19" t="s">
        <v>534</v>
      </c>
      <c r="J21" s="18" t="s">
        <v>533</v>
      </c>
      <c r="K21" s="18" t="s">
        <v>533</v>
      </c>
      <c r="L21" s="19" t="s">
        <v>399</v>
      </c>
      <c r="M21" s="19" t="s">
        <v>396</v>
      </c>
      <c r="N21" s="19" t="s">
        <v>396</v>
      </c>
      <c r="O21" s="19" t="s">
        <v>396</v>
      </c>
      <c r="P21" s="19" t="s">
        <v>396</v>
      </c>
      <c r="Q21" s="19" t="s">
        <v>396</v>
      </c>
      <c r="R21" s="18"/>
      <c r="S21" s="19" t="s">
        <v>396</v>
      </c>
      <c r="T21" s="19" t="s">
        <v>396</v>
      </c>
      <c r="U21" s="19" t="s">
        <v>396</v>
      </c>
      <c r="V21" s="19" t="s">
        <v>396</v>
      </c>
      <c r="W21" s="19" t="s">
        <v>396</v>
      </c>
      <c r="X21" s="19" t="s">
        <v>396</v>
      </c>
      <c r="Y21" s="19" t="s">
        <v>396</v>
      </c>
      <c r="Z21" s="47" t="s">
        <v>396</v>
      </c>
      <c r="AA21" s="19" t="s">
        <v>396</v>
      </c>
      <c r="AB21" s="19" t="s">
        <v>396</v>
      </c>
      <c r="AC21" s="19" t="s">
        <v>396</v>
      </c>
      <c r="AD21" s="19" t="s">
        <v>396</v>
      </c>
      <c r="AE21" s="19" t="s">
        <v>396</v>
      </c>
      <c r="AF21" s="19" t="s">
        <v>396</v>
      </c>
      <c r="AG21" s="19" t="s">
        <v>396</v>
      </c>
      <c r="AH21" s="19" t="s">
        <v>396</v>
      </c>
      <c r="AI21" s="19" t="s">
        <v>396</v>
      </c>
      <c r="AJ21" s="19" t="s">
        <v>396</v>
      </c>
      <c r="AK21" s="18" t="s">
        <v>579</v>
      </c>
      <c r="AL21" s="15">
        <v>5413218550000</v>
      </c>
      <c r="AM21" s="15" t="s">
        <v>1246</v>
      </c>
      <c r="AN21" s="16">
        <v>32091000</v>
      </c>
      <c r="AO21" s="18"/>
      <c r="AP21" s="18"/>
      <c r="AQ21" s="18" t="s">
        <v>3653</v>
      </c>
      <c r="AR21" s="18" t="s">
        <v>3652</v>
      </c>
      <c r="AS21" s="18" t="s">
        <v>3651</v>
      </c>
    </row>
    <row r="22" spans="1:45" s="5" customFormat="1" ht="12.75" customHeight="1">
      <c r="A22" s="32" t="s">
        <v>3650</v>
      </c>
      <c r="B22" s="6" t="s">
        <v>396</v>
      </c>
      <c r="C22" s="31" t="s">
        <v>403</v>
      </c>
      <c r="D22" s="5" t="s">
        <v>3640</v>
      </c>
      <c r="E22" s="6" t="s">
        <v>3640</v>
      </c>
      <c r="F22" s="6" t="s">
        <v>3641</v>
      </c>
      <c r="G22" s="6" t="s">
        <v>3618</v>
      </c>
      <c r="H22" s="27" t="s">
        <v>396</v>
      </c>
      <c r="I22" s="27" t="s">
        <v>396</v>
      </c>
      <c r="J22" s="6" t="s">
        <v>3640</v>
      </c>
      <c r="K22" s="6" t="s">
        <v>3640</v>
      </c>
      <c r="L22" s="27" t="s">
        <v>399</v>
      </c>
      <c r="M22" s="27" t="s">
        <v>396</v>
      </c>
      <c r="N22" s="27" t="s">
        <v>396</v>
      </c>
      <c r="O22" s="27" t="s">
        <v>396</v>
      </c>
      <c r="P22" s="6" t="s">
        <v>3616</v>
      </c>
      <c r="Q22" s="6" t="s">
        <v>1215</v>
      </c>
      <c r="R22" s="6"/>
      <c r="S22" s="27" t="s">
        <v>396</v>
      </c>
      <c r="T22" s="6">
        <v>9</v>
      </c>
      <c r="U22" s="6">
        <v>210</v>
      </c>
      <c r="V22" s="6">
        <v>2200</v>
      </c>
      <c r="W22" s="27" t="s">
        <v>396</v>
      </c>
      <c r="X22" s="27" t="s">
        <v>396</v>
      </c>
      <c r="Y22" s="6">
        <v>3.08</v>
      </c>
      <c r="Z22" s="116">
        <v>5.3999999999999999E-2</v>
      </c>
      <c r="AA22" s="27" t="s">
        <v>396</v>
      </c>
      <c r="AB22" s="6" t="s">
        <v>3615</v>
      </c>
      <c r="AC22" s="27" t="s">
        <v>399</v>
      </c>
      <c r="AD22" s="27" t="s">
        <v>399</v>
      </c>
      <c r="AE22" s="6">
        <v>5.56</v>
      </c>
      <c r="AF22" s="27" t="s">
        <v>396</v>
      </c>
      <c r="AG22" s="6" t="s">
        <v>396</v>
      </c>
      <c r="AH22" s="6" t="s">
        <v>396</v>
      </c>
      <c r="AI22" s="6" t="s">
        <v>396</v>
      </c>
      <c r="AJ22" s="6" t="s">
        <v>396</v>
      </c>
      <c r="AK22" s="6" t="s">
        <v>395</v>
      </c>
      <c r="AL22" s="17">
        <v>5413218569279</v>
      </c>
      <c r="AM22" s="15" t="s">
        <v>395</v>
      </c>
      <c r="AN22" s="5">
        <v>76109090</v>
      </c>
      <c r="AO22" s="6"/>
      <c r="AP22" s="6"/>
      <c r="AQ22" s="6" t="s">
        <v>3649</v>
      </c>
      <c r="AR22" s="6" t="s">
        <v>3648</v>
      </c>
      <c r="AS22" s="6" t="s">
        <v>3647</v>
      </c>
    </row>
    <row r="23" spans="1:45" s="5" customFormat="1" ht="12.75" customHeight="1">
      <c r="A23" s="32" t="s">
        <v>3646</v>
      </c>
      <c r="B23" s="6" t="s">
        <v>396</v>
      </c>
      <c r="C23" s="31" t="s">
        <v>403</v>
      </c>
      <c r="D23" s="5" t="s">
        <v>3640</v>
      </c>
      <c r="E23" s="6" t="s">
        <v>3640</v>
      </c>
      <c r="F23" s="6" t="s">
        <v>3641</v>
      </c>
      <c r="G23" s="6" t="s">
        <v>3618</v>
      </c>
      <c r="H23" s="27" t="s">
        <v>396</v>
      </c>
      <c r="I23" s="27" t="s">
        <v>396</v>
      </c>
      <c r="J23" s="6" t="s">
        <v>3640</v>
      </c>
      <c r="K23" s="6" t="s">
        <v>3640</v>
      </c>
      <c r="L23" s="27" t="s">
        <v>399</v>
      </c>
      <c r="M23" s="27" t="s">
        <v>396</v>
      </c>
      <c r="N23" s="27" t="s">
        <v>396</v>
      </c>
      <c r="O23" s="27" t="s">
        <v>396</v>
      </c>
      <c r="P23" s="6" t="s">
        <v>3616</v>
      </c>
      <c r="Q23" s="6" t="s">
        <v>1215</v>
      </c>
      <c r="R23" s="6"/>
      <c r="S23" s="27" t="s">
        <v>396</v>
      </c>
      <c r="T23" s="6">
        <v>9</v>
      </c>
      <c r="U23" s="6">
        <v>210</v>
      </c>
      <c r="V23" s="6">
        <v>2600</v>
      </c>
      <c r="W23" s="27" t="s">
        <v>396</v>
      </c>
      <c r="X23" s="27" t="s">
        <v>396</v>
      </c>
      <c r="Y23" s="6">
        <v>3.08</v>
      </c>
      <c r="Z23" s="116">
        <v>5.3999999999999999E-2</v>
      </c>
      <c r="AA23" s="27" t="s">
        <v>396</v>
      </c>
      <c r="AB23" s="6" t="s">
        <v>3615</v>
      </c>
      <c r="AC23" s="27" t="s">
        <v>399</v>
      </c>
      <c r="AD23" s="27" t="s">
        <v>399</v>
      </c>
      <c r="AE23" s="6">
        <v>5.56</v>
      </c>
      <c r="AF23" s="27" t="s">
        <v>396</v>
      </c>
      <c r="AG23" s="6" t="s">
        <v>396</v>
      </c>
      <c r="AH23" s="6" t="s">
        <v>396</v>
      </c>
      <c r="AI23" s="6" t="s">
        <v>396</v>
      </c>
      <c r="AJ23" s="6" t="s">
        <v>396</v>
      </c>
      <c r="AK23" s="6" t="s">
        <v>395</v>
      </c>
      <c r="AL23" s="17">
        <v>5413218569286</v>
      </c>
      <c r="AM23" s="15" t="s">
        <v>395</v>
      </c>
      <c r="AN23" s="5">
        <v>76109090</v>
      </c>
      <c r="AO23" s="6"/>
      <c r="AP23" s="6"/>
      <c r="AQ23" s="6" t="s">
        <v>3645</v>
      </c>
      <c r="AR23" s="6" t="s">
        <v>3644</v>
      </c>
      <c r="AS23" s="6" t="s">
        <v>3643</v>
      </c>
    </row>
    <row r="24" spans="1:45" s="5" customFormat="1" ht="12.75" customHeight="1">
      <c r="A24" s="32" t="s">
        <v>3642</v>
      </c>
      <c r="B24" s="6" t="s">
        <v>396</v>
      </c>
      <c r="C24" s="31" t="s">
        <v>403</v>
      </c>
      <c r="D24" s="5" t="s">
        <v>3640</v>
      </c>
      <c r="E24" s="6" t="s">
        <v>3640</v>
      </c>
      <c r="F24" s="6" t="s">
        <v>3641</v>
      </c>
      <c r="G24" s="6" t="s">
        <v>3618</v>
      </c>
      <c r="H24" s="27" t="s">
        <v>396</v>
      </c>
      <c r="I24" s="27" t="s">
        <v>396</v>
      </c>
      <c r="J24" s="6" t="s">
        <v>3640</v>
      </c>
      <c r="K24" s="6" t="s">
        <v>3640</v>
      </c>
      <c r="L24" s="27" t="s">
        <v>399</v>
      </c>
      <c r="M24" s="27" t="s">
        <v>396</v>
      </c>
      <c r="N24" s="27" t="s">
        <v>396</v>
      </c>
      <c r="O24" s="27" t="s">
        <v>396</v>
      </c>
      <c r="P24" s="6" t="s">
        <v>3616</v>
      </c>
      <c r="Q24" s="6" t="s">
        <v>1215</v>
      </c>
      <c r="R24" s="6"/>
      <c r="S24" s="27" t="s">
        <v>396</v>
      </c>
      <c r="T24" s="6">
        <v>9</v>
      </c>
      <c r="U24" s="6">
        <v>210</v>
      </c>
      <c r="V24" s="6">
        <v>3000</v>
      </c>
      <c r="W24" s="27" t="s">
        <v>396</v>
      </c>
      <c r="X24" s="27" t="s">
        <v>396</v>
      </c>
      <c r="Y24" s="6">
        <v>3.08</v>
      </c>
      <c r="Z24" s="116">
        <v>5.3999999999999999E-2</v>
      </c>
      <c r="AA24" s="27" t="s">
        <v>396</v>
      </c>
      <c r="AB24" s="6" t="s">
        <v>3615</v>
      </c>
      <c r="AC24" s="27" t="s">
        <v>399</v>
      </c>
      <c r="AD24" s="27" t="s">
        <v>399</v>
      </c>
      <c r="AE24" s="6">
        <v>5.56</v>
      </c>
      <c r="AF24" s="27" t="s">
        <v>396</v>
      </c>
      <c r="AG24" s="6" t="s">
        <v>396</v>
      </c>
      <c r="AH24" s="6" t="s">
        <v>396</v>
      </c>
      <c r="AI24" s="6" t="s">
        <v>396</v>
      </c>
      <c r="AJ24" s="6" t="s">
        <v>396</v>
      </c>
      <c r="AK24" s="6" t="s">
        <v>395</v>
      </c>
      <c r="AL24" s="17">
        <v>5413218569293</v>
      </c>
      <c r="AM24" s="15" t="s">
        <v>395</v>
      </c>
      <c r="AN24" s="5">
        <v>68091100</v>
      </c>
      <c r="AO24" s="6"/>
      <c r="AP24" s="6"/>
      <c r="AQ24" s="6" t="s">
        <v>3639</v>
      </c>
      <c r="AR24" s="6" t="s">
        <v>3638</v>
      </c>
      <c r="AS24" s="6" t="s">
        <v>3637</v>
      </c>
    </row>
    <row r="25" spans="1:45" s="16" customFormat="1" ht="12.75" customHeight="1">
      <c r="A25" s="46" t="s">
        <v>3636</v>
      </c>
      <c r="B25" s="18" t="s">
        <v>396</v>
      </c>
      <c r="C25" s="18" t="s">
        <v>403</v>
      </c>
      <c r="D25" s="16" t="s">
        <v>3633</v>
      </c>
      <c r="E25" s="18" t="s">
        <v>3633</v>
      </c>
      <c r="F25" s="6" t="s">
        <v>3635</v>
      </c>
      <c r="G25" s="6" t="s">
        <v>3634</v>
      </c>
      <c r="H25" s="19" t="s">
        <v>396</v>
      </c>
      <c r="I25" s="19" t="s">
        <v>396</v>
      </c>
      <c r="J25" s="18" t="s">
        <v>3633</v>
      </c>
      <c r="K25" s="18" t="s">
        <v>3633</v>
      </c>
      <c r="L25" s="19" t="s">
        <v>399</v>
      </c>
      <c r="M25" s="19" t="s">
        <v>396</v>
      </c>
      <c r="N25" s="19" t="s">
        <v>396</v>
      </c>
      <c r="O25" s="19" t="s">
        <v>396</v>
      </c>
      <c r="P25" s="18" t="s">
        <v>3616</v>
      </c>
      <c r="Q25" s="18" t="s">
        <v>1215</v>
      </c>
      <c r="R25" s="18"/>
      <c r="S25" s="19" t="s">
        <v>396</v>
      </c>
      <c r="T25" s="18">
        <v>25</v>
      </c>
      <c r="U25" s="18">
        <v>210</v>
      </c>
      <c r="V25" s="18">
        <v>2600</v>
      </c>
      <c r="W25" s="19" t="s">
        <v>396</v>
      </c>
      <c r="X25" s="19" t="s">
        <v>396</v>
      </c>
      <c r="Y25" s="19" t="s">
        <v>3632</v>
      </c>
      <c r="Z25" s="81">
        <v>5.3999999999999999E-2</v>
      </c>
      <c r="AA25" s="19">
        <v>2.8000000000000001E-2</v>
      </c>
      <c r="AB25" s="18" t="s">
        <v>3615</v>
      </c>
      <c r="AC25" s="19" t="s">
        <v>399</v>
      </c>
      <c r="AD25" s="19" t="s">
        <v>399</v>
      </c>
      <c r="AE25" s="18">
        <v>5.56</v>
      </c>
      <c r="AF25" s="19">
        <v>85</v>
      </c>
      <c r="AG25" s="18" t="s">
        <v>396</v>
      </c>
      <c r="AH25" s="18" t="s">
        <v>396</v>
      </c>
      <c r="AI25" s="18" t="s">
        <v>396</v>
      </c>
      <c r="AJ25" s="18" t="s">
        <v>396</v>
      </c>
      <c r="AK25" s="18" t="s">
        <v>395</v>
      </c>
      <c r="AL25" s="15">
        <v>5413218575799</v>
      </c>
      <c r="AM25" s="15" t="s">
        <v>395</v>
      </c>
      <c r="AN25" s="5"/>
      <c r="AO25" s="6"/>
      <c r="AP25" s="6"/>
      <c r="AQ25" s="6" t="s">
        <v>3631</v>
      </c>
      <c r="AR25" s="6" t="s">
        <v>3630</v>
      </c>
      <c r="AS25" s="6" t="s">
        <v>3629</v>
      </c>
    </row>
    <row r="26" spans="1:45" s="5" customFormat="1" ht="12.75" customHeight="1">
      <c r="A26" s="33" t="s">
        <v>3628</v>
      </c>
      <c r="B26" s="6" t="s">
        <v>396</v>
      </c>
      <c r="C26" s="31" t="s">
        <v>403</v>
      </c>
      <c r="D26" s="5" t="s">
        <v>3617</v>
      </c>
      <c r="E26" s="6" t="s">
        <v>3617</v>
      </c>
      <c r="F26" s="6" t="s">
        <v>3619</v>
      </c>
      <c r="G26" s="6" t="s">
        <v>3618</v>
      </c>
      <c r="H26" s="27" t="s">
        <v>396</v>
      </c>
      <c r="I26" s="27" t="s">
        <v>396</v>
      </c>
      <c r="J26" s="6" t="s">
        <v>3617</v>
      </c>
      <c r="K26" s="6" t="s">
        <v>3617</v>
      </c>
      <c r="L26" s="27" t="s">
        <v>399</v>
      </c>
      <c r="M26" s="27" t="s">
        <v>396</v>
      </c>
      <c r="N26" s="27" t="s">
        <v>396</v>
      </c>
      <c r="O26" s="27" t="s">
        <v>396</v>
      </c>
      <c r="P26" s="6" t="s">
        <v>3616</v>
      </c>
      <c r="Q26" s="6" t="s">
        <v>1215</v>
      </c>
      <c r="R26" s="6"/>
      <c r="S26" s="27" t="s">
        <v>396</v>
      </c>
      <c r="T26" s="6">
        <v>9</v>
      </c>
      <c r="U26" s="6">
        <v>270</v>
      </c>
      <c r="V26" s="6">
        <v>2200</v>
      </c>
      <c r="W26" s="27" t="s">
        <v>396</v>
      </c>
      <c r="X26" s="27" t="s">
        <v>396</v>
      </c>
      <c r="Y26" s="6">
        <v>3.08</v>
      </c>
      <c r="Z26" s="116">
        <v>5.3999999999999999E-2</v>
      </c>
      <c r="AA26" s="27" t="s">
        <v>396</v>
      </c>
      <c r="AB26" s="6" t="s">
        <v>3615</v>
      </c>
      <c r="AC26" s="27" t="s">
        <v>399</v>
      </c>
      <c r="AD26" s="27" t="s">
        <v>399</v>
      </c>
      <c r="AE26" s="6">
        <v>5.56</v>
      </c>
      <c r="AF26" s="27" t="s">
        <v>396</v>
      </c>
      <c r="AG26" s="6" t="s">
        <v>396</v>
      </c>
      <c r="AH26" s="6" t="s">
        <v>396</v>
      </c>
      <c r="AI26" s="6" t="s">
        <v>396</v>
      </c>
      <c r="AJ26" s="6" t="s">
        <v>396</v>
      </c>
      <c r="AK26" s="6" t="s">
        <v>395</v>
      </c>
      <c r="AL26" s="17">
        <v>5413218563932</v>
      </c>
      <c r="AM26" s="15" t="s">
        <v>395</v>
      </c>
      <c r="AN26" s="5">
        <v>76109090</v>
      </c>
      <c r="AO26" s="6"/>
      <c r="AP26" s="6"/>
      <c r="AQ26" s="6" t="s">
        <v>3627</v>
      </c>
      <c r="AR26" s="6" t="s">
        <v>3626</v>
      </c>
      <c r="AS26" s="6" t="s">
        <v>3625</v>
      </c>
    </row>
    <row r="27" spans="1:45" s="5" customFormat="1" ht="12.75" customHeight="1">
      <c r="A27" s="32" t="s">
        <v>3624</v>
      </c>
      <c r="B27" s="6" t="s">
        <v>396</v>
      </c>
      <c r="C27" s="31" t="s">
        <v>403</v>
      </c>
      <c r="D27" s="5" t="s">
        <v>3617</v>
      </c>
      <c r="E27" s="6" t="s">
        <v>3617</v>
      </c>
      <c r="F27" s="6" t="s">
        <v>3619</v>
      </c>
      <c r="G27" s="6" t="s">
        <v>3618</v>
      </c>
      <c r="H27" s="27" t="s">
        <v>396</v>
      </c>
      <c r="I27" s="27" t="s">
        <v>396</v>
      </c>
      <c r="J27" s="6" t="s">
        <v>3617</v>
      </c>
      <c r="K27" s="6" t="s">
        <v>3617</v>
      </c>
      <c r="L27" s="27" t="s">
        <v>399</v>
      </c>
      <c r="M27" s="27" t="s">
        <v>396</v>
      </c>
      <c r="N27" s="27" t="s">
        <v>396</v>
      </c>
      <c r="O27" s="27" t="s">
        <v>396</v>
      </c>
      <c r="P27" s="6" t="s">
        <v>3616</v>
      </c>
      <c r="Q27" s="6" t="s">
        <v>1215</v>
      </c>
      <c r="R27" s="6"/>
      <c r="S27" s="27" t="s">
        <v>396</v>
      </c>
      <c r="T27" s="6">
        <v>9</v>
      </c>
      <c r="U27" s="6">
        <v>270</v>
      </c>
      <c r="V27" s="6">
        <v>2600</v>
      </c>
      <c r="W27" s="27" t="s">
        <v>396</v>
      </c>
      <c r="X27" s="27" t="s">
        <v>396</v>
      </c>
      <c r="Y27" s="6">
        <v>3.08</v>
      </c>
      <c r="Z27" s="116">
        <v>5.3999999999999999E-2</v>
      </c>
      <c r="AA27" s="27" t="s">
        <v>396</v>
      </c>
      <c r="AB27" s="6" t="s">
        <v>3615</v>
      </c>
      <c r="AC27" s="27" t="s">
        <v>399</v>
      </c>
      <c r="AD27" s="27" t="s">
        <v>399</v>
      </c>
      <c r="AE27" s="6">
        <v>5.56</v>
      </c>
      <c r="AF27" s="27" t="s">
        <v>396</v>
      </c>
      <c r="AG27" s="6" t="s">
        <v>396</v>
      </c>
      <c r="AH27" s="6" t="s">
        <v>396</v>
      </c>
      <c r="AI27" s="6" t="s">
        <v>396</v>
      </c>
      <c r="AJ27" s="6" t="s">
        <v>396</v>
      </c>
      <c r="AK27" s="6" t="s">
        <v>395</v>
      </c>
      <c r="AL27" s="17">
        <v>5413218563949</v>
      </c>
      <c r="AM27" s="15" t="s">
        <v>395</v>
      </c>
      <c r="AN27" s="5">
        <v>76109090</v>
      </c>
      <c r="AO27" s="6"/>
      <c r="AP27" s="6"/>
      <c r="AQ27" s="6" t="s">
        <v>3623</v>
      </c>
      <c r="AR27" s="6" t="s">
        <v>3622</v>
      </c>
      <c r="AS27" s="6" t="s">
        <v>3621</v>
      </c>
    </row>
    <row r="28" spans="1:45" s="5" customFormat="1" ht="12.75" customHeight="1">
      <c r="A28" s="32" t="s">
        <v>3620</v>
      </c>
      <c r="B28" s="6" t="s">
        <v>396</v>
      </c>
      <c r="C28" s="31" t="s">
        <v>403</v>
      </c>
      <c r="D28" s="5" t="s">
        <v>3617</v>
      </c>
      <c r="E28" s="6" t="s">
        <v>3617</v>
      </c>
      <c r="F28" s="6" t="s">
        <v>3619</v>
      </c>
      <c r="G28" s="6" t="s">
        <v>3618</v>
      </c>
      <c r="H28" s="27" t="s">
        <v>396</v>
      </c>
      <c r="I28" s="27" t="s">
        <v>396</v>
      </c>
      <c r="J28" s="6" t="s">
        <v>3617</v>
      </c>
      <c r="K28" s="6" t="s">
        <v>3617</v>
      </c>
      <c r="L28" s="27" t="s">
        <v>399</v>
      </c>
      <c r="M28" s="27" t="s">
        <v>396</v>
      </c>
      <c r="N28" s="27" t="s">
        <v>396</v>
      </c>
      <c r="O28" s="27" t="s">
        <v>396</v>
      </c>
      <c r="P28" s="6" t="s">
        <v>3616</v>
      </c>
      <c r="Q28" s="6" t="s">
        <v>1215</v>
      </c>
      <c r="R28" s="6"/>
      <c r="S28" s="27" t="s">
        <v>396</v>
      </c>
      <c r="T28" s="6">
        <v>9</v>
      </c>
      <c r="U28" s="6">
        <v>270</v>
      </c>
      <c r="V28" s="6">
        <v>3000</v>
      </c>
      <c r="W28" s="27" t="s">
        <v>396</v>
      </c>
      <c r="X28" s="27" t="s">
        <v>396</v>
      </c>
      <c r="Y28" s="6">
        <v>3.08</v>
      </c>
      <c r="Z28" s="116">
        <v>5.3999999999999999E-2</v>
      </c>
      <c r="AA28" s="27" t="s">
        <v>396</v>
      </c>
      <c r="AB28" s="6" t="s">
        <v>3615</v>
      </c>
      <c r="AC28" s="27" t="s">
        <v>399</v>
      </c>
      <c r="AD28" s="27" t="s">
        <v>399</v>
      </c>
      <c r="AE28" s="6">
        <v>5.56</v>
      </c>
      <c r="AF28" s="27" t="s">
        <v>396</v>
      </c>
      <c r="AG28" s="6" t="s">
        <v>396</v>
      </c>
      <c r="AH28" s="6" t="s">
        <v>396</v>
      </c>
      <c r="AI28" s="6" t="s">
        <v>396</v>
      </c>
      <c r="AJ28" s="6" t="s">
        <v>396</v>
      </c>
      <c r="AK28" s="6" t="s">
        <v>395</v>
      </c>
      <c r="AL28" s="17">
        <v>5413218563956</v>
      </c>
      <c r="AM28" s="15" t="s">
        <v>395</v>
      </c>
      <c r="AN28" s="5">
        <v>68091100</v>
      </c>
      <c r="AO28" s="6"/>
      <c r="AP28" s="6"/>
      <c r="AQ28" s="6" t="s">
        <v>3614</v>
      </c>
      <c r="AR28" s="6" t="s">
        <v>3613</v>
      </c>
      <c r="AS28" s="6" t="s">
        <v>3612</v>
      </c>
    </row>
    <row r="29" spans="1:45" ht="12.75" customHeight="1">
      <c r="A29" s="77" t="s">
        <v>3611</v>
      </c>
      <c r="B29" s="6" t="s">
        <v>396</v>
      </c>
      <c r="C29" s="31" t="s">
        <v>403</v>
      </c>
      <c r="D29" s="5" t="s">
        <v>3455</v>
      </c>
      <c r="E29" s="115" t="s">
        <v>3455</v>
      </c>
      <c r="F29" s="6" t="s">
        <v>3454</v>
      </c>
      <c r="G29" s="6" t="s">
        <v>3453</v>
      </c>
      <c r="H29" s="67" t="s">
        <v>396</v>
      </c>
      <c r="I29" s="67" t="s">
        <v>396</v>
      </c>
      <c r="J29" s="115" t="s">
        <v>3452</v>
      </c>
      <c r="K29" s="115" t="s">
        <v>3452</v>
      </c>
      <c r="L29" s="10" t="s">
        <v>651</v>
      </c>
      <c r="M29" s="10" t="s">
        <v>655</v>
      </c>
      <c r="N29" s="10" t="s">
        <v>654</v>
      </c>
      <c r="O29" s="31" t="s">
        <v>653</v>
      </c>
      <c r="P29" s="10" t="s">
        <v>652</v>
      </c>
      <c r="Q29" s="10" t="s">
        <v>651</v>
      </c>
      <c r="R29" s="56" t="s">
        <v>3610</v>
      </c>
      <c r="S29" s="77" t="s">
        <v>650</v>
      </c>
      <c r="T29" s="76">
        <v>6.5</v>
      </c>
      <c r="U29" s="76">
        <v>900</v>
      </c>
      <c r="V29" s="76">
        <v>3000</v>
      </c>
      <c r="W29" s="67" t="s">
        <v>396</v>
      </c>
      <c r="X29" s="67" t="s">
        <v>396</v>
      </c>
      <c r="Y29" s="54">
        <v>5.4</v>
      </c>
      <c r="Z29" s="75">
        <v>0.25</v>
      </c>
      <c r="AA29" s="67" t="s">
        <v>396</v>
      </c>
      <c r="AB29" s="6" t="s">
        <v>649</v>
      </c>
      <c r="AC29" s="5" t="s">
        <v>648</v>
      </c>
      <c r="AD29" s="5" t="s">
        <v>647</v>
      </c>
      <c r="AE29" s="10">
        <v>10</v>
      </c>
      <c r="AF29" s="67" t="s">
        <v>399</v>
      </c>
      <c r="AG29" s="74">
        <f t="shared" ref="AG29:AG57" si="0">AE29*T29/1000</f>
        <v>6.5000000000000002E-2</v>
      </c>
      <c r="AH29" s="31" t="s">
        <v>646</v>
      </c>
      <c r="AI29" s="67" t="s">
        <v>645</v>
      </c>
      <c r="AJ29" s="67" t="s">
        <v>644</v>
      </c>
      <c r="AK29" s="10" t="s">
        <v>643</v>
      </c>
      <c r="AL29" s="17">
        <v>5413218002196</v>
      </c>
      <c r="AM29" s="15" t="s">
        <v>643</v>
      </c>
      <c r="AN29" s="5">
        <v>68091100</v>
      </c>
      <c r="AO29" s="6" t="s">
        <v>3609</v>
      </c>
      <c r="AP29" s="6" t="s">
        <v>3608</v>
      </c>
      <c r="AQ29" s="6" t="s">
        <v>3607</v>
      </c>
      <c r="AR29" s="6" t="s">
        <v>3606</v>
      </c>
      <c r="AS29" s="6" t="s">
        <v>3605</v>
      </c>
    </row>
    <row r="30" spans="1:45" ht="12.75" customHeight="1">
      <c r="A30" s="77" t="s">
        <v>3604</v>
      </c>
      <c r="B30" s="6" t="s">
        <v>396</v>
      </c>
      <c r="C30" s="31" t="s">
        <v>403</v>
      </c>
      <c r="D30" s="5" t="s">
        <v>3455</v>
      </c>
      <c r="E30" s="115" t="s">
        <v>3455</v>
      </c>
      <c r="F30" s="31" t="s">
        <v>3454</v>
      </c>
      <c r="G30" s="31" t="s">
        <v>3453</v>
      </c>
      <c r="H30" s="67" t="s">
        <v>396</v>
      </c>
      <c r="I30" s="67" t="s">
        <v>396</v>
      </c>
      <c r="J30" s="115" t="s">
        <v>3452</v>
      </c>
      <c r="K30" s="115" t="s">
        <v>3452</v>
      </c>
      <c r="L30" s="10" t="s">
        <v>651</v>
      </c>
      <c r="M30" s="10" t="s">
        <v>655</v>
      </c>
      <c r="N30" s="10" t="s">
        <v>654</v>
      </c>
      <c r="O30" s="31" t="s">
        <v>653</v>
      </c>
      <c r="P30" s="10" t="s">
        <v>652</v>
      </c>
      <c r="Q30" s="10" t="s">
        <v>651</v>
      </c>
      <c r="R30" s="10" t="s">
        <v>3587</v>
      </c>
      <c r="S30" s="5" t="s">
        <v>650</v>
      </c>
      <c r="T30" s="76">
        <v>9.5</v>
      </c>
      <c r="U30" s="76">
        <v>600</v>
      </c>
      <c r="V30" s="76">
        <v>2600</v>
      </c>
      <c r="W30" s="67" t="s">
        <v>396</v>
      </c>
      <c r="X30" s="67" t="s">
        <v>396</v>
      </c>
      <c r="Y30" s="13">
        <v>6.8</v>
      </c>
      <c r="Z30" s="75">
        <v>0.25</v>
      </c>
      <c r="AA30" s="67" t="s">
        <v>396</v>
      </c>
      <c r="AB30" s="31" t="s">
        <v>649</v>
      </c>
      <c r="AC30" s="5" t="s">
        <v>648</v>
      </c>
      <c r="AD30" s="5" t="s">
        <v>647</v>
      </c>
      <c r="AE30" s="10">
        <v>10</v>
      </c>
      <c r="AF30" s="67" t="s">
        <v>399</v>
      </c>
      <c r="AG30" s="74">
        <f t="shared" si="0"/>
        <v>9.5000000000000001E-2</v>
      </c>
      <c r="AH30" s="31" t="s">
        <v>646</v>
      </c>
      <c r="AI30" s="67" t="s">
        <v>645</v>
      </c>
      <c r="AJ30" s="67" t="s">
        <v>644</v>
      </c>
      <c r="AK30" s="10" t="s">
        <v>643</v>
      </c>
      <c r="AL30" s="17">
        <v>5413218400008</v>
      </c>
      <c r="AM30" s="15" t="s">
        <v>643</v>
      </c>
      <c r="AN30" s="5">
        <v>68091100</v>
      </c>
      <c r="AO30" s="6" t="s">
        <v>3586</v>
      </c>
      <c r="AP30" s="6" t="s">
        <v>3585</v>
      </c>
      <c r="AQ30" s="6" t="s">
        <v>3603</v>
      </c>
      <c r="AR30" s="6" t="s">
        <v>3602</v>
      </c>
      <c r="AS30" s="6" t="s">
        <v>3601</v>
      </c>
    </row>
    <row r="31" spans="1:45" ht="12.75" customHeight="1">
      <c r="A31" s="77" t="s">
        <v>3600</v>
      </c>
      <c r="B31" s="6" t="s">
        <v>396</v>
      </c>
      <c r="C31" s="31" t="s">
        <v>403</v>
      </c>
      <c r="D31" s="5" t="s">
        <v>3455</v>
      </c>
      <c r="E31" s="115" t="s">
        <v>3455</v>
      </c>
      <c r="F31" s="31" t="s">
        <v>3454</v>
      </c>
      <c r="G31" s="31" t="s">
        <v>3453</v>
      </c>
      <c r="H31" s="67" t="s">
        <v>396</v>
      </c>
      <c r="I31" s="67" t="s">
        <v>396</v>
      </c>
      <c r="J31" s="115" t="s">
        <v>3452</v>
      </c>
      <c r="K31" s="115" t="s">
        <v>3452</v>
      </c>
      <c r="L31" s="10" t="s">
        <v>651</v>
      </c>
      <c r="M31" s="10" t="s">
        <v>655</v>
      </c>
      <c r="N31" s="10" t="s">
        <v>654</v>
      </c>
      <c r="O31" s="31" t="s">
        <v>653</v>
      </c>
      <c r="P31" s="10" t="s">
        <v>652</v>
      </c>
      <c r="Q31" s="10" t="s">
        <v>651</v>
      </c>
      <c r="R31" s="10" t="s">
        <v>3587</v>
      </c>
      <c r="S31" s="5" t="s">
        <v>650</v>
      </c>
      <c r="T31" s="76">
        <v>9.5</v>
      </c>
      <c r="U31" s="76">
        <v>1200</v>
      </c>
      <c r="V31" s="76">
        <v>2400</v>
      </c>
      <c r="W31" s="67" t="s">
        <v>396</v>
      </c>
      <c r="X31" s="67" t="s">
        <v>396</v>
      </c>
      <c r="Y31" s="13">
        <v>6.8</v>
      </c>
      <c r="Z31" s="75">
        <v>0.25</v>
      </c>
      <c r="AA31" s="67" t="s">
        <v>396</v>
      </c>
      <c r="AB31" s="31" t="s">
        <v>649</v>
      </c>
      <c r="AC31" s="5" t="s">
        <v>648</v>
      </c>
      <c r="AD31" s="5" t="s">
        <v>647</v>
      </c>
      <c r="AE31" s="10">
        <v>10</v>
      </c>
      <c r="AF31" s="67" t="s">
        <v>399</v>
      </c>
      <c r="AG31" s="74">
        <f t="shared" si="0"/>
        <v>9.5000000000000001E-2</v>
      </c>
      <c r="AH31" s="31" t="s">
        <v>646</v>
      </c>
      <c r="AI31" s="67" t="s">
        <v>645</v>
      </c>
      <c r="AJ31" s="67" t="s">
        <v>644</v>
      </c>
      <c r="AK31" s="10" t="s">
        <v>643</v>
      </c>
      <c r="AL31" s="17">
        <v>5413218001830</v>
      </c>
      <c r="AM31" s="15" t="s">
        <v>643</v>
      </c>
      <c r="AN31" s="5">
        <v>68091100</v>
      </c>
      <c r="AO31" s="6" t="s">
        <v>3586</v>
      </c>
      <c r="AP31" s="6" t="s">
        <v>3585</v>
      </c>
      <c r="AQ31" s="6" t="s">
        <v>3599</v>
      </c>
      <c r="AR31" s="6" t="s">
        <v>3598</v>
      </c>
      <c r="AS31" s="6" t="s">
        <v>3597</v>
      </c>
    </row>
    <row r="32" spans="1:45" s="16" customFormat="1" ht="12.75" customHeight="1">
      <c r="A32" s="89" t="s">
        <v>3596</v>
      </c>
      <c r="B32" s="18" t="s">
        <v>396</v>
      </c>
      <c r="C32" s="18" t="s">
        <v>403</v>
      </c>
      <c r="D32" s="16" t="s">
        <v>3455</v>
      </c>
      <c r="E32" s="101" t="s">
        <v>3455</v>
      </c>
      <c r="F32" s="18" t="s">
        <v>3454</v>
      </c>
      <c r="G32" s="18" t="s">
        <v>3453</v>
      </c>
      <c r="H32" s="19" t="s">
        <v>396</v>
      </c>
      <c r="I32" s="19" t="s">
        <v>396</v>
      </c>
      <c r="J32" s="101" t="s">
        <v>3452</v>
      </c>
      <c r="K32" s="101" t="s">
        <v>3452</v>
      </c>
      <c r="L32" s="16" t="s">
        <v>651</v>
      </c>
      <c r="M32" s="16" t="s">
        <v>655</v>
      </c>
      <c r="N32" s="16" t="s">
        <v>654</v>
      </c>
      <c r="O32" s="18" t="s">
        <v>653</v>
      </c>
      <c r="P32" s="16" t="s">
        <v>652</v>
      </c>
      <c r="Q32" s="16" t="s">
        <v>651</v>
      </c>
      <c r="R32" s="16" t="s">
        <v>3587</v>
      </c>
      <c r="S32" s="16" t="s">
        <v>650</v>
      </c>
      <c r="T32" s="45">
        <v>9.5</v>
      </c>
      <c r="U32" s="45">
        <v>1200</v>
      </c>
      <c r="V32" s="45">
        <v>2600</v>
      </c>
      <c r="W32" s="19" t="s">
        <v>396</v>
      </c>
      <c r="X32" s="19" t="s">
        <v>396</v>
      </c>
      <c r="Y32" s="42">
        <v>6.8</v>
      </c>
      <c r="Z32" s="41">
        <v>0.25</v>
      </c>
      <c r="AA32" s="19" t="s">
        <v>396</v>
      </c>
      <c r="AB32" s="18" t="s">
        <v>649</v>
      </c>
      <c r="AC32" s="16" t="s">
        <v>648</v>
      </c>
      <c r="AD32" s="16" t="s">
        <v>647</v>
      </c>
      <c r="AE32" s="16">
        <v>10</v>
      </c>
      <c r="AF32" s="19" t="s">
        <v>399</v>
      </c>
      <c r="AG32" s="44">
        <f t="shared" si="0"/>
        <v>9.5000000000000001E-2</v>
      </c>
      <c r="AH32" s="18" t="s">
        <v>646</v>
      </c>
      <c r="AI32" s="19" t="s">
        <v>645</v>
      </c>
      <c r="AJ32" s="19" t="s">
        <v>644</v>
      </c>
      <c r="AK32" s="16" t="s">
        <v>643</v>
      </c>
      <c r="AL32" s="17">
        <v>4002806095712</v>
      </c>
      <c r="AM32" s="15" t="s">
        <v>643</v>
      </c>
      <c r="AN32" s="5">
        <v>68091100</v>
      </c>
      <c r="AO32" s="6" t="s">
        <v>3586</v>
      </c>
      <c r="AP32" s="6" t="s">
        <v>3585</v>
      </c>
      <c r="AQ32" s="6" t="s">
        <v>3595</v>
      </c>
      <c r="AR32" s="6" t="s">
        <v>3594</v>
      </c>
      <c r="AS32" s="6" t="s">
        <v>3593</v>
      </c>
    </row>
    <row r="33" spans="1:45" s="16" customFormat="1" ht="12.75" customHeight="1">
      <c r="A33" s="89" t="s">
        <v>3592</v>
      </c>
      <c r="B33" s="18" t="s">
        <v>396</v>
      </c>
      <c r="C33" s="18" t="s">
        <v>403</v>
      </c>
      <c r="D33" s="16" t="s">
        <v>3455</v>
      </c>
      <c r="E33" s="101" t="s">
        <v>3455</v>
      </c>
      <c r="F33" s="18" t="s">
        <v>3454</v>
      </c>
      <c r="G33" s="18" t="s">
        <v>3453</v>
      </c>
      <c r="H33" s="19" t="s">
        <v>396</v>
      </c>
      <c r="I33" s="19" t="s">
        <v>396</v>
      </c>
      <c r="J33" s="101" t="s">
        <v>3452</v>
      </c>
      <c r="K33" s="101" t="s">
        <v>3452</v>
      </c>
      <c r="L33" s="16" t="s">
        <v>651</v>
      </c>
      <c r="M33" s="16" t="s">
        <v>655</v>
      </c>
      <c r="N33" s="16" t="s">
        <v>654</v>
      </c>
      <c r="O33" s="18" t="s">
        <v>653</v>
      </c>
      <c r="P33" s="16" t="s">
        <v>652</v>
      </c>
      <c r="Q33" s="16" t="s">
        <v>651</v>
      </c>
      <c r="R33" s="16" t="s">
        <v>3587</v>
      </c>
      <c r="S33" s="16" t="s">
        <v>650</v>
      </c>
      <c r="T33" s="45">
        <v>9.5</v>
      </c>
      <c r="U33" s="45">
        <v>1200</v>
      </c>
      <c r="V33" s="45">
        <v>2800</v>
      </c>
      <c r="W33" s="19" t="s">
        <v>396</v>
      </c>
      <c r="X33" s="19" t="s">
        <v>396</v>
      </c>
      <c r="Y33" s="42">
        <v>6.8</v>
      </c>
      <c r="Z33" s="41">
        <v>0.25</v>
      </c>
      <c r="AA33" s="19" t="s">
        <v>396</v>
      </c>
      <c r="AB33" s="18" t="s">
        <v>649</v>
      </c>
      <c r="AC33" s="16" t="s">
        <v>648</v>
      </c>
      <c r="AD33" s="16" t="s">
        <v>647</v>
      </c>
      <c r="AE33" s="16">
        <v>10</v>
      </c>
      <c r="AF33" s="19" t="s">
        <v>399</v>
      </c>
      <c r="AG33" s="44">
        <f t="shared" si="0"/>
        <v>9.5000000000000001E-2</v>
      </c>
      <c r="AH33" s="18" t="s">
        <v>646</v>
      </c>
      <c r="AI33" s="19" t="s">
        <v>645</v>
      </c>
      <c r="AJ33" s="19" t="s">
        <v>644</v>
      </c>
      <c r="AK33" s="16" t="s">
        <v>643</v>
      </c>
      <c r="AL33" s="17">
        <v>8711149901609</v>
      </c>
      <c r="AM33" s="15" t="s">
        <v>643</v>
      </c>
      <c r="AN33" s="5">
        <v>68091100</v>
      </c>
      <c r="AO33" s="6" t="s">
        <v>3586</v>
      </c>
      <c r="AP33" s="6" t="s">
        <v>3585</v>
      </c>
      <c r="AQ33" s="6" t="s">
        <v>3591</v>
      </c>
      <c r="AR33" s="6" t="s">
        <v>3590</v>
      </c>
      <c r="AS33" s="6" t="s">
        <v>3589</v>
      </c>
    </row>
    <row r="34" spans="1:45" s="16" customFormat="1" ht="12.75" customHeight="1">
      <c r="A34" s="89" t="s">
        <v>3588</v>
      </c>
      <c r="B34" s="18" t="s">
        <v>396</v>
      </c>
      <c r="C34" s="18" t="s">
        <v>403</v>
      </c>
      <c r="D34" s="16" t="s">
        <v>3455</v>
      </c>
      <c r="E34" s="101" t="s">
        <v>3455</v>
      </c>
      <c r="F34" s="18" t="s">
        <v>3454</v>
      </c>
      <c r="G34" s="18" t="s">
        <v>3453</v>
      </c>
      <c r="H34" s="19" t="s">
        <v>396</v>
      </c>
      <c r="I34" s="19" t="s">
        <v>396</v>
      </c>
      <c r="J34" s="101" t="s">
        <v>3452</v>
      </c>
      <c r="K34" s="101" t="s">
        <v>3452</v>
      </c>
      <c r="L34" s="16" t="s">
        <v>651</v>
      </c>
      <c r="M34" s="16" t="s">
        <v>655</v>
      </c>
      <c r="N34" s="16" t="s">
        <v>654</v>
      </c>
      <c r="O34" s="18" t="s">
        <v>653</v>
      </c>
      <c r="P34" s="16" t="s">
        <v>652</v>
      </c>
      <c r="Q34" s="16" t="s">
        <v>651</v>
      </c>
      <c r="R34" s="16" t="s">
        <v>3587</v>
      </c>
      <c r="S34" s="16" t="s">
        <v>650</v>
      </c>
      <c r="T34" s="45">
        <v>9.5</v>
      </c>
      <c r="U34" s="45">
        <v>1200</v>
      </c>
      <c r="V34" s="45">
        <v>3000</v>
      </c>
      <c r="W34" s="19" t="s">
        <v>396</v>
      </c>
      <c r="X34" s="19" t="s">
        <v>396</v>
      </c>
      <c r="Y34" s="42">
        <v>6.8</v>
      </c>
      <c r="Z34" s="41">
        <v>0.25</v>
      </c>
      <c r="AA34" s="19" t="s">
        <v>396</v>
      </c>
      <c r="AB34" s="18" t="s">
        <v>649</v>
      </c>
      <c r="AC34" s="16" t="s">
        <v>648</v>
      </c>
      <c r="AD34" s="16" t="s">
        <v>647</v>
      </c>
      <c r="AE34" s="16">
        <v>10</v>
      </c>
      <c r="AF34" s="19" t="s">
        <v>399</v>
      </c>
      <c r="AG34" s="44">
        <f t="shared" si="0"/>
        <v>9.5000000000000001E-2</v>
      </c>
      <c r="AH34" s="18" t="s">
        <v>646</v>
      </c>
      <c r="AI34" s="19" t="s">
        <v>645</v>
      </c>
      <c r="AJ34" s="19" t="s">
        <v>644</v>
      </c>
      <c r="AK34" s="16" t="s">
        <v>643</v>
      </c>
      <c r="AL34" s="17">
        <v>4002806471530</v>
      </c>
      <c r="AM34" s="15" t="s">
        <v>643</v>
      </c>
      <c r="AN34" s="5">
        <v>68091100</v>
      </c>
      <c r="AO34" s="6" t="s">
        <v>3586</v>
      </c>
      <c r="AP34" s="6" t="s">
        <v>3585</v>
      </c>
      <c r="AQ34" s="6" t="s">
        <v>3584</v>
      </c>
      <c r="AR34" s="6" t="s">
        <v>3583</v>
      </c>
      <c r="AS34" s="6" t="s">
        <v>3582</v>
      </c>
    </row>
    <row r="35" spans="1:45" ht="12.75" customHeight="1">
      <c r="A35" s="77" t="s">
        <v>3581</v>
      </c>
      <c r="B35" s="6" t="s">
        <v>396</v>
      </c>
      <c r="C35" s="31" t="s">
        <v>403</v>
      </c>
      <c r="D35" s="5" t="s">
        <v>3455</v>
      </c>
      <c r="E35" s="115" t="s">
        <v>3455</v>
      </c>
      <c r="F35" s="31" t="s">
        <v>3454</v>
      </c>
      <c r="G35" s="31" t="s">
        <v>3453</v>
      </c>
      <c r="H35" s="67" t="s">
        <v>396</v>
      </c>
      <c r="I35" s="67" t="s">
        <v>396</v>
      </c>
      <c r="J35" s="115" t="s">
        <v>3452</v>
      </c>
      <c r="K35" s="115" t="s">
        <v>3452</v>
      </c>
      <c r="L35" s="10" t="s">
        <v>651</v>
      </c>
      <c r="M35" s="10" t="s">
        <v>655</v>
      </c>
      <c r="N35" s="10" t="s">
        <v>654</v>
      </c>
      <c r="O35" s="31" t="s">
        <v>653</v>
      </c>
      <c r="P35" s="10" t="s">
        <v>652</v>
      </c>
      <c r="Q35" s="10" t="s">
        <v>651</v>
      </c>
      <c r="R35" s="10" t="s">
        <v>3508</v>
      </c>
      <c r="S35" s="5" t="s">
        <v>650</v>
      </c>
      <c r="T35" s="76">
        <v>12.5</v>
      </c>
      <c r="U35" s="76">
        <v>600</v>
      </c>
      <c r="V35" s="76">
        <v>2600</v>
      </c>
      <c r="W35" s="67" t="s">
        <v>396</v>
      </c>
      <c r="X35" s="67" t="s">
        <v>396</v>
      </c>
      <c r="Y35" s="13">
        <v>8.8000000000000007</v>
      </c>
      <c r="Z35" s="75">
        <v>0.25</v>
      </c>
      <c r="AA35" s="67" t="s">
        <v>396</v>
      </c>
      <c r="AB35" s="31" t="s">
        <v>649</v>
      </c>
      <c r="AC35" s="5" t="s">
        <v>648</v>
      </c>
      <c r="AD35" s="5" t="s">
        <v>647</v>
      </c>
      <c r="AE35" s="10">
        <v>10</v>
      </c>
      <c r="AF35" s="67" t="s">
        <v>399</v>
      </c>
      <c r="AG35" s="74">
        <f t="shared" si="0"/>
        <v>0.125</v>
      </c>
      <c r="AH35" s="31" t="s">
        <v>646</v>
      </c>
      <c r="AI35" s="67" t="s">
        <v>645</v>
      </c>
      <c r="AJ35" s="67" t="s">
        <v>644</v>
      </c>
      <c r="AK35" s="10" t="s">
        <v>643</v>
      </c>
      <c r="AL35" s="17">
        <v>4002806015185</v>
      </c>
      <c r="AM35" s="15" t="s">
        <v>643</v>
      </c>
      <c r="AN35" s="5">
        <v>68091100</v>
      </c>
      <c r="AO35" s="6" t="s">
        <v>3507</v>
      </c>
      <c r="AP35" s="6" t="s">
        <v>3506</v>
      </c>
      <c r="AQ35" s="6" t="s">
        <v>3580</v>
      </c>
      <c r="AR35" s="6" t="s">
        <v>3579</v>
      </c>
      <c r="AS35" s="6" t="s">
        <v>3578</v>
      </c>
    </row>
    <row r="36" spans="1:45" ht="12.75" customHeight="1">
      <c r="A36" s="77" t="s">
        <v>3577</v>
      </c>
      <c r="B36" s="6" t="s">
        <v>396</v>
      </c>
      <c r="C36" s="31" t="s">
        <v>403</v>
      </c>
      <c r="D36" s="5" t="s">
        <v>3455</v>
      </c>
      <c r="E36" s="115" t="s">
        <v>3455</v>
      </c>
      <c r="F36" s="31" t="s">
        <v>3454</v>
      </c>
      <c r="G36" s="31" t="s">
        <v>3453</v>
      </c>
      <c r="H36" s="67" t="s">
        <v>396</v>
      </c>
      <c r="I36" s="67" t="s">
        <v>396</v>
      </c>
      <c r="J36" s="115" t="s">
        <v>3452</v>
      </c>
      <c r="K36" s="115" t="s">
        <v>3452</v>
      </c>
      <c r="L36" s="10" t="s">
        <v>651</v>
      </c>
      <c r="M36" s="10" t="s">
        <v>655</v>
      </c>
      <c r="N36" s="10" t="s">
        <v>654</v>
      </c>
      <c r="O36" s="31" t="s">
        <v>653</v>
      </c>
      <c r="P36" s="10" t="s">
        <v>652</v>
      </c>
      <c r="Q36" s="10" t="s">
        <v>651</v>
      </c>
      <c r="R36" s="10" t="s">
        <v>3508</v>
      </c>
      <c r="S36" s="5" t="s">
        <v>650</v>
      </c>
      <c r="T36" s="76">
        <v>12.5</v>
      </c>
      <c r="U36" s="76">
        <v>600</v>
      </c>
      <c r="V36" s="76">
        <v>3000</v>
      </c>
      <c r="W36" s="67" t="s">
        <v>396</v>
      </c>
      <c r="X36" s="67" t="s">
        <v>396</v>
      </c>
      <c r="Y36" s="13">
        <v>8.8000000000000007</v>
      </c>
      <c r="Z36" s="75">
        <v>0.25</v>
      </c>
      <c r="AA36" s="67" t="s">
        <v>396</v>
      </c>
      <c r="AB36" s="31" t="s">
        <v>649</v>
      </c>
      <c r="AC36" s="5" t="s">
        <v>648</v>
      </c>
      <c r="AD36" s="5" t="s">
        <v>647</v>
      </c>
      <c r="AE36" s="10">
        <v>10</v>
      </c>
      <c r="AF36" s="67" t="s">
        <v>399</v>
      </c>
      <c r="AG36" s="74">
        <f t="shared" si="0"/>
        <v>0.125</v>
      </c>
      <c r="AH36" s="31" t="s">
        <v>646</v>
      </c>
      <c r="AI36" s="67" t="s">
        <v>645</v>
      </c>
      <c r="AJ36" s="67" t="s">
        <v>644</v>
      </c>
      <c r="AK36" s="10" t="s">
        <v>643</v>
      </c>
      <c r="AL36" s="17">
        <v>8711149901371</v>
      </c>
      <c r="AM36" s="15" t="s">
        <v>643</v>
      </c>
      <c r="AN36" s="5">
        <v>68091100</v>
      </c>
      <c r="AO36" s="6" t="s">
        <v>3507</v>
      </c>
      <c r="AP36" s="6" t="s">
        <v>3506</v>
      </c>
      <c r="AQ36" s="6" t="s">
        <v>3576</v>
      </c>
      <c r="AR36" s="6" t="s">
        <v>3575</v>
      </c>
      <c r="AS36" s="6" t="s">
        <v>3574</v>
      </c>
    </row>
    <row r="37" spans="1:45" s="16" customFormat="1" ht="12.75" customHeight="1">
      <c r="A37" s="89" t="s">
        <v>3573</v>
      </c>
      <c r="B37" s="18" t="s">
        <v>396</v>
      </c>
      <c r="C37" s="18" t="s">
        <v>403</v>
      </c>
      <c r="D37" s="16" t="s">
        <v>3455</v>
      </c>
      <c r="E37" s="101" t="s">
        <v>3455</v>
      </c>
      <c r="F37" s="18" t="s">
        <v>3454</v>
      </c>
      <c r="G37" s="18" t="s">
        <v>3453</v>
      </c>
      <c r="H37" s="19" t="s">
        <v>396</v>
      </c>
      <c r="I37" s="19" t="s">
        <v>396</v>
      </c>
      <c r="J37" s="101" t="s">
        <v>3452</v>
      </c>
      <c r="K37" s="101" t="s">
        <v>3452</v>
      </c>
      <c r="L37" s="16" t="s">
        <v>651</v>
      </c>
      <c r="M37" s="16" t="s">
        <v>655</v>
      </c>
      <c r="N37" s="16" t="s">
        <v>654</v>
      </c>
      <c r="O37" s="18" t="s">
        <v>653</v>
      </c>
      <c r="P37" s="16" t="s">
        <v>652</v>
      </c>
      <c r="Q37" s="16" t="s">
        <v>651</v>
      </c>
      <c r="R37" s="16" t="s">
        <v>3508</v>
      </c>
      <c r="S37" s="16" t="s">
        <v>650</v>
      </c>
      <c r="T37" s="45">
        <v>12.5</v>
      </c>
      <c r="U37" s="45">
        <v>600</v>
      </c>
      <c r="V37" s="45">
        <v>3600</v>
      </c>
      <c r="W37" s="19" t="s">
        <v>396</v>
      </c>
      <c r="X37" s="19" t="s">
        <v>396</v>
      </c>
      <c r="Y37" s="42">
        <v>8.8000000000000007</v>
      </c>
      <c r="Z37" s="41">
        <v>0.25</v>
      </c>
      <c r="AA37" s="19" t="s">
        <v>396</v>
      </c>
      <c r="AB37" s="18" t="s">
        <v>649</v>
      </c>
      <c r="AC37" s="16" t="s">
        <v>648</v>
      </c>
      <c r="AD37" s="16" t="s">
        <v>647</v>
      </c>
      <c r="AE37" s="16">
        <v>10</v>
      </c>
      <c r="AF37" s="19" t="s">
        <v>399</v>
      </c>
      <c r="AG37" s="44">
        <f t="shared" si="0"/>
        <v>0.125</v>
      </c>
      <c r="AH37" s="18" t="s">
        <v>646</v>
      </c>
      <c r="AI37" s="19" t="s">
        <v>645</v>
      </c>
      <c r="AJ37" s="19" t="s">
        <v>644</v>
      </c>
      <c r="AK37" s="16" t="s">
        <v>643</v>
      </c>
      <c r="AL37" s="15">
        <v>8711149901371</v>
      </c>
      <c r="AM37" s="15" t="s">
        <v>643</v>
      </c>
      <c r="AN37" s="5">
        <v>68091100</v>
      </c>
      <c r="AO37" s="6"/>
      <c r="AP37" s="6"/>
      <c r="AQ37" s="6" t="s">
        <v>3572</v>
      </c>
      <c r="AR37" s="6" t="s">
        <v>3571</v>
      </c>
      <c r="AS37" s="6" t="s">
        <v>3570</v>
      </c>
    </row>
    <row r="38" spans="1:45" ht="12.75" customHeight="1">
      <c r="A38" s="78" t="s">
        <v>3569</v>
      </c>
      <c r="B38" s="6" t="s">
        <v>396</v>
      </c>
      <c r="C38" s="31" t="s">
        <v>403</v>
      </c>
      <c r="D38" s="5" t="s">
        <v>3455</v>
      </c>
      <c r="E38" s="115" t="s">
        <v>3455</v>
      </c>
      <c r="F38" s="31" t="s">
        <v>3454</v>
      </c>
      <c r="G38" s="31" t="s">
        <v>3453</v>
      </c>
      <c r="H38" s="67" t="s">
        <v>396</v>
      </c>
      <c r="I38" s="67" t="s">
        <v>396</v>
      </c>
      <c r="J38" s="115" t="s">
        <v>3452</v>
      </c>
      <c r="K38" s="115" t="s">
        <v>3452</v>
      </c>
      <c r="L38" s="10" t="s">
        <v>651</v>
      </c>
      <c r="M38" s="10" t="s">
        <v>655</v>
      </c>
      <c r="N38" s="10" t="s">
        <v>654</v>
      </c>
      <c r="O38" s="31" t="s">
        <v>653</v>
      </c>
      <c r="P38" s="10" t="s">
        <v>652</v>
      </c>
      <c r="Q38" s="10" t="s">
        <v>651</v>
      </c>
      <c r="R38" s="10" t="s">
        <v>3508</v>
      </c>
      <c r="S38" s="5" t="s">
        <v>650</v>
      </c>
      <c r="T38" s="76">
        <v>12.5</v>
      </c>
      <c r="U38" s="76">
        <v>1200</v>
      </c>
      <c r="V38" s="76">
        <v>2000</v>
      </c>
      <c r="W38" s="67" t="s">
        <v>396</v>
      </c>
      <c r="X38" s="67" t="s">
        <v>396</v>
      </c>
      <c r="Y38" s="13">
        <v>8.9</v>
      </c>
      <c r="Z38" s="75">
        <v>0.25</v>
      </c>
      <c r="AA38" s="67" t="s">
        <v>396</v>
      </c>
      <c r="AB38" s="31" t="s">
        <v>649</v>
      </c>
      <c r="AC38" s="5" t="s">
        <v>648</v>
      </c>
      <c r="AD38" s="5" t="s">
        <v>647</v>
      </c>
      <c r="AE38" s="10">
        <v>10</v>
      </c>
      <c r="AF38" s="67" t="s">
        <v>399</v>
      </c>
      <c r="AG38" s="74">
        <f t="shared" si="0"/>
        <v>0.125</v>
      </c>
      <c r="AH38" s="31" t="s">
        <v>646</v>
      </c>
      <c r="AI38" s="67" t="s">
        <v>645</v>
      </c>
      <c r="AJ38" s="67" t="s">
        <v>644</v>
      </c>
      <c r="AK38" s="10" t="s">
        <v>643</v>
      </c>
      <c r="AL38" s="17">
        <v>5413218560221</v>
      </c>
      <c r="AM38" s="15" t="s">
        <v>643</v>
      </c>
      <c r="AN38" s="5">
        <v>68091100</v>
      </c>
      <c r="AO38" s="6" t="s">
        <v>3507</v>
      </c>
      <c r="AP38" s="6" t="s">
        <v>3506</v>
      </c>
      <c r="AQ38" s="6" t="s">
        <v>3568</v>
      </c>
      <c r="AR38" s="6" t="s">
        <v>3567</v>
      </c>
      <c r="AS38" s="6" t="s">
        <v>3566</v>
      </c>
    </row>
    <row r="39" spans="1:45" ht="12.75" customHeight="1">
      <c r="A39" s="77" t="s">
        <v>3565</v>
      </c>
      <c r="B39" s="6" t="s">
        <v>396</v>
      </c>
      <c r="C39" s="31" t="s">
        <v>403</v>
      </c>
      <c r="D39" s="5" t="s">
        <v>3455</v>
      </c>
      <c r="E39" s="115" t="s">
        <v>3455</v>
      </c>
      <c r="F39" s="31" t="s">
        <v>3454</v>
      </c>
      <c r="G39" s="31" t="s">
        <v>3453</v>
      </c>
      <c r="H39" s="67" t="s">
        <v>396</v>
      </c>
      <c r="I39" s="67" t="s">
        <v>396</v>
      </c>
      <c r="J39" s="115" t="s">
        <v>3452</v>
      </c>
      <c r="K39" s="115" t="s">
        <v>3452</v>
      </c>
      <c r="L39" s="10" t="s">
        <v>651</v>
      </c>
      <c r="M39" s="10" t="s">
        <v>655</v>
      </c>
      <c r="N39" s="10" t="s">
        <v>654</v>
      </c>
      <c r="O39" s="31" t="s">
        <v>653</v>
      </c>
      <c r="P39" s="10" t="s">
        <v>652</v>
      </c>
      <c r="Q39" s="10" t="s">
        <v>651</v>
      </c>
      <c r="R39" s="10" t="s">
        <v>3508</v>
      </c>
      <c r="S39" s="5" t="s">
        <v>650</v>
      </c>
      <c r="T39" s="76">
        <v>12.5</v>
      </c>
      <c r="U39" s="76">
        <v>1200</v>
      </c>
      <c r="V39" s="76">
        <v>2000</v>
      </c>
      <c r="W39" s="67" t="s">
        <v>396</v>
      </c>
      <c r="X39" s="67" t="s">
        <v>396</v>
      </c>
      <c r="Y39" s="13">
        <v>8.9</v>
      </c>
      <c r="Z39" s="75">
        <v>0.25</v>
      </c>
      <c r="AA39" s="67" t="s">
        <v>396</v>
      </c>
      <c r="AB39" s="31" t="s">
        <v>649</v>
      </c>
      <c r="AC39" s="5" t="s">
        <v>648</v>
      </c>
      <c r="AD39" s="5" t="s">
        <v>647</v>
      </c>
      <c r="AE39" s="10">
        <v>10</v>
      </c>
      <c r="AF39" s="67" t="s">
        <v>399</v>
      </c>
      <c r="AG39" s="74">
        <f t="shared" si="0"/>
        <v>0.125</v>
      </c>
      <c r="AH39" s="31" t="s">
        <v>646</v>
      </c>
      <c r="AI39" s="67" t="s">
        <v>645</v>
      </c>
      <c r="AJ39" s="67" t="s">
        <v>644</v>
      </c>
      <c r="AK39" s="10" t="s">
        <v>643</v>
      </c>
      <c r="AL39" s="17">
        <v>5413218002738</v>
      </c>
      <c r="AM39" s="15" t="s">
        <v>643</v>
      </c>
      <c r="AN39" s="5">
        <v>68091100</v>
      </c>
      <c r="AO39" s="6" t="s">
        <v>3507</v>
      </c>
      <c r="AP39" s="6" t="s">
        <v>3506</v>
      </c>
      <c r="AQ39" s="6" t="s">
        <v>3564</v>
      </c>
      <c r="AR39" s="6" t="s">
        <v>3563</v>
      </c>
      <c r="AS39" s="6" t="s">
        <v>3562</v>
      </c>
    </row>
    <row r="40" spans="1:45" ht="12.75" customHeight="1">
      <c r="A40" s="77" t="s">
        <v>3561</v>
      </c>
      <c r="B40" s="6" t="s">
        <v>396</v>
      </c>
      <c r="C40" s="31" t="s">
        <v>403</v>
      </c>
      <c r="D40" s="5" t="s">
        <v>3455</v>
      </c>
      <c r="E40" s="115" t="s">
        <v>3455</v>
      </c>
      <c r="F40" s="31" t="s">
        <v>3454</v>
      </c>
      <c r="G40" s="31" t="s">
        <v>3453</v>
      </c>
      <c r="H40" s="67" t="s">
        <v>396</v>
      </c>
      <c r="I40" s="67" t="s">
        <v>396</v>
      </c>
      <c r="J40" s="115" t="s">
        <v>3452</v>
      </c>
      <c r="K40" s="115" t="s">
        <v>3452</v>
      </c>
      <c r="L40" s="10" t="s">
        <v>651</v>
      </c>
      <c r="M40" s="10" t="s">
        <v>655</v>
      </c>
      <c r="N40" s="10" t="s">
        <v>654</v>
      </c>
      <c r="O40" s="31" t="s">
        <v>653</v>
      </c>
      <c r="P40" s="10" t="s">
        <v>652</v>
      </c>
      <c r="Q40" s="10" t="s">
        <v>651</v>
      </c>
      <c r="R40" s="10" t="s">
        <v>3508</v>
      </c>
      <c r="S40" s="5" t="s">
        <v>650</v>
      </c>
      <c r="T40" s="76">
        <v>12.5</v>
      </c>
      <c r="U40" s="76">
        <v>1200</v>
      </c>
      <c r="V40" s="76">
        <v>2400</v>
      </c>
      <c r="W40" s="67" t="s">
        <v>396</v>
      </c>
      <c r="X40" s="67" t="s">
        <v>396</v>
      </c>
      <c r="Y40" s="13">
        <v>8.9</v>
      </c>
      <c r="Z40" s="75">
        <v>0.25</v>
      </c>
      <c r="AA40" s="67" t="s">
        <v>396</v>
      </c>
      <c r="AB40" s="31" t="s">
        <v>649</v>
      </c>
      <c r="AC40" s="5" t="s">
        <v>648</v>
      </c>
      <c r="AD40" s="5" t="s">
        <v>647</v>
      </c>
      <c r="AE40" s="10">
        <v>10</v>
      </c>
      <c r="AF40" s="67" t="s">
        <v>399</v>
      </c>
      <c r="AG40" s="74">
        <f t="shared" si="0"/>
        <v>0.125</v>
      </c>
      <c r="AH40" s="31" t="s">
        <v>646</v>
      </c>
      <c r="AI40" s="67" t="s">
        <v>645</v>
      </c>
      <c r="AJ40" s="67" t="s">
        <v>644</v>
      </c>
      <c r="AK40" s="10" t="s">
        <v>643</v>
      </c>
      <c r="AL40" s="17">
        <v>5413218000147</v>
      </c>
      <c r="AM40" s="15" t="s">
        <v>643</v>
      </c>
      <c r="AN40" s="5">
        <v>68091100</v>
      </c>
      <c r="AO40" s="6" t="s">
        <v>3507</v>
      </c>
      <c r="AP40" s="6" t="s">
        <v>3506</v>
      </c>
      <c r="AQ40" s="6" t="s">
        <v>3560</v>
      </c>
      <c r="AR40" s="6" t="s">
        <v>3559</v>
      </c>
      <c r="AS40" s="6" t="s">
        <v>3558</v>
      </c>
    </row>
    <row r="41" spans="1:45" ht="12.75" customHeight="1">
      <c r="A41" s="77" t="s">
        <v>3557</v>
      </c>
      <c r="B41" s="6" t="s">
        <v>396</v>
      </c>
      <c r="C41" s="31" t="s">
        <v>403</v>
      </c>
      <c r="D41" s="5" t="s">
        <v>3455</v>
      </c>
      <c r="E41" s="115" t="s">
        <v>3455</v>
      </c>
      <c r="F41" s="31" t="s">
        <v>3454</v>
      </c>
      <c r="G41" s="31" t="s">
        <v>3453</v>
      </c>
      <c r="H41" s="67" t="s">
        <v>396</v>
      </c>
      <c r="I41" s="67" t="s">
        <v>396</v>
      </c>
      <c r="J41" s="115" t="s">
        <v>3452</v>
      </c>
      <c r="K41" s="115" t="s">
        <v>3452</v>
      </c>
      <c r="L41" s="10" t="s">
        <v>651</v>
      </c>
      <c r="M41" s="10" t="s">
        <v>655</v>
      </c>
      <c r="N41" s="10" t="s">
        <v>654</v>
      </c>
      <c r="O41" s="31" t="s">
        <v>653</v>
      </c>
      <c r="P41" s="10" t="s">
        <v>652</v>
      </c>
      <c r="Q41" s="10" t="s">
        <v>651</v>
      </c>
      <c r="R41" s="10" t="s">
        <v>3508</v>
      </c>
      <c r="S41" s="5" t="s">
        <v>650</v>
      </c>
      <c r="T41" s="76">
        <v>12.5</v>
      </c>
      <c r="U41" s="76">
        <v>1200</v>
      </c>
      <c r="V41" s="76">
        <v>2400</v>
      </c>
      <c r="W41" s="67" t="s">
        <v>396</v>
      </c>
      <c r="X41" s="67" t="s">
        <v>396</v>
      </c>
      <c r="Y41" s="13">
        <v>8.9</v>
      </c>
      <c r="Z41" s="75">
        <v>0.25</v>
      </c>
      <c r="AA41" s="67" t="s">
        <v>396</v>
      </c>
      <c r="AB41" s="31" t="s">
        <v>649</v>
      </c>
      <c r="AC41" s="5" t="s">
        <v>648</v>
      </c>
      <c r="AD41" s="5" t="s">
        <v>647</v>
      </c>
      <c r="AE41" s="10">
        <v>10</v>
      </c>
      <c r="AF41" s="67" t="s">
        <v>399</v>
      </c>
      <c r="AG41" s="74">
        <f t="shared" si="0"/>
        <v>0.125</v>
      </c>
      <c r="AH41" s="31" t="s">
        <v>646</v>
      </c>
      <c r="AI41" s="67" t="s">
        <v>645</v>
      </c>
      <c r="AJ41" s="67" t="s">
        <v>644</v>
      </c>
      <c r="AK41" s="10" t="s">
        <v>643</v>
      </c>
      <c r="AL41" s="17">
        <v>5413218000147</v>
      </c>
      <c r="AM41" s="15" t="s">
        <v>643</v>
      </c>
      <c r="AN41" s="5">
        <v>68091100</v>
      </c>
      <c r="AO41" s="6" t="s">
        <v>3507</v>
      </c>
      <c r="AP41" s="6" t="s">
        <v>3506</v>
      </c>
      <c r="AQ41" s="6" t="s">
        <v>3556</v>
      </c>
      <c r="AR41" s="6" t="s">
        <v>3555</v>
      </c>
      <c r="AS41" s="6" t="s">
        <v>3554</v>
      </c>
    </row>
    <row r="42" spans="1:45" ht="12.75" customHeight="1">
      <c r="A42" s="77" t="s">
        <v>3553</v>
      </c>
      <c r="B42" s="6" t="s">
        <v>396</v>
      </c>
      <c r="C42" s="31" t="s">
        <v>403</v>
      </c>
      <c r="D42" s="5" t="s">
        <v>3455</v>
      </c>
      <c r="E42" s="115" t="s">
        <v>3455</v>
      </c>
      <c r="F42" s="31" t="s">
        <v>3454</v>
      </c>
      <c r="G42" s="31" t="s">
        <v>3453</v>
      </c>
      <c r="H42" s="67" t="s">
        <v>396</v>
      </c>
      <c r="I42" s="67" t="s">
        <v>396</v>
      </c>
      <c r="J42" s="115" t="s">
        <v>3452</v>
      </c>
      <c r="K42" s="115" t="s">
        <v>3452</v>
      </c>
      <c r="L42" s="10" t="s">
        <v>651</v>
      </c>
      <c r="M42" s="10" t="s">
        <v>655</v>
      </c>
      <c r="N42" s="10" t="s">
        <v>654</v>
      </c>
      <c r="O42" s="31" t="s">
        <v>653</v>
      </c>
      <c r="P42" s="10" t="s">
        <v>652</v>
      </c>
      <c r="Q42" s="10" t="s">
        <v>651</v>
      </c>
      <c r="R42" s="10" t="s">
        <v>3508</v>
      </c>
      <c r="S42" s="5" t="s">
        <v>650</v>
      </c>
      <c r="T42" s="76">
        <v>12.5</v>
      </c>
      <c r="U42" s="76">
        <v>1200</v>
      </c>
      <c r="V42" s="76">
        <v>2500</v>
      </c>
      <c r="W42" s="67" t="s">
        <v>396</v>
      </c>
      <c r="X42" s="67" t="s">
        <v>396</v>
      </c>
      <c r="Y42" s="13">
        <v>8.9</v>
      </c>
      <c r="Z42" s="75">
        <v>0.25</v>
      </c>
      <c r="AA42" s="67" t="s">
        <v>396</v>
      </c>
      <c r="AB42" s="31" t="s">
        <v>649</v>
      </c>
      <c r="AC42" s="5" t="s">
        <v>648</v>
      </c>
      <c r="AD42" s="5" t="s">
        <v>647</v>
      </c>
      <c r="AE42" s="10">
        <v>10</v>
      </c>
      <c r="AF42" s="67" t="s">
        <v>399</v>
      </c>
      <c r="AG42" s="74">
        <f t="shared" si="0"/>
        <v>0.125</v>
      </c>
      <c r="AH42" s="31" t="s">
        <v>646</v>
      </c>
      <c r="AI42" s="67" t="s">
        <v>645</v>
      </c>
      <c r="AJ42" s="67" t="s">
        <v>644</v>
      </c>
      <c r="AK42" s="10" t="s">
        <v>643</v>
      </c>
      <c r="AL42" s="17">
        <v>5413218000154</v>
      </c>
      <c r="AM42" s="15" t="s">
        <v>643</v>
      </c>
      <c r="AN42" s="5">
        <v>68091100</v>
      </c>
      <c r="AO42" s="6" t="s">
        <v>3507</v>
      </c>
      <c r="AP42" s="6" t="s">
        <v>3506</v>
      </c>
      <c r="AQ42" s="6" t="s">
        <v>3552</v>
      </c>
      <c r="AR42" s="6" t="s">
        <v>3551</v>
      </c>
      <c r="AS42" s="6" t="s">
        <v>3550</v>
      </c>
    </row>
    <row r="43" spans="1:45" ht="12.75" customHeight="1">
      <c r="A43" s="77" t="s">
        <v>3549</v>
      </c>
      <c r="B43" s="6" t="s">
        <v>396</v>
      </c>
      <c r="C43" s="31" t="s">
        <v>403</v>
      </c>
      <c r="D43" s="5" t="s">
        <v>3455</v>
      </c>
      <c r="E43" s="115" t="s">
        <v>3455</v>
      </c>
      <c r="F43" s="31" t="s">
        <v>3454</v>
      </c>
      <c r="G43" s="31" t="s">
        <v>3453</v>
      </c>
      <c r="H43" s="67" t="s">
        <v>396</v>
      </c>
      <c r="I43" s="67" t="s">
        <v>396</v>
      </c>
      <c r="J43" s="115" t="s">
        <v>3452</v>
      </c>
      <c r="K43" s="115" t="s">
        <v>3452</v>
      </c>
      <c r="L43" s="10" t="s">
        <v>651</v>
      </c>
      <c r="M43" s="10" t="s">
        <v>655</v>
      </c>
      <c r="N43" s="10" t="s">
        <v>654</v>
      </c>
      <c r="O43" s="31" t="s">
        <v>653</v>
      </c>
      <c r="P43" s="10" t="s">
        <v>652</v>
      </c>
      <c r="Q43" s="10" t="s">
        <v>651</v>
      </c>
      <c r="R43" s="10" t="s">
        <v>3508</v>
      </c>
      <c r="S43" s="5" t="s">
        <v>650</v>
      </c>
      <c r="T43" s="76">
        <v>12.5</v>
      </c>
      <c r="U43" s="76">
        <v>1200</v>
      </c>
      <c r="V43" s="76">
        <v>2500</v>
      </c>
      <c r="W43" s="67" t="s">
        <v>396</v>
      </c>
      <c r="X43" s="67" t="s">
        <v>396</v>
      </c>
      <c r="Y43" s="13">
        <v>8.9</v>
      </c>
      <c r="Z43" s="75">
        <v>0.25</v>
      </c>
      <c r="AA43" s="67" t="s">
        <v>396</v>
      </c>
      <c r="AB43" s="31" t="s">
        <v>649</v>
      </c>
      <c r="AC43" s="5" t="s">
        <v>648</v>
      </c>
      <c r="AD43" s="5" t="s">
        <v>647</v>
      </c>
      <c r="AE43" s="10">
        <v>10</v>
      </c>
      <c r="AF43" s="67" t="s">
        <v>399</v>
      </c>
      <c r="AG43" s="74">
        <f t="shared" si="0"/>
        <v>0.125</v>
      </c>
      <c r="AH43" s="31" t="s">
        <v>646</v>
      </c>
      <c r="AI43" s="67" t="s">
        <v>645</v>
      </c>
      <c r="AJ43" s="67" t="s">
        <v>644</v>
      </c>
      <c r="AK43" s="10" t="s">
        <v>643</v>
      </c>
      <c r="AL43" s="17">
        <v>5413218000154</v>
      </c>
      <c r="AM43" s="15" t="s">
        <v>643</v>
      </c>
      <c r="AN43" s="5">
        <v>68091100</v>
      </c>
      <c r="AO43" s="6" t="s">
        <v>3507</v>
      </c>
      <c r="AP43" s="6" t="s">
        <v>3506</v>
      </c>
      <c r="AQ43" s="6" t="s">
        <v>3548</v>
      </c>
      <c r="AR43" s="6" t="s">
        <v>3547</v>
      </c>
      <c r="AS43" s="6" t="s">
        <v>3546</v>
      </c>
    </row>
    <row r="44" spans="1:45" ht="12.75" customHeight="1">
      <c r="A44" s="77" t="s">
        <v>3545</v>
      </c>
      <c r="B44" s="6" t="s">
        <v>396</v>
      </c>
      <c r="C44" s="31" t="s">
        <v>403</v>
      </c>
      <c r="D44" s="5" t="s">
        <v>3455</v>
      </c>
      <c r="E44" s="115" t="s">
        <v>3455</v>
      </c>
      <c r="F44" s="31" t="s">
        <v>3454</v>
      </c>
      <c r="G44" s="31" t="s">
        <v>3453</v>
      </c>
      <c r="H44" s="67" t="s">
        <v>396</v>
      </c>
      <c r="I44" s="67" t="s">
        <v>396</v>
      </c>
      <c r="J44" s="115" t="s">
        <v>3452</v>
      </c>
      <c r="K44" s="115" t="s">
        <v>3452</v>
      </c>
      <c r="L44" s="10" t="s">
        <v>651</v>
      </c>
      <c r="M44" s="10" t="s">
        <v>655</v>
      </c>
      <c r="N44" s="10" t="s">
        <v>654</v>
      </c>
      <c r="O44" s="31" t="s">
        <v>653</v>
      </c>
      <c r="P44" s="10" t="s">
        <v>652</v>
      </c>
      <c r="Q44" s="10" t="s">
        <v>651</v>
      </c>
      <c r="R44" s="10" t="s">
        <v>3508</v>
      </c>
      <c r="S44" s="5" t="s">
        <v>650</v>
      </c>
      <c r="T44" s="76">
        <v>12.5</v>
      </c>
      <c r="U44" s="76">
        <v>1200</v>
      </c>
      <c r="V44" s="76">
        <v>2600</v>
      </c>
      <c r="W44" s="67" t="s">
        <v>396</v>
      </c>
      <c r="X44" s="67" t="s">
        <v>396</v>
      </c>
      <c r="Y44" s="13">
        <v>8.9</v>
      </c>
      <c r="Z44" s="75">
        <v>0.25</v>
      </c>
      <c r="AA44" s="67" t="s">
        <v>396</v>
      </c>
      <c r="AB44" s="31" t="s">
        <v>649</v>
      </c>
      <c r="AC44" s="5" t="s">
        <v>648</v>
      </c>
      <c r="AD44" s="5" t="s">
        <v>647</v>
      </c>
      <c r="AE44" s="10">
        <v>10</v>
      </c>
      <c r="AF44" s="67" t="s">
        <v>399</v>
      </c>
      <c r="AG44" s="74">
        <f t="shared" si="0"/>
        <v>0.125</v>
      </c>
      <c r="AH44" s="31" t="s">
        <v>646</v>
      </c>
      <c r="AI44" s="67" t="s">
        <v>645</v>
      </c>
      <c r="AJ44" s="67" t="s">
        <v>644</v>
      </c>
      <c r="AK44" s="10" t="s">
        <v>643</v>
      </c>
      <c r="AL44" s="17">
        <v>5413218000161</v>
      </c>
      <c r="AM44" s="15" t="s">
        <v>643</v>
      </c>
      <c r="AN44" s="5">
        <v>68091100</v>
      </c>
      <c r="AO44" s="6" t="s">
        <v>3507</v>
      </c>
      <c r="AP44" s="6" t="s">
        <v>3506</v>
      </c>
      <c r="AQ44" s="6" t="s">
        <v>3544</v>
      </c>
      <c r="AR44" s="6" t="s">
        <v>3543</v>
      </c>
      <c r="AS44" s="6" t="s">
        <v>3542</v>
      </c>
    </row>
    <row r="45" spans="1:45" ht="12.75" customHeight="1">
      <c r="A45" s="77" t="s">
        <v>3541</v>
      </c>
      <c r="B45" s="6" t="s">
        <v>396</v>
      </c>
      <c r="C45" s="31" t="s">
        <v>403</v>
      </c>
      <c r="D45" s="5" t="s">
        <v>3455</v>
      </c>
      <c r="E45" s="115" t="s">
        <v>3455</v>
      </c>
      <c r="F45" s="31" t="s">
        <v>3454</v>
      </c>
      <c r="G45" s="31" t="s">
        <v>3453</v>
      </c>
      <c r="H45" s="67" t="s">
        <v>396</v>
      </c>
      <c r="I45" s="67" t="s">
        <v>396</v>
      </c>
      <c r="J45" s="115" t="s">
        <v>3452</v>
      </c>
      <c r="K45" s="115" t="s">
        <v>3452</v>
      </c>
      <c r="L45" s="10" t="s">
        <v>651</v>
      </c>
      <c r="M45" s="10" t="s">
        <v>655</v>
      </c>
      <c r="N45" s="10" t="s">
        <v>654</v>
      </c>
      <c r="O45" s="31" t="s">
        <v>653</v>
      </c>
      <c r="P45" s="10" t="s">
        <v>652</v>
      </c>
      <c r="Q45" s="10" t="s">
        <v>651</v>
      </c>
      <c r="R45" s="10" t="s">
        <v>3508</v>
      </c>
      <c r="S45" s="5" t="s">
        <v>650</v>
      </c>
      <c r="T45" s="76">
        <v>12.5</v>
      </c>
      <c r="U45" s="76">
        <v>1200</v>
      </c>
      <c r="V45" s="76">
        <v>2600</v>
      </c>
      <c r="W45" s="67" t="s">
        <v>396</v>
      </c>
      <c r="X45" s="67" t="s">
        <v>396</v>
      </c>
      <c r="Y45" s="13">
        <v>8.9</v>
      </c>
      <c r="Z45" s="75">
        <v>0.25</v>
      </c>
      <c r="AA45" s="67" t="s">
        <v>396</v>
      </c>
      <c r="AB45" s="31" t="s">
        <v>649</v>
      </c>
      <c r="AC45" s="5" t="s">
        <v>648</v>
      </c>
      <c r="AD45" s="5" t="s">
        <v>647</v>
      </c>
      <c r="AE45" s="10">
        <v>10</v>
      </c>
      <c r="AF45" s="67" t="s">
        <v>399</v>
      </c>
      <c r="AG45" s="74">
        <f t="shared" si="0"/>
        <v>0.125</v>
      </c>
      <c r="AH45" s="31" t="s">
        <v>646</v>
      </c>
      <c r="AI45" s="67" t="s">
        <v>645</v>
      </c>
      <c r="AJ45" s="67" t="s">
        <v>644</v>
      </c>
      <c r="AK45" s="10" t="s">
        <v>643</v>
      </c>
      <c r="AL45" s="17">
        <v>5413218000161</v>
      </c>
      <c r="AM45" s="15" t="s">
        <v>643</v>
      </c>
      <c r="AN45" s="5">
        <v>68091100</v>
      </c>
      <c r="AO45" s="6" t="s">
        <v>3507</v>
      </c>
      <c r="AP45" s="6" t="s">
        <v>3506</v>
      </c>
      <c r="AQ45" s="6" t="s">
        <v>3540</v>
      </c>
      <c r="AR45" s="6" t="s">
        <v>3539</v>
      </c>
      <c r="AS45" s="6" t="s">
        <v>3538</v>
      </c>
    </row>
    <row r="46" spans="1:45" ht="12.75" customHeight="1">
      <c r="A46" s="77" t="s">
        <v>3537</v>
      </c>
      <c r="B46" s="6" t="s">
        <v>396</v>
      </c>
      <c r="C46" s="31" t="s">
        <v>403</v>
      </c>
      <c r="D46" s="5" t="s">
        <v>3455</v>
      </c>
      <c r="E46" s="115" t="s">
        <v>3455</v>
      </c>
      <c r="F46" s="31" t="s">
        <v>3454</v>
      </c>
      <c r="G46" s="31" t="s">
        <v>3453</v>
      </c>
      <c r="H46" s="67" t="s">
        <v>396</v>
      </c>
      <c r="I46" s="67" t="s">
        <v>396</v>
      </c>
      <c r="J46" s="115" t="s">
        <v>3452</v>
      </c>
      <c r="K46" s="115" t="s">
        <v>3452</v>
      </c>
      <c r="L46" s="10" t="s">
        <v>651</v>
      </c>
      <c r="M46" s="10" t="s">
        <v>655</v>
      </c>
      <c r="N46" s="10" t="s">
        <v>654</v>
      </c>
      <c r="O46" s="31" t="s">
        <v>653</v>
      </c>
      <c r="P46" s="10" t="s">
        <v>652</v>
      </c>
      <c r="Q46" s="10" t="s">
        <v>651</v>
      </c>
      <c r="R46" s="10" t="s">
        <v>3508</v>
      </c>
      <c r="S46" s="5" t="s">
        <v>650</v>
      </c>
      <c r="T46" s="76">
        <v>12.5</v>
      </c>
      <c r="U46" s="76">
        <v>1200</v>
      </c>
      <c r="V46" s="76">
        <v>2800</v>
      </c>
      <c r="W46" s="67" t="s">
        <v>396</v>
      </c>
      <c r="X46" s="67" t="s">
        <v>396</v>
      </c>
      <c r="Y46" s="13">
        <v>8.9</v>
      </c>
      <c r="Z46" s="75">
        <v>0.25</v>
      </c>
      <c r="AA46" s="67" t="s">
        <v>396</v>
      </c>
      <c r="AB46" s="31" t="s">
        <v>649</v>
      </c>
      <c r="AC46" s="5" t="s">
        <v>648</v>
      </c>
      <c r="AD46" s="5" t="s">
        <v>647</v>
      </c>
      <c r="AE46" s="10">
        <v>10</v>
      </c>
      <c r="AF46" s="67" t="s">
        <v>399</v>
      </c>
      <c r="AG46" s="74">
        <f t="shared" si="0"/>
        <v>0.125</v>
      </c>
      <c r="AH46" s="31" t="s">
        <v>646</v>
      </c>
      <c r="AI46" s="67" t="s">
        <v>645</v>
      </c>
      <c r="AJ46" s="67" t="s">
        <v>644</v>
      </c>
      <c r="AK46" s="10" t="s">
        <v>643</v>
      </c>
      <c r="AL46" s="17">
        <v>5413218000178</v>
      </c>
      <c r="AM46" s="15" t="s">
        <v>643</v>
      </c>
      <c r="AN46" s="5">
        <v>68091100</v>
      </c>
      <c r="AO46" s="6" t="s">
        <v>3507</v>
      </c>
      <c r="AP46" s="6" t="s">
        <v>3506</v>
      </c>
      <c r="AQ46" s="6" t="s">
        <v>3536</v>
      </c>
      <c r="AR46" s="6" t="s">
        <v>3535</v>
      </c>
      <c r="AS46" s="6" t="s">
        <v>3534</v>
      </c>
    </row>
    <row r="47" spans="1:45" ht="12.75" customHeight="1">
      <c r="A47" s="77" t="s">
        <v>3533</v>
      </c>
      <c r="B47" s="6" t="s">
        <v>396</v>
      </c>
      <c r="C47" s="31" t="s">
        <v>403</v>
      </c>
      <c r="D47" s="5" t="s">
        <v>3455</v>
      </c>
      <c r="E47" s="115" t="s">
        <v>3455</v>
      </c>
      <c r="F47" s="31" t="s">
        <v>3454</v>
      </c>
      <c r="G47" s="31" t="s">
        <v>3453</v>
      </c>
      <c r="H47" s="67" t="s">
        <v>396</v>
      </c>
      <c r="I47" s="67" t="s">
        <v>396</v>
      </c>
      <c r="J47" s="115" t="s">
        <v>3452</v>
      </c>
      <c r="K47" s="115" t="s">
        <v>3452</v>
      </c>
      <c r="L47" s="10" t="s">
        <v>651</v>
      </c>
      <c r="M47" s="10" t="s">
        <v>655</v>
      </c>
      <c r="N47" s="10" t="s">
        <v>654</v>
      </c>
      <c r="O47" s="31" t="s">
        <v>653</v>
      </c>
      <c r="P47" s="10" t="s">
        <v>652</v>
      </c>
      <c r="Q47" s="10" t="s">
        <v>651</v>
      </c>
      <c r="R47" s="10" t="s">
        <v>3508</v>
      </c>
      <c r="S47" s="5" t="s">
        <v>650</v>
      </c>
      <c r="T47" s="76">
        <v>12.5</v>
      </c>
      <c r="U47" s="76">
        <v>1200</v>
      </c>
      <c r="V47" s="76">
        <v>2800</v>
      </c>
      <c r="W47" s="67" t="s">
        <v>396</v>
      </c>
      <c r="X47" s="67" t="s">
        <v>396</v>
      </c>
      <c r="Y47" s="13">
        <v>8.9</v>
      </c>
      <c r="Z47" s="75">
        <v>0.25</v>
      </c>
      <c r="AA47" s="67" t="s">
        <v>396</v>
      </c>
      <c r="AB47" s="31" t="s">
        <v>649</v>
      </c>
      <c r="AC47" s="5" t="s">
        <v>648</v>
      </c>
      <c r="AD47" s="5" t="s">
        <v>647</v>
      </c>
      <c r="AE47" s="10">
        <v>10</v>
      </c>
      <c r="AF47" s="67" t="s">
        <v>399</v>
      </c>
      <c r="AG47" s="74">
        <f t="shared" si="0"/>
        <v>0.125</v>
      </c>
      <c r="AH47" s="31" t="s">
        <v>646</v>
      </c>
      <c r="AI47" s="67" t="s">
        <v>645</v>
      </c>
      <c r="AJ47" s="67" t="s">
        <v>644</v>
      </c>
      <c r="AK47" s="10" t="s">
        <v>643</v>
      </c>
      <c r="AL47" s="17">
        <v>5413218000178</v>
      </c>
      <c r="AM47" s="15" t="s">
        <v>643</v>
      </c>
      <c r="AN47" s="5">
        <v>68091100</v>
      </c>
      <c r="AO47" s="6" t="s">
        <v>3507</v>
      </c>
      <c r="AP47" s="6" t="s">
        <v>3506</v>
      </c>
      <c r="AQ47" s="6" t="s">
        <v>3532</v>
      </c>
      <c r="AR47" s="6" t="s">
        <v>3531</v>
      </c>
      <c r="AS47" s="6" t="s">
        <v>3530</v>
      </c>
    </row>
    <row r="48" spans="1:45" ht="12.75" customHeight="1">
      <c r="A48" s="77" t="s">
        <v>3529</v>
      </c>
      <c r="B48" s="6" t="s">
        <v>396</v>
      </c>
      <c r="C48" s="31" t="s">
        <v>403</v>
      </c>
      <c r="D48" s="5" t="s">
        <v>3455</v>
      </c>
      <c r="E48" s="115" t="s">
        <v>3455</v>
      </c>
      <c r="F48" s="31" t="s">
        <v>3454</v>
      </c>
      <c r="G48" s="31" t="s">
        <v>3453</v>
      </c>
      <c r="H48" s="67" t="s">
        <v>396</v>
      </c>
      <c r="I48" s="67" t="s">
        <v>396</v>
      </c>
      <c r="J48" s="115" t="s">
        <v>3452</v>
      </c>
      <c r="K48" s="115" t="s">
        <v>3452</v>
      </c>
      <c r="L48" s="10" t="s">
        <v>651</v>
      </c>
      <c r="M48" s="10" t="s">
        <v>655</v>
      </c>
      <c r="N48" s="10" t="s">
        <v>654</v>
      </c>
      <c r="O48" s="31" t="s">
        <v>653</v>
      </c>
      <c r="P48" s="10" t="s">
        <v>652</v>
      </c>
      <c r="Q48" s="10" t="s">
        <v>651</v>
      </c>
      <c r="R48" s="10" t="s">
        <v>3508</v>
      </c>
      <c r="S48" s="5" t="s">
        <v>650</v>
      </c>
      <c r="T48" s="76">
        <v>12.5</v>
      </c>
      <c r="U48" s="76">
        <v>1200</v>
      </c>
      <c r="V48" s="76">
        <v>3000</v>
      </c>
      <c r="W48" s="67" t="s">
        <v>396</v>
      </c>
      <c r="X48" s="67" t="s">
        <v>396</v>
      </c>
      <c r="Y48" s="13">
        <v>8.9</v>
      </c>
      <c r="Z48" s="75">
        <v>0.25</v>
      </c>
      <c r="AA48" s="67" t="s">
        <v>396</v>
      </c>
      <c r="AB48" s="31" t="s">
        <v>649</v>
      </c>
      <c r="AC48" s="5" t="s">
        <v>648</v>
      </c>
      <c r="AD48" s="5" t="s">
        <v>647</v>
      </c>
      <c r="AE48" s="10">
        <v>10</v>
      </c>
      <c r="AF48" s="67" t="s">
        <v>399</v>
      </c>
      <c r="AG48" s="74">
        <f t="shared" si="0"/>
        <v>0.125</v>
      </c>
      <c r="AH48" s="31" t="s">
        <v>646</v>
      </c>
      <c r="AI48" s="67" t="s">
        <v>645</v>
      </c>
      <c r="AJ48" s="67" t="s">
        <v>644</v>
      </c>
      <c r="AK48" s="10" t="s">
        <v>643</v>
      </c>
      <c r="AL48" s="17">
        <v>5413218000185</v>
      </c>
      <c r="AM48" s="15" t="s">
        <v>643</v>
      </c>
      <c r="AN48" s="5">
        <v>68091100</v>
      </c>
      <c r="AO48" s="6" t="s">
        <v>3507</v>
      </c>
      <c r="AP48" s="6" t="s">
        <v>3506</v>
      </c>
      <c r="AQ48" s="6" t="s">
        <v>3528</v>
      </c>
      <c r="AR48" s="6" t="s">
        <v>3527</v>
      </c>
      <c r="AS48" s="6" t="s">
        <v>3526</v>
      </c>
    </row>
    <row r="49" spans="1:45" ht="12.75" customHeight="1">
      <c r="A49" s="77" t="s">
        <v>3525</v>
      </c>
      <c r="B49" s="6" t="s">
        <v>396</v>
      </c>
      <c r="C49" s="31" t="s">
        <v>403</v>
      </c>
      <c r="D49" s="5" t="s">
        <v>3455</v>
      </c>
      <c r="E49" s="115" t="s">
        <v>3455</v>
      </c>
      <c r="F49" s="31" t="s">
        <v>3454</v>
      </c>
      <c r="G49" s="31" t="s">
        <v>3453</v>
      </c>
      <c r="H49" s="67" t="s">
        <v>396</v>
      </c>
      <c r="I49" s="67" t="s">
        <v>396</v>
      </c>
      <c r="J49" s="115" t="s">
        <v>3452</v>
      </c>
      <c r="K49" s="115" t="s">
        <v>3452</v>
      </c>
      <c r="L49" s="10" t="s">
        <v>651</v>
      </c>
      <c r="M49" s="10" t="s">
        <v>655</v>
      </c>
      <c r="N49" s="10" t="s">
        <v>654</v>
      </c>
      <c r="O49" s="31" t="s">
        <v>653</v>
      </c>
      <c r="P49" s="10" t="s">
        <v>652</v>
      </c>
      <c r="Q49" s="10" t="s">
        <v>651</v>
      </c>
      <c r="R49" s="10" t="s">
        <v>3508</v>
      </c>
      <c r="S49" s="5" t="s">
        <v>650</v>
      </c>
      <c r="T49" s="76">
        <v>12.5</v>
      </c>
      <c r="U49" s="76">
        <v>1200</v>
      </c>
      <c r="V49" s="76">
        <v>3000</v>
      </c>
      <c r="W49" s="67" t="s">
        <v>396</v>
      </c>
      <c r="X49" s="67" t="s">
        <v>396</v>
      </c>
      <c r="Y49" s="13">
        <v>8.9</v>
      </c>
      <c r="Z49" s="75">
        <v>0.25</v>
      </c>
      <c r="AA49" s="67" t="s">
        <v>396</v>
      </c>
      <c r="AB49" s="31" t="s">
        <v>649</v>
      </c>
      <c r="AC49" s="5" t="s">
        <v>648</v>
      </c>
      <c r="AD49" s="5" t="s">
        <v>647</v>
      </c>
      <c r="AE49" s="10">
        <v>10</v>
      </c>
      <c r="AF49" s="67" t="s">
        <v>399</v>
      </c>
      <c r="AG49" s="74">
        <f t="shared" si="0"/>
        <v>0.125</v>
      </c>
      <c r="AH49" s="31" t="s">
        <v>646</v>
      </c>
      <c r="AI49" s="67" t="s">
        <v>645</v>
      </c>
      <c r="AJ49" s="67" t="s">
        <v>644</v>
      </c>
      <c r="AK49" s="10" t="s">
        <v>643</v>
      </c>
      <c r="AL49" s="17">
        <v>5413218000185</v>
      </c>
      <c r="AM49" s="15" t="s">
        <v>643</v>
      </c>
      <c r="AN49" s="5">
        <v>68091100</v>
      </c>
      <c r="AO49" s="6" t="s">
        <v>3507</v>
      </c>
      <c r="AP49" s="6" t="s">
        <v>3506</v>
      </c>
      <c r="AQ49" s="6" t="s">
        <v>3524</v>
      </c>
      <c r="AR49" s="6" t="s">
        <v>3523</v>
      </c>
      <c r="AS49" s="6" t="s">
        <v>3522</v>
      </c>
    </row>
    <row r="50" spans="1:45" ht="12.75" customHeight="1">
      <c r="A50" s="77" t="s">
        <v>3521</v>
      </c>
      <c r="B50" s="6" t="s">
        <v>396</v>
      </c>
      <c r="C50" s="31" t="s">
        <v>403</v>
      </c>
      <c r="D50" s="5" t="s">
        <v>3455</v>
      </c>
      <c r="E50" s="115" t="s">
        <v>3455</v>
      </c>
      <c r="F50" s="31" t="s">
        <v>3454</v>
      </c>
      <c r="G50" s="31" t="s">
        <v>3453</v>
      </c>
      <c r="H50" s="67" t="s">
        <v>396</v>
      </c>
      <c r="I50" s="67" t="s">
        <v>396</v>
      </c>
      <c r="J50" s="115" t="s">
        <v>3452</v>
      </c>
      <c r="K50" s="115" t="s">
        <v>3452</v>
      </c>
      <c r="L50" s="10" t="s">
        <v>651</v>
      </c>
      <c r="M50" s="10" t="s">
        <v>655</v>
      </c>
      <c r="N50" s="10" t="s">
        <v>654</v>
      </c>
      <c r="O50" s="31" t="s">
        <v>653</v>
      </c>
      <c r="P50" s="10" t="s">
        <v>652</v>
      </c>
      <c r="Q50" s="10" t="s">
        <v>651</v>
      </c>
      <c r="R50" s="10" t="s">
        <v>3508</v>
      </c>
      <c r="S50" s="5" t="s">
        <v>650</v>
      </c>
      <c r="T50" s="76">
        <v>12.5</v>
      </c>
      <c r="U50" s="76">
        <v>1200</v>
      </c>
      <c r="V50" s="76">
        <v>3200</v>
      </c>
      <c r="W50" s="67" t="s">
        <v>396</v>
      </c>
      <c r="X50" s="67" t="s">
        <v>396</v>
      </c>
      <c r="Y50" s="13">
        <v>8.9</v>
      </c>
      <c r="Z50" s="75">
        <v>0.25</v>
      </c>
      <c r="AA50" s="67" t="s">
        <v>396</v>
      </c>
      <c r="AB50" s="31" t="s">
        <v>649</v>
      </c>
      <c r="AC50" s="5" t="s">
        <v>648</v>
      </c>
      <c r="AD50" s="5" t="s">
        <v>647</v>
      </c>
      <c r="AE50" s="10">
        <v>10</v>
      </c>
      <c r="AF50" s="67" t="s">
        <v>399</v>
      </c>
      <c r="AG50" s="74">
        <f t="shared" si="0"/>
        <v>0.125</v>
      </c>
      <c r="AH50" s="31" t="s">
        <v>646</v>
      </c>
      <c r="AI50" s="67" t="s">
        <v>645</v>
      </c>
      <c r="AJ50" s="67" t="s">
        <v>644</v>
      </c>
      <c r="AK50" s="10" t="s">
        <v>643</v>
      </c>
      <c r="AL50" s="17">
        <v>5413218000192</v>
      </c>
      <c r="AM50" s="15" t="s">
        <v>643</v>
      </c>
      <c r="AN50" s="5">
        <v>68091100</v>
      </c>
      <c r="AO50" s="6" t="s">
        <v>3507</v>
      </c>
      <c r="AP50" s="6" t="s">
        <v>3506</v>
      </c>
      <c r="AQ50" s="6" t="s">
        <v>3520</v>
      </c>
      <c r="AR50" s="6" t="s">
        <v>3519</v>
      </c>
      <c r="AS50" s="6" t="s">
        <v>3518</v>
      </c>
    </row>
    <row r="51" spans="1:45" ht="12.75" customHeight="1">
      <c r="A51" s="77" t="s">
        <v>3517</v>
      </c>
      <c r="B51" s="6" t="s">
        <v>396</v>
      </c>
      <c r="C51" s="31" t="s">
        <v>403</v>
      </c>
      <c r="D51" s="5" t="s">
        <v>3455</v>
      </c>
      <c r="E51" s="115" t="s">
        <v>3455</v>
      </c>
      <c r="F51" s="31" t="s">
        <v>3454</v>
      </c>
      <c r="G51" s="31" t="s">
        <v>3453</v>
      </c>
      <c r="H51" s="67" t="s">
        <v>396</v>
      </c>
      <c r="I51" s="67" t="s">
        <v>396</v>
      </c>
      <c r="J51" s="115" t="s">
        <v>3452</v>
      </c>
      <c r="K51" s="115" t="s">
        <v>3452</v>
      </c>
      <c r="L51" s="10" t="s">
        <v>651</v>
      </c>
      <c r="M51" s="10" t="s">
        <v>655</v>
      </c>
      <c r="N51" s="10" t="s">
        <v>654</v>
      </c>
      <c r="O51" s="31" t="s">
        <v>653</v>
      </c>
      <c r="P51" s="10" t="s">
        <v>652</v>
      </c>
      <c r="Q51" s="10" t="s">
        <v>651</v>
      </c>
      <c r="R51" s="10" t="s">
        <v>3508</v>
      </c>
      <c r="S51" s="5" t="s">
        <v>650</v>
      </c>
      <c r="T51" s="76">
        <v>12.5</v>
      </c>
      <c r="U51" s="76">
        <v>1200</v>
      </c>
      <c r="V51" s="76">
        <v>3200</v>
      </c>
      <c r="W51" s="67" t="s">
        <v>396</v>
      </c>
      <c r="X51" s="67" t="s">
        <v>396</v>
      </c>
      <c r="Y51" s="13">
        <v>8.9</v>
      </c>
      <c r="Z51" s="75">
        <v>0.25</v>
      </c>
      <c r="AA51" s="67" t="s">
        <v>396</v>
      </c>
      <c r="AB51" s="31" t="s">
        <v>649</v>
      </c>
      <c r="AC51" s="5" t="s">
        <v>648</v>
      </c>
      <c r="AD51" s="5" t="s">
        <v>647</v>
      </c>
      <c r="AE51" s="10">
        <v>10</v>
      </c>
      <c r="AF51" s="67" t="s">
        <v>399</v>
      </c>
      <c r="AG51" s="74">
        <f t="shared" si="0"/>
        <v>0.125</v>
      </c>
      <c r="AH51" s="31" t="s">
        <v>646</v>
      </c>
      <c r="AI51" s="67" t="s">
        <v>645</v>
      </c>
      <c r="AJ51" s="67" t="s">
        <v>644</v>
      </c>
      <c r="AK51" s="10" t="s">
        <v>643</v>
      </c>
      <c r="AL51" s="17">
        <v>5413218000192</v>
      </c>
      <c r="AM51" s="15" t="s">
        <v>643</v>
      </c>
      <c r="AN51" s="5">
        <v>68091100</v>
      </c>
      <c r="AO51" s="6" t="s">
        <v>3507</v>
      </c>
      <c r="AP51" s="6" t="s">
        <v>3506</v>
      </c>
      <c r="AQ51" s="6" t="s">
        <v>3516</v>
      </c>
      <c r="AR51" s="6" t="s">
        <v>3515</v>
      </c>
      <c r="AS51" s="6" t="s">
        <v>3514</v>
      </c>
    </row>
    <row r="52" spans="1:45" ht="12.75" customHeight="1">
      <c r="A52" s="77" t="s">
        <v>3513</v>
      </c>
      <c r="B52" s="6" t="s">
        <v>396</v>
      </c>
      <c r="C52" s="31" t="s">
        <v>403</v>
      </c>
      <c r="D52" s="5" t="s">
        <v>3455</v>
      </c>
      <c r="E52" s="115" t="s">
        <v>3455</v>
      </c>
      <c r="F52" s="31" t="s">
        <v>3454</v>
      </c>
      <c r="G52" s="31" t="s">
        <v>3453</v>
      </c>
      <c r="H52" s="67" t="s">
        <v>396</v>
      </c>
      <c r="I52" s="67" t="s">
        <v>396</v>
      </c>
      <c r="J52" s="115" t="s">
        <v>3452</v>
      </c>
      <c r="K52" s="115" t="s">
        <v>3452</v>
      </c>
      <c r="L52" s="10" t="s">
        <v>651</v>
      </c>
      <c r="M52" s="10" t="s">
        <v>655</v>
      </c>
      <c r="N52" s="10" t="s">
        <v>654</v>
      </c>
      <c r="O52" s="31" t="s">
        <v>653</v>
      </c>
      <c r="P52" s="10" t="s">
        <v>652</v>
      </c>
      <c r="Q52" s="10" t="s">
        <v>651</v>
      </c>
      <c r="R52" s="10" t="s">
        <v>3508</v>
      </c>
      <c r="S52" s="5" t="s">
        <v>650</v>
      </c>
      <c r="T52" s="76">
        <v>12.5</v>
      </c>
      <c r="U52" s="76">
        <v>1200</v>
      </c>
      <c r="V52" s="76">
        <v>3600</v>
      </c>
      <c r="W52" s="67" t="s">
        <v>396</v>
      </c>
      <c r="X52" s="67" t="s">
        <v>396</v>
      </c>
      <c r="Y52" s="13">
        <v>8.9</v>
      </c>
      <c r="Z52" s="75">
        <v>0.25</v>
      </c>
      <c r="AA52" s="67" t="s">
        <v>396</v>
      </c>
      <c r="AB52" s="31" t="s">
        <v>649</v>
      </c>
      <c r="AC52" s="5" t="s">
        <v>648</v>
      </c>
      <c r="AD52" s="5" t="s">
        <v>647</v>
      </c>
      <c r="AE52" s="10">
        <v>10</v>
      </c>
      <c r="AF52" s="67" t="s">
        <v>399</v>
      </c>
      <c r="AG52" s="74">
        <f t="shared" si="0"/>
        <v>0.125</v>
      </c>
      <c r="AH52" s="31" t="s">
        <v>646</v>
      </c>
      <c r="AI52" s="67" t="s">
        <v>645</v>
      </c>
      <c r="AJ52" s="67" t="s">
        <v>644</v>
      </c>
      <c r="AK52" s="10" t="s">
        <v>643</v>
      </c>
      <c r="AL52" s="17">
        <v>5413218000208</v>
      </c>
      <c r="AM52" s="15" t="s">
        <v>643</v>
      </c>
      <c r="AN52" s="5">
        <v>68091100</v>
      </c>
      <c r="AO52" s="6" t="s">
        <v>3507</v>
      </c>
      <c r="AP52" s="6" t="s">
        <v>3506</v>
      </c>
      <c r="AQ52" s="6" t="s">
        <v>3512</v>
      </c>
      <c r="AR52" s="6" t="s">
        <v>3511</v>
      </c>
      <c r="AS52" s="6" t="s">
        <v>3510</v>
      </c>
    </row>
    <row r="53" spans="1:45" ht="12.75" customHeight="1">
      <c r="A53" s="77" t="s">
        <v>3509</v>
      </c>
      <c r="B53" s="6" t="s">
        <v>396</v>
      </c>
      <c r="C53" s="31" t="s">
        <v>403</v>
      </c>
      <c r="D53" s="5" t="s">
        <v>3455</v>
      </c>
      <c r="E53" s="115" t="s">
        <v>3455</v>
      </c>
      <c r="F53" s="31" t="s">
        <v>3454</v>
      </c>
      <c r="G53" s="31" t="s">
        <v>3453</v>
      </c>
      <c r="H53" s="67" t="s">
        <v>396</v>
      </c>
      <c r="I53" s="67" t="s">
        <v>396</v>
      </c>
      <c r="J53" s="115" t="s">
        <v>3452</v>
      </c>
      <c r="K53" s="115" t="s">
        <v>3452</v>
      </c>
      <c r="L53" s="10" t="s">
        <v>651</v>
      </c>
      <c r="M53" s="10" t="s">
        <v>655</v>
      </c>
      <c r="N53" s="10" t="s">
        <v>654</v>
      </c>
      <c r="O53" s="31" t="s">
        <v>653</v>
      </c>
      <c r="P53" s="10" t="s">
        <v>652</v>
      </c>
      <c r="Q53" s="10" t="s">
        <v>651</v>
      </c>
      <c r="R53" s="10" t="s">
        <v>3508</v>
      </c>
      <c r="S53" s="5" t="s">
        <v>650</v>
      </c>
      <c r="T53" s="76">
        <v>12.5</v>
      </c>
      <c r="U53" s="76">
        <v>1200</v>
      </c>
      <c r="V53" s="76">
        <v>3600</v>
      </c>
      <c r="W53" s="67" t="s">
        <v>396</v>
      </c>
      <c r="X53" s="67" t="s">
        <v>396</v>
      </c>
      <c r="Y53" s="13">
        <v>8.9</v>
      </c>
      <c r="Z53" s="75">
        <v>0.25</v>
      </c>
      <c r="AA53" s="67" t="s">
        <v>396</v>
      </c>
      <c r="AB53" s="31" t="s">
        <v>649</v>
      </c>
      <c r="AC53" s="5" t="s">
        <v>648</v>
      </c>
      <c r="AD53" s="5" t="s">
        <v>647</v>
      </c>
      <c r="AE53" s="10">
        <v>10</v>
      </c>
      <c r="AF53" s="67" t="s">
        <v>399</v>
      </c>
      <c r="AG53" s="74">
        <f t="shared" si="0"/>
        <v>0.125</v>
      </c>
      <c r="AH53" s="31" t="s">
        <v>646</v>
      </c>
      <c r="AI53" s="67" t="s">
        <v>645</v>
      </c>
      <c r="AJ53" s="67" t="s">
        <v>644</v>
      </c>
      <c r="AK53" s="10" t="s">
        <v>643</v>
      </c>
      <c r="AL53" s="17">
        <v>5413218584036</v>
      </c>
      <c r="AM53" s="105" t="s">
        <v>643</v>
      </c>
      <c r="AN53" s="5">
        <v>68091100</v>
      </c>
      <c r="AO53" s="6" t="s">
        <v>3507</v>
      </c>
      <c r="AP53" s="6" t="s">
        <v>3506</v>
      </c>
      <c r="AQ53" s="6" t="s">
        <v>3505</v>
      </c>
      <c r="AR53" s="6" t="s">
        <v>3504</v>
      </c>
      <c r="AS53" s="6" t="s">
        <v>3503</v>
      </c>
    </row>
    <row r="54" spans="1:45" ht="12.75" customHeight="1">
      <c r="A54" s="77" t="s">
        <v>3502</v>
      </c>
      <c r="B54" s="6" t="s">
        <v>396</v>
      </c>
      <c r="C54" s="31" t="s">
        <v>403</v>
      </c>
      <c r="D54" s="5" t="s">
        <v>3455</v>
      </c>
      <c r="E54" s="115" t="s">
        <v>3455</v>
      </c>
      <c r="F54" s="31" t="s">
        <v>3454</v>
      </c>
      <c r="G54" s="31" t="s">
        <v>3453</v>
      </c>
      <c r="H54" s="67" t="s">
        <v>396</v>
      </c>
      <c r="I54" s="67" t="s">
        <v>396</v>
      </c>
      <c r="J54" s="115" t="s">
        <v>3452</v>
      </c>
      <c r="K54" s="115" t="s">
        <v>3452</v>
      </c>
      <c r="L54" s="10" t="s">
        <v>651</v>
      </c>
      <c r="M54" s="10" t="s">
        <v>655</v>
      </c>
      <c r="N54" s="10" t="s">
        <v>654</v>
      </c>
      <c r="O54" s="31" t="s">
        <v>653</v>
      </c>
      <c r="P54" s="10" t="s">
        <v>652</v>
      </c>
      <c r="Q54" s="10" t="s">
        <v>651</v>
      </c>
      <c r="R54" s="10" t="s">
        <v>3497</v>
      </c>
      <c r="S54" s="5" t="s">
        <v>650</v>
      </c>
      <c r="T54" s="76">
        <v>15</v>
      </c>
      <c r="U54" s="76">
        <v>1200</v>
      </c>
      <c r="V54" s="76">
        <v>2600</v>
      </c>
      <c r="W54" s="67" t="s">
        <v>396</v>
      </c>
      <c r="X54" s="67" t="s">
        <v>396</v>
      </c>
      <c r="Y54" s="13">
        <v>11.2</v>
      </c>
      <c r="Z54" s="75">
        <v>0.25</v>
      </c>
      <c r="AA54" s="67" t="s">
        <v>396</v>
      </c>
      <c r="AB54" s="31" t="s">
        <v>649</v>
      </c>
      <c r="AC54" s="5" t="s">
        <v>648</v>
      </c>
      <c r="AD54" s="5" t="s">
        <v>647</v>
      </c>
      <c r="AE54" s="10">
        <v>10</v>
      </c>
      <c r="AF54" s="67" t="s">
        <v>399</v>
      </c>
      <c r="AG54" s="74">
        <f t="shared" si="0"/>
        <v>0.15</v>
      </c>
      <c r="AH54" s="31" t="s">
        <v>646</v>
      </c>
      <c r="AI54" s="67" t="s">
        <v>645</v>
      </c>
      <c r="AJ54" s="67" t="s">
        <v>644</v>
      </c>
      <c r="AK54" s="10" t="s">
        <v>643</v>
      </c>
      <c r="AL54" s="17">
        <v>5413218000291</v>
      </c>
      <c r="AM54" s="15" t="s">
        <v>643</v>
      </c>
      <c r="AN54" s="5">
        <v>68091100</v>
      </c>
      <c r="AO54" s="6" t="s">
        <v>3496</v>
      </c>
      <c r="AP54" s="6" t="s">
        <v>3495</v>
      </c>
      <c r="AQ54" s="6" t="s">
        <v>3501</v>
      </c>
      <c r="AR54" s="6" t="s">
        <v>3500</v>
      </c>
      <c r="AS54" s="6" t="s">
        <v>3499</v>
      </c>
    </row>
    <row r="55" spans="1:45" s="16" customFormat="1" ht="12.75" customHeight="1">
      <c r="A55" s="89" t="s">
        <v>3498</v>
      </c>
      <c r="B55" s="18" t="s">
        <v>396</v>
      </c>
      <c r="C55" s="18" t="s">
        <v>403</v>
      </c>
      <c r="D55" s="16" t="s">
        <v>3455</v>
      </c>
      <c r="E55" s="101" t="s">
        <v>3455</v>
      </c>
      <c r="F55" s="18" t="s">
        <v>3454</v>
      </c>
      <c r="G55" s="18" t="s">
        <v>3453</v>
      </c>
      <c r="H55" s="19" t="s">
        <v>396</v>
      </c>
      <c r="I55" s="19" t="s">
        <v>396</v>
      </c>
      <c r="J55" s="101" t="s">
        <v>3452</v>
      </c>
      <c r="K55" s="101" t="s">
        <v>3452</v>
      </c>
      <c r="L55" s="16" t="s">
        <v>651</v>
      </c>
      <c r="M55" s="16" t="s">
        <v>655</v>
      </c>
      <c r="N55" s="16" t="s">
        <v>654</v>
      </c>
      <c r="O55" s="18" t="s">
        <v>653</v>
      </c>
      <c r="P55" s="16" t="s">
        <v>652</v>
      </c>
      <c r="Q55" s="16" t="s">
        <v>651</v>
      </c>
      <c r="R55" s="16" t="s">
        <v>3497</v>
      </c>
      <c r="S55" s="16" t="s">
        <v>650</v>
      </c>
      <c r="T55" s="45">
        <v>15</v>
      </c>
      <c r="U55" s="45">
        <v>1200</v>
      </c>
      <c r="V55" s="45">
        <v>3000</v>
      </c>
      <c r="W55" s="19" t="s">
        <v>396</v>
      </c>
      <c r="X55" s="19" t="s">
        <v>396</v>
      </c>
      <c r="Y55" s="42">
        <v>11.2</v>
      </c>
      <c r="Z55" s="41">
        <v>0.25</v>
      </c>
      <c r="AA55" s="19" t="s">
        <v>396</v>
      </c>
      <c r="AB55" s="18" t="s">
        <v>649</v>
      </c>
      <c r="AC55" s="16" t="s">
        <v>648</v>
      </c>
      <c r="AD55" s="16" t="s">
        <v>647</v>
      </c>
      <c r="AE55" s="16">
        <v>10</v>
      </c>
      <c r="AF55" s="19" t="s">
        <v>399</v>
      </c>
      <c r="AG55" s="44">
        <f t="shared" si="0"/>
        <v>0.15</v>
      </c>
      <c r="AH55" s="18" t="s">
        <v>646</v>
      </c>
      <c r="AI55" s="19" t="s">
        <v>645</v>
      </c>
      <c r="AJ55" s="19" t="s">
        <v>644</v>
      </c>
      <c r="AK55" s="16" t="s">
        <v>643</v>
      </c>
      <c r="AL55" s="17">
        <v>8711149902019</v>
      </c>
      <c r="AM55" s="15" t="s">
        <v>643</v>
      </c>
      <c r="AN55" s="5">
        <v>68091100</v>
      </c>
      <c r="AO55" s="6" t="s">
        <v>3496</v>
      </c>
      <c r="AP55" s="6" t="s">
        <v>3495</v>
      </c>
      <c r="AQ55" s="6" t="s">
        <v>3494</v>
      </c>
      <c r="AR55" s="6" t="s">
        <v>3493</v>
      </c>
      <c r="AS55" s="6" t="s">
        <v>3492</v>
      </c>
    </row>
    <row r="56" spans="1:45" ht="12.75" customHeight="1">
      <c r="A56" s="77" t="s">
        <v>3491</v>
      </c>
      <c r="B56" s="6" t="s">
        <v>396</v>
      </c>
      <c r="C56" s="31" t="s">
        <v>403</v>
      </c>
      <c r="D56" s="5" t="s">
        <v>3455</v>
      </c>
      <c r="E56" s="115" t="s">
        <v>3455</v>
      </c>
      <c r="F56" s="31" t="s">
        <v>3454</v>
      </c>
      <c r="G56" s="31" t="s">
        <v>3453</v>
      </c>
      <c r="H56" s="67" t="s">
        <v>396</v>
      </c>
      <c r="I56" s="67" t="s">
        <v>396</v>
      </c>
      <c r="J56" s="115" t="s">
        <v>3452</v>
      </c>
      <c r="K56" s="115" t="s">
        <v>3452</v>
      </c>
      <c r="L56" s="67" t="s">
        <v>2068</v>
      </c>
      <c r="M56" s="10" t="s">
        <v>655</v>
      </c>
      <c r="N56" s="1" t="s">
        <v>3283</v>
      </c>
      <c r="O56" s="10" t="s">
        <v>2879</v>
      </c>
      <c r="P56" s="10" t="s">
        <v>3282</v>
      </c>
      <c r="Q56" s="18" t="s">
        <v>2068</v>
      </c>
      <c r="R56" s="10" t="s">
        <v>3486</v>
      </c>
      <c r="S56" s="5" t="s">
        <v>2639</v>
      </c>
      <c r="T56" s="76">
        <v>9.5</v>
      </c>
      <c r="U56" s="76">
        <v>1200</v>
      </c>
      <c r="V56" s="76">
        <v>2600</v>
      </c>
      <c r="W56" s="67" t="s">
        <v>396</v>
      </c>
      <c r="X56" s="67">
        <v>9.5</v>
      </c>
      <c r="Y56" s="53">
        <v>6.8</v>
      </c>
      <c r="Z56" s="75">
        <v>0.25</v>
      </c>
      <c r="AA56" s="67" t="s">
        <v>396</v>
      </c>
      <c r="AB56" s="31" t="s">
        <v>649</v>
      </c>
      <c r="AC56" s="5" t="s">
        <v>648</v>
      </c>
      <c r="AD56" s="5" t="s">
        <v>647</v>
      </c>
      <c r="AE56" s="10">
        <v>10</v>
      </c>
      <c r="AF56" s="67" t="s">
        <v>399</v>
      </c>
      <c r="AG56" s="74">
        <f t="shared" si="0"/>
        <v>9.5000000000000001E-2</v>
      </c>
      <c r="AH56" s="31" t="s">
        <v>646</v>
      </c>
      <c r="AI56" s="67" t="s">
        <v>645</v>
      </c>
      <c r="AJ56" s="67" t="s">
        <v>644</v>
      </c>
      <c r="AK56" s="10" t="s">
        <v>643</v>
      </c>
      <c r="AL56" s="17">
        <v>5413218000499</v>
      </c>
      <c r="AM56" s="15" t="s">
        <v>643</v>
      </c>
      <c r="AN56" s="5">
        <v>68091100</v>
      </c>
      <c r="AO56" s="6" t="s">
        <v>3485</v>
      </c>
      <c r="AP56" s="6" t="s">
        <v>3484</v>
      </c>
      <c r="AQ56" s="6" t="s">
        <v>3490</v>
      </c>
      <c r="AR56" s="6" t="s">
        <v>3489</v>
      </c>
      <c r="AS56" s="6" t="s">
        <v>3488</v>
      </c>
    </row>
    <row r="57" spans="1:45" ht="12.75" customHeight="1">
      <c r="A57" s="77" t="s">
        <v>3487</v>
      </c>
      <c r="B57" s="6" t="s">
        <v>396</v>
      </c>
      <c r="C57" s="31" t="s">
        <v>403</v>
      </c>
      <c r="D57" s="5" t="s">
        <v>3455</v>
      </c>
      <c r="E57" s="115" t="s">
        <v>3455</v>
      </c>
      <c r="F57" s="31" t="s">
        <v>3454</v>
      </c>
      <c r="G57" s="31" t="s">
        <v>3453</v>
      </c>
      <c r="H57" s="67" t="s">
        <v>396</v>
      </c>
      <c r="I57" s="67" t="s">
        <v>396</v>
      </c>
      <c r="J57" s="115" t="s">
        <v>3452</v>
      </c>
      <c r="K57" s="115" t="s">
        <v>3452</v>
      </c>
      <c r="L57" s="67" t="s">
        <v>2068</v>
      </c>
      <c r="M57" s="10" t="s">
        <v>655</v>
      </c>
      <c r="N57" s="1" t="s">
        <v>3283</v>
      </c>
      <c r="O57" s="10" t="s">
        <v>2879</v>
      </c>
      <c r="P57" s="10" t="s">
        <v>3282</v>
      </c>
      <c r="Q57" s="18" t="s">
        <v>2068</v>
      </c>
      <c r="R57" s="10" t="s">
        <v>3486</v>
      </c>
      <c r="S57" s="5" t="s">
        <v>2639</v>
      </c>
      <c r="T57" s="76">
        <v>9.5</v>
      </c>
      <c r="U57" s="76">
        <v>1200</v>
      </c>
      <c r="V57" s="76">
        <v>2600</v>
      </c>
      <c r="W57" s="67" t="s">
        <v>396</v>
      </c>
      <c r="X57" s="67">
        <v>9.5</v>
      </c>
      <c r="Y57" s="53">
        <v>6.8</v>
      </c>
      <c r="Z57" s="75">
        <v>0.25</v>
      </c>
      <c r="AA57" s="67" t="s">
        <v>396</v>
      </c>
      <c r="AB57" s="31" t="s">
        <v>649</v>
      </c>
      <c r="AC57" s="5" t="s">
        <v>648</v>
      </c>
      <c r="AD57" s="5" t="s">
        <v>647</v>
      </c>
      <c r="AE57" s="10">
        <v>10</v>
      </c>
      <c r="AF57" s="67" t="s">
        <v>399</v>
      </c>
      <c r="AG57" s="74">
        <f t="shared" si="0"/>
        <v>9.5000000000000001E-2</v>
      </c>
      <c r="AH57" s="31" t="s">
        <v>646</v>
      </c>
      <c r="AI57" s="67" t="s">
        <v>645</v>
      </c>
      <c r="AJ57" s="67" t="s">
        <v>644</v>
      </c>
      <c r="AK57" s="10" t="s">
        <v>643</v>
      </c>
      <c r="AL57" s="17">
        <v>5413218000499</v>
      </c>
      <c r="AM57" s="15" t="s">
        <v>643</v>
      </c>
      <c r="AN57" s="5">
        <v>68091100</v>
      </c>
      <c r="AO57" s="6" t="s">
        <v>3485</v>
      </c>
      <c r="AP57" s="6" t="s">
        <v>3484</v>
      </c>
      <c r="AQ57" s="6" t="s">
        <v>3483</v>
      </c>
      <c r="AR57" s="6" t="s">
        <v>3482</v>
      </c>
      <c r="AS57" s="6" t="s">
        <v>3481</v>
      </c>
    </row>
    <row r="58" spans="1:45" ht="12.75" customHeight="1">
      <c r="A58" s="78" t="s">
        <v>3480</v>
      </c>
      <c r="B58" s="6"/>
      <c r="C58" s="31"/>
      <c r="D58" s="5"/>
      <c r="E58" s="115"/>
      <c r="F58" s="31"/>
      <c r="G58" s="31"/>
      <c r="H58" s="67"/>
      <c r="I58" s="67"/>
      <c r="J58" s="115"/>
      <c r="K58" s="115"/>
      <c r="L58" s="67"/>
      <c r="N58" s="1"/>
      <c r="Q58" s="18"/>
      <c r="T58" s="76"/>
      <c r="U58" s="76"/>
      <c r="V58" s="76"/>
      <c r="W58" s="67"/>
      <c r="X58" s="67"/>
      <c r="Y58" s="53"/>
      <c r="Z58" s="75"/>
      <c r="AA58" s="67"/>
      <c r="AB58" s="31"/>
      <c r="AC58" s="5"/>
      <c r="AD58" s="5"/>
      <c r="AF58" s="67"/>
      <c r="AG58" s="74"/>
      <c r="AH58" s="31"/>
      <c r="AI58" s="67"/>
      <c r="AJ58" s="67"/>
      <c r="AL58" s="17"/>
      <c r="AM58" s="15"/>
      <c r="AN58" s="5"/>
      <c r="AO58" s="6"/>
      <c r="AP58" s="6"/>
      <c r="AQ58" s="6"/>
      <c r="AR58" s="6"/>
      <c r="AS58" s="6"/>
    </row>
    <row r="59" spans="1:45" ht="12.75" customHeight="1">
      <c r="A59" s="77" t="s">
        <v>3479</v>
      </c>
      <c r="B59" s="6" t="s">
        <v>396</v>
      </c>
      <c r="C59" s="31" t="s">
        <v>403</v>
      </c>
      <c r="D59" s="5" t="s">
        <v>3455</v>
      </c>
      <c r="E59" s="115" t="s">
        <v>3455</v>
      </c>
      <c r="F59" s="31" t="s">
        <v>3454</v>
      </c>
      <c r="G59" s="31" t="s">
        <v>3453</v>
      </c>
      <c r="H59" s="67" t="s">
        <v>396</v>
      </c>
      <c r="I59" s="67" t="s">
        <v>396</v>
      </c>
      <c r="J59" s="115" t="s">
        <v>3452</v>
      </c>
      <c r="K59" s="115" t="s">
        <v>3452</v>
      </c>
      <c r="L59" s="67" t="s">
        <v>2068</v>
      </c>
      <c r="M59" s="10" t="s">
        <v>655</v>
      </c>
      <c r="N59" s="1" t="s">
        <v>3283</v>
      </c>
      <c r="O59" s="10" t="s">
        <v>2879</v>
      </c>
      <c r="P59" s="10" t="s">
        <v>3282</v>
      </c>
      <c r="Q59" s="18" t="s">
        <v>2068</v>
      </c>
      <c r="R59" s="10" t="s">
        <v>3462</v>
      </c>
      <c r="S59" s="5" t="s">
        <v>2639</v>
      </c>
      <c r="T59" s="76">
        <v>12.5</v>
      </c>
      <c r="U59" s="76">
        <v>1200</v>
      </c>
      <c r="V59" s="76">
        <v>2400</v>
      </c>
      <c r="W59" s="67" t="s">
        <v>396</v>
      </c>
      <c r="X59" s="67">
        <v>12.5</v>
      </c>
      <c r="Y59" s="53">
        <v>8.9</v>
      </c>
      <c r="Z59" s="75">
        <v>0.25</v>
      </c>
      <c r="AA59" s="67" t="s">
        <v>396</v>
      </c>
      <c r="AB59" s="31" t="s">
        <v>649</v>
      </c>
      <c r="AC59" s="5" t="s">
        <v>648</v>
      </c>
      <c r="AD59" s="5" t="s">
        <v>647</v>
      </c>
      <c r="AE59" s="10">
        <v>10</v>
      </c>
      <c r="AF59" s="67" t="s">
        <v>399</v>
      </c>
      <c r="AG59" s="74">
        <f t="shared" ref="AG59:AG64" si="1">AE59*T59/1000</f>
        <v>0.125</v>
      </c>
      <c r="AH59" s="31" t="s">
        <v>646</v>
      </c>
      <c r="AI59" s="67" t="s">
        <v>645</v>
      </c>
      <c r="AJ59" s="67" t="s">
        <v>644</v>
      </c>
      <c r="AK59" s="10" t="s">
        <v>643</v>
      </c>
      <c r="AL59" s="17">
        <v>8711149901654</v>
      </c>
      <c r="AM59" s="15" t="s">
        <v>643</v>
      </c>
      <c r="AN59" s="5">
        <v>68091100</v>
      </c>
      <c r="AO59" s="6" t="s">
        <v>3461</v>
      </c>
      <c r="AP59" s="6" t="s">
        <v>3460</v>
      </c>
      <c r="AQ59" s="6" t="s">
        <v>3478</v>
      </c>
      <c r="AR59" s="6" t="s">
        <v>3477</v>
      </c>
      <c r="AS59" s="6" t="s">
        <v>3476</v>
      </c>
    </row>
    <row r="60" spans="1:45" ht="12.75" customHeight="1">
      <c r="A60" s="77" t="s">
        <v>3475</v>
      </c>
      <c r="B60" s="6" t="s">
        <v>396</v>
      </c>
      <c r="C60" s="31" t="s">
        <v>403</v>
      </c>
      <c r="D60" s="5" t="s">
        <v>3455</v>
      </c>
      <c r="E60" s="115" t="s">
        <v>3455</v>
      </c>
      <c r="F60" s="31" t="s">
        <v>3454</v>
      </c>
      <c r="G60" s="31" t="s">
        <v>3453</v>
      </c>
      <c r="H60" s="67" t="s">
        <v>396</v>
      </c>
      <c r="I60" s="67" t="s">
        <v>396</v>
      </c>
      <c r="J60" s="115" t="s">
        <v>3452</v>
      </c>
      <c r="K60" s="115" t="s">
        <v>3452</v>
      </c>
      <c r="L60" s="67" t="s">
        <v>2068</v>
      </c>
      <c r="M60" s="10" t="s">
        <v>655</v>
      </c>
      <c r="N60" s="1" t="s">
        <v>3283</v>
      </c>
      <c r="O60" s="10" t="s">
        <v>2879</v>
      </c>
      <c r="P60" s="10" t="s">
        <v>3282</v>
      </c>
      <c r="Q60" s="18" t="s">
        <v>2068</v>
      </c>
      <c r="R60" s="10" t="s">
        <v>3462</v>
      </c>
      <c r="S60" s="5" t="s">
        <v>2639</v>
      </c>
      <c r="T60" s="76">
        <v>12.5</v>
      </c>
      <c r="U60" s="76">
        <v>1200</v>
      </c>
      <c r="V60" s="76">
        <v>2600</v>
      </c>
      <c r="W60" s="67" t="s">
        <v>396</v>
      </c>
      <c r="X60" s="67">
        <v>12.5</v>
      </c>
      <c r="Y60" s="53">
        <v>8.9</v>
      </c>
      <c r="Z60" s="75">
        <v>0.25</v>
      </c>
      <c r="AA60" s="67" t="s">
        <v>396</v>
      </c>
      <c r="AB60" s="31" t="s">
        <v>649</v>
      </c>
      <c r="AC60" s="5" t="s">
        <v>648</v>
      </c>
      <c r="AD60" s="5" t="s">
        <v>647</v>
      </c>
      <c r="AE60" s="10">
        <v>10</v>
      </c>
      <c r="AF60" s="67" t="s">
        <v>399</v>
      </c>
      <c r="AG60" s="74">
        <f t="shared" si="1"/>
        <v>0.125</v>
      </c>
      <c r="AH60" s="31" t="s">
        <v>646</v>
      </c>
      <c r="AI60" s="67" t="s">
        <v>645</v>
      </c>
      <c r="AJ60" s="67" t="s">
        <v>644</v>
      </c>
      <c r="AK60" s="10" t="s">
        <v>643</v>
      </c>
      <c r="AL60" s="17">
        <v>5413218000512</v>
      </c>
      <c r="AM60" s="15" t="s">
        <v>643</v>
      </c>
      <c r="AN60" s="5">
        <v>68091100</v>
      </c>
      <c r="AO60" s="6" t="s">
        <v>3461</v>
      </c>
      <c r="AP60" s="6" t="s">
        <v>3460</v>
      </c>
      <c r="AQ60" s="6" t="s">
        <v>3474</v>
      </c>
      <c r="AR60" s="6" t="s">
        <v>3473</v>
      </c>
      <c r="AS60" s="6" t="s">
        <v>3472</v>
      </c>
    </row>
    <row r="61" spans="1:45" ht="12.75" customHeight="1">
      <c r="A61" s="77" t="s">
        <v>3471</v>
      </c>
      <c r="B61" s="6" t="s">
        <v>396</v>
      </c>
      <c r="C61" s="31" t="s">
        <v>403</v>
      </c>
      <c r="D61" s="5" t="s">
        <v>3455</v>
      </c>
      <c r="E61" s="115" t="s">
        <v>3455</v>
      </c>
      <c r="F61" s="31" t="s">
        <v>3454</v>
      </c>
      <c r="G61" s="31" t="s">
        <v>3453</v>
      </c>
      <c r="H61" s="67" t="s">
        <v>396</v>
      </c>
      <c r="I61" s="67" t="s">
        <v>396</v>
      </c>
      <c r="J61" s="115" t="s">
        <v>3452</v>
      </c>
      <c r="K61" s="115" t="s">
        <v>3452</v>
      </c>
      <c r="L61" s="67" t="s">
        <v>2068</v>
      </c>
      <c r="M61" s="10" t="s">
        <v>655</v>
      </c>
      <c r="N61" s="1" t="s">
        <v>3283</v>
      </c>
      <c r="O61" s="10" t="s">
        <v>2879</v>
      </c>
      <c r="P61" s="10" t="s">
        <v>3282</v>
      </c>
      <c r="Q61" s="18" t="s">
        <v>2068</v>
      </c>
      <c r="R61" s="10" t="s">
        <v>3462</v>
      </c>
      <c r="S61" s="5" t="s">
        <v>2639</v>
      </c>
      <c r="T61" s="76">
        <v>12.5</v>
      </c>
      <c r="U61" s="76">
        <v>1200</v>
      </c>
      <c r="V61" s="76">
        <v>2600</v>
      </c>
      <c r="W61" s="67" t="s">
        <v>396</v>
      </c>
      <c r="X61" s="67">
        <v>12.5</v>
      </c>
      <c r="Y61" s="53">
        <v>8.9</v>
      </c>
      <c r="Z61" s="75">
        <v>0.25</v>
      </c>
      <c r="AA61" s="67" t="s">
        <v>396</v>
      </c>
      <c r="AB61" s="31" t="s">
        <v>649</v>
      </c>
      <c r="AC61" s="5" t="s">
        <v>648</v>
      </c>
      <c r="AD61" s="5" t="s">
        <v>647</v>
      </c>
      <c r="AE61" s="10">
        <v>10</v>
      </c>
      <c r="AF61" s="67" t="s">
        <v>399</v>
      </c>
      <c r="AG61" s="74">
        <f t="shared" si="1"/>
        <v>0.125</v>
      </c>
      <c r="AH61" s="31" t="s">
        <v>646</v>
      </c>
      <c r="AI61" s="67" t="s">
        <v>645</v>
      </c>
      <c r="AJ61" s="67" t="s">
        <v>644</v>
      </c>
      <c r="AK61" s="10" t="s">
        <v>643</v>
      </c>
      <c r="AL61" s="17">
        <v>5413218000512</v>
      </c>
      <c r="AM61" s="15" t="s">
        <v>643</v>
      </c>
      <c r="AN61" s="5">
        <v>68091100</v>
      </c>
      <c r="AO61" s="6" t="s">
        <v>3461</v>
      </c>
      <c r="AP61" s="6" t="s">
        <v>3460</v>
      </c>
      <c r="AQ61" s="6" t="s">
        <v>3470</v>
      </c>
      <c r="AR61" s="6" t="s">
        <v>3469</v>
      </c>
      <c r="AS61" s="6" t="s">
        <v>3468</v>
      </c>
    </row>
    <row r="62" spans="1:45" ht="12.75" customHeight="1">
      <c r="A62" s="77" t="s">
        <v>3467</v>
      </c>
      <c r="B62" s="6" t="s">
        <v>396</v>
      </c>
      <c r="C62" s="31" t="s">
        <v>403</v>
      </c>
      <c r="D62" s="5" t="s">
        <v>3455</v>
      </c>
      <c r="E62" s="115" t="s">
        <v>3455</v>
      </c>
      <c r="F62" s="31" t="s">
        <v>3454</v>
      </c>
      <c r="G62" s="31" t="s">
        <v>3453</v>
      </c>
      <c r="H62" s="67" t="s">
        <v>396</v>
      </c>
      <c r="I62" s="67" t="s">
        <v>396</v>
      </c>
      <c r="J62" s="115" t="s">
        <v>3452</v>
      </c>
      <c r="K62" s="115" t="s">
        <v>3452</v>
      </c>
      <c r="L62" s="67" t="s">
        <v>2068</v>
      </c>
      <c r="M62" s="10" t="s">
        <v>655</v>
      </c>
      <c r="N62" s="1" t="s">
        <v>3283</v>
      </c>
      <c r="O62" s="10" t="s">
        <v>2879</v>
      </c>
      <c r="P62" s="10" t="s">
        <v>3282</v>
      </c>
      <c r="Q62" s="18" t="s">
        <v>2068</v>
      </c>
      <c r="R62" s="10" t="s">
        <v>3462</v>
      </c>
      <c r="S62" s="5" t="s">
        <v>2639</v>
      </c>
      <c r="T62" s="76">
        <v>12.5</v>
      </c>
      <c r="U62" s="76">
        <v>1200</v>
      </c>
      <c r="V62" s="76">
        <v>3000</v>
      </c>
      <c r="W62" s="67" t="s">
        <v>396</v>
      </c>
      <c r="X62" s="67">
        <v>12.5</v>
      </c>
      <c r="Y62" s="53">
        <v>8.9</v>
      </c>
      <c r="Z62" s="75">
        <v>0.25</v>
      </c>
      <c r="AA62" s="67" t="s">
        <v>396</v>
      </c>
      <c r="AB62" s="31" t="s">
        <v>649</v>
      </c>
      <c r="AC62" s="5" t="s">
        <v>648</v>
      </c>
      <c r="AD62" s="5" t="s">
        <v>647</v>
      </c>
      <c r="AE62" s="10">
        <v>10</v>
      </c>
      <c r="AF62" s="67" t="s">
        <v>399</v>
      </c>
      <c r="AG62" s="74">
        <f t="shared" si="1"/>
        <v>0.125</v>
      </c>
      <c r="AH62" s="31" t="s">
        <v>646</v>
      </c>
      <c r="AI62" s="67" t="s">
        <v>645</v>
      </c>
      <c r="AJ62" s="67" t="s">
        <v>644</v>
      </c>
      <c r="AK62" s="10" t="s">
        <v>643</v>
      </c>
      <c r="AL62" s="17">
        <v>5413218000529</v>
      </c>
      <c r="AM62" s="15" t="s">
        <v>643</v>
      </c>
      <c r="AN62" s="5">
        <v>68091100</v>
      </c>
      <c r="AO62" s="6" t="s">
        <v>3461</v>
      </c>
      <c r="AP62" s="6" t="s">
        <v>3460</v>
      </c>
      <c r="AQ62" s="6" t="s">
        <v>3466</v>
      </c>
      <c r="AR62" s="6" t="s">
        <v>3465</v>
      </c>
      <c r="AS62" s="6" t="s">
        <v>3464</v>
      </c>
    </row>
    <row r="63" spans="1:45" ht="12.75" customHeight="1">
      <c r="A63" s="77" t="s">
        <v>3463</v>
      </c>
      <c r="B63" s="6" t="s">
        <v>396</v>
      </c>
      <c r="C63" s="31" t="s">
        <v>403</v>
      </c>
      <c r="D63" s="5" t="s">
        <v>3455</v>
      </c>
      <c r="E63" s="115" t="s">
        <v>3455</v>
      </c>
      <c r="F63" s="31" t="s">
        <v>3454</v>
      </c>
      <c r="G63" s="31" t="s">
        <v>3453</v>
      </c>
      <c r="H63" s="67" t="s">
        <v>396</v>
      </c>
      <c r="I63" s="67" t="s">
        <v>396</v>
      </c>
      <c r="J63" s="115" t="s">
        <v>3452</v>
      </c>
      <c r="K63" s="115" t="s">
        <v>3452</v>
      </c>
      <c r="L63" s="67" t="s">
        <v>2068</v>
      </c>
      <c r="M63" s="10" t="s">
        <v>655</v>
      </c>
      <c r="N63" s="1" t="s">
        <v>3283</v>
      </c>
      <c r="O63" s="10" t="s">
        <v>2879</v>
      </c>
      <c r="P63" s="10" t="s">
        <v>3282</v>
      </c>
      <c r="Q63" s="18" t="s">
        <v>2068</v>
      </c>
      <c r="R63" s="10" t="s">
        <v>3462</v>
      </c>
      <c r="S63" s="5" t="s">
        <v>2639</v>
      </c>
      <c r="T63" s="76">
        <v>12.5</v>
      </c>
      <c r="U63" s="76">
        <v>1200</v>
      </c>
      <c r="V63" s="76">
        <v>3000</v>
      </c>
      <c r="W63" s="67" t="s">
        <v>396</v>
      </c>
      <c r="X63" s="67">
        <v>12.5</v>
      </c>
      <c r="Y63" s="53">
        <v>8.9</v>
      </c>
      <c r="Z63" s="75">
        <v>0.25</v>
      </c>
      <c r="AA63" s="67" t="s">
        <v>396</v>
      </c>
      <c r="AB63" s="31" t="s">
        <v>649</v>
      </c>
      <c r="AC63" s="5" t="s">
        <v>648</v>
      </c>
      <c r="AD63" s="5" t="s">
        <v>647</v>
      </c>
      <c r="AE63" s="10">
        <v>10</v>
      </c>
      <c r="AF63" s="67" t="s">
        <v>399</v>
      </c>
      <c r="AG63" s="74">
        <f t="shared" si="1"/>
        <v>0.125</v>
      </c>
      <c r="AH63" s="31" t="s">
        <v>646</v>
      </c>
      <c r="AI63" s="67" t="s">
        <v>645</v>
      </c>
      <c r="AJ63" s="67" t="s">
        <v>644</v>
      </c>
      <c r="AK63" s="10" t="s">
        <v>643</v>
      </c>
      <c r="AL63" s="17">
        <v>5413218000529</v>
      </c>
      <c r="AM63" s="15" t="s">
        <v>643</v>
      </c>
      <c r="AN63" s="5">
        <v>68091100</v>
      </c>
      <c r="AO63" s="6" t="s">
        <v>3461</v>
      </c>
      <c r="AP63" s="6" t="s">
        <v>3460</v>
      </c>
      <c r="AQ63" s="6" t="s">
        <v>3459</v>
      </c>
      <c r="AR63" s="6" t="s">
        <v>3458</v>
      </c>
      <c r="AS63" s="6" t="s">
        <v>3457</v>
      </c>
    </row>
    <row r="64" spans="1:45" ht="12.75" customHeight="1">
      <c r="A64" s="77" t="s">
        <v>3456</v>
      </c>
      <c r="B64" s="6" t="s">
        <v>396</v>
      </c>
      <c r="C64" s="31" t="s">
        <v>403</v>
      </c>
      <c r="D64" s="5" t="s">
        <v>3455</v>
      </c>
      <c r="E64" s="115" t="s">
        <v>3455</v>
      </c>
      <c r="F64" s="31" t="s">
        <v>3454</v>
      </c>
      <c r="G64" s="31" t="s">
        <v>3453</v>
      </c>
      <c r="H64" s="67" t="s">
        <v>396</v>
      </c>
      <c r="I64" s="67" t="s">
        <v>396</v>
      </c>
      <c r="J64" s="115" t="s">
        <v>3452</v>
      </c>
      <c r="K64" s="115" t="s">
        <v>3452</v>
      </c>
      <c r="L64" s="10" t="s">
        <v>651</v>
      </c>
      <c r="M64" s="10" t="s">
        <v>655</v>
      </c>
      <c r="N64" s="10" t="s">
        <v>654</v>
      </c>
      <c r="O64" s="31" t="s">
        <v>653</v>
      </c>
      <c r="P64" s="10" t="s">
        <v>652</v>
      </c>
      <c r="Q64" s="10" t="s">
        <v>651</v>
      </c>
      <c r="R64" s="10" t="s">
        <v>3451</v>
      </c>
      <c r="S64" s="5" t="s">
        <v>3450</v>
      </c>
      <c r="T64" s="76">
        <v>12.5</v>
      </c>
      <c r="U64" s="76">
        <v>1200</v>
      </c>
      <c r="V64" s="76">
        <v>3000</v>
      </c>
      <c r="W64" s="67" t="s">
        <v>396</v>
      </c>
      <c r="X64" s="67" t="s">
        <v>396</v>
      </c>
      <c r="Y64" s="53">
        <v>8.9</v>
      </c>
      <c r="Z64" s="75">
        <v>0.25</v>
      </c>
      <c r="AA64" s="67" t="s">
        <v>396</v>
      </c>
      <c r="AB64" s="31" t="s">
        <v>649</v>
      </c>
      <c r="AC64" s="5" t="s">
        <v>648</v>
      </c>
      <c r="AD64" s="5" t="s">
        <v>647</v>
      </c>
      <c r="AE64" s="10">
        <v>10</v>
      </c>
      <c r="AF64" s="67" t="s">
        <v>399</v>
      </c>
      <c r="AG64" s="74">
        <f t="shared" si="1"/>
        <v>0.125</v>
      </c>
      <c r="AH64" s="31" t="s">
        <v>646</v>
      </c>
      <c r="AI64" s="67" t="s">
        <v>645</v>
      </c>
      <c r="AJ64" s="67" t="s">
        <v>644</v>
      </c>
      <c r="AK64" s="10" t="s">
        <v>643</v>
      </c>
      <c r="AL64" s="17">
        <v>5413218000239</v>
      </c>
      <c r="AM64" s="15" t="s">
        <v>643</v>
      </c>
      <c r="AN64" s="5">
        <v>68091100</v>
      </c>
      <c r="AO64" s="6" t="s">
        <v>3449</v>
      </c>
      <c r="AP64" s="6" t="s">
        <v>3448</v>
      </c>
      <c r="AQ64" s="6" t="s">
        <v>3447</v>
      </c>
      <c r="AR64" s="6" t="s">
        <v>3446</v>
      </c>
      <c r="AS64" s="6" t="s">
        <v>3445</v>
      </c>
    </row>
    <row r="65" spans="1:45" s="16" customFormat="1" ht="12.75" customHeight="1">
      <c r="A65" s="89" t="s">
        <v>3444</v>
      </c>
      <c r="B65" s="18" t="s">
        <v>396</v>
      </c>
      <c r="C65" s="18" t="s">
        <v>403</v>
      </c>
      <c r="D65" s="18" t="s">
        <v>3439</v>
      </c>
      <c r="E65" s="83" t="s">
        <v>3439</v>
      </c>
      <c r="F65" s="18" t="s">
        <v>3438</v>
      </c>
      <c r="G65" s="18" t="s">
        <v>3437</v>
      </c>
      <c r="H65" s="19" t="s">
        <v>396</v>
      </c>
      <c r="I65" s="19" t="s">
        <v>396</v>
      </c>
      <c r="J65" s="83" t="s">
        <v>161</v>
      </c>
      <c r="K65" s="83" t="s">
        <v>161</v>
      </c>
      <c r="L65" s="18" t="s">
        <v>651</v>
      </c>
      <c r="M65" s="18" t="s">
        <v>655</v>
      </c>
      <c r="N65" s="16" t="s">
        <v>654</v>
      </c>
      <c r="O65" s="18" t="s">
        <v>653</v>
      </c>
      <c r="P65" s="16" t="s">
        <v>3436</v>
      </c>
      <c r="Q65" s="16" t="s">
        <v>651</v>
      </c>
      <c r="S65" s="16" t="s">
        <v>650</v>
      </c>
      <c r="T65" s="45">
        <v>12.5</v>
      </c>
      <c r="U65" s="45">
        <v>1200</v>
      </c>
      <c r="V65" s="45">
        <v>2600</v>
      </c>
      <c r="W65" s="19" t="s">
        <v>396</v>
      </c>
      <c r="X65" s="19" t="s">
        <v>396</v>
      </c>
      <c r="Y65" s="54">
        <v>12</v>
      </c>
      <c r="Z65" s="41">
        <v>0.25</v>
      </c>
      <c r="AA65" s="19" t="s">
        <v>396</v>
      </c>
      <c r="AB65" s="18" t="s">
        <v>649</v>
      </c>
      <c r="AC65" s="16" t="s">
        <v>648</v>
      </c>
      <c r="AD65" s="16" t="s">
        <v>647</v>
      </c>
      <c r="AE65" s="16">
        <v>10</v>
      </c>
      <c r="AF65" s="19" t="s">
        <v>399</v>
      </c>
      <c r="AG65" s="44">
        <v>0.125</v>
      </c>
      <c r="AH65" s="18" t="s">
        <v>646</v>
      </c>
      <c r="AI65" s="19" t="s">
        <v>645</v>
      </c>
      <c r="AJ65" s="19" t="s">
        <v>644</v>
      </c>
      <c r="AK65" s="18" t="s">
        <v>643</v>
      </c>
      <c r="AL65" s="17">
        <v>5015341292538</v>
      </c>
      <c r="AM65" s="15" t="s">
        <v>643</v>
      </c>
      <c r="AN65" s="5">
        <v>68091100</v>
      </c>
      <c r="AO65" s="6"/>
      <c r="AP65" s="6"/>
      <c r="AQ65" s="6" t="s">
        <v>3443</v>
      </c>
      <c r="AR65" s="6" t="s">
        <v>3442</v>
      </c>
      <c r="AS65" s="6" t="s">
        <v>3441</v>
      </c>
    </row>
    <row r="66" spans="1:45" s="16" customFormat="1" ht="12.75" customHeight="1">
      <c r="A66" s="89" t="s">
        <v>3440</v>
      </c>
      <c r="B66" s="18" t="s">
        <v>396</v>
      </c>
      <c r="C66" s="18" t="s">
        <v>403</v>
      </c>
      <c r="D66" s="18" t="s">
        <v>3439</v>
      </c>
      <c r="E66" s="83" t="s">
        <v>3439</v>
      </c>
      <c r="F66" s="18" t="s">
        <v>3438</v>
      </c>
      <c r="G66" s="18" t="s">
        <v>3437</v>
      </c>
      <c r="H66" s="19" t="s">
        <v>396</v>
      </c>
      <c r="I66" s="19" t="s">
        <v>396</v>
      </c>
      <c r="J66" s="83" t="s">
        <v>161</v>
      </c>
      <c r="K66" s="83" t="s">
        <v>161</v>
      </c>
      <c r="L66" s="18" t="s">
        <v>651</v>
      </c>
      <c r="M66" s="18" t="s">
        <v>655</v>
      </c>
      <c r="N66" s="16" t="s">
        <v>654</v>
      </c>
      <c r="O66" s="18" t="s">
        <v>653</v>
      </c>
      <c r="P66" s="16" t="s">
        <v>3436</v>
      </c>
      <c r="Q66" s="16" t="s">
        <v>651</v>
      </c>
      <c r="S66" s="16" t="s">
        <v>650</v>
      </c>
      <c r="T66" s="45">
        <v>12.5</v>
      </c>
      <c r="U66" s="45">
        <v>1200</v>
      </c>
      <c r="V66" s="45">
        <v>3000</v>
      </c>
      <c r="W66" s="19" t="s">
        <v>396</v>
      </c>
      <c r="X66" s="19" t="s">
        <v>396</v>
      </c>
      <c r="Y66" s="54">
        <v>12</v>
      </c>
      <c r="Z66" s="41">
        <v>0.25</v>
      </c>
      <c r="AA66" s="19" t="s">
        <v>396</v>
      </c>
      <c r="AB66" s="18" t="s">
        <v>649</v>
      </c>
      <c r="AC66" s="16" t="s">
        <v>648</v>
      </c>
      <c r="AD66" s="16" t="s">
        <v>647</v>
      </c>
      <c r="AE66" s="16">
        <v>10</v>
      </c>
      <c r="AF66" s="19" t="s">
        <v>399</v>
      </c>
      <c r="AG66" s="44">
        <v>0.125</v>
      </c>
      <c r="AH66" s="18" t="s">
        <v>646</v>
      </c>
      <c r="AI66" s="19" t="s">
        <v>645</v>
      </c>
      <c r="AJ66" s="19" t="s">
        <v>644</v>
      </c>
      <c r="AK66" s="18" t="s">
        <v>643</v>
      </c>
      <c r="AL66" s="17">
        <v>5015341289507</v>
      </c>
      <c r="AM66" s="15" t="s">
        <v>643</v>
      </c>
      <c r="AN66" s="5">
        <v>68091100</v>
      </c>
      <c r="AO66" s="6"/>
      <c r="AP66" s="6"/>
      <c r="AQ66" s="6" t="s">
        <v>3435</v>
      </c>
      <c r="AR66" s="6" t="s">
        <v>3434</v>
      </c>
      <c r="AS66" s="6" t="s">
        <v>3433</v>
      </c>
    </row>
    <row r="67" spans="1:45" s="16" customFormat="1" ht="12.75" customHeight="1">
      <c r="A67" s="83" t="s">
        <v>3432</v>
      </c>
      <c r="B67" s="18"/>
      <c r="C67" s="18"/>
      <c r="D67" s="18"/>
      <c r="E67" s="83"/>
      <c r="F67" s="18"/>
      <c r="G67" s="18"/>
      <c r="H67" s="19"/>
      <c r="I67" s="19"/>
      <c r="J67" s="83"/>
      <c r="K67" s="83"/>
      <c r="L67" s="18"/>
      <c r="M67" s="18"/>
      <c r="O67" s="18"/>
      <c r="T67" s="45"/>
      <c r="U67" s="45"/>
      <c r="V67" s="45"/>
      <c r="W67" s="19"/>
      <c r="X67" s="19"/>
      <c r="Y67" s="42"/>
      <c r="Z67" s="41"/>
      <c r="AA67" s="19"/>
      <c r="AB67" s="18"/>
      <c r="AF67" s="19"/>
      <c r="AG67" s="44"/>
      <c r="AH67" s="18"/>
      <c r="AI67" s="19"/>
      <c r="AJ67" s="19"/>
      <c r="AK67" s="18"/>
      <c r="AL67" s="15"/>
      <c r="AM67" s="15"/>
      <c r="AO67" s="18"/>
      <c r="AP67" s="18"/>
      <c r="AQ67" s="18"/>
      <c r="AR67" s="18"/>
      <c r="AS67" s="18"/>
    </row>
    <row r="68" spans="1:45" ht="12.75" customHeight="1">
      <c r="A68" s="77" t="s">
        <v>3431</v>
      </c>
      <c r="B68" s="6" t="s">
        <v>396</v>
      </c>
      <c r="C68" s="31" t="s">
        <v>403</v>
      </c>
      <c r="D68" s="5" t="s">
        <v>3412</v>
      </c>
      <c r="E68" s="115" t="s">
        <v>3412</v>
      </c>
      <c r="F68" s="6" t="s">
        <v>3411</v>
      </c>
      <c r="G68" s="6" t="s">
        <v>3410</v>
      </c>
      <c r="H68" s="67" t="s">
        <v>396</v>
      </c>
      <c r="I68" s="67" t="s">
        <v>396</v>
      </c>
      <c r="J68" s="115" t="s">
        <v>3409</v>
      </c>
      <c r="K68" s="115" t="s">
        <v>3409</v>
      </c>
      <c r="L68" s="10" t="s">
        <v>651</v>
      </c>
      <c r="M68" s="10" t="s">
        <v>655</v>
      </c>
      <c r="N68" s="10" t="s">
        <v>654</v>
      </c>
      <c r="O68" s="31" t="s">
        <v>653</v>
      </c>
      <c r="P68" s="10" t="s">
        <v>652</v>
      </c>
      <c r="Q68" s="10" t="s">
        <v>651</v>
      </c>
      <c r="R68" s="10" t="s">
        <v>3426</v>
      </c>
      <c r="S68" s="5" t="s">
        <v>650</v>
      </c>
      <c r="T68" s="76">
        <v>12.5</v>
      </c>
      <c r="U68" s="76">
        <v>1200</v>
      </c>
      <c r="V68" s="76">
        <v>2600</v>
      </c>
      <c r="W68" s="67" t="s">
        <v>396</v>
      </c>
      <c r="X68" s="67" t="s">
        <v>396</v>
      </c>
      <c r="Y68" s="53">
        <v>8.9</v>
      </c>
      <c r="Z68" s="75">
        <v>0.25</v>
      </c>
      <c r="AA68" s="67" t="s">
        <v>396</v>
      </c>
      <c r="AB68" s="31" t="s">
        <v>649</v>
      </c>
      <c r="AC68" s="5" t="s">
        <v>648</v>
      </c>
      <c r="AD68" s="5" t="s">
        <v>647</v>
      </c>
      <c r="AE68" s="10">
        <v>10</v>
      </c>
      <c r="AF68" s="67" t="s">
        <v>399</v>
      </c>
      <c r="AG68" s="74">
        <f t="shared" ref="AG68:AG115" si="2">AE68*T68/1000</f>
        <v>0.125</v>
      </c>
      <c r="AH68" s="31" t="s">
        <v>646</v>
      </c>
      <c r="AI68" s="67" t="s">
        <v>645</v>
      </c>
      <c r="AJ68" s="67" t="s">
        <v>644</v>
      </c>
      <c r="AK68" s="10" t="s">
        <v>643</v>
      </c>
      <c r="AL68" s="17">
        <v>5413218564021</v>
      </c>
      <c r="AM68" s="15" t="s">
        <v>643</v>
      </c>
      <c r="AN68" s="5">
        <v>68091100</v>
      </c>
      <c r="AO68" s="6" t="s">
        <v>3425</v>
      </c>
      <c r="AP68" s="6" t="s">
        <v>3424</v>
      </c>
      <c r="AQ68" s="6" t="s">
        <v>3430</v>
      </c>
      <c r="AR68" s="6" t="s">
        <v>3429</v>
      </c>
      <c r="AS68" s="6" t="s">
        <v>3428</v>
      </c>
    </row>
    <row r="69" spans="1:45" ht="12.75" customHeight="1">
      <c r="A69" s="77" t="s">
        <v>3427</v>
      </c>
      <c r="B69" s="6" t="s">
        <v>396</v>
      </c>
      <c r="C69" s="31" t="s">
        <v>403</v>
      </c>
      <c r="D69" s="5" t="s">
        <v>3412</v>
      </c>
      <c r="E69" s="115" t="s">
        <v>3412</v>
      </c>
      <c r="F69" s="6" t="s">
        <v>3411</v>
      </c>
      <c r="G69" s="6" t="s">
        <v>3410</v>
      </c>
      <c r="H69" s="67" t="s">
        <v>396</v>
      </c>
      <c r="I69" s="67" t="s">
        <v>396</v>
      </c>
      <c r="J69" s="115" t="s">
        <v>3409</v>
      </c>
      <c r="K69" s="115" t="s">
        <v>3409</v>
      </c>
      <c r="L69" s="10" t="s">
        <v>651</v>
      </c>
      <c r="M69" s="10" t="s">
        <v>655</v>
      </c>
      <c r="N69" s="10" t="s">
        <v>654</v>
      </c>
      <c r="O69" s="31" t="s">
        <v>653</v>
      </c>
      <c r="P69" s="10" t="s">
        <v>652</v>
      </c>
      <c r="Q69" s="10" t="s">
        <v>651</v>
      </c>
      <c r="R69" s="10" t="s">
        <v>3426</v>
      </c>
      <c r="S69" s="5" t="s">
        <v>650</v>
      </c>
      <c r="T69" s="76">
        <v>12.5</v>
      </c>
      <c r="U69" s="76">
        <v>1200</v>
      </c>
      <c r="V69" s="76">
        <v>3000</v>
      </c>
      <c r="W69" s="67" t="s">
        <v>396</v>
      </c>
      <c r="X69" s="67" t="s">
        <v>396</v>
      </c>
      <c r="Y69" s="53">
        <v>8.9</v>
      </c>
      <c r="Z69" s="75">
        <v>0.25</v>
      </c>
      <c r="AA69" s="67" t="s">
        <v>396</v>
      </c>
      <c r="AB69" s="31" t="s">
        <v>649</v>
      </c>
      <c r="AC69" s="5" t="s">
        <v>648</v>
      </c>
      <c r="AD69" s="5" t="s">
        <v>647</v>
      </c>
      <c r="AE69" s="10">
        <v>10</v>
      </c>
      <c r="AF69" s="67" t="s">
        <v>399</v>
      </c>
      <c r="AG69" s="74">
        <f t="shared" si="2"/>
        <v>0.125</v>
      </c>
      <c r="AH69" s="31" t="s">
        <v>646</v>
      </c>
      <c r="AI69" s="67" t="s">
        <v>645</v>
      </c>
      <c r="AJ69" s="67" t="s">
        <v>644</v>
      </c>
      <c r="AK69" s="10" t="s">
        <v>643</v>
      </c>
      <c r="AL69" s="17">
        <v>5413218564045</v>
      </c>
      <c r="AM69" s="15" t="s">
        <v>643</v>
      </c>
      <c r="AN69" s="5">
        <v>68091100</v>
      </c>
      <c r="AO69" s="6" t="s">
        <v>3425</v>
      </c>
      <c r="AP69" s="6" t="s">
        <v>3424</v>
      </c>
      <c r="AQ69" s="6" t="s">
        <v>3423</v>
      </c>
      <c r="AR69" s="6" t="s">
        <v>3422</v>
      </c>
      <c r="AS69" s="6" t="s">
        <v>3421</v>
      </c>
    </row>
    <row r="70" spans="1:45" ht="12.75" customHeight="1">
      <c r="A70" s="77" t="s">
        <v>3420</v>
      </c>
      <c r="B70" s="6" t="s">
        <v>396</v>
      </c>
      <c r="C70" s="31" t="s">
        <v>403</v>
      </c>
      <c r="D70" s="5" t="s">
        <v>3412</v>
      </c>
      <c r="E70" s="115" t="s">
        <v>3412</v>
      </c>
      <c r="F70" s="6" t="s">
        <v>3411</v>
      </c>
      <c r="G70" s="6" t="s">
        <v>3410</v>
      </c>
      <c r="H70" s="67" t="s">
        <v>396</v>
      </c>
      <c r="I70" s="67" t="s">
        <v>396</v>
      </c>
      <c r="J70" s="115" t="s">
        <v>3409</v>
      </c>
      <c r="K70" s="115" t="s">
        <v>3409</v>
      </c>
      <c r="L70" s="67" t="s">
        <v>2068</v>
      </c>
      <c r="M70" s="10" t="s">
        <v>655</v>
      </c>
      <c r="N70" s="1" t="s">
        <v>3283</v>
      </c>
      <c r="O70" s="10" t="s">
        <v>2879</v>
      </c>
      <c r="P70" s="10" t="s">
        <v>3282</v>
      </c>
      <c r="Q70" s="18" t="s">
        <v>2068</v>
      </c>
      <c r="R70" s="10" t="s">
        <v>3419</v>
      </c>
      <c r="S70" s="5" t="s">
        <v>2639</v>
      </c>
      <c r="T70" s="76">
        <v>12.5</v>
      </c>
      <c r="U70" s="76">
        <v>600</v>
      </c>
      <c r="V70" s="76">
        <v>2500</v>
      </c>
      <c r="W70" s="67" t="s">
        <v>396</v>
      </c>
      <c r="X70" s="67">
        <v>12.5</v>
      </c>
      <c r="Y70" s="53">
        <v>8.9</v>
      </c>
      <c r="Z70" s="75">
        <v>0.25</v>
      </c>
      <c r="AA70" s="67" t="s">
        <v>396</v>
      </c>
      <c r="AB70" s="31" t="s">
        <v>649</v>
      </c>
      <c r="AC70" s="5" t="s">
        <v>648</v>
      </c>
      <c r="AD70" s="5" t="s">
        <v>647</v>
      </c>
      <c r="AE70" s="10">
        <v>10</v>
      </c>
      <c r="AF70" s="67" t="s">
        <v>399</v>
      </c>
      <c r="AG70" s="74">
        <f t="shared" si="2"/>
        <v>0.125</v>
      </c>
      <c r="AH70" s="31" t="s">
        <v>646</v>
      </c>
      <c r="AI70" s="67" t="s">
        <v>645</v>
      </c>
      <c r="AJ70" s="67" t="s">
        <v>644</v>
      </c>
      <c r="AK70" s="10" t="s">
        <v>643</v>
      </c>
      <c r="AL70" s="17">
        <v>5413218563987</v>
      </c>
      <c r="AM70" s="15" t="s">
        <v>643</v>
      </c>
      <c r="AN70" s="5">
        <v>68091100</v>
      </c>
      <c r="AO70" s="6" t="s">
        <v>3418</v>
      </c>
      <c r="AP70" s="6" t="s">
        <v>3417</v>
      </c>
      <c r="AQ70" s="6" t="s">
        <v>3416</v>
      </c>
      <c r="AR70" s="6" t="s">
        <v>3415</v>
      </c>
      <c r="AS70" s="6" t="s">
        <v>3414</v>
      </c>
    </row>
    <row r="71" spans="1:45" ht="12.75" customHeight="1">
      <c r="A71" s="77" t="s">
        <v>3413</v>
      </c>
      <c r="B71" s="6" t="s">
        <v>396</v>
      </c>
      <c r="C71" s="31" t="s">
        <v>403</v>
      </c>
      <c r="D71" s="5" t="s">
        <v>3412</v>
      </c>
      <c r="E71" s="115" t="s">
        <v>3412</v>
      </c>
      <c r="F71" s="6" t="s">
        <v>3411</v>
      </c>
      <c r="G71" s="6" t="s">
        <v>3410</v>
      </c>
      <c r="H71" s="67" t="s">
        <v>396</v>
      </c>
      <c r="I71" s="67" t="s">
        <v>396</v>
      </c>
      <c r="J71" s="115" t="s">
        <v>3409</v>
      </c>
      <c r="K71" s="115" t="s">
        <v>3409</v>
      </c>
      <c r="L71" s="67" t="s">
        <v>2068</v>
      </c>
      <c r="M71" s="10" t="s">
        <v>655</v>
      </c>
      <c r="N71" s="1" t="s">
        <v>3283</v>
      </c>
      <c r="O71" s="10" t="s">
        <v>2879</v>
      </c>
      <c r="P71" s="10" t="s">
        <v>3282</v>
      </c>
      <c r="Q71" s="18" t="s">
        <v>2068</v>
      </c>
      <c r="R71" s="10" t="s">
        <v>3408</v>
      </c>
      <c r="S71" s="5" t="s">
        <v>2639</v>
      </c>
      <c r="T71" s="76">
        <v>12.5</v>
      </c>
      <c r="U71" s="76">
        <v>1200</v>
      </c>
      <c r="V71" s="76">
        <v>2500</v>
      </c>
      <c r="W71" s="67" t="s">
        <v>396</v>
      </c>
      <c r="X71" s="67">
        <v>12.5</v>
      </c>
      <c r="Y71" s="53">
        <v>8.9</v>
      </c>
      <c r="Z71" s="75">
        <v>0.25</v>
      </c>
      <c r="AA71" s="67" t="s">
        <v>396</v>
      </c>
      <c r="AB71" s="31" t="s">
        <v>649</v>
      </c>
      <c r="AC71" s="5" t="s">
        <v>648</v>
      </c>
      <c r="AD71" s="5" t="s">
        <v>647</v>
      </c>
      <c r="AE71" s="10">
        <v>10</v>
      </c>
      <c r="AF71" s="67" t="s">
        <v>399</v>
      </c>
      <c r="AG71" s="74">
        <f t="shared" si="2"/>
        <v>0.125</v>
      </c>
      <c r="AH71" s="31" t="s">
        <v>646</v>
      </c>
      <c r="AI71" s="67" t="s">
        <v>645</v>
      </c>
      <c r="AJ71" s="67" t="s">
        <v>644</v>
      </c>
      <c r="AK71" s="10" t="s">
        <v>643</v>
      </c>
      <c r="AL71" s="17">
        <v>5413218564007</v>
      </c>
      <c r="AM71" s="15" t="s">
        <v>643</v>
      </c>
      <c r="AN71" s="5">
        <v>68091100</v>
      </c>
      <c r="AO71" s="6" t="s">
        <v>3407</v>
      </c>
      <c r="AP71" s="6" t="s">
        <v>3406</v>
      </c>
      <c r="AQ71" s="6" t="s">
        <v>3405</v>
      </c>
      <c r="AR71" s="6" t="s">
        <v>3404</v>
      </c>
      <c r="AS71" s="6" t="s">
        <v>3403</v>
      </c>
    </row>
    <row r="72" spans="1:45" ht="12.75" customHeight="1">
      <c r="A72" s="77" t="s">
        <v>3402</v>
      </c>
      <c r="B72" s="6" t="s">
        <v>396</v>
      </c>
      <c r="C72" s="31" t="s">
        <v>403</v>
      </c>
      <c r="D72" s="5" t="s">
        <v>3349</v>
      </c>
      <c r="E72" s="115" t="s">
        <v>3349</v>
      </c>
      <c r="F72" s="6" t="s">
        <v>3348</v>
      </c>
      <c r="G72" s="6" t="s">
        <v>3347</v>
      </c>
      <c r="H72" s="67" t="s">
        <v>396</v>
      </c>
      <c r="I72" s="67" t="s">
        <v>396</v>
      </c>
      <c r="J72" s="115" t="s">
        <v>3346</v>
      </c>
      <c r="K72" s="115" t="s">
        <v>3346</v>
      </c>
      <c r="L72" s="10" t="s">
        <v>651</v>
      </c>
      <c r="M72" s="10" t="s">
        <v>2921</v>
      </c>
      <c r="N72" s="10" t="s">
        <v>654</v>
      </c>
      <c r="O72" s="31" t="s">
        <v>653</v>
      </c>
      <c r="P72" s="10" t="s">
        <v>652</v>
      </c>
      <c r="Q72" s="10" t="s">
        <v>651</v>
      </c>
      <c r="R72" s="10" t="s">
        <v>3397</v>
      </c>
      <c r="S72" s="5" t="s">
        <v>650</v>
      </c>
      <c r="T72" s="76">
        <v>12.5</v>
      </c>
      <c r="U72" s="76">
        <v>1200</v>
      </c>
      <c r="V72" s="76">
        <v>2600</v>
      </c>
      <c r="W72" s="67" t="s">
        <v>396</v>
      </c>
      <c r="X72" s="67" t="s">
        <v>396</v>
      </c>
      <c r="Y72" s="13">
        <v>10.3</v>
      </c>
      <c r="Z72" s="75">
        <v>0.25</v>
      </c>
      <c r="AA72" s="67" t="s">
        <v>396</v>
      </c>
      <c r="AB72" s="31" t="s">
        <v>649</v>
      </c>
      <c r="AC72" s="5" t="s">
        <v>648</v>
      </c>
      <c r="AD72" s="5" t="s">
        <v>647</v>
      </c>
      <c r="AE72" s="10">
        <v>10</v>
      </c>
      <c r="AF72" s="67" t="s">
        <v>399</v>
      </c>
      <c r="AG72" s="74">
        <f t="shared" si="2"/>
        <v>0.125</v>
      </c>
      <c r="AH72" s="31" t="s">
        <v>646</v>
      </c>
      <c r="AI72" s="67" t="s">
        <v>645</v>
      </c>
      <c r="AJ72" s="67" t="s">
        <v>644</v>
      </c>
      <c r="AK72" s="10" t="s">
        <v>643</v>
      </c>
      <c r="AL72" s="17">
        <v>5413218000406</v>
      </c>
      <c r="AM72" s="15" t="s">
        <v>643</v>
      </c>
      <c r="AN72" s="5">
        <v>68091100</v>
      </c>
      <c r="AO72" s="6" t="s">
        <v>3396</v>
      </c>
      <c r="AP72" s="6" t="s">
        <v>3395</v>
      </c>
      <c r="AQ72" s="6" t="s">
        <v>3401</v>
      </c>
      <c r="AR72" s="6" t="s">
        <v>3400</v>
      </c>
      <c r="AS72" s="6" t="s">
        <v>3399</v>
      </c>
    </row>
    <row r="73" spans="1:45" ht="12.75" customHeight="1">
      <c r="A73" s="77" t="s">
        <v>3398</v>
      </c>
      <c r="B73" s="6" t="s">
        <v>396</v>
      </c>
      <c r="C73" s="31" t="s">
        <v>403</v>
      </c>
      <c r="D73" s="5" t="s">
        <v>3349</v>
      </c>
      <c r="E73" s="115" t="s">
        <v>3349</v>
      </c>
      <c r="F73" s="6" t="s">
        <v>3348</v>
      </c>
      <c r="G73" s="6" t="s">
        <v>3347</v>
      </c>
      <c r="H73" s="67" t="s">
        <v>396</v>
      </c>
      <c r="I73" s="67" t="s">
        <v>396</v>
      </c>
      <c r="J73" s="115" t="s">
        <v>3346</v>
      </c>
      <c r="K73" s="115" t="s">
        <v>3346</v>
      </c>
      <c r="L73" s="10" t="s">
        <v>651</v>
      </c>
      <c r="M73" s="10" t="s">
        <v>2921</v>
      </c>
      <c r="N73" s="10" t="s">
        <v>654</v>
      </c>
      <c r="O73" s="31" t="s">
        <v>653</v>
      </c>
      <c r="P73" s="10" t="s">
        <v>652</v>
      </c>
      <c r="Q73" s="10" t="s">
        <v>651</v>
      </c>
      <c r="R73" s="10" t="s">
        <v>3397</v>
      </c>
      <c r="S73" s="5" t="s">
        <v>650</v>
      </c>
      <c r="T73" s="76">
        <v>12.5</v>
      </c>
      <c r="U73" s="76">
        <v>1200</v>
      </c>
      <c r="V73" s="76">
        <v>3000</v>
      </c>
      <c r="W73" s="67" t="s">
        <v>396</v>
      </c>
      <c r="X73" s="67" t="s">
        <v>396</v>
      </c>
      <c r="Y73" s="13">
        <v>10.3</v>
      </c>
      <c r="Z73" s="75">
        <v>0.25</v>
      </c>
      <c r="AA73" s="67" t="s">
        <v>396</v>
      </c>
      <c r="AB73" s="31" t="s">
        <v>649</v>
      </c>
      <c r="AC73" s="5" t="s">
        <v>648</v>
      </c>
      <c r="AD73" s="5" t="s">
        <v>647</v>
      </c>
      <c r="AE73" s="10">
        <v>10</v>
      </c>
      <c r="AF73" s="67" t="s">
        <v>399</v>
      </c>
      <c r="AG73" s="74">
        <f t="shared" si="2"/>
        <v>0.125</v>
      </c>
      <c r="AH73" s="31" t="s">
        <v>646</v>
      </c>
      <c r="AI73" s="67" t="s">
        <v>645</v>
      </c>
      <c r="AJ73" s="67" t="s">
        <v>644</v>
      </c>
      <c r="AK73" s="10" t="s">
        <v>643</v>
      </c>
      <c r="AL73" s="17">
        <v>5413218000413</v>
      </c>
      <c r="AM73" s="15" t="s">
        <v>643</v>
      </c>
      <c r="AN73" s="5">
        <v>68091100</v>
      </c>
      <c r="AO73" s="6" t="s">
        <v>3396</v>
      </c>
      <c r="AP73" s="6" t="s">
        <v>3395</v>
      </c>
      <c r="AQ73" s="6" t="s">
        <v>3394</v>
      </c>
      <c r="AR73" s="6" t="s">
        <v>3393</v>
      </c>
      <c r="AS73" s="6" t="s">
        <v>3392</v>
      </c>
    </row>
    <row r="74" spans="1:45" s="16" customFormat="1" ht="12.75" customHeight="1">
      <c r="A74" s="89" t="s">
        <v>3391</v>
      </c>
      <c r="B74" s="18" t="s">
        <v>396</v>
      </c>
      <c r="C74" s="18" t="s">
        <v>403</v>
      </c>
      <c r="D74" s="16" t="s">
        <v>3349</v>
      </c>
      <c r="E74" s="101" t="s">
        <v>3349</v>
      </c>
      <c r="F74" s="18" t="s">
        <v>3348</v>
      </c>
      <c r="G74" s="18" t="s">
        <v>3347</v>
      </c>
      <c r="H74" s="19" t="s">
        <v>396</v>
      </c>
      <c r="I74" s="19" t="s">
        <v>396</v>
      </c>
      <c r="J74" s="101" t="s">
        <v>3346</v>
      </c>
      <c r="K74" s="101" t="s">
        <v>3346</v>
      </c>
      <c r="L74" s="16" t="s">
        <v>651</v>
      </c>
      <c r="M74" s="16" t="s">
        <v>2921</v>
      </c>
      <c r="N74" s="16" t="s">
        <v>654</v>
      </c>
      <c r="O74" s="18" t="s">
        <v>653</v>
      </c>
      <c r="P74" s="16" t="s">
        <v>652</v>
      </c>
      <c r="Q74" s="16" t="s">
        <v>651</v>
      </c>
      <c r="R74" s="16" t="s">
        <v>3374</v>
      </c>
      <c r="S74" s="16" t="s">
        <v>650</v>
      </c>
      <c r="T74" s="45">
        <v>15</v>
      </c>
      <c r="U74" s="45">
        <v>600</v>
      </c>
      <c r="V74" s="45">
        <v>2600</v>
      </c>
      <c r="W74" s="19" t="s">
        <v>396</v>
      </c>
      <c r="X74" s="19" t="s">
        <v>396</v>
      </c>
      <c r="Y74" s="42">
        <v>12.3</v>
      </c>
      <c r="Z74" s="41">
        <v>0.25</v>
      </c>
      <c r="AA74" s="19" t="s">
        <v>396</v>
      </c>
      <c r="AB74" s="18" t="s">
        <v>649</v>
      </c>
      <c r="AC74" s="16" t="s">
        <v>648</v>
      </c>
      <c r="AD74" s="16" t="s">
        <v>647</v>
      </c>
      <c r="AE74" s="16">
        <v>10</v>
      </c>
      <c r="AF74" s="19" t="s">
        <v>399</v>
      </c>
      <c r="AG74" s="44">
        <f t="shared" si="2"/>
        <v>0.15</v>
      </c>
      <c r="AH74" s="18" t="s">
        <v>646</v>
      </c>
      <c r="AI74" s="19" t="s">
        <v>645</v>
      </c>
      <c r="AJ74" s="19" t="s">
        <v>644</v>
      </c>
      <c r="AK74" s="16" t="s">
        <v>643</v>
      </c>
      <c r="AL74" s="17">
        <v>5413218584043</v>
      </c>
      <c r="AM74" s="105" t="s">
        <v>643</v>
      </c>
      <c r="AN74" s="5">
        <v>68091100</v>
      </c>
      <c r="AO74" s="6" t="s">
        <v>3373</v>
      </c>
      <c r="AP74" s="6" t="s">
        <v>3372</v>
      </c>
      <c r="AQ74" s="6" t="s">
        <v>3390</v>
      </c>
      <c r="AR74" s="6" t="s">
        <v>3389</v>
      </c>
      <c r="AS74" s="6" t="s">
        <v>3388</v>
      </c>
    </row>
    <row r="75" spans="1:45" ht="12.75" customHeight="1">
      <c r="A75" s="77" t="s">
        <v>3387</v>
      </c>
      <c r="B75" s="6" t="s">
        <v>396</v>
      </c>
      <c r="C75" s="31" t="s">
        <v>403</v>
      </c>
      <c r="D75" s="5" t="s">
        <v>3349</v>
      </c>
      <c r="E75" s="115" t="s">
        <v>3349</v>
      </c>
      <c r="F75" s="6" t="s">
        <v>3348</v>
      </c>
      <c r="G75" s="6" t="s">
        <v>3347</v>
      </c>
      <c r="H75" s="67" t="s">
        <v>396</v>
      </c>
      <c r="I75" s="67" t="s">
        <v>396</v>
      </c>
      <c r="J75" s="115" t="s">
        <v>3346</v>
      </c>
      <c r="K75" s="115" t="s">
        <v>3346</v>
      </c>
      <c r="L75" s="10" t="s">
        <v>651</v>
      </c>
      <c r="M75" s="10" t="s">
        <v>2921</v>
      </c>
      <c r="N75" s="10" t="s">
        <v>654</v>
      </c>
      <c r="O75" s="31" t="s">
        <v>653</v>
      </c>
      <c r="P75" s="10" t="s">
        <v>652</v>
      </c>
      <c r="Q75" s="10" t="s">
        <v>651</v>
      </c>
      <c r="R75" s="10" t="s">
        <v>3374</v>
      </c>
      <c r="S75" s="5" t="s">
        <v>650</v>
      </c>
      <c r="T75" s="76">
        <v>15</v>
      </c>
      <c r="U75" s="76">
        <v>1200</v>
      </c>
      <c r="V75" s="76">
        <v>2600</v>
      </c>
      <c r="W75" s="67" t="s">
        <v>396</v>
      </c>
      <c r="X75" s="67" t="s">
        <v>396</v>
      </c>
      <c r="Y75" s="13">
        <v>12.3</v>
      </c>
      <c r="Z75" s="75">
        <v>0.25</v>
      </c>
      <c r="AA75" s="67" t="s">
        <v>396</v>
      </c>
      <c r="AB75" s="31" t="s">
        <v>649</v>
      </c>
      <c r="AC75" s="5" t="s">
        <v>648</v>
      </c>
      <c r="AD75" s="5" t="s">
        <v>647</v>
      </c>
      <c r="AE75" s="10">
        <v>10</v>
      </c>
      <c r="AF75" s="67" t="s">
        <v>399</v>
      </c>
      <c r="AG75" s="74">
        <f t="shared" si="2"/>
        <v>0.15</v>
      </c>
      <c r="AH75" s="31" t="s">
        <v>646</v>
      </c>
      <c r="AI75" s="67" t="s">
        <v>645</v>
      </c>
      <c r="AJ75" s="67" t="s">
        <v>644</v>
      </c>
      <c r="AK75" s="10" t="s">
        <v>643</v>
      </c>
      <c r="AL75" s="17">
        <v>5413218000420</v>
      </c>
      <c r="AM75" s="15" t="s">
        <v>643</v>
      </c>
      <c r="AN75" s="5">
        <v>68091100</v>
      </c>
      <c r="AO75" s="6" t="s">
        <v>3373</v>
      </c>
      <c r="AP75" s="6" t="s">
        <v>3372</v>
      </c>
      <c r="AQ75" s="6" t="s">
        <v>3386</v>
      </c>
      <c r="AR75" s="6" t="s">
        <v>3385</v>
      </c>
      <c r="AS75" s="6" t="s">
        <v>3384</v>
      </c>
    </row>
    <row r="76" spans="1:45" ht="12.75" customHeight="1">
      <c r="A76" s="77" t="s">
        <v>3383</v>
      </c>
      <c r="B76" s="6" t="s">
        <v>396</v>
      </c>
      <c r="C76" s="31" t="s">
        <v>403</v>
      </c>
      <c r="D76" s="5" t="s">
        <v>3349</v>
      </c>
      <c r="E76" s="115" t="s">
        <v>3349</v>
      </c>
      <c r="F76" s="6" t="s">
        <v>3348</v>
      </c>
      <c r="G76" s="6" t="s">
        <v>3347</v>
      </c>
      <c r="H76" s="67" t="s">
        <v>396</v>
      </c>
      <c r="I76" s="67" t="s">
        <v>396</v>
      </c>
      <c r="J76" s="115" t="s">
        <v>3346</v>
      </c>
      <c r="K76" s="115" t="s">
        <v>3346</v>
      </c>
      <c r="L76" s="10" t="s">
        <v>651</v>
      </c>
      <c r="M76" s="10" t="s">
        <v>2921</v>
      </c>
      <c r="N76" s="10" t="s">
        <v>654</v>
      </c>
      <c r="O76" s="31" t="s">
        <v>653</v>
      </c>
      <c r="P76" s="10" t="s">
        <v>652</v>
      </c>
      <c r="Q76" s="10" t="s">
        <v>651</v>
      </c>
      <c r="R76" s="10" t="s">
        <v>3374</v>
      </c>
      <c r="S76" s="5" t="s">
        <v>650</v>
      </c>
      <c r="T76" s="76">
        <v>15</v>
      </c>
      <c r="U76" s="76">
        <v>1200</v>
      </c>
      <c r="V76" s="76">
        <v>2600</v>
      </c>
      <c r="W76" s="67" t="s">
        <v>396</v>
      </c>
      <c r="X76" s="67" t="s">
        <v>396</v>
      </c>
      <c r="Y76" s="13">
        <v>12.3</v>
      </c>
      <c r="Z76" s="75">
        <v>0.25</v>
      </c>
      <c r="AA76" s="67" t="s">
        <v>396</v>
      </c>
      <c r="AB76" s="31" t="s">
        <v>649</v>
      </c>
      <c r="AC76" s="5" t="s">
        <v>648</v>
      </c>
      <c r="AD76" s="5" t="s">
        <v>647</v>
      </c>
      <c r="AE76" s="10">
        <v>10</v>
      </c>
      <c r="AF76" s="67" t="s">
        <v>399</v>
      </c>
      <c r="AG76" s="74">
        <f t="shared" si="2"/>
        <v>0.15</v>
      </c>
      <c r="AH76" s="31" t="s">
        <v>646</v>
      </c>
      <c r="AI76" s="67" t="s">
        <v>645</v>
      </c>
      <c r="AJ76" s="67" t="s">
        <v>644</v>
      </c>
      <c r="AK76" s="10" t="s">
        <v>643</v>
      </c>
      <c r="AL76" s="17">
        <v>5413218000420</v>
      </c>
      <c r="AM76" s="15" t="s">
        <v>643</v>
      </c>
      <c r="AN76" s="5">
        <v>68091100</v>
      </c>
      <c r="AO76" s="6" t="s">
        <v>3373</v>
      </c>
      <c r="AP76" s="6" t="s">
        <v>3372</v>
      </c>
      <c r="AQ76" s="6" t="s">
        <v>3382</v>
      </c>
      <c r="AR76" s="6" t="s">
        <v>3381</v>
      </c>
      <c r="AS76" s="6" t="s">
        <v>3380</v>
      </c>
    </row>
    <row r="77" spans="1:45" ht="12.75" customHeight="1">
      <c r="A77" s="77" t="s">
        <v>3379</v>
      </c>
      <c r="B77" s="6" t="s">
        <v>396</v>
      </c>
      <c r="C77" s="31" t="s">
        <v>403</v>
      </c>
      <c r="D77" s="5" t="s">
        <v>3349</v>
      </c>
      <c r="E77" s="115" t="s">
        <v>3349</v>
      </c>
      <c r="F77" s="6" t="s">
        <v>3348</v>
      </c>
      <c r="G77" s="6" t="s">
        <v>3347</v>
      </c>
      <c r="H77" s="67" t="s">
        <v>396</v>
      </c>
      <c r="I77" s="67" t="s">
        <v>396</v>
      </c>
      <c r="J77" s="115" t="s">
        <v>3346</v>
      </c>
      <c r="K77" s="115" t="s">
        <v>3346</v>
      </c>
      <c r="L77" s="10" t="s">
        <v>651</v>
      </c>
      <c r="M77" s="10" t="s">
        <v>2921</v>
      </c>
      <c r="N77" s="10" t="s">
        <v>654</v>
      </c>
      <c r="O77" s="31" t="s">
        <v>653</v>
      </c>
      <c r="P77" s="10" t="s">
        <v>652</v>
      </c>
      <c r="Q77" s="10" t="s">
        <v>651</v>
      </c>
      <c r="R77" s="10" t="s">
        <v>3374</v>
      </c>
      <c r="S77" s="5" t="s">
        <v>650</v>
      </c>
      <c r="T77" s="76">
        <v>15</v>
      </c>
      <c r="U77" s="76">
        <v>1200</v>
      </c>
      <c r="V77" s="76">
        <v>3000</v>
      </c>
      <c r="W77" s="67" t="s">
        <v>396</v>
      </c>
      <c r="X77" s="67" t="s">
        <v>396</v>
      </c>
      <c r="Y77" s="13">
        <v>12.3</v>
      </c>
      <c r="Z77" s="75">
        <v>0.25</v>
      </c>
      <c r="AA77" s="67" t="s">
        <v>396</v>
      </c>
      <c r="AB77" s="31" t="s">
        <v>649</v>
      </c>
      <c r="AC77" s="5" t="s">
        <v>648</v>
      </c>
      <c r="AD77" s="5" t="s">
        <v>647</v>
      </c>
      <c r="AE77" s="10">
        <v>10</v>
      </c>
      <c r="AF77" s="67" t="s">
        <v>399</v>
      </c>
      <c r="AG77" s="74">
        <f t="shared" si="2"/>
        <v>0.15</v>
      </c>
      <c r="AH77" s="31" t="s">
        <v>646</v>
      </c>
      <c r="AI77" s="67" t="s">
        <v>645</v>
      </c>
      <c r="AJ77" s="67" t="s">
        <v>644</v>
      </c>
      <c r="AK77" s="10" t="s">
        <v>643</v>
      </c>
      <c r="AL77" s="17">
        <v>5413218000437</v>
      </c>
      <c r="AM77" s="15" t="s">
        <v>643</v>
      </c>
      <c r="AN77" s="5">
        <v>68091100</v>
      </c>
      <c r="AO77" s="6" t="s">
        <v>3373</v>
      </c>
      <c r="AP77" s="6" t="s">
        <v>3372</v>
      </c>
      <c r="AQ77" s="6" t="s">
        <v>3378</v>
      </c>
      <c r="AR77" s="6" t="s">
        <v>3377</v>
      </c>
      <c r="AS77" s="6" t="s">
        <v>3376</v>
      </c>
    </row>
    <row r="78" spans="1:45" ht="12.75" customHeight="1">
      <c r="A78" s="77" t="s">
        <v>3375</v>
      </c>
      <c r="B78" s="6" t="s">
        <v>396</v>
      </c>
      <c r="C78" s="31" t="s">
        <v>403</v>
      </c>
      <c r="D78" s="5" t="s">
        <v>3349</v>
      </c>
      <c r="E78" s="115" t="s">
        <v>3349</v>
      </c>
      <c r="F78" s="6" t="s">
        <v>3348</v>
      </c>
      <c r="G78" s="6" t="s">
        <v>3347</v>
      </c>
      <c r="H78" s="67" t="s">
        <v>396</v>
      </c>
      <c r="I78" s="67" t="s">
        <v>396</v>
      </c>
      <c r="J78" s="115" t="s">
        <v>3346</v>
      </c>
      <c r="K78" s="115" t="s">
        <v>3346</v>
      </c>
      <c r="L78" s="10" t="s">
        <v>651</v>
      </c>
      <c r="M78" s="10" t="s">
        <v>2921</v>
      </c>
      <c r="N78" s="10" t="s">
        <v>654</v>
      </c>
      <c r="O78" s="31" t="s">
        <v>653</v>
      </c>
      <c r="P78" s="10" t="s">
        <v>652</v>
      </c>
      <c r="Q78" s="10" t="s">
        <v>651</v>
      </c>
      <c r="R78" s="10" t="s">
        <v>3374</v>
      </c>
      <c r="S78" s="5" t="s">
        <v>650</v>
      </c>
      <c r="T78" s="76">
        <v>15</v>
      </c>
      <c r="U78" s="76">
        <v>1200</v>
      </c>
      <c r="V78" s="76">
        <v>3000</v>
      </c>
      <c r="W78" s="67" t="s">
        <v>396</v>
      </c>
      <c r="X78" s="67" t="s">
        <v>396</v>
      </c>
      <c r="Y78" s="13">
        <v>12.3</v>
      </c>
      <c r="Z78" s="75">
        <v>0.25</v>
      </c>
      <c r="AA78" s="67" t="s">
        <v>396</v>
      </c>
      <c r="AB78" s="31" t="s">
        <v>649</v>
      </c>
      <c r="AC78" s="5" t="s">
        <v>648</v>
      </c>
      <c r="AD78" s="5" t="s">
        <v>647</v>
      </c>
      <c r="AE78" s="10">
        <v>10</v>
      </c>
      <c r="AF78" s="67" t="s">
        <v>399</v>
      </c>
      <c r="AG78" s="74">
        <f t="shared" si="2"/>
        <v>0.15</v>
      </c>
      <c r="AH78" s="31" t="s">
        <v>646</v>
      </c>
      <c r="AI78" s="67" t="s">
        <v>645</v>
      </c>
      <c r="AJ78" s="67" t="s">
        <v>644</v>
      </c>
      <c r="AK78" s="10" t="s">
        <v>643</v>
      </c>
      <c r="AL78" s="17">
        <v>5413218000437</v>
      </c>
      <c r="AM78" s="15" t="s">
        <v>643</v>
      </c>
      <c r="AN78" s="5">
        <v>68091100</v>
      </c>
      <c r="AO78" s="6" t="s">
        <v>3373</v>
      </c>
      <c r="AP78" s="6" t="s">
        <v>3372</v>
      </c>
      <c r="AQ78" s="6" t="s">
        <v>3371</v>
      </c>
      <c r="AR78" s="6" t="s">
        <v>3370</v>
      </c>
      <c r="AS78" s="6" t="s">
        <v>3369</v>
      </c>
    </row>
    <row r="79" spans="1:45" ht="12.75" customHeight="1">
      <c r="A79" s="77" t="s">
        <v>3368</v>
      </c>
      <c r="B79" s="6" t="s">
        <v>396</v>
      </c>
      <c r="C79" s="31" t="s">
        <v>403</v>
      </c>
      <c r="D79" s="5" t="s">
        <v>3349</v>
      </c>
      <c r="E79" s="115" t="s">
        <v>3349</v>
      </c>
      <c r="F79" s="6" t="s">
        <v>3348</v>
      </c>
      <c r="G79" s="6" t="s">
        <v>3347</v>
      </c>
      <c r="H79" s="67" t="s">
        <v>396</v>
      </c>
      <c r="I79" s="67" t="s">
        <v>396</v>
      </c>
      <c r="J79" s="115" t="s">
        <v>3346</v>
      </c>
      <c r="K79" s="115" t="s">
        <v>3346</v>
      </c>
      <c r="L79" s="10" t="s">
        <v>651</v>
      </c>
      <c r="M79" s="10" t="s">
        <v>2921</v>
      </c>
      <c r="N79" s="10" t="s">
        <v>654</v>
      </c>
      <c r="O79" s="31" t="s">
        <v>653</v>
      </c>
      <c r="P79" s="10" t="s">
        <v>652</v>
      </c>
      <c r="Q79" s="10" t="s">
        <v>651</v>
      </c>
      <c r="R79" s="10" t="s">
        <v>3367</v>
      </c>
      <c r="S79" s="5" t="s">
        <v>650</v>
      </c>
      <c r="T79" s="76">
        <v>18</v>
      </c>
      <c r="U79" s="76">
        <v>1200</v>
      </c>
      <c r="V79" s="76">
        <v>2600</v>
      </c>
      <c r="W79" s="67" t="s">
        <v>396</v>
      </c>
      <c r="X79" s="67" t="s">
        <v>396</v>
      </c>
      <c r="Y79" s="13">
        <v>14.7</v>
      </c>
      <c r="Z79" s="75">
        <v>0.25</v>
      </c>
      <c r="AA79" s="67" t="s">
        <v>396</v>
      </c>
      <c r="AB79" s="31" t="s">
        <v>649</v>
      </c>
      <c r="AC79" s="5" t="s">
        <v>648</v>
      </c>
      <c r="AD79" s="5" t="s">
        <v>647</v>
      </c>
      <c r="AE79" s="10">
        <v>10</v>
      </c>
      <c r="AF79" s="67" t="s">
        <v>399</v>
      </c>
      <c r="AG79" s="74">
        <f t="shared" si="2"/>
        <v>0.18</v>
      </c>
      <c r="AH79" s="31" t="s">
        <v>646</v>
      </c>
      <c r="AI79" s="67" t="s">
        <v>645</v>
      </c>
      <c r="AJ79" s="67" t="s">
        <v>644</v>
      </c>
      <c r="AK79" s="10" t="s">
        <v>643</v>
      </c>
      <c r="AL79" s="17">
        <v>5413218000444</v>
      </c>
      <c r="AM79" s="15" t="s">
        <v>643</v>
      </c>
      <c r="AN79" s="5">
        <v>68091100</v>
      </c>
      <c r="AO79" s="6" t="s">
        <v>3366</v>
      </c>
      <c r="AP79" s="6" t="s">
        <v>3365</v>
      </c>
      <c r="AQ79" s="6" t="s">
        <v>3364</v>
      </c>
      <c r="AR79" s="6" t="s">
        <v>3363</v>
      </c>
      <c r="AS79" s="6" t="s">
        <v>3362</v>
      </c>
    </row>
    <row r="80" spans="1:45" s="5" customFormat="1" ht="12.75" customHeight="1">
      <c r="A80" s="77" t="s">
        <v>3361</v>
      </c>
      <c r="B80" s="6" t="s">
        <v>396</v>
      </c>
      <c r="C80" s="6" t="s">
        <v>403</v>
      </c>
      <c r="D80" s="5" t="s">
        <v>3349</v>
      </c>
      <c r="E80" s="1" t="s">
        <v>3349</v>
      </c>
      <c r="F80" s="6" t="s">
        <v>3348</v>
      </c>
      <c r="G80" s="6" t="s">
        <v>3347</v>
      </c>
      <c r="H80" s="27" t="s">
        <v>396</v>
      </c>
      <c r="I80" s="27" t="s">
        <v>396</v>
      </c>
      <c r="J80" s="1" t="s">
        <v>3346</v>
      </c>
      <c r="K80" s="1" t="s">
        <v>3346</v>
      </c>
      <c r="L80" s="27" t="s">
        <v>2068</v>
      </c>
      <c r="M80" s="5" t="s">
        <v>2921</v>
      </c>
      <c r="N80" s="1" t="s">
        <v>3283</v>
      </c>
      <c r="O80" s="5" t="s">
        <v>2879</v>
      </c>
      <c r="P80" s="5" t="s">
        <v>3282</v>
      </c>
      <c r="Q80" s="6" t="s">
        <v>2068</v>
      </c>
      <c r="R80" s="5" t="s">
        <v>3356</v>
      </c>
      <c r="S80" s="5" t="s">
        <v>2639</v>
      </c>
      <c r="T80" s="76">
        <v>15</v>
      </c>
      <c r="U80" s="76">
        <v>600</v>
      </c>
      <c r="V80" s="76">
        <v>2500</v>
      </c>
      <c r="W80" s="27" t="s">
        <v>396</v>
      </c>
      <c r="X80" s="27">
        <v>15</v>
      </c>
      <c r="Y80" s="53">
        <v>12.3</v>
      </c>
      <c r="Z80" s="55">
        <v>0.25</v>
      </c>
      <c r="AA80" s="27" t="s">
        <v>396</v>
      </c>
      <c r="AB80" s="6" t="s">
        <v>649</v>
      </c>
      <c r="AC80" s="5" t="s">
        <v>648</v>
      </c>
      <c r="AD80" s="5" t="s">
        <v>647</v>
      </c>
      <c r="AE80" s="5">
        <v>10</v>
      </c>
      <c r="AF80" s="27" t="s">
        <v>399</v>
      </c>
      <c r="AG80" s="79">
        <f t="shared" si="2"/>
        <v>0.15</v>
      </c>
      <c r="AH80" s="6" t="s">
        <v>646</v>
      </c>
      <c r="AI80" s="27" t="s">
        <v>645</v>
      </c>
      <c r="AJ80" s="27" t="s">
        <v>644</v>
      </c>
      <c r="AK80" s="5" t="s">
        <v>643</v>
      </c>
      <c r="AL80" s="17">
        <v>5413218572149</v>
      </c>
      <c r="AM80" s="15" t="s">
        <v>643</v>
      </c>
      <c r="AN80" s="5">
        <v>68091100</v>
      </c>
      <c r="AO80" s="6"/>
      <c r="AP80" s="6"/>
      <c r="AQ80" s="6" t="s">
        <v>3360</v>
      </c>
      <c r="AR80" s="6" t="s">
        <v>3359</v>
      </c>
      <c r="AS80" s="6" t="s">
        <v>3358</v>
      </c>
    </row>
    <row r="81" spans="1:45" ht="12.75" customHeight="1">
      <c r="A81" s="77" t="s">
        <v>3357</v>
      </c>
      <c r="B81" s="6" t="s">
        <v>396</v>
      </c>
      <c r="C81" s="31" t="s">
        <v>403</v>
      </c>
      <c r="D81" s="5" t="s">
        <v>3349</v>
      </c>
      <c r="E81" s="115" t="s">
        <v>3349</v>
      </c>
      <c r="F81" s="6" t="s">
        <v>3348</v>
      </c>
      <c r="G81" s="6" t="s">
        <v>3347</v>
      </c>
      <c r="H81" s="67" t="s">
        <v>396</v>
      </c>
      <c r="I81" s="67" t="s">
        <v>396</v>
      </c>
      <c r="J81" s="115" t="s">
        <v>3346</v>
      </c>
      <c r="K81" s="115" t="s">
        <v>3346</v>
      </c>
      <c r="L81" s="67" t="s">
        <v>2068</v>
      </c>
      <c r="M81" s="10" t="s">
        <v>2921</v>
      </c>
      <c r="N81" s="1" t="s">
        <v>3283</v>
      </c>
      <c r="O81" s="10" t="s">
        <v>2879</v>
      </c>
      <c r="P81" s="10" t="s">
        <v>3282</v>
      </c>
      <c r="Q81" s="18" t="s">
        <v>2068</v>
      </c>
      <c r="R81" s="10" t="s">
        <v>3356</v>
      </c>
      <c r="S81" s="5" t="s">
        <v>2639</v>
      </c>
      <c r="T81" s="76">
        <v>15</v>
      </c>
      <c r="U81" s="76">
        <v>1200</v>
      </c>
      <c r="V81" s="76">
        <v>2500</v>
      </c>
      <c r="W81" s="67" t="s">
        <v>396</v>
      </c>
      <c r="X81" s="67">
        <v>15</v>
      </c>
      <c r="Y81" s="53">
        <v>12.3</v>
      </c>
      <c r="Z81" s="75">
        <v>0.25</v>
      </c>
      <c r="AA81" s="67" t="s">
        <v>396</v>
      </c>
      <c r="AB81" s="31" t="s">
        <v>649</v>
      </c>
      <c r="AC81" s="5" t="s">
        <v>648</v>
      </c>
      <c r="AD81" s="5" t="s">
        <v>647</v>
      </c>
      <c r="AE81" s="10">
        <v>10</v>
      </c>
      <c r="AF81" s="67" t="s">
        <v>399</v>
      </c>
      <c r="AG81" s="74">
        <f t="shared" si="2"/>
        <v>0.15</v>
      </c>
      <c r="AH81" s="31" t="s">
        <v>646</v>
      </c>
      <c r="AI81" s="67" t="s">
        <v>645</v>
      </c>
      <c r="AJ81" s="67" t="s">
        <v>644</v>
      </c>
      <c r="AK81" s="10" t="s">
        <v>643</v>
      </c>
      <c r="AL81" s="17">
        <v>8711149000203</v>
      </c>
      <c r="AM81" s="15" t="s">
        <v>643</v>
      </c>
      <c r="AN81" s="5">
        <v>68091100</v>
      </c>
      <c r="AO81" s="6" t="s">
        <v>3355</v>
      </c>
      <c r="AP81" s="6" t="s">
        <v>3354</v>
      </c>
      <c r="AQ81" s="6" t="s">
        <v>3353</v>
      </c>
      <c r="AR81" s="6" t="s">
        <v>3352</v>
      </c>
      <c r="AS81" s="6" t="s">
        <v>3351</v>
      </c>
    </row>
    <row r="82" spans="1:45" ht="12.75" customHeight="1">
      <c r="A82" s="77" t="s">
        <v>3350</v>
      </c>
      <c r="B82" s="6" t="s">
        <v>396</v>
      </c>
      <c r="C82" s="31" t="s">
        <v>403</v>
      </c>
      <c r="D82" s="5" t="s">
        <v>3349</v>
      </c>
      <c r="E82" s="115" t="s">
        <v>3349</v>
      </c>
      <c r="F82" s="6" t="s">
        <v>3348</v>
      </c>
      <c r="G82" s="6" t="s">
        <v>3347</v>
      </c>
      <c r="H82" s="67" t="s">
        <v>396</v>
      </c>
      <c r="I82" s="67" t="s">
        <v>396</v>
      </c>
      <c r="J82" s="115" t="s">
        <v>3346</v>
      </c>
      <c r="K82" s="115" t="s">
        <v>3346</v>
      </c>
      <c r="L82" s="67" t="s">
        <v>2068</v>
      </c>
      <c r="M82" s="10" t="s">
        <v>2921</v>
      </c>
      <c r="N82" s="1" t="s">
        <v>3283</v>
      </c>
      <c r="O82" s="10" t="s">
        <v>2879</v>
      </c>
      <c r="P82" s="10" t="s">
        <v>3282</v>
      </c>
      <c r="Q82" s="18" t="s">
        <v>2068</v>
      </c>
      <c r="R82" s="10" t="s">
        <v>3345</v>
      </c>
      <c r="S82" s="5" t="s">
        <v>2639</v>
      </c>
      <c r="T82" s="76">
        <v>18</v>
      </c>
      <c r="U82" s="76">
        <v>1200</v>
      </c>
      <c r="V82" s="76">
        <v>2500</v>
      </c>
      <c r="W82" s="67" t="s">
        <v>396</v>
      </c>
      <c r="X82" s="67">
        <v>18</v>
      </c>
      <c r="Y82" s="53">
        <v>14.7</v>
      </c>
      <c r="Z82" s="75">
        <v>0.25</v>
      </c>
      <c r="AA82" s="67" t="s">
        <v>396</v>
      </c>
      <c r="AB82" s="31" t="s">
        <v>649</v>
      </c>
      <c r="AC82" s="5" t="s">
        <v>648</v>
      </c>
      <c r="AD82" s="5" t="s">
        <v>647</v>
      </c>
      <c r="AE82" s="10">
        <v>10</v>
      </c>
      <c r="AF82" s="67" t="s">
        <v>399</v>
      </c>
      <c r="AG82" s="74">
        <f t="shared" si="2"/>
        <v>0.18</v>
      </c>
      <c r="AH82" s="31" t="s">
        <v>646</v>
      </c>
      <c r="AI82" s="67" t="s">
        <v>645</v>
      </c>
      <c r="AJ82" s="67" t="s">
        <v>644</v>
      </c>
      <c r="AK82" s="10" t="s">
        <v>643</v>
      </c>
      <c r="AL82" s="17">
        <v>5413218564168</v>
      </c>
      <c r="AM82" s="15" t="s">
        <v>643</v>
      </c>
      <c r="AN82" s="5">
        <v>68091100</v>
      </c>
      <c r="AO82" s="6" t="s">
        <v>3344</v>
      </c>
      <c r="AP82" s="6" t="s">
        <v>3343</v>
      </c>
      <c r="AQ82" s="6" t="s">
        <v>3342</v>
      </c>
      <c r="AR82" s="6" t="s">
        <v>3341</v>
      </c>
      <c r="AS82" s="6" t="s">
        <v>3340</v>
      </c>
    </row>
    <row r="83" spans="1:45" ht="12.75" customHeight="1">
      <c r="A83" s="77" t="s">
        <v>3339</v>
      </c>
      <c r="B83" s="6" t="s">
        <v>396</v>
      </c>
      <c r="C83" s="31" t="s">
        <v>403</v>
      </c>
      <c r="D83" s="6" t="s">
        <v>3287</v>
      </c>
      <c r="E83" s="6" t="s">
        <v>3287</v>
      </c>
      <c r="F83" s="6" t="s">
        <v>3286</v>
      </c>
      <c r="G83" s="6" t="s">
        <v>3285</v>
      </c>
      <c r="H83" s="67" t="s">
        <v>396</v>
      </c>
      <c r="I83" s="67" t="s">
        <v>396</v>
      </c>
      <c r="J83" s="115" t="s">
        <v>3338</v>
      </c>
      <c r="K83" s="115" t="s">
        <v>3338</v>
      </c>
      <c r="L83" s="10" t="s">
        <v>651</v>
      </c>
      <c r="M83" s="10" t="s">
        <v>98</v>
      </c>
      <c r="N83" s="10" t="s">
        <v>654</v>
      </c>
      <c r="O83" s="31" t="s">
        <v>653</v>
      </c>
      <c r="P83" s="10" t="s">
        <v>652</v>
      </c>
      <c r="Q83" s="10" t="s">
        <v>651</v>
      </c>
      <c r="R83" s="10" t="s">
        <v>3334</v>
      </c>
      <c r="S83" s="5" t="s">
        <v>3178</v>
      </c>
      <c r="T83" s="76">
        <v>9.5</v>
      </c>
      <c r="U83" s="76">
        <v>600</v>
      </c>
      <c r="V83" s="76">
        <v>1200</v>
      </c>
      <c r="W83" s="67" t="s">
        <v>396</v>
      </c>
      <c r="X83" s="67" t="s">
        <v>396</v>
      </c>
      <c r="Y83" s="53">
        <v>7.6</v>
      </c>
      <c r="Z83" s="75">
        <v>0.25</v>
      </c>
      <c r="AA83" s="67" t="s">
        <v>396</v>
      </c>
      <c r="AB83" s="31" t="s">
        <v>649</v>
      </c>
      <c r="AC83" s="5" t="s">
        <v>648</v>
      </c>
      <c r="AD83" s="5" t="s">
        <v>647</v>
      </c>
      <c r="AE83" s="10">
        <v>10</v>
      </c>
      <c r="AF83" s="67" t="s">
        <v>399</v>
      </c>
      <c r="AG83" s="74">
        <f t="shared" si="2"/>
        <v>9.5000000000000001E-2</v>
      </c>
      <c r="AH83" s="31" t="s">
        <v>646</v>
      </c>
      <c r="AI83" s="67" t="s">
        <v>645</v>
      </c>
      <c r="AJ83" s="67" t="s">
        <v>644</v>
      </c>
      <c r="AK83" s="10" t="s">
        <v>643</v>
      </c>
      <c r="AL83" s="17">
        <v>5413218567763</v>
      </c>
      <c r="AM83" s="15" t="s">
        <v>643</v>
      </c>
      <c r="AN83" s="5">
        <v>68091100</v>
      </c>
      <c r="AO83" s="6" t="s">
        <v>3333</v>
      </c>
      <c r="AP83" s="6" t="s">
        <v>3332</v>
      </c>
      <c r="AQ83" s="6"/>
      <c r="AR83" s="6"/>
      <c r="AS83" s="6" t="s">
        <v>3337</v>
      </c>
    </row>
    <row r="84" spans="1:45" ht="12.75" customHeight="1">
      <c r="A84" s="77" t="s">
        <v>3336</v>
      </c>
      <c r="B84" s="6" t="s">
        <v>396</v>
      </c>
      <c r="C84" s="31" t="s">
        <v>403</v>
      </c>
      <c r="D84" s="6" t="s">
        <v>3287</v>
      </c>
      <c r="E84" s="6" t="s">
        <v>3287</v>
      </c>
      <c r="F84" s="6" t="s">
        <v>3286</v>
      </c>
      <c r="G84" s="6" t="s">
        <v>3285</v>
      </c>
      <c r="H84" s="67" t="s">
        <v>396</v>
      </c>
      <c r="I84" s="67" t="s">
        <v>396</v>
      </c>
      <c r="J84" s="115" t="s">
        <v>3335</v>
      </c>
      <c r="K84" s="115" t="s">
        <v>3335</v>
      </c>
      <c r="L84" s="10" t="s">
        <v>651</v>
      </c>
      <c r="M84" s="10" t="s">
        <v>98</v>
      </c>
      <c r="N84" s="10" t="s">
        <v>654</v>
      </c>
      <c r="O84" s="31" t="s">
        <v>653</v>
      </c>
      <c r="P84" s="10" t="s">
        <v>652</v>
      </c>
      <c r="Q84" s="10" t="s">
        <v>651</v>
      </c>
      <c r="R84" s="10" t="s">
        <v>3334</v>
      </c>
      <c r="S84" s="5" t="s">
        <v>650</v>
      </c>
      <c r="T84" s="76">
        <v>9.5</v>
      </c>
      <c r="U84" s="76">
        <v>600</v>
      </c>
      <c r="V84" s="76">
        <v>2600</v>
      </c>
      <c r="W84" s="67" t="s">
        <v>396</v>
      </c>
      <c r="X84" s="67" t="s">
        <v>396</v>
      </c>
      <c r="Y84" s="53">
        <v>7.6</v>
      </c>
      <c r="Z84" s="75">
        <v>0.25</v>
      </c>
      <c r="AA84" s="67" t="s">
        <v>396</v>
      </c>
      <c r="AB84" s="31" t="s">
        <v>649</v>
      </c>
      <c r="AC84" s="5" t="s">
        <v>648</v>
      </c>
      <c r="AD84" s="5" t="s">
        <v>647</v>
      </c>
      <c r="AE84" s="10">
        <v>10</v>
      </c>
      <c r="AF84" s="67" t="s">
        <v>399</v>
      </c>
      <c r="AG84" s="74">
        <f t="shared" si="2"/>
        <v>9.5000000000000001E-2</v>
      </c>
      <c r="AH84" s="31" t="s">
        <v>646</v>
      </c>
      <c r="AI84" s="67" t="s">
        <v>645</v>
      </c>
      <c r="AJ84" s="67" t="s">
        <v>644</v>
      </c>
      <c r="AK84" s="10" t="s">
        <v>643</v>
      </c>
      <c r="AL84" s="17">
        <v>5413218400169</v>
      </c>
      <c r="AM84" s="15" t="s">
        <v>643</v>
      </c>
      <c r="AN84" s="5">
        <v>68091100</v>
      </c>
      <c r="AO84" s="6" t="s">
        <v>3333</v>
      </c>
      <c r="AP84" s="6" t="s">
        <v>3332</v>
      </c>
      <c r="AQ84" s="6" t="s">
        <v>3331</v>
      </c>
      <c r="AR84" s="6" t="s">
        <v>3330</v>
      </c>
      <c r="AS84" s="6" t="s">
        <v>3329</v>
      </c>
    </row>
    <row r="85" spans="1:45" ht="12.75" customHeight="1">
      <c r="A85" s="77" t="s">
        <v>3328</v>
      </c>
      <c r="B85" s="6" t="s">
        <v>396</v>
      </c>
      <c r="C85" s="31" t="s">
        <v>403</v>
      </c>
      <c r="D85" s="6" t="s">
        <v>3287</v>
      </c>
      <c r="E85" s="6" t="s">
        <v>3287</v>
      </c>
      <c r="F85" s="6" t="s">
        <v>3286</v>
      </c>
      <c r="G85" s="6" t="s">
        <v>3285</v>
      </c>
      <c r="H85" s="67" t="s">
        <v>396</v>
      </c>
      <c r="I85" s="67" t="s">
        <v>396</v>
      </c>
      <c r="J85" s="115" t="s">
        <v>3284</v>
      </c>
      <c r="K85" s="115" t="s">
        <v>3284</v>
      </c>
      <c r="L85" s="10" t="s">
        <v>651</v>
      </c>
      <c r="M85" s="10" t="s">
        <v>2100</v>
      </c>
      <c r="N85" s="10" t="s">
        <v>654</v>
      </c>
      <c r="O85" s="31" t="s">
        <v>653</v>
      </c>
      <c r="P85" s="10" t="s">
        <v>652</v>
      </c>
      <c r="Q85" s="10" t="s">
        <v>651</v>
      </c>
      <c r="R85" s="10" t="s">
        <v>3327</v>
      </c>
      <c r="S85" s="5" t="s">
        <v>650</v>
      </c>
      <c r="T85" s="76">
        <v>12.5</v>
      </c>
      <c r="U85" s="76">
        <v>600</v>
      </c>
      <c r="V85" s="76">
        <v>2600</v>
      </c>
      <c r="W85" s="67" t="s">
        <v>396</v>
      </c>
      <c r="X85" s="67" t="s">
        <v>396</v>
      </c>
      <c r="Y85" s="13">
        <v>10.3</v>
      </c>
      <c r="Z85" s="75">
        <v>0.25</v>
      </c>
      <c r="AA85" s="67" t="s">
        <v>396</v>
      </c>
      <c r="AB85" s="31" t="s">
        <v>649</v>
      </c>
      <c r="AC85" s="5" t="s">
        <v>648</v>
      </c>
      <c r="AD85" s="5" t="s">
        <v>647</v>
      </c>
      <c r="AE85" s="10">
        <v>10</v>
      </c>
      <c r="AF85" s="67" t="s">
        <v>399</v>
      </c>
      <c r="AG85" s="74">
        <f t="shared" si="2"/>
        <v>0.125</v>
      </c>
      <c r="AH85" s="31" t="s">
        <v>646</v>
      </c>
      <c r="AI85" s="67" t="s">
        <v>645</v>
      </c>
      <c r="AJ85" s="67" t="s">
        <v>644</v>
      </c>
      <c r="AK85" s="10" t="s">
        <v>643</v>
      </c>
      <c r="AL85" s="17">
        <v>4002806607328</v>
      </c>
      <c r="AM85" s="15" t="s">
        <v>643</v>
      </c>
      <c r="AN85" s="5">
        <v>68091100</v>
      </c>
      <c r="AO85" s="6" t="s">
        <v>3326</v>
      </c>
      <c r="AP85" s="6" t="s">
        <v>3325</v>
      </c>
      <c r="AQ85" s="6" t="s">
        <v>3324</v>
      </c>
      <c r="AR85" s="6" t="s">
        <v>3323</v>
      </c>
      <c r="AS85" s="6" t="s">
        <v>3322</v>
      </c>
    </row>
    <row r="86" spans="1:45" ht="12.75" customHeight="1">
      <c r="A86" s="77" t="s">
        <v>3321</v>
      </c>
      <c r="B86" s="6" t="s">
        <v>396</v>
      </c>
      <c r="C86" s="31" t="s">
        <v>403</v>
      </c>
      <c r="D86" s="6" t="s">
        <v>3287</v>
      </c>
      <c r="E86" s="6" t="s">
        <v>3287</v>
      </c>
      <c r="F86" s="6" t="s">
        <v>3286</v>
      </c>
      <c r="G86" s="6" t="s">
        <v>3285</v>
      </c>
      <c r="H86" s="67" t="s">
        <v>396</v>
      </c>
      <c r="I86" s="67" t="s">
        <v>396</v>
      </c>
      <c r="J86" s="78" t="s">
        <v>3284</v>
      </c>
      <c r="K86" s="78" t="s">
        <v>3284</v>
      </c>
      <c r="L86" s="10" t="s">
        <v>651</v>
      </c>
      <c r="M86" s="10" t="s">
        <v>2100</v>
      </c>
      <c r="N86" s="10" t="s">
        <v>654</v>
      </c>
      <c r="O86" s="31" t="s">
        <v>653</v>
      </c>
      <c r="P86" s="10" t="s">
        <v>652</v>
      </c>
      <c r="Q86" s="10" t="s">
        <v>651</v>
      </c>
      <c r="R86" s="10" t="s">
        <v>3308</v>
      </c>
      <c r="S86" s="5" t="s">
        <v>650</v>
      </c>
      <c r="T86" s="76">
        <v>12.5</v>
      </c>
      <c r="U86" s="76">
        <v>1200</v>
      </c>
      <c r="V86" s="76">
        <v>2600</v>
      </c>
      <c r="W86" s="67" t="s">
        <v>396</v>
      </c>
      <c r="X86" s="67" t="s">
        <v>396</v>
      </c>
      <c r="Y86" s="13">
        <v>10.3</v>
      </c>
      <c r="Z86" s="75">
        <v>0.25</v>
      </c>
      <c r="AA86" s="67" t="s">
        <v>396</v>
      </c>
      <c r="AB86" s="31" t="s">
        <v>649</v>
      </c>
      <c r="AC86" s="5" t="s">
        <v>648</v>
      </c>
      <c r="AD86" s="5" t="s">
        <v>647</v>
      </c>
      <c r="AE86" s="10">
        <v>10</v>
      </c>
      <c r="AF86" s="67" t="s">
        <v>399</v>
      </c>
      <c r="AG86" s="74">
        <f t="shared" si="2"/>
        <v>0.125</v>
      </c>
      <c r="AH86" s="31" t="s">
        <v>646</v>
      </c>
      <c r="AI86" s="67" t="s">
        <v>645</v>
      </c>
      <c r="AJ86" s="67" t="s">
        <v>644</v>
      </c>
      <c r="AK86" s="10" t="s">
        <v>643</v>
      </c>
      <c r="AL86" s="17">
        <v>5413218000451</v>
      </c>
      <c r="AM86" s="15" t="s">
        <v>643</v>
      </c>
      <c r="AN86" s="5">
        <v>68091100</v>
      </c>
      <c r="AO86" s="6" t="s">
        <v>3307</v>
      </c>
      <c r="AP86" s="6" t="s">
        <v>3306</v>
      </c>
      <c r="AQ86" s="6" t="s">
        <v>3320</v>
      </c>
      <c r="AR86" s="6" t="s">
        <v>3319</v>
      </c>
      <c r="AS86" s="6" t="s">
        <v>3318</v>
      </c>
    </row>
    <row r="87" spans="1:45" ht="12.75" customHeight="1">
      <c r="A87" s="77" t="s">
        <v>3317</v>
      </c>
      <c r="B87" s="6" t="s">
        <v>396</v>
      </c>
      <c r="C87" s="31" t="s">
        <v>403</v>
      </c>
      <c r="D87" s="6" t="s">
        <v>3287</v>
      </c>
      <c r="E87" s="6" t="s">
        <v>3287</v>
      </c>
      <c r="F87" s="6" t="s">
        <v>3286</v>
      </c>
      <c r="G87" s="6" t="s">
        <v>3285</v>
      </c>
      <c r="H87" s="67" t="s">
        <v>396</v>
      </c>
      <c r="I87" s="67" t="s">
        <v>396</v>
      </c>
      <c r="J87" s="78" t="s">
        <v>3284</v>
      </c>
      <c r="K87" s="78" t="s">
        <v>3284</v>
      </c>
      <c r="L87" s="10" t="s">
        <v>651</v>
      </c>
      <c r="M87" s="10" t="s">
        <v>2100</v>
      </c>
      <c r="N87" s="10" t="s">
        <v>654</v>
      </c>
      <c r="O87" s="31" t="s">
        <v>653</v>
      </c>
      <c r="P87" s="10" t="s">
        <v>652</v>
      </c>
      <c r="Q87" s="10" t="s">
        <v>651</v>
      </c>
      <c r="R87" s="10" t="s">
        <v>3308</v>
      </c>
      <c r="S87" s="5" t="s">
        <v>650</v>
      </c>
      <c r="T87" s="76">
        <v>12.5</v>
      </c>
      <c r="U87" s="76">
        <v>1200</v>
      </c>
      <c r="V87" s="76">
        <v>2600</v>
      </c>
      <c r="W87" s="67" t="s">
        <v>396</v>
      </c>
      <c r="X87" s="67" t="s">
        <v>396</v>
      </c>
      <c r="Y87" s="13">
        <v>10.3</v>
      </c>
      <c r="Z87" s="75">
        <v>0.25</v>
      </c>
      <c r="AA87" s="67" t="s">
        <v>396</v>
      </c>
      <c r="AB87" s="31" t="s">
        <v>649</v>
      </c>
      <c r="AC87" s="5" t="s">
        <v>648</v>
      </c>
      <c r="AD87" s="5" t="s">
        <v>647</v>
      </c>
      <c r="AE87" s="10">
        <v>10</v>
      </c>
      <c r="AF87" s="67" t="s">
        <v>399</v>
      </c>
      <c r="AG87" s="74">
        <f t="shared" si="2"/>
        <v>0.125</v>
      </c>
      <c r="AH87" s="31" t="s">
        <v>646</v>
      </c>
      <c r="AI87" s="67" t="s">
        <v>645</v>
      </c>
      <c r="AJ87" s="67" t="s">
        <v>644</v>
      </c>
      <c r="AK87" s="10" t="s">
        <v>643</v>
      </c>
      <c r="AL87" s="17">
        <v>5413218000451</v>
      </c>
      <c r="AM87" s="15" t="s">
        <v>643</v>
      </c>
      <c r="AN87" s="5">
        <v>68091100</v>
      </c>
      <c r="AO87" s="6" t="s">
        <v>3307</v>
      </c>
      <c r="AP87" s="6" t="s">
        <v>3306</v>
      </c>
      <c r="AQ87" s="6" t="s">
        <v>3316</v>
      </c>
      <c r="AR87" s="6" t="s">
        <v>3315</v>
      </c>
      <c r="AS87" s="6" t="s">
        <v>3314</v>
      </c>
    </row>
    <row r="88" spans="1:45" ht="12.75" customHeight="1">
      <c r="A88" s="77" t="s">
        <v>3313</v>
      </c>
      <c r="B88" s="6" t="s">
        <v>396</v>
      </c>
      <c r="C88" s="31" t="s">
        <v>403</v>
      </c>
      <c r="D88" s="6" t="s">
        <v>3287</v>
      </c>
      <c r="E88" s="6" t="s">
        <v>3287</v>
      </c>
      <c r="F88" s="6" t="s">
        <v>3286</v>
      </c>
      <c r="G88" s="6" t="s">
        <v>3285</v>
      </c>
      <c r="H88" s="67" t="s">
        <v>396</v>
      </c>
      <c r="I88" s="67" t="s">
        <v>396</v>
      </c>
      <c r="J88" s="78" t="s">
        <v>3284</v>
      </c>
      <c r="K88" s="78" t="s">
        <v>3284</v>
      </c>
      <c r="L88" s="10" t="s">
        <v>651</v>
      </c>
      <c r="M88" s="10" t="s">
        <v>2100</v>
      </c>
      <c r="N88" s="10" t="s">
        <v>654</v>
      </c>
      <c r="O88" s="31" t="s">
        <v>653</v>
      </c>
      <c r="P88" s="10" t="s">
        <v>652</v>
      </c>
      <c r="Q88" s="10" t="s">
        <v>651</v>
      </c>
      <c r="R88" s="10" t="s">
        <v>3308</v>
      </c>
      <c r="S88" s="5" t="s">
        <v>650</v>
      </c>
      <c r="T88" s="76">
        <v>12.5</v>
      </c>
      <c r="U88" s="76">
        <v>1200</v>
      </c>
      <c r="V88" s="76">
        <v>3000</v>
      </c>
      <c r="W88" s="67" t="s">
        <v>396</v>
      </c>
      <c r="X88" s="67" t="s">
        <v>396</v>
      </c>
      <c r="Y88" s="13">
        <v>10.3</v>
      </c>
      <c r="Z88" s="75">
        <v>0.25</v>
      </c>
      <c r="AA88" s="67" t="s">
        <v>396</v>
      </c>
      <c r="AB88" s="31" t="s">
        <v>649</v>
      </c>
      <c r="AC88" s="5" t="s">
        <v>648</v>
      </c>
      <c r="AD88" s="5" t="s">
        <v>647</v>
      </c>
      <c r="AE88" s="10">
        <v>10</v>
      </c>
      <c r="AF88" s="67" t="s">
        <v>399</v>
      </c>
      <c r="AG88" s="74">
        <f t="shared" si="2"/>
        <v>0.125</v>
      </c>
      <c r="AH88" s="31" t="s">
        <v>646</v>
      </c>
      <c r="AI88" s="67" t="s">
        <v>645</v>
      </c>
      <c r="AJ88" s="67" t="s">
        <v>644</v>
      </c>
      <c r="AK88" s="10" t="s">
        <v>643</v>
      </c>
      <c r="AL88" s="17">
        <v>5413218000468</v>
      </c>
      <c r="AM88" s="15" t="s">
        <v>643</v>
      </c>
      <c r="AN88" s="5">
        <v>68091100</v>
      </c>
      <c r="AO88" s="6" t="s">
        <v>3307</v>
      </c>
      <c r="AP88" s="6" t="s">
        <v>3306</v>
      </c>
      <c r="AQ88" s="6" t="s">
        <v>3312</v>
      </c>
      <c r="AR88" s="6" t="s">
        <v>3311</v>
      </c>
      <c r="AS88" s="6" t="s">
        <v>3310</v>
      </c>
    </row>
    <row r="89" spans="1:45" ht="12.75" customHeight="1">
      <c r="A89" s="77" t="s">
        <v>3309</v>
      </c>
      <c r="B89" s="6" t="s">
        <v>396</v>
      </c>
      <c r="C89" s="31" t="s">
        <v>403</v>
      </c>
      <c r="D89" s="6" t="s">
        <v>3287</v>
      </c>
      <c r="E89" s="6" t="s">
        <v>3287</v>
      </c>
      <c r="F89" s="6" t="s">
        <v>3286</v>
      </c>
      <c r="G89" s="6" t="s">
        <v>3285</v>
      </c>
      <c r="H89" s="67" t="s">
        <v>396</v>
      </c>
      <c r="I89" s="67" t="s">
        <v>396</v>
      </c>
      <c r="J89" s="78" t="s">
        <v>3284</v>
      </c>
      <c r="K89" s="78" t="s">
        <v>3284</v>
      </c>
      <c r="L89" s="10" t="s">
        <v>651</v>
      </c>
      <c r="M89" s="10" t="s">
        <v>2100</v>
      </c>
      <c r="N89" s="10" t="s">
        <v>654</v>
      </c>
      <c r="O89" s="31" t="s">
        <v>653</v>
      </c>
      <c r="P89" s="10" t="s">
        <v>652</v>
      </c>
      <c r="Q89" s="10" t="s">
        <v>651</v>
      </c>
      <c r="R89" s="10" t="s">
        <v>3308</v>
      </c>
      <c r="S89" s="5" t="s">
        <v>650</v>
      </c>
      <c r="T89" s="76">
        <v>12.5</v>
      </c>
      <c r="U89" s="76">
        <v>1200</v>
      </c>
      <c r="V89" s="76">
        <v>3000</v>
      </c>
      <c r="W89" s="67" t="s">
        <v>396</v>
      </c>
      <c r="X89" s="67" t="s">
        <v>396</v>
      </c>
      <c r="Y89" s="13">
        <v>10.3</v>
      </c>
      <c r="Z89" s="75">
        <v>0.25</v>
      </c>
      <c r="AA89" s="67" t="s">
        <v>396</v>
      </c>
      <c r="AB89" s="31" t="s">
        <v>649</v>
      </c>
      <c r="AC89" s="5" t="s">
        <v>648</v>
      </c>
      <c r="AD89" s="5" t="s">
        <v>647</v>
      </c>
      <c r="AE89" s="10">
        <v>10</v>
      </c>
      <c r="AF89" s="67" t="s">
        <v>399</v>
      </c>
      <c r="AG89" s="74">
        <f t="shared" si="2"/>
        <v>0.125</v>
      </c>
      <c r="AH89" s="31" t="s">
        <v>646</v>
      </c>
      <c r="AI89" s="67" t="s">
        <v>645</v>
      </c>
      <c r="AJ89" s="67" t="s">
        <v>644</v>
      </c>
      <c r="AK89" s="10" t="s">
        <v>643</v>
      </c>
      <c r="AL89" s="17">
        <v>5413218000468</v>
      </c>
      <c r="AM89" s="15" t="s">
        <v>643</v>
      </c>
      <c r="AN89" s="5">
        <v>68091100</v>
      </c>
      <c r="AO89" s="6" t="s">
        <v>3307</v>
      </c>
      <c r="AP89" s="6" t="s">
        <v>3306</v>
      </c>
      <c r="AQ89" s="6" t="s">
        <v>3305</v>
      </c>
      <c r="AR89" s="6" t="s">
        <v>3304</v>
      </c>
      <c r="AS89" s="6" t="s">
        <v>3303</v>
      </c>
    </row>
    <row r="90" spans="1:45" ht="12.75" customHeight="1">
      <c r="A90" s="77" t="s">
        <v>3302</v>
      </c>
      <c r="B90" s="6" t="s">
        <v>396</v>
      </c>
      <c r="C90" s="31" t="s">
        <v>403</v>
      </c>
      <c r="D90" s="6" t="s">
        <v>3287</v>
      </c>
      <c r="E90" s="6" t="s">
        <v>3287</v>
      </c>
      <c r="F90" s="6" t="s">
        <v>3286</v>
      </c>
      <c r="G90" s="6" t="s">
        <v>3285</v>
      </c>
      <c r="H90" s="67" t="s">
        <v>396</v>
      </c>
      <c r="I90" s="67" t="s">
        <v>396</v>
      </c>
      <c r="J90" s="78" t="s">
        <v>3284</v>
      </c>
      <c r="K90" s="78" t="s">
        <v>3284</v>
      </c>
      <c r="L90" s="10" t="s">
        <v>651</v>
      </c>
      <c r="M90" s="10" t="s">
        <v>2100</v>
      </c>
      <c r="N90" s="10" t="s">
        <v>654</v>
      </c>
      <c r="O90" s="31" t="s">
        <v>653</v>
      </c>
      <c r="P90" s="10" t="s">
        <v>652</v>
      </c>
      <c r="Q90" s="10" t="s">
        <v>651</v>
      </c>
      <c r="R90" s="10" t="s">
        <v>3301</v>
      </c>
      <c r="S90" s="5" t="s">
        <v>650</v>
      </c>
      <c r="T90" s="76">
        <v>15</v>
      </c>
      <c r="U90" s="76">
        <v>1200</v>
      </c>
      <c r="V90" s="76">
        <v>2600</v>
      </c>
      <c r="W90" s="67" t="s">
        <v>396</v>
      </c>
      <c r="X90" s="67" t="s">
        <v>396</v>
      </c>
      <c r="Y90" s="53">
        <v>13.3</v>
      </c>
      <c r="Z90" s="75">
        <v>0.25</v>
      </c>
      <c r="AA90" s="67" t="s">
        <v>396</v>
      </c>
      <c r="AB90" s="31" t="s">
        <v>649</v>
      </c>
      <c r="AC90" s="5" t="s">
        <v>648</v>
      </c>
      <c r="AD90" s="5" t="s">
        <v>647</v>
      </c>
      <c r="AE90" s="10">
        <v>10</v>
      </c>
      <c r="AF90" s="67" t="s">
        <v>399</v>
      </c>
      <c r="AG90" s="74">
        <f t="shared" si="2"/>
        <v>0.15</v>
      </c>
      <c r="AH90" s="31" t="s">
        <v>646</v>
      </c>
      <c r="AI90" s="67" t="s">
        <v>645</v>
      </c>
      <c r="AJ90" s="67" t="s">
        <v>644</v>
      </c>
      <c r="AK90" s="10" t="s">
        <v>643</v>
      </c>
      <c r="AL90" s="17">
        <v>5413218000475</v>
      </c>
      <c r="AM90" s="15" t="s">
        <v>643</v>
      </c>
      <c r="AN90" s="5">
        <v>68091100</v>
      </c>
      <c r="AO90" s="6" t="s">
        <v>3300</v>
      </c>
      <c r="AP90" s="6" t="s">
        <v>3299</v>
      </c>
      <c r="AQ90" s="6" t="s">
        <v>3298</v>
      </c>
      <c r="AR90" s="6" t="s">
        <v>3297</v>
      </c>
      <c r="AS90" s="6" t="s">
        <v>3296</v>
      </c>
    </row>
    <row r="91" spans="1:45" ht="12.75" customHeight="1">
      <c r="A91" s="77" t="s">
        <v>3295</v>
      </c>
      <c r="B91" s="6" t="s">
        <v>396</v>
      </c>
      <c r="C91" s="31" t="s">
        <v>403</v>
      </c>
      <c r="D91" s="6" t="s">
        <v>3287</v>
      </c>
      <c r="E91" s="6" t="s">
        <v>3287</v>
      </c>
      <c r="F91" s="6" t="s">
        <v>3286</v>
      </c>
      <c r="G91" s="6" t="s">
        <v>3285</v>
      </c>
      <c r="H91" s="67" t="s">
        <v>396</v>
      </c>
      <c r="I91" s="67" t="s">
        <v>396</v>
      </c>
      <c r="J91" s="78" t="s">
        <v>3284</v>
      </c>
      <c r="K91" s="78" t="s">
        <v>3284</v>
      </c>
      <c r="L91" s="67" t="s">
        <v>2068</v>
      </c>
      <c r="M91" s="10" t="s">
        <v>2100</v>
      </c>
      <c r="N91" s="1" t="s">
        <v>3283</v>
      </c>
      <c r="O91" s="10" t="s">
        <v>2879</v>
      </c>
      <c r="P91" s="10" t="s">
        <v>3282</v>
      </c>
      <c r="Q91" s="18" t="s">
        <v>2068</v>
      </c>
      <c r="R91" s="10" t="s">
        <v>3294</v>
      </c>
      <c r="S91" s="5" t="s">
        <v>2639</v>
      </c>
      <c r="T91" s="76">
        <v>12.5</v>
      </c>
      <c r="U91" s="76">
        <v>600</v>
      </c>
      <c r="V91" s="76">
        <v>2500</v>
      </c>
      <c r="W91" s="67" t="s">
        <v>396</v>
      </c>
      <c r="X91" s="67">
        <v>12.5</v>
      </c>
      <c r="Y91" s="53">
        <v>10.3</v>
      </c>
      <c r="Z91" s="75">
        <v>0.25</v>
      </c>
      <c r="AA91" s="67" t="s">
        <v>396</v>
      </c>
      <c r="AB91" s="31" t="s">
        <v>649</v>
      </c>
      <c r="AC91" s="5" t="s">
        <v>648</v>
      </c>
      <c r="AD91" s="5" t="s">
        <v>647</v>
      </c>
      <c r="AE91" s="10">
        <v>10</v>
      </c>
      <c r="AF91" s="67" t="s">
        <v>399</v>
      </c>
      <c r="AG91" s="74">
        <f t="shared" si="2"/>
        <v>0.125</v>
      </c>
      <c r="AH91" s="31" t="s">
        <v>646</v>
      </c>
      <c r="AI91" s="67" t="s">
        <v>645</v>
      </c>
      <c r="AJ91" s="67" t="s">
        <v>644</v>
      </c>
      <c r="AK91" s="10" t="s">
        <v>643</v>
      </c>
      <c r="AL91" s="17">
        <v>5413218564410</v>
      </c>
      <c r="AM91" s="15" t="s">
        <v>643</v>
      </c>
      <c r="AN91" s="5">
        <v>68091100</v>
      </c>
      <c r="AO91" s="6" t="s">
        <v>3293</v>
      </c>
      <c r="AP91" s="6" t="s">
        <v>3292</v>
      </c>
      <c r="AQ91" s="6" t="s">
        <v>3291</v>
      </c>
      <c r="AR91" s="6" t="s">
        <v>3290</v>
      </c>
      <c r="AS91" s="6" t="s">
        <v>3289</v>
      </c>
    </row>
    <row r="92" spans="1:45" ht="12.75" customHeight="1">
      <c r="A92" s="77" t="s">
        <v>3288</v>
      </c>
      <c r="B92" s="6" t="s">
        <v>396</v>
      </c>
      <c r="C92" s="31" t="s">
        <v>403</v>
      </c>
      <c r="D92" s="6" t="s">
        <v>3287</v>
      </c>
      <c r="E92" s="6" t="s">
        <v>3287</v>
      </c>
      <c r="F92" s="6" t="s">
        <v>3286</v>
      </c>
      <c r="G92" s="6" t="s">
        <v>3285</v>
      </c>
      <c r="H92" s="67" t="s">
        <v>396</v>
      </c>
      <c r="I92" s="67" t="s">
        <v>396</v>
      </c>
      <c r="J92" s="78" t="s">
        <v>3284</v>
      </c>
      <c r="K92" s="78" t="s">
        <v>3284</v>
      </c>
      <c r="L92" s="67" t="s">
        <v>2068</v>
      </c>
      <c r="M92" s="10" t="s">
        <v>2100</v>
      </c>
      <c r="N92" s="1" t="s">
        <v>3283</v>
      </c>
      <c r="O92" s="10" t="s">
        <v>2879</v>
      </c>
      <c r="P92" s="10" t="s">
        <v>3282</v>
      </c>
      <c r="Q92" s="18" t="s">
        <v>2068</v>
      </c>
      <c r="R92" s="10" t="s">
        <v>3281</v>
      </c>
      <c r="S92" s="5" t="s">
        <v>2639</v>
      </c>
      <c r="T92" s="76">
        <v>12.5</v>
      </c>
      <c r="U92" s="76">
        <v>1200</v>
      </c>
      <c r="V92" s="76">
        <v>2500</v>
      </c>
      <c r="W92" s="67" t="s">
        <v>396</v>
      </c>
      <c r="X92" s="67">
        <v>12.5</v>
      </c>
      <c r="Y92" s="53">
        <v>10.3</v>
      </c>
      <c r="Z92" s="75">
        <v>0.25</v>
      </c>
      <c r="AA92" s="67" t="s">
        <v>396</v>
      </c>
      <c r="AB92" s="31" t="s">
        <v>649</v>
      </c>
      <c r="AC92" s="5" t="s">
        <v>648</v>
      </c>
      <c r="AD92" s="5" t="s">
        <v>647</v>
      </c>
      <c r="AE92" s="10">
        <v>10</v>
      </c>
      <c r="AF92" s="67" t="s">
        <v>399</v>
      </c>
      <c r="AG92" s="74">
        <f t="shared" si="2"/>
        <v>0.125</v>
      </c>
      <c r="AH92" s="31" t="s">
        <v>646</v>
      </c>
      <c r="AI92" s="67" t="s">
        <v>645</v>
      </c>
      <c r="AJ92" s="67" t="s">
        <v>644</v>
      </c>
      <c r="AK92" s="10" t="s">
        <v>643</v>
      </c>
      <c r="AL92" s="17">
        <v>5413218564427</v>
      </c>
      <c r="AM92" s="15" t="s">
        <v>643</v>
      </c>
      <c r="AN92" s="5">
        <v>68091100</v>
      </c>
      <c r="AO92" s="6" t="s">
        <v>3280</v>
      </c>
      <c r="AP92" s="6" t="s">
        <v>3279</v>
      </c>
      <c r="AQ92" s="6" t="s">
        <v>3278</v>
      </c>
      <c r="AR92" s="6" t="s">
        <v>3277</v>
      </c>
      <c r="AS92" s="6" t="s">
        <v>3276</v>
      </c>
    </row>
    <row r="93" spans="1:45" ht="12.75" customHeight="1">
      <c r="A93" s="78" t="s">
        <v>3275</v>
      </c>
      <c r="B93" s="6" t="s">
        <v>396</v>
      </c>
      <c r="C93" s="31" t="s">
        <v>403</v>
      </c>
      <c r="D93" s="5" t="s">
        <v>3258</v>
      </c>
      <c r="E93" s="5" t="s">
        <v>3258</v>
      </c>
      <c r="F93" s="6" t="s">
        <v>3257</v>
      </c>
      <c r="G93" s="6" t="s">
        <v>3256</v>
      </c>
      <c r="H93" s="67" t="s">
        <v>396</v>
      </c>
      <c r="I93" s="67" t="s">
        <v>396</v>
      </c>
      <c r="J93" s="114" t="s">
        <v>3255</v>
      </c>
      <c r="K93" s="114" t="s">
        <v>3255</v>
      </c>
      <c r="L93" s="10" t="s">
        <v>651</v>
      </c>
      <c r="M93" s="10" t="s">
        <v>3254</v>
      </c>
      <c r="N93" s="10" t="s">
        <v>654</v>
      </c>
      <c r="O93" s="31" t="s">
        <v>653</v>
      </c>
      <c r="P93" s="10" t="s">
        <v>652</v>
      </c>
      <c r="Q93" s="10" t="s">
        <v>651</v>
      </c>
      <c r="R93" s="56" t="s">
        <v>3253</v>
      </c>
      <c r="S93" s="6" t="s">
        <v>650</v>
      </c>
      <c r="T93" s="76">
        <v>12.5</v>
      </c>
      <c r="U93" s="76">
        <v>600</v>
      </c>
      <c r="V93" s="76">
        <v>2600</v>
      </c>
      <c r="W93" s="67" t="s">
        <v>396</v>
      </c>
      <c r="X93" s="67" t="s">
        <v>396</v>
      </c>
      <c r="Y93" s="54">
        <v>12.2</v>
      </c>
      <c r="Z93" s="75">
        <v>0.25</v>
      </c>
      <c r="AA93" s="67" t="s">
        <v>396</v>
      </c>
      <c r="AB93" s="31" t="s">
        <v>649</v>
      </c>
      <c r="AC93" s="5" t="s">
        <v>648</v>
      </c>
      <c r="AD93" s="5" t="s">
        <v>647</v>
      </c>
      <c r="AE93" s="10">
        <v>10</v>
      </c>
      <c r="AF93" s="67" t="s">
        <v>399</v>
      </c>
      <c r="AG93" s="74">
        <f t="shared" si="2"/>
        <v>0.125</v>
      </c>
      <c r="AH93" s="31" t="s">
        <v>646</v>
      </c>
      <c r="AI93" s="67" t="s">
        <v>645</v>
      </c>
      <c r="AJ93" s="67" t="s">
        <v>644</v>
      </c>
      <c r="AK93" s="31" t="s">
        <v>643</v>
      </c>
      <c r="AL93" s="17">
        <v>3496250236042</v>
      </c>
      <c r="AM93" s="15" t="s">
        <v>643</v>
      </c>
      <c r="AN93" s="5">
        <v>68091100</v>
      </c>
      <c r="AO93" s="6" t="s">
        <v>3252</v>
      </c>
      <c r="AP93" s="6" t="s">
        <v>3251</v>
      </c>
      <c r="AQ93" s="6" t="s">
        <v>3274</v>
      </c>
      <c r="AR93" s="6" t="s">
        <v>3273</v>
      </c>
      <c r="AS93" s="6" t="s">
        <v>3272</v>
      </c>
    </row>
    <row r="94" spans="1:45" ht="12.75" customHeight="1">
      <c r="A94" s="77" t="s">
        <v>3271</v>
      </c>
      <c r="B94" s="6" t="s">
        <v>396</v>
      </c>
      <c r="C94" s="31" t="s">
        <v>403</v>
      </c>
      <c r="D94" s="5" t="s">
        <v>3258</v>
      </c>
      <c r="E94" s="5" t="s">
        <v>3258</v>
      </c>
      <c r="F94" s="6" t="s">
        <v>3257</v>
      </c>
      <c r="G94" s="6" t="s">
        <v>3256</v>
      </c>
      <c r="H94" s="67" t="s">
        <v>396</v>
      </c>
      <c r="I94" s="67" t="s">
        <v>396</v>
      </c>
      <c r="J94" s="114" t="s">
        <v>3255</v>
      </c>
      <c r="K94" s="114" t="s">
        <v>3255</v>
      </c>
      <c r="L94" s="10" t="s">
        <v>651</v>
      </c>
      <c r="M94" s="10" t="s">
        <v>3254</v>
      </c>
      <c r="N94" s="10" t="s">
        <v>654</v>
      </c>
      <c r="O94" s="31" t="s">
        <v>653</v>
      </c>
      <c r="P94" s="10" t="s">
        <v>652</v>
      </c>
      <c r="Q94" s="10" t="s">
        <v>651</v>
      </c>
      <c r="R94" s="56" t="s">
        <v>3253</v>
      </c>
      <c r="S94" s="6" t="s">
        <v>650</v>
      </c>
      <c r="T94" s="76">
        <v>12.5</v>
      </c>
      <c r="U94" s="76">
        <v>1200</v>
      </c>
      <c r="V94" s="76">
        <v>2600</v>
      </c>
      <c r="W94" s="67" t="s">
        <v>396</v>
      </c>
      <c r="X94" s="67" t="s">
        <v>396</v>
      </c>
      <c r="Y94" s="54">
        <v>12.2</v>
      </c>
      <c r="Z94" s="75">
        <v>0.25</v>
      </c>
      <c r="AA94" s="67" t="s">
        <v>396</v>
      </c>
      <c r="AB94" s="31" t="s">
        <v>649</v>
      </c>
      <c r="AC94" s="5" t="s">
        <v>648</v>
      </c>
      <c r="AD94" s="5" t="s">
        <v>647</v>
      </c>
      <c r="AE94" s="10">
        <v>10</v>
      </c>
      <c r="AF94" s="67" t="s">
        <v>399</v>
      </c>
      <c r="AG94" s="74">
        <f t="shared" si="2"/>
        <v>0.125</v>
      </c>
      <c r="AH94" s="31" t="s">
        <v>646</v>
      </c>
      <c r="AI94" s="67" t="s">
        <v>645</v>
      </c>
      <c r="AJ94" s="67" t="s">
        <v>644</v>
      </c>
      <c r="AK94" s="10" t="s">
        <v>643</v>
      </c>
      <c r="AL94" s="17">
        <v>3496250191310</v>
      </c>
      <c r="AM94" s="15" t="s">
        <v>643</v>
      </c>
      <c r="AN94" s="5">
        <v>68091100</v>
      </c>
      <c r="AO94" s="6" t="s">
        <v>3252</v>
      </c>
      <c r="AP94" s="6" t="s">
        <v>3251</v>
      </c>
      <c r="AQ94" s="6" t="s">
        <v>3270</v>
      </c>
      <c r="AR94" s="6" t="s">
        <v>3269</v>
      </c>
      <c r="AS94" s="6" t="s">
        <v>3268</v>
      </c>
    </row>
    <row r="95" spans="1:45" ht="12.75" customHeight="1">
      <c r="A95" s="77" t="s">
        <v>3267</v>
      </c>
      <c r="B95" s="6" t="s">
        <v>396</v>
      </c>
      <c r="C95" s="31" t="s">
        <v>403</v>
      </c>
      <c r="D95" s="5" t="s">
        <v>3258</v>
      </c>
      <c r="E95" s="5" t="s">
        <v>3258</v>
      </c>
      <c r="F95" s="6" t="s">
        <v>3257</v>
      </c>
      <c r="G95" s="6" t="s">
        <v>3256</v>
      </c>
      <c r="H95" s="67" t="s">
        <v>396</v>
      </c>
      <c r="I95" s="67" t="s">
        <v>396</v>
      </c>
      <c r="J95" s="114" t="s">
        <v>3255</v>
      </c>
      <c r="K95" s="114" t="s">
        <v>3255</v>
      </c>
      <c r="L95" s="10" t="s">
        <v>651</v>
      </c>
      <c r="M95" s="10" t="s">
        <v>3254</v>
      </c>
      <c r="N95" s="10" t="s">
        <v>654</v>
      </c>
      <c r="O95" s="31" t="s">
        <v>653</v>
      </c>
      <c r="P95" s="10" t="s">
        <v>652</v>
      </c>
      <c r="Q95" s="10" t="s">
        <v>651</v>
      </c>
      <c r="R95" s="56" t="s">
        <v>3253</v>
      </c>
      <c r="S95" s="6" t="s">
        <v>650</v>
      </c>
      <c r="T95" s="76">
        <v>12.5</v>
      </c>
      <c r="U95" s="76">
        <v>1200</v>
      </c>
      <c r="V95" s="76">
        <v>2600</v>
      </c>
      <c r="W95" s="67" t="s">
        <v>396</v>
      </c>
      <c r="X95" s="67" t="s">
        <v>396</v>
      </c>
      <c r="Y95" s="54">
        <v>12.2</v>
      </c>
      <c r="Z95" s="75">
        <v>0.25</v>
      </c>
      <c r="AA95" s="67" t="s">
        <v>396</v>
      </c>
      <c r="AB95" s="31" t="s">
        <v>649</v>
      </c>
      <c r="AC95" s="5" t="s">
        <v>648</v>
      </c>
      <c r="AD95" s="5" t="s">
        <v>647</v>
      </c>
      <c r="AE95" s="10">
        <v>10</v>
      </c>
      <c r="AF95" s="67" t="s">
        <v>399</v>
      </c>
      <c r="AG95" s="74">
        <f t="shared" si="2"/>
        <v>0.125</v>
      </c>
      <c r="AH95" s="31" t="s">
        <v>646</v>
      </c>
      <c r="AI95" s="67" t="s">
        <v>645</v>
      </c>
      <c r="AJ95" s="67" t="s">
        <v>644</v>
      </c>
      <c r="AK95" s="10" t="s">
        <v>643</v>
      </c>
      <c r="AL95" s="17">
        <v>3496250191310</v>
      </c>
      <c r="AM95" s="15" t="s">
        <v>643</v>
      </c>
      <c r="AN95" s="5">
        <v>68091100</v>
      </c>
      <c r="AO95" s="6" t="s">
        <v>3252</v>
      </c>
      <c r="AP95" s="6" t="s">
        <v>3251</v>
      </c>
      <c r="AQ95" s="6" t="s">
        <v>3266</v>
      </c>
      <c r="AR95" s="6" t="s">
        <v>3265</v>
      </c>
      <c r="AS95" s="6" t="s">
        <v>3264</v>
      </c>
    </row>
    <row r="96" spans="1:45" ht="12.75" customHeight="1">
      <c r="A96" s="77" t="s">
        <v>3263</v>
      </c>
      <c r="B96" s="6" t="s">
        <v>396</v>
      </c>
      <c r="C96" s="31" t="s">
        <v>403</v>
      </c>
      <c r="D96" s="5" t="s">
        <v>3258</v>
      </c>
      <c r="E96" s="5" t="s">
        <v>3258</v>
      </c>
      <c r="F96" s="6" t="s">
        <v>3257</v>
      </c>
      <c r="G96" s="6" t="s">
        <v>3256</v>
      </c>
      <c r="H96" s="67" t="s">
        <v>396</v>
      </c>
      <c r="I96" s="67" t="s">
        <v>396</v>
      </c>
      <c r="J96" s="114" t="s">
        <v>3255</v>
      </c>
      <c r="K96" s="114" t="s">
        <v>3255</v>
      </c>
      <c r="L96" s="10" t="s">
        <v>651</v>
      </c>
      <c r="M96" s="10" t="s">
        <v>3254</v>
      </c>
      <c r="N96" s="10" t="s">
        <v>654</v>
      </c>
      <c r="O96" s="31" t="s">
        <v>653</v>
      </c>
      <c r="P96" s="10" t="s">
        <v>652</v>
      </c>
      <c r="Q96" s="10" t="s">
        <v>651</v>
      </c>
      <c r="R96" s="56" t="s">
        <v>3253</v>
      </c>
      <c r="S96" s="6" t="s">
        <v>650</v>
      </c>
      <c r="T96" s="76">
        <v>12.5</v>
      </c>
      <c r="U96" s="76">
        <v>1200</v>
      </c>
      <c r="V96" s="76">
        <v>3000</v>
      </c>
      <c r="W96" s="67" t="s">
        <v>396</v>
      </c>
      <c r="X96" s="67" t="s">
        <v>396</v>
      </c>
      <c r="Y96" s="54">
        <v>12.2</v>
      </c>
      <c r="Z96" s="75">
        <v>0.25</v>
      </c>
      <c r="AA96" s="67" t="s">
        <v>396</v>
      </c>
      <c r="AB96" s="31" t="s">
        <v>649</v>
      </c>
      <c r="AC96" s="5" t="s">
        <v>648</v>
      </c>
      <c r="AD96" s="5" t="s">
        <v>647</v>
      </c>
      <c r="AE96" s="10">
        <v>10</v>
      </c>
      <c r="AF96" s="67" t="s">
        <v>399</v>
      </c>
      <c r="AG96" s="74">
        <f t="shared" si="2"/>
        <v>0.125</v>
      </c>
      <c r="AH96" s="31" t="s">
        <v>646</v>
      </c>
      <c r="AI96" s="67" t="s">
        <v>645</v>
      </c>
      <c r="AJ96" s="67" t="s">
        <v>644</v>
      </c>
      <c r="AK96" s="10" t="s">
        <v>643</v>
      </c>
      <c r="AL96" s="17">
        <v>3496250191334</v>
      </c>
      <c r="AM96" s="15" t="s">
        <v>643</v>
      </c>
      <c r="AN96" s="5">
        <v>68091100</v>
      </c>
      <c r="AO96" s="6" t="s">
        <v>3252</v>
      </c>
      <c r="AP96" s="6" t="s">
        <v>3251</v>
      </c>
      <c r="AQ96" s="6" t="s">
        <v>3262</v>
      </c>
      <c r="AR96" s="6" t="s">
        <v>3261</v>
      </c>
      <c r="AS96" s="6" t="s">
        <v>3260</v>
      </c>
    </row>
    <row r="97" spans="1:45" ht="12.75" customHeight="1">
      <c r="A97" s="77" t="s">
        <v>3259</v>
      </c>
      <c r="B97" s="6" t="s">
        <v>396</v>
      </c>
      <c r="C97" s="31" t="s">
        <v>403</v>
      </c>
      <c r="D97" s="5" t="s">
        <v>3258</v>
      </c>
      <c r="E97" s="5" t="s">
        <v>3258</v>
      </c>
      <c r="F97" s="6" t="s">
        <v>3257</v>
      </c>
      <c r="G97" s="6" t="s">
        <v>3256</v>
      </c>
      <c r="H97" s="67" t="s">
        <v>396</v>
      </c>
      <c r="I97" s="67" t="s">
        <v>396</v>
      </c>
      <c r="J97" s="114" t="s">
        <v>3255</v>
      </c>
      <c r="K97" s="114" t="s">
        <v>3255</v>
      </c>
      <c r="L97" s="10" t="s">
        <v>651</v>
      </c>
      <c r="M97" s="10" t="s">
        <v>3254</v>
      </c>
      <c r="N97" s="10" t="s">
        <v>654</v>
      </c>
      <c r="O97" s="31" t="s">
        <v>653</v>
      </c>
      <c r="P97" s="10" t="s">
        <v>652</v>
      </c>
      <c r="Q97" s="10" t="s">
        <v>651</v>
      </c>
      <c r="R97" s="56" t="s">
        <v>3253</v>
      </c>
      <c r="S97" s="5" t="s">
        <v>650</v>
      </c>
      <c r="T97" s="76">
        <v>12.5</v>
      </c>
      <c r="U97" s="76">
        <v>1200</v>
      </c>
      <c r="V97" s="76">
        <v>3000</v>
      </c>
      <c r="W97" s="67" t="s">
        <v>396</v>
      </c>
      <c r="X97" s="67" t="s">
        <v>396</v>
      </c>
      <c r="Y97" s="54">
        <v>12.2</v>
      </c>
      <c r="Z97" s="75">
        <v>0.25</v>
      </c>
      <c r="AA97" s="67" t="s">
        <v>396</v>
      </c>
      <c r="AB97" s="31" t="s">
        <v>649</v>
      </c>
      <c r="AC97" s="5" t="s">
        <v>648</v>
      </c>
      <c r="AD97" s="5" t="s">
        <v>647</v>
      </c>
      <c r="AE97" s="10">
        <v>10</v>
      </c>
      <c r="AF97" s="67" t="s">
        <v>399</v>
      </c>
      <c r="AG97" s="74">
        <f t="shared" si="2"/>
        <v>0.125</v>
      </c>
      <c r="AH97" s="31" t="s">
        <v>646</v>
      </c>
      <c r="AI97" s="67" t="s">
        <v>645</v>
      </c>
      <c r="AJ97" s="67" t="s">
        <v>644</v>
      </c>
      <c r="AK97" s="10" t="s">
        <v>643</v>
      </c>
      <c r="AL97" s="17">
        <v>3496250191334</v>
      </c>
      <c r="AM97" s="15" t="s">
        <v>643</v>
      </c>
      <c r="AN97" s="5">
        <v>68091100</v>
      </c>
      <c r="AO97" s="6" t="s">
        <v>3252</v>
      </c>
      <c r="AP97" s="6" t="s">
        <v>3251</v>
      </c>
      <c r="AQ97" s="6" t="s">
        <v>3250</v>
      </c>
      <c r="AR97" s="6" t="s">
        <v>3249</v>
      </c>
      <c r="AS97" s="6" t="s">
        <v>3248</v>
      </c>
    </row>
    <row r="98" spans="1:45" ht="12.75" customHeight="1">
      <c r="A98" s="77" t="s">
        <v>3247</v>
      </c>
      <c r="B98" s="6" t="s">
        <v>396</v>
      </c>
      <c r="C98" s="31" t="s">
        <v>403</v>
      </c>
      <c r="D98" s="5" t="s">
        <v>3236</v>
      </c>
      <c r="E98" s="77" t="s">
        <v>3236</v>
      </c>
      <c r="F98" s="6" t="s">
        <v>3238</v>
      </c>
      <c r="G98" s="6" t="s">
        <v>3237</v>
      </c>
      <c r="H98" s="67" t="s">
        <v>396</v>
      </c>
      <c r="I98" s="67" t="s">
        <v>396</v>
      </c>
      <c r="J98" s="77" t="s">
        <v>3236</v>
      </c>
      <c r="K98" s="77" t="s">
        <v>3236</v>
      </c>
      <c r="L98" s="10" t="s">
        <v>651</v>
      </c>
      <c r="M98" s="10" t="s">
        <v>3235</v>
      </c>
      <c r="N98" s="10" t="s">
        <v>654</v>
      </c>
      <c r="O98" s="31" t="s">
        <v>653</v>
      </c>
      <c r="P98" s="10" t="s">
        <v>652</v>
      </c>
      <c r="Q98" s="10" t="s">
        <v>651</v>
      </c>
      <c r="R98" s="10" t="s">
        <v>3227</v>
      </c>
      <c r="S98" s="5" t="s">
        <v>650</v>
      </c>
      <c r="T98" s="76">
        <v>12.5</v>
      </c>
      <c r="U98" s="76">
        <v>1200</v>
      </c>
      <c r="V98" s="76">
        <v>2600</v>
      </c>
      <c r="W98" s="67" t="s">
        <v>396</v>
      </c>
      <c r="X98" s="67" t="s">
        <v>396</v>
      </c>
      <c r="Y98" s="13">
        <v>12.5</v>
      </c>
      <c r="Z98" s="75">
        <v>0.25</v>
      </c>
      <c r="AA98" s="67" t="s">
        <v>396</v>
      </c>
      <c r="AB98" s="31" t="s">
        <v>649</v>
      </c>
      <c r="AC98" s="5" t="s">
        <v>648</v>
      </c>
      <c r="AD98" s="6" t="s">
        <v>647</v>
      </c>
      <c r="AE98" s="10">
        <v>10</v>
      </c>
      <c r="AF98" s="67" t="s">
        <v>399</v>
      </c>
      <c r="AG98" s="74">
        <f t="shared" si="2"/>
        <v>0.125</v>
      </c>
      <c r="AH98" s="31" t="s">
        <v>646</v>
      </c>
      <c r="AI98" s="67" t="s">
        <v>645</v>
      </c>
      <c r="AJ98" s="67" t="s">
        <v>644</v>
      </c>
      <c r="AK98" s="10" t="s">
        <v>643</v>
      </c>
      <c r="AL98" s="17">
        <v>5413218564540</v>
      </c>
      <c r="AM98" s="15" t="s">
        <v>643</v>
      </c>
      <c r="AN98" s="5">
        <v>68091100</v>
      </c>
      <c r="AO98" s="6" t="s">
        <v>3243</v>
      </c>
      <c r="AP98" s="6" t="s">
        <v>3242</v>
      </c>
      <c r="AQ98" s="6" t="s">
        <v>3246</v>
      </c>
      <c r="AR98" s="6" t="s">
        <v>3245</v>
      </c>
      <c r="AS98" s="6" t="s">
        <v>366</v>
      </c>
    </row>
    <row r="99" spans="1:45" ht="12.75" customHeight="1">
      <c r="A99" s="77" t="s">
        <v>3244</v>
      </c>
      <c r="B99" s="6" t="s">
        <v>396</v>
      </c>
      <c r="C99" s="31" t="s">
        <v>403</v>
      </c>
      <c r="D99" s="5" t="s">
        <v>3236</v>
      </c>
      <c r="E99" s="77" t="s">
        <v>3236</v>
      </c>
      <c r="F99" s="6" t="s">
        <v>3238</v>
      </c>
      <c r="G99" s="6" t="s">
        <v>3237</v>
      </c>
      <c r="H99" s="67" t="s">
        <v>396</v>
      </c>
      <c r="I99" s="67" t="s">
        <v>396</v>
      </c>
      <c r="J99" s="77" t="s">
        <v>3236</v>
      </c>
      <c r="K99" s="77" t="s">
        <v>3236</v>
      </c>
      <c r="L99" s="10" t="s">
        <v>651</v>
      </c>
      <c r="M99" s="10" t="s">
        <v>3235</v>
      </c>
      <c r="N99" s="10" t="s">
        <v>654</v>
      </c>
      <c r="O99" s="31" t="s">
        <v>653</v>
      </c>
      <c r="P99" s="10" t="s">
        <v>652</v>
      </c>
      <c r="Q99" s="10" t="s">
        <v>651</v>
      </c>
      <c r="R99" s="10" t="s">
        <v>3227</v>
      </c>
      <c r="S99" s="5" t="s">
        <v>650</v>
      </c>
      <c r="T99" s="76">
        <v>12.5</v>
      </c>
      <c r="U99" s="76">
        <v>1200</v>
      </c>
      <c r="V99" s="76">
        <v>3000</v>
      </c>
      <c r="W99" s="67" t="s">
        <v>396</v>
      </c>
      <c r="X99" s="67" t="s">
        <v>396</v>
      </c>
      <c r="Y99" s="13">
        <v>12.5</v>
      </c>
      <c r="Z99" s="75">
        <v>0.25</v>
      </c>
      <c r="AA99" s="67" t="s">
        <v>396</v>
      </c>
      <c r="AB99" s="31" t="s">
        <v>649</v>
      </c>
      <c r="AC99" s="5" t="s">
        <v>648</v>
      </c>
      <c r="AD99" s="5" t="s">
        <v>647</v>
      </c>
      <c r="AE99" s="10">
        <v>10</v>
      </c>
      <c r="AF99" s="67" t="s">
        <v>399</v>
      </c>
      <c r="AG99" s="74">
        <f t="shared" si="2"/>
        <v>0.125</v>
      </c>
      <c r="AH99" s="31" t="s">
        <v>646</v>
      </c>
      <c r="AI99" s="67" t="s">
        <v>645</v>
      </c>
      <c r="AJ99" s="67" t="s">
        <v>644</v>
      </c>
      <c r="AK99" s="10" t="s">
        <v>643</v>
      </c>
      <c r="AL99" s="17">
        <v>5413218570046</v>
      </c>
      <c r="AM99" s="15" t="s">
        <v>643</v>
      </c>
      <c r="AN99" s="5">
        <v>68091100</v>
      </c>
      <c r="AO99" s="6" t="s">
        <v>3243</v>
      </c>
      <c r="AP99" s="6" t="s">
        <v>3242</v>
      </c>
      <c r="AQ99" s="6" t="s">
        <v>3241</v>
      </c>
      <c r="AR99" s="6" t="s">
        <v>3240</v>
      </c>
      <c r="AS99" s="6" t="s">
        <v>366</v>
      </c>
    </row>
    <row r="100" spans="1:45" ht="12.75" customHeight="1">
      <c r="A100" s="78" t="s">
        <v>3239</v>
      </c>
      <c r="B100" s="6" t="s">
        <v>396</v>
      </c>
      <c r="C100" s="31" t="s">
        <v>403</v>
      </c>
      <c r="D100" s="5" t="s">
        <v>3236</v>
      </c>
      <c r="E100" s="77" t="s">
        <v>3236</v>
      </c>
      <c r="F100" s="6" t="s">
        <v>3238</v>
      </c>
      <c r="G100" s="6" t="s">
        <v>3237</v>
      </c>
      <c r="H100" s="67" t="s">
        <v>396</v>
      </c>
      <c r="I100" s="67" t="s">
        <v>396</v>
      </c>
      <c r="J100" s="77" t="s">
        <v>3236</v>
      </c>
      <c r="K100" s="77" t="s">
        <v>3236</v>
      </c>
      <c r="L100" s="10" t="s">
        <v>651</v>
      </c>
      <c r="M100" s="10" t="s">
        <v>3235</v>
      </c>
      <c r="N100" s="10" t="s">
        <v>654</v>
      </c>
      <c r="O100" s="31" t="s">
        <v>653</v>
      </c>
      <c r="P100" s="10" t="s">
        <v>652</v>
      </c>
      <c r="Q100" s="10" t="s">
        <v>651</v>
      </c>
      <c r="R100" s="10" t="s">
        <v>3215</v>
      </c>
      <c r="S100" s="5" t="s">
        <v>650</v>
      </c>
      <c r="T100" s="76">
        <v>15</v>
      </c>
      <c r="U100" s="76">
        <v>1200</v>
      </c>
      <c r="V100" s="76">
        <v>2650</v>
      </c>
      <c r="W100" s="67" t="s">
        <v>396</v>
      </c>
      <c r="X100" s="67" t="s">
        <v>396</v>
      </c>
      <c r="Y100" s="13">
        <v>14.9</v>
      </c>
      <c r="Z100" s="75">
        <v>0.25</v>
      </c>
      <c r="AA100" s="67" t="s">
        <v>396</v>
      </c>
      <c r="AB100" s="31" t="s">
        <v>649</v>
      </c>
      <c r="AC100" s="5" t="s">
        <v>648</v>
      </c>
      <c r="AD100" s="5" t="s">
        <v>647</v>
      </c>
      <c r="AE100" s="10">
        <v>10</v>
      </c>
      <c r="AF100" s="67" t="s">
        <v>399</v>
      </c>
      <c r="AG100" s="74">
        <f t="shared" si="2"/>
        <v>0.15</v>
      </c>
      <c r="AH100" s="31" t="s">
        <v>646</v>
      </c>
      <c r="AI100" s="67" t="s">
        <v>645</v>
      </c>
      <c r="AJ100" s="67" t="s">
        <v>644</v>
      </c>
      <c r="AK100" s="10" t="s">
        <v>643</v>
      </c>
      <c r="AL100" s="17">
        <v>5413218564793</v>
      </c>
      <c r="AM100" s="15" t="s">
        <v>643</v>
      </c>
      <c r="AN100" s="5">
        <v>68091100</v>
      </c>
      <c r="AO100" s="6" t="s">
        <v>3234</v>
      </c>
      <c r="AP100" s="6" t="s">
        <v>3233</v>
      </c>
      <c r="AQ100" s="6" t="s">
        <v>3232</v>
      </c>
      <c r="AR100" s="6" t="s">
        <v>3231</v>
      </c>
      <c r="AS100" s="6" t="s">
        <v>366</v>
      </c>
    </row>
    <row r="101" spans="1:45" s="104" customFormat="1" ht="12.75" customHeight="1">
      <c r="A101" s="113" t="s">
        <v>3230</v>
      </c>
      <c r="B101" s="6" t="s">
        <v>396</v>
      </c>
      <c r="C101" s="107" t="s">
        <v>403</v>
      </c>
      <c r="D101" s="6" t="s">
        <v>3225</v>
      </c>
      <c r="E101" s="112" t="s">
        <v>3225</v>
      </c>
      <c r="F101" s="6" t="s">
        <v>3224</v>
      </c>
      <c r="G101" s="6" t="s">
        <v>3217</v>
      </c>
      <c r="H101" s="106" t="s">
        <v>396</v>
      </c>
      <c r="I101" s="106" t="s">
        <v>396</v>
      </c>
      <c r="J101" s="111" t="s">
        <v>399</v>
      </c>
      <c r="K101" s="111" t="s">
        <v>399</v>
      </c>
      <c r="L101" s="104" t="s">
        <v>651</v>
      </c>
      <c r="M101" s="104" t="s">
        <v>3216</v>
      </c>
      <c r="N101" s="104" t="s">
        <v>654</v>
      </c>
      <c r="O101" s="107" t="s">
        <v>653</v>
      </c>
      <c r="P101" s="104" t="s">
        <v>652</v>
      </c>
      <c r="Q101" s="10" t="s">
        <v>651</v>
      </c>
      <c r="R101" s="104" t="s">
        <v>3227</v>
      </c>
      <c r="S101" s="104" t="s">
        <v>650</v>
      </c>
      <c r="T101" s="110">
        <v>12.5</v>
      </c>
      <c r="U101" s="110">
        <v>1200</v>
      </c>
      <c r="V101" s="110">
        <v>3000</v>
      </c>
      <c r="W101" s="106" t="s">
        <v>396</v>
      </c>
      <c r="X101" s="106" t="s">
        <v>396</v>
      </c>
      <c r="Y101" s="109">
        <v>11.8</v>
      </c>
      <c r="Z101" s="108">
        <v>0.25</v>
      </c>
      <c r="AA101" s="106" t="s">
        <v>396</v>
      </c>
      <c r="AB101" s="107" t="s">
        <v>649</v>
      </c>
      <c r="AC101" s="5" t="s">
        <v>648</v>
      </c>
      <c r="AD101" s="5" t="s">
        <v>647</v>
      </c>
      <c r="AE101" s="104">
        <v>10</v>
      </c>
      <c r="AF101" s="106" t="s">
        <v>399</v>
      </c>
      <c r="AG101" s="74">
        <f t="shared" si="2"/>
        <v>0.125</v>
      </c>
      <c r="AH101" s="31" t="s">
        <v>646</v>
      </c>
      <c r="AI101" s="67" t="s">
        <v>645</v>
      </c>
      <c r="AJ101" s="67" t="s">
        <v>644</v>
      </c>
      <c r="AK101" s="10" t="s">
        <v>643</v>
      </c>
      <c r="AL101" s="17">
        <v>5413218570060</v>
      </c>
      <c r="AM101" s="15" t="s">
        <v>643</v>
      </c>
      <c r="AN101" s="5">
        <v>68091100</v>
      </c>
      <c r="AO101" s="6"/>
      <c r="AP101" s="6"/>
      <c r="AQ101" s="6"/>
      <c r="AR101" s="6"/>
      <c r="AS101" s="6"/>
    </row>
    <row r="102" spans="1:45" s="104" customFormat="1" ht="12.75" customHeight="1">
      <c r="A102" s="113" t="s">
        <v>3229</v>
      </c>
      <c r="B102" s="6" t="s">
        <v>396</v>
      </c>
      <c r="C102" s="107" t="s">
        <v>403</v>
      </c>
      <c r="D102" s="6" t="s">
        <v>3225</v>
      </c>
      <c r="E102" s="112" t="s">
        <v>3225</v>
      </c>
      <c r="F102" s="6" t="s">
        <v>3224</v>
      </c>
      <c r="G102" s="6" t="s">
        <v>3217</v>
      </c>
      <c r="H102" s="106" t="s">
        <v>396</v>
      </c>
      <c r="I102" s="106" t="s">
        <v>396</v>
      </c>
      <c r="J102" s="111" t="s">
        <v>399</v>
      </c>
      <c r="K102" s="111" t="s">
        <v>399</v>
      </c>
      <c r="L102" s="104" t="s">
        <v>651</v>
      </c>
      <c r="M102" s="104" t="s">
        <v>3216</v>
      </c>
      <c r="N102" s="104" t="s">
        <v>654</v>
      </c>
      <c r="O102" s="107" t="s">
        <v>653</v>
      </c>
      <c r="P102" s="104" t="s">
        <v>652</v>
      </c>
      <c r="Q102" s="10" t="s">
        <v>651</v>
      </c>
      <c r="R102" s="104" t="s">
        <v>3227</v>
      </c>
      <c r="S102" s="104" t="s">
        <v>650</v>
      </c>
      <c r="T102" s="110">
        <v>12.5</v>
      </c>
      <c r="U102" s="110">
        <v>1200</v>
      </c>
      <c r="V102" s="110">
        <v>2800</v>
      </c>
      <c r="W102" s="106" t="s">
        <v>396</v>
      </c>
      <c r="X102" s="106" t="s">
        <v>396</v>
      </c>
      <c r="Y102" s="109">
        <v>11.8</v>
      </c>
      <c r="Z102" s="108">
        <v>0.25</v>
      </c>
      <c r="AA102" s="106" t="s">
        <v>396</v>
      </c>
      <c r="AB102" s="107" t="s">
        <v>649</v>
      </c>
      <c r="AC102" s="5" t="s">
        <v>648</v>
      </c>
      <c r="AD102" s="5" t="s">
        <v>647</v>
      </c>
      <c r="AE102" s="104">
        <v>10</v>
      </c>
      <c r="AF102" s="106" t="s">
        <v>399</v>
      </c>
      <c r="AG102" s="74">
        <f t="shared" si="2"/>
        <v>0.125</v>
      </c>
      <c r="AH102" s="31" t="s">
        <v>646</v>
      </c>
      <c r="AI102" s="67" t="s">
        <v>645</v>
      </c>
      <c r="AJ102" s="67" t="s">
        <v>644</v>
      </c>
      <c r="AK102" s="10" t="s">
        <v>643</v>
      </c>
      <c r="AL102" s="17">
        <v>5413218564618</v>
      </c>
      <c r="AM102" s="15" t="s">
        <v>643</v>
      </c>
      <c r="AN102" s="5">
        <v>68091100</v>
      </c>
      <c r="AO102" s="6"/>
      <c r="AP102" s="6"/>
      <c r="AQ102" s="6"/>
      <c r="AR102" s="6"/>
      <c r="AS102" s="6"/>
    </row>
    <row r="103" spans="1:45" s="104" customFormat="1" ht="12.75" customHeight="1">
      <c r="A103" s="113" t="s">
        <v>3228</v>
      </c>
      <c r="B103" s="6" t="s">
        <v>396</v>
      </c>
      <c r="C103" s="107" t="s">
        <v>403</v>
      </c>
      <c r="D103" s="6" t="s">
        <v>3225</v>
      </c>
      <c r="E103" s="112" t="s">
        <v>3225</v>
      </c>
      <c r="F103" s="6" t="s">
        <v>3224</v>
      </c>
      <c r="G103" s="6" t="s">
        <v>3217</v>
      </c>
      <c r="H103" s="106" t="s">
        <v>396</v>
      </c>
      <c r="I103" s="106" t="s">
        <v>396</v>
      </c>
      <c r="J103" s="111" t="s">
        <v>399</v>
      </c>
      <c r="K103" s="111" t="s">
        <v>399</v>
      </c>
      <c r="L103" s="104" t="s">
        <v>651</v>
      </c>
      <c r="M103" s="104" t="s">
        <v>3216</v>
      </c>
      <c r="N103" s="104" t="s">
        <v>654</v>
      </c>
      <c r="O103" s="107" t="s">
        <v>653</v>
      </c>
      <c r="P103" s="104" t="s">
        <v>652</v>
      </c>
      <c r="Q103" s="10" t="s">
        <v>651</v>
      </c>
      <c r="R103" s="104" t="s">
        <v>3227</v>
      </c>
      <c r="S103" s="104" t="s">
        <v>650</v>
      </c>
      <c r="T103" s="110">
        <v>12.5</v>
      </c>
      <c r="U103" s="110">
        <v>1200</v>
      </c>
      <c r="V103" s="110">
        <v>2600</v>
      </c>
      <c r="W103" s="106" t="s">
        <v>396</v>
      </c>
      <c r="X103" s="106" t="s">
        <v>396</v>
      </c>
      <c r="Y103" s="109">
        <v>11.8</v>
      </c>
      <c r="Z103" s="108">
        <v>0.25</v>
      </c>
      <c r="AA103" s="106" t="s">
        <v>396</v>
      </c>
      <c r="AB103" s="107" t="s">
        <v>649</v>
      </c>
      <c r="AC103" s="5" t="s">
        <v>648</v>
      </c>
      <c r="AD103" s="5" t="s">
        <v>647</v>
      </c>
      <c r="AE103" s="104">
        <v>10</v>
      </c>
      <c r="AF103" s="106" t="s">
        <v>399</v>
      </c>
      <c r="AG103" s="74">
        <f t="shared" si="2"/>
        <v>0.125</v>
      </c>
      <c r="AH103" s="31" t="s">
        <v>646</v>
      </c>
      <c r="AI103" s="67" t="s">
        <v>645</v>
      </c>
      <c r="AJ103" s="67" t="s">
        <v>644</v>
      </c>
      <c r="AK103" s="10" t="s">
        <v>643</v>
      </c>
      <c r="AL103" s="17">
        <v>5413218564557</v>
      </c>
      <c r="AM103" s="15" t="s">
        <v>643</v>
      </c>
      <c r="AN103" s="5">
        <v>68091100</v>
      </c>
      <c r="AO103" s="6"/>
      <c r="AP103" s="6"/>
      <c r="AQ103" s="6"/>
      <c r="AR103" s="6"/>
      <c r="AS103" s="6"/>
    </row>
    <row r="104" spans="1:45" s="104" customFormat="1" ht="12.75" customHeight="1">
      <c r="A104" s="113" t="s">
        <v>3226</v>
      </c>
      <c r="B104" s="6" t="s">
        <v>396</v>
      </c>
      <c r="C104" s="107" t="s">
        <v>403</v>
      </c>
      <c r="D104" s="6" t="s">
        <v>3225</v>
      </c>
      <c r="E104" s="112" t="s">
        <v>3225</v>
      </c>
      <c r="F104" s="6" t="s">
        <v>3224</v>
      </c>
      <c r="G104" s="6" t="s">
        <v>3217</v>
      </c>
      <c r="H104" s="106" t="s">
        <v>396</v>
      </c>
      <c r="I104" s="106" t="s">
        <v>396</v>
      </c>
      <c r="J104" s="111" t="s">
        <v>399</v>
      </c>
      <c r="K104" s="111" t="s">
        <v>399</v>
      </c>
      <c r="L104" s="104" t="s">
        <v>651</v>
      </c>
      <c r="M104" s="104" t="s">
        <v>3216</v>
      </c>
      <c r="N104" s="104" t="s">
        <v>654</v>
      </c>
      <c r="O104" s="107" t="s">
        <v>653</v>
      </c>
      <c r="P104" s="104" t="s">
        <v>652</v>
      </c>
      <c r="Q104" s="10" t="s">
        <v>651</v>
      </c>
      <c r="R104" s="104" t="s">
        <v>3215</v>
      </c>
      <c r="S104" s="104" t="s">
        <v>650</v>
      </c>
      <c r="T104" s="110">
        <v>15</v>
      </c>
      <c r="U104" s="110">
        <v>1200</v>
      </c>
      <c r="V104" s="110">
        <v>2650</v>
      </c>
      <c r="W104" s="106" t="s">
        <v>396</v>
      </c>
      <c r="X104" s="106" t="s">
        <v>396</v>
      </c>
      <c r="Y104" s="109">
        <v>14.2</v>
      </c>
      <c r="Z104" s="108">
        <v>0.25</v>
      </c>
      <c r="AA104" s="106" t="s">
        <v>396</v>
      </c>
      <c r="AB104" s="107" t="s">
        <v>649</v>
      </c>
      <c r="AC104" s="5" t="s">
        <v>648</v>
      </c>
      <c r="AD104" s="5" t="s">
        <v>647</v>
      </c>
      <c r="AE104" s="104">
        <v>10</v>
      </c>
      <c r="AF104" s="106" t="s">
        <v>399</v>
      </c>
      <c r="AG104" s="74">
        <f t="shared" si="2"/>
        <v>0.15</v>
      </c>
      <c r="AH104" s="31" t="s">
        <v>646</v>
      </c>
      <c r="AI104" s="67" t="s">
        <v>645</v>
      </c>
      <c r="AJ104" s="67" t="s">
        <v>644</v>
      </c>
      <c r="AK104" s="10" t="s">
        <v>643</v>
      </c>
      <c r="AL104" s="17">
        <v>5413218564816</v>
      </c>
      <c r="AM104" s="15" t="s">
        <v>643</v>
      </c>
      <c r="AN104" s="5">
        <v>68091100</v>
      </c>
      <c r="AO104" s="6"/>
      <c r="AP104" s="6"/>
      <c r="AQ104" s="6"/>
      <c r="AR104" s="6"/>
      <c r="AS104" s="6"/>
    </row>
    <row r="105" spans="1:45" s="104" customFormat="1" ht="12.75" customHeight="1">
      <c r="A105" s="113" t="s">
        <v>3223</v>
      </c>
      <c r="B105" s="6" t="s">
        <v>396</v>
      </c>
      <c r="C105" s="107" t="s">
        <v>403</v>
      </c>
      <c r="D105" s="6" t="s">
        <v>3219</v>
      </c>
      <c r="E105" s="112" t="s">
        <v>3219</v>
      </c>
      <c r="F105" s="6" t="s">
        <v>3218</v>
      </c>
      <c r="G105" s="6" t="s">
        <v>3217</v>
      </c>
      <c r="H105" s="106" t="s">
        <v>396</v>
      </c>
      <c r="I105" s="106" t="s">
        <v>396</v>
      </c>
      <c r="J105" s="111" t="s">
        <v>399</v>
      </c>
      <c r="K105" s="111" t="s">
        <v>399</v>
      </c>
      <c r="L105" s="104" t="s">
        <v>651</v>
      </c>
      <c r="M105" s="104" t="s">
        <v>3216</v>
      </c>
      <c r="N105" s="104" t="s">
        <v>654</v>
      </c>
      <c r="O105" s="107" t="s">
        <v>653</v>
      </c>
      <c r="P105" s="104" t="s">
        <v>652</v>
      </c>
      <c r="Q105" s="10" t="s">
        <v>651</v>
      </c>
      <c r="R105" s="104" t="s">
        <v>3215</v>
      </c>
      <c r="S105" s="104" t="s">
        <v>650</v>
      </c>
      <c r="T105" s="110">
        <v>15</v>
      </c>
      <c r="U105" s="110">
        <v>1200</v>
      </c>
      <c r="V105" s="110">
        <v>2650</v>
      </c>
      <c r="W105" s="106" t="s">
        <v>396</v>
      </c>
      <c r="X105" s="106" t="s">
        <v>396</v>
      </c>
      <c r="Y105" s="109">
        <v>14.2</v>
      </c>
      <c r="Z105" s="108">
        <v>0.25</v>
      </c>
      <c r="AA105" s="106" t="s">
        <v>396</v>
      </c>
      <c r="AB105" s="107" t="s">
        <v>649</v>
      </c>
      <c r="AC105" s="5" t="s">
        <v>648</v>
      </c>
      <c r="AD105" s="5" t="s">
        <v>647</v>
      </c>
      <c r="AE105" s="104">
        <v>10</v>
      </c>
      <c r="AF105" s="106" t="s">
        <v>399</v>
      </c>
      <c r="AG105" s="74">
        <f t="shared" si="2"/>
        <v>0.15</v>
      </c>
      <c r="AH105" s="31" t="s">
        <v>646</v>
      </c>
      <c r="AI105" s="67" t="s">
        <v>645</v>
      </c>
      <c r="AJ105" s="67" t="s">
        <v>644</v>
      </c>
      <c r="AK105" s="10" t="s">
        <v>643</v>
      </c>
      <c r="AL105" s="17">
        <v>5413218565974</v>
      </c>
      <c r="AM105" s="15" t="s">
        <v>643</v>
      </c>
      <c r="AN105" s="5">
        <v>68091100</v>
      </c>
      <c r="AO105" s="6"/>
      <c r="AP105" s="6"/>
      <c r="AQ105" s="6"/>
      <c r="AR105" s="6"/>
      <c r="AS105" s="6"/>
    </row>
    <row r="106" spans="1:45" s="104" customFormat="1" ht="12.75" customHeight="1">
      <c r="A106" s="113" t="s">
        <v>3222</v>
      </c>
      <c r="B106" s="6" t="s">
        <v>396</v>
      </c>
      <c r="C106" s="107" t="s">
        <v>403</v>
      </c>
      <c r="D106" s="6" t="s">
        <v>3219</v>
      </c>
      <c r="E106" s="112" t="s">
        <v>3219</v>
      </c>
      <c r="F106" s="6" t="s">
        <v>3218</v>
      </c>
      <c r="G106" s="6" t="s">
        <v>3217</v>
      </c>
      <c r="H106" s="106" t="s">
        <v>396</v>
      </c>
      <c r="I106" s="106" t="s">
        <v>396</v>
      </c>
      <c r="J106" s="111" t="s">
        <v>399</v>
      </c>
      <c r="K106" s="111" t="s">
        <v>399</v>
      </c>
      <c r="L106" s="104" t="s">
        <v>651</v>
      </c>
      <c r="M106" s="104" t="s">
        <v>3216</v>
      </c>
      <c r="N106" s="104" t="s">
        <v>654</v>
      </c>
      <c r="O106" s="107" t="s">
        <v>653</v>
      </c>
      <c r="P106" s="104" t="s">
        <v>652</v>
      </c>
      <c r="Q106" s="10" t="s">
        <v>651</v>
      </c>
      <c r="R106" s="104" t="s">
        <v>3215</v>
      </c>
      <c r="S106" s="104" t="s">
        <v>650</v>
      </c>
      <c r="T106" s="110">
        <v>15</v>
      </c>
      <c r="U106" s="110">
        <v>1200</v>
      </c>
      <c r="V106" s="110">
        <v>2600</v>
      </c>
      <c r="W106" s="106" t="s">
        <v>396</v>
      </c>
      <c r="X106" s="106" t="s">
        <v>396</v>
      </c>
      <c r="Y106" s="109">
        <v>14.2</v>
      </c>
      <c r="Z106" s="108">
        <v>0.25</v>
      </c>
      <c r="AA106" s="106" t="s">
        <v>396</v>
      </c>
      <c r="AB106" s="107" t="s">
        <v>649</v>
      </c>
      <c r="AC106" s="5" t="s">
        <v>648</v>
      </c>
      <c r="AD106" s="5" t="s">
        <v>647</v>
      </c>
      <c r="AE106" s="104">
        <v>10</v>
      </c>
      <c r="AF106" s="106" t="s">
        <v>399</v>
      </c>
      <c r="AG106" s="74">
        <f t="shared" si="2"/>
        <v>0.15</v>
      </c>
      <c r="AH106" s="31" t="s">
        <v>646</v>
      </c>
      <c r="AI106" s="67" t="s">
        <v>645</v>
      </c>
      <c r="AJ106" s="67" t="s">
        <v>644</v>
      </c>
      <c r="AK106" s="10" t="s">
        <v>643</v>
      </c>
      <c r="AL106" s="17">
        <v>5413218566018</v>
      </c>
      <c r="AM106" s="15" t="s">
        <v>643</v>
      </c>
      <c r="AN106" s="5">
        <v>68091100</v>
      </c>
      <c r="AO106" s="6"/>
      <c r="AP106" s="6"/>
      <c r="AQ106" s="6"/>
      <c r="AR106" s="6"/>
      <c r="AS106" s="6"/>
    </row>
    <row r="107" spans="1:45" s="104" customFormat="1" ht="12.75" customHeight="1">
      <c r="A107" s="113" t="s">
        <v>3221</v>
      </c>
      <c r="B107" s="6" t="s">
        <v>396</v>
      </c>
      <c r="C107" s="107" t="s">
        <v>403</v>
      </c>
      <c r="D107" s="6" t="s">
        <v>3219</v>
      </c>
      <c r="E107" s="112" t="s">
        <v>3219</v>
      </c>
      <c r="F107" s="6" t="s">
        <v>3218</v>
      </c>
      <c r="G107" s="6" t="s">
        <v>3217</v>
      </c>
      <c r="H107" s="106" t="s">
        <v>396</v>
      </c>
      <c r="I107" s="106" t="s">
        <v>396</v>
      </c>
      <c r="J107" s="111" t="s">
        <v>399</v>
      </c>
      <c r="K107" s="111" t="s">
        <v>399</v>
      </c>
      <c r="L107" s="104" t="s">
        <v>651</v>
      </c>
      <c r="M107" s="104" t="s">
        <v>3216</v>
      </c>
      <c r="N107" s="104" t="s">
        <v>654</v>
      </c>
      <c r="O107" s="107" t="s">
        <v>653</v>
      </c>
      <c r="P107" s="104" t="s">
        <v>652</v>
      </c>
      <c r="Q107" s="10" t="s">
        <v>651</v>
      </c>
      <c r="R107" s="104" t="s">
        <v>3215</v>
      </c>
      <c r="S107" s="104" t="s">
        <v>650</v>
      </c>
      <c r="T107" s="110">
        <v>15</v>
      </c>
      <c r="U107" s="110">
        <v>1200</v>
      </c>
      <c r="V107" s="110">
        <v>2800</v>
      </c>
      <c r="W107" s="106" t="s">
        <v>396</v>
      </c>
      <c r="X107" s="106" t="s">
        <v>396</v>
      </c>
      <c r="Y107" s="109">
        <v>14.2</v>
      </c>
      <c r="Z107" s="108">
        <v>0.25</v>
      </c>
      <c r="AA107" s="106" t="s">
        <v>396</v>
      </c>
      <c r="AB107" s="107" t="s">
        <v>649</v>
      </c>
      <c r="AC107" s="5" t="s">
        <v>648</v>
      </c>
      <c r="AD107" s="5" t="s">
        <v>647</v>
      </c>
      <c r="AE107" s="104">
        <v>10</v>
      </c>
      <c r="AF107" s="106" t="s">
        <v>399</v>
      </c>
      <c r="AG107" s="74">
        <f t="shared" si="2"/>
        <v>0.15</v>
      </c>
      <c r="AH107" s="31" t="s">
        <v>646</v>
      </c>
      <c r="AI107" s="67" t="s">
        <v>645</v>
      </c>
      <c r="AJ107" s="67" t="s">
        <v>644</v>
      </c>
      <c r="AK107" s="10" t="s">
        <v>643</v>
      </c>
      <c r="AL107" s="17">
        <v>5413218568517</v>
      </c>
      <c r="AM107" s="15" t="s">
        <v>643</v>
      </c>
      <c r="AN107" s="5">
        <v>68091100</v>
      </c>
      <c r="AO107" s="6"/>
      <c r="AP107" s="6"/>
      <c r="AQ107" s="6"/>
      <c r="AR107" s="6"/>
      <c r="AS107" s="6"/>
    </row>
    <row r="108" spans="1:45" s="104" customFormat="1" ht="12.75" customHeight="1">
      <c r="A108" s="113" t="s">
        <v>3220</v>
      </c>
      <c r="B108" s="6" t="s">
        <v>396</v>
      </c>
      <c r="C108" s="107" t="s">
        <v>403</v>
      </c>
      <c r="D108" s="6" t="s">
        <v>3219</v>
      </c>
      <c r="E108" s="112" t="s">
        <v>3219</v>
      </c>
      <c r="F108" s="6" t="s">
        <v>3218</v>
      </c>
      <c r="G108" s="6" t="s">
        <v>3217</v>
      </c>
      <c r="H108" s="106" t="s">
        <v>396</v>
      </c>
      <c r="I108" s="106" t="s">
        <v>396</v>
      </c>
      <c r="J108" s="111" t="s">
        <v>399</v>
      </c>
      <c r="K108" s="111" t="s">
        <v>399</v>
      </c>
      <c r="L108" s="104" t="s">
        <v>651</v>
      </c>
      <c r="M108" s="104" t="s">
        <v>3216</v>
      </c>
      <c r="N108" s="104" t="s">
        <v>654</v>
      </c>
      <c r="O108" s="107" t="s">
        <v>653</v>
      </c>
      <c r="P108" s="104" t="s">
        <v>652</v>
      </c>
      <c r="Q108" s="10" t="s">
        <v>651</v>
      </c>
      <c r="R108" s="104" t="s">
        <v>3215</v>
      </c>
      <c r="S108" s="104" t="s">
        <v>650</v>
      </c>
      <c r="T108" s="110">
        <v>15</v>
      </c>
      <c r="U108" s="110">
        <v>1200</v>
      </c>
      <c r="V108" s="110">
        <v>3000</v>
      </c>
      <c r="W108" s="106" t="s">
        <v>396</v>
      </c>
      <c r="X108" s="106" t="s">
        <v>396</v>
      </c>
      <c r="Y108" s="109">
        <v>14.2</v>
      </c>
      <c r="Z108" s="108">
        <v>0.25</v>
      </c>
      <c r="AA108" s="106" t="s">
        <v>396</v>
      </c>
      <c r="AB108" s="107" t="s">
        <v>649</v>
      </c>
      <c r="AC108" s="5" t="s">
        <v>648</v>
      </c>
      <c r="AD108" s="5" t="s">
        <v>647</v>
      </c>
      <c r="AE108" s="104">
        <v>10</v>
      </c>
      <c r="AF108" s="106" t="s">
        <v>399</v>
      </c>
      <c r="AG108" s="74">
        <f t="shared" si="2"/>
        <v>0.15</v>
      </c>
      <c r="AH108" s="31" t="s">
        <v>646</v>
      </c>
      <c r="AI108" s="67" t="s">
        <v>645</v>
      </c>
      <c r="AJ108" s="67" t="s">
        <v>644</v>
      </c>
      <c r="AK108" s="10" t="s">
        <v>643</v>
      </c>
      <c r="AL108" s="17">
        <v>5413218584067</v>
      </c>
      <c r="AM108" s="105" t="s">
        <v>643</v>
      </c>
      <c r="AN108" s="5">
        <v>68091100</v>
      </c>
      <c r="AO108" s="6"/>
      <c r="AP108" s="6"/>
      <c r="AQ108" s="6"/>
      <c r="AR108" s="6"/>
      <c r="AS108" s="6"/>
    </row>
    <row r="109" spans="1:45" ht="12.75" customHeight="1">
      <c r="A109" s="77" t="s">
        <v>3214</v>
      </c>
      <c r="B109" s="6" t="s">
        <v>396</v>
      </c>
      <c r="C109" s="31" t="s">
        <v>403</v>
      </c>
      <c r="D109" s="5" t="s">
        <v>3195</v>
      </c>
      <c r="E109" s="77" t="s">
        <v>3195</v>
      </c>
      <c r="F109" s="6" t="s">
        <v>3197</v>
      </c>
      <c r="G109" s="6" t="s">
        <v>3196</v>
      </c>
      <c r="H109" s="67" t="s">
        <v>396</v>
      </c>
      <c r="I109" s="67" t="s">
        <v>396</v>
      </c>
      <c r="J109" s="77" t="s">
        <v>3195</v>
      </c>
      <c r="K109" s="77" t="s">
        <v>3195</v>
      </c>
      <c r="L109" s="10" t="s">
        <v>651</v>
      </c>
      <c r="M109" s="10" t="s">
        <v>655</v>
      </c>
      <c r="N109" s="10" t="s">
        <v>654</v>
      </c>
      <c r="O109" s="31" t="s">
        <v>653</v>
      </c>
      <c r="P109" s="10" t="s">
        <v>652</v>
      </c>
      <c r="Q109" s="10" t="s">
        <v>651</v>
      </c>
      <c r="R109" s="10" t="s">
        <v>3194</v>
      </c>
      <c r="S109" s="5" t="s">
        <v>3178</v>
      </c>
      <c r="T109" s="76">
        <v>9.5</v>
      </c>
      <c r="U109" s="76">
        <v>600</v>
      </c>
      <c r="V109" s="76">
        <v>2600</v>
      </c>
      <c r="W109" s="67" t="s">
        <v>396</v>
      </c>
      <c r="X109" s="67" t="s">
        <v>396</v>
      </c>
      <c r="Y109" s="53">
        <v>6.8</v>
      </c>
      <c r="Z109" s="75">
        <v>0.25</v>
      </c>
      <c r="AA109" s="67" t="s">
        <v>396</v>
      </c>
      <c r="AB109" s="31" t="s">
        <v>649</v>
      </c>
      <c r="AC109" s="5" t="s">
        <v>648</v>
      </c>
      <c r="AD109" s="5" t="s">
        <v>647</v>
      </c>
      <c r="AE109" s="10">
        <v>10</v>
      </c>
      <c r="AF109" s="67" t="s">
        <v>399</v>
      </c>
      <c r="AG109" s="74">
        <f t="shared" si="2"/>
        <v>9.5000000000000001E-2</v>
      </c>
      <c r="AH109" s="31" t="s">
        <v>646</v>
      </c>
      <c r="AI109" s="67" t="s">
        <v>645</v>
      </c>
      <c r="AJ109" s="67" t="s">
        <v>644</v>
      </c>
      <c r="AK109" s="10" t="s">
        <v>643</v>
      </c>
      <c r="AL109" s="17">
        <v>5413218002004</v>
      </c>
      <c r="AM109" s="15" t="s">
        <v>643</v>
      </c>
      <c r="AN109" s="5">
        <v>68091100</v>
      </c>
      <c r="AO109" s="6" t="s">
        <v>3193</v>
      </c>
      <c r="AP109" s="6" t="s">
        <v>3192</v>
      </c>
      <c r="AQ109" s="6" t="s">
        <v>3213</v>
      </c>
      <c r="AR109" s="6" t="s">
        <v>3212</v>
      </c>
      <c r="AS109" s="6" t="s">
        <v>3211</v>
      </c>
    </row>
    <row r="110" spans="1:45" ht="12.75" customHeight="1">
      <c r="A110" s="77" t="s">
        <v>3210</v>
      </c>
      <c r="B110" s="6" t="s">
        <v>396</v>
      </c>
      <c r="C110" s="31" t="s">
        <v>403</v>
      </c>
      <c r="D110" s="5" t="s">
        <v>3195</v>
      </c>
      <c r="E110" s="77" t="s">
        <v>3195</v>
      </c>
      <c r="F110" s="6" t="s">
        <v>3197</v>
      </c>
      <c r="G110" s="6" t="s">
        <v>3196</v>
      </c>
      <c r="H110" s="67" t="s">
        <v>396</v>
      </c>
      <c r="I110" s="67" t="s">
        <v>396</v>
      </c>
      <c r="J110" s="77" t="s">
        <v>3195</v>
      </c>
      <c r="K110" s="77" t="s">
        <v>3195</v>
      </c>
      <c r="L110" s="10" t="s">
        <v>651</v>
      </c>
      <c r="M110" s="10" t="s">
        <v>655</v>
      </c>
      <c r="N110" s="10" t="s">
        <v>654</v>
      </c>
      <c r="O110" s="31" t="s">
        <v>653</v>
      </c>
      <c r="P110" s="10" t="s">
        <v>652</v>
      </c>
      <c r="Q110" s="10" t="s">
        <v>651</v>
      </c>
      <c r="R110" s="10" t="s">
        <v>3194</v>
      </c>
      <c r="S110" s="5" t="s">
        <v>3178</v>
      </c>
      <c r="T110" s="76">
        <v>9.5</v>
      </c>
      <c r="U110" s="76">
        <v>600</v>
      </c>
      <c r="V110" s="76">
        <v>3000</v>
      </c>
      <c r="W110" s="67" t="s">
        <v>396</v>
      </c>
      <c r="X110" s="67" t="s">
        <v>396</v>
      </c>
      <c r="Y110" s="53">
        <v>6.8</v>
      </c>
      <c r="Z110" s="75">
        <v>0.25</v>
      </c>
      <c r="AA110" s="67" t="s">
        <v>396</v>
      </c>
      <c r="AB110" s="31" t="s">
        <v>649</v>
      </c>
      <c r="AC110" s="5" t="s">
        <v>648</v>
      </c>
      <c r="AD110" s="5" t="s">
        <v>647</v>
      </c>
      <c r="AE110" s="10">
        <v>10</v>
      </c>
      <c r="AF110" s="67" t="s">
        <v>399</v>
      </c>
      <c r="AG110" s="74">
        <f t="shared" si="2"/>
        <v>9.5000000000000001E-2</v>
      </c>
      <c r="AH110" s="31" t="s">
        <v>646</v>
      </c>
      <c r="AI110" s="67" t="s">
        <v>645</v>
      </c>
      <c r="AJ110" s="67" t="s">
        <v>644</v>
      </c>
      <c r="AK110" s="10" t="s">
        <v>643</v>
      </c>
      <c r="AL110" s="17">
        <v>5413218002011</v>
      </c>
      <c r="AM110" s="15" t="s">
        <v>643</v>
      </c>
      <c r="AN110" s="5">
        <v>68091100</v>
      </c>
      <c r="AO110" s="6" t="s">
        <v>3193</v>
      </c>
      <c r="AP110" s="6" t="s">
        <v>3192</v>
      </c>
      <c r="AQ110" s="6" t="s">
        <v>3209</v>
      </c>
      <c r="AR110" s="6" t="s">
        <v>3208</v>
      </c>
      <c r="AS110" s="6" t="s">
        <v>3207</v>
      </c>
    </row>
    <row r="111" spans="1:45" ht="12.75" customHeight="1">
      <c r="A111" s="77" t="s">
        <v>3206</v>
      </c>
      <c r="B111" s="6" t="s">
        <v>396</v>
      </c>
      <c r="C111" s="31" t="s">
        <v>403</v>
      </c>
      <c r="D111" s="5" t="s">
        <v>3195</v>
      </c>
      <c r="E111" s="77" t="s">
        <v>3195</v>
      </c>
      <c r="F111" s="6" t="s">
        <v>3197</v>
      </c>
      <c r="G111" s="6" t="s">
        <v>3196</v>
      </c>
      <c r="H111" s="67" t="s">
        <v>396</v>
      </c>
      <c r="I111" s="67" t="s">
        <v>396</v>
      </c>
      <c r="J111" s="77" t="s">
        <v>3195</v>
      </c>
      <c r="K111" s="77" t="s">
        <v>3195</v>
      </c>
      <c r="L111" s="10" t="s">
        <v>651</v>
      </c>
      <c r="M111" s="10" t="s">
        <v>655</v>
      </c>
      <c r="N111" s="10" t="s">
        <v>654</v>
      </c>
      <c r="O111" s="31" t="s">
        <v>653</v>
      </c>
      <c r="P111" s="10" t="s">
        <v>652</v>
      </c>
      <c r="Q111" s="10" t="s">
        <v>651</v>
      </c>
      <c r="R111" s="10" t="s">
        <v>3194</v>
      </c>
      <c r="S111" s="5" t="s">
        <v>3178</v>
      </c>
      <c r="T111" s="76">
        <v>9.5</v>
      </c>
      <c r="U111" s="76">
        <v>600</v>
      </c>
      <c r="V111" s="76">
        <v>3600</v>
      </c>
      <c r="W111" s="67" t="s">
        <v>396</v>
      </c>
      <c r="X111" s="67" t="s">
        <v>396</v>
      </c>
      <c r="Y111" s="53">
        <v>6.8</v>
      </c>
      <c r="Z111" s="75">
        <v>0.25</v>
      </c>
      <c r="AA111" s="67" t="s">
        <v>396</v>
      </c>
      <c r="AB111" s="31" t="s">
        <v>649</v>
      </c>
      <c r="AC111" s="5" t="s">
        <v>648</v>
      </c>
      <c r="AD111" s="5" t="s">
        <v>647</v>
      </c>
      <c r="AE111" s="10">
        <v>10</v>
      </c>
      <c r="AF111" s="67" t="s">
        <v>399</v>
      </c>
      <c r="AG111" s="74">
        <f t="shared" si="2"/>
        <v>9.5000000000000001E-2</v>
      </c>
      <c r="AH111" s="31" t="s">
        <v>646</v>
      </c>
      <c r="AI111" s="67" t="s">
        <v>645</v>
      </c>
      <c r="AJ111" s="67" t="s">
        <v>644</v>
      </c>
      <c r="AK111" s="10" t="s">
        <v>643</v>
      </c>
      <c r="AL111" s="17">
        <v>5413218002028</v>
      </c>
      <c r="AM111" s="15" t="s">
        <v>643</v>
      </c>
      <c r="AN111" s="5">
        <v>68091100</v>
      </c>
      <c r="AO111" s="6" t="s">
        <v>3193</v>
      </c>
      <c r="AP111" s="6" t="s">
        <v>3192</v>
      </c>
      <c r="AQ111" s="6" t="s">
        <v>3205</v>
      </c>
      <c r="AR111" s="6" t="s">
        <v>3204</v>
      </c>
      <c r="AS111" s="6" t="s">
        <v>3203</v>
      </c>
    </row>
    <row r="112" spans="1:45" ht="12.75" customHeight="1">
      <c r="A112" s="77" t="s">
        <v>3202</v>
      </c>
      <c r="B112" s="6" t="s">
        <v>396</v>
      </c>
      <c r="C112" s="31" t="s">
        <v>403</v>
      </c>
      <c r="D112" s="5" t="s">
        <v>3195</v>
      </c>
      <c r="E112" s="77" t="s">
        <v>3195</v>
      </c>
      <c r="F112" s="6" t="s">
        <v>3197</v>
      </c>
      <c r="G112" s="6" t="s">
        <v>3196</v>
      </c>
      <c r="H112" s="67" t="s">
        <v>396</v>
      </c>
      <c r="I112" s="67" t="s">
        <v>396</v>
      </c>
      <c r="J112" s="77" t="s">
        <v>3195</v>
      </c>
      <c r="K112" s="77" t="s">
        <v>3195</v>
      </c>
      <c r="L112" s="10" t="s">
        <v>651</v>
      </c>
      <c r="M112" s="10" t="s">
        <v>655</v>
      </c>
      <c r="N112" s="10" t="s">
        <v>654</v>
      </c>
      <c r="O112" s="31" t="s">
        <v>653</v>
      </c>
      <c r="P112" s="10" t="s">
        <v>652</v>
      </c>
      <c r="Q112" s="10" t="s">
        <v>651</v>
      </c>
      <c r="R112" s="10" t="s">
        <v>3194</v>
      </c>
      <c r="S112" s="5" t="s">
        <v>3178</v>
      </c>
      <c r="T112" s="76">
        <v>9.5</v>
      </c>
      <c r="U112" s="76">
        <v>600</v>
      </c>
      <c r="V112" s="76">
        <v>4200</v>
      </c>
      <c r="W112" s="67" t="s">
        <v>396</v>
      </c>
      <c r="X112" s="67" t="s">
        <v>396</v>
      </c>
      <c r="Y112" s="53">
        <v>6.8</v>
      </c>
      <c r="Z112" s="75">
        <v>0.25</v>
      </c>
      <c r="AA112" s="67" t="s">
        <v>396</v>
      </c>
      <c r="AB112" s="31" t="s">
        <v>649</v>
      </c>
      <c r="AC112" s="5" t="s">
        <v>648</v>
      </c>
      <c r="AD112" s="5" t="s">
        <v>647</v>
      </c>
      <c r="AE112" s="10">
        <v>10</v>
      </c>
      <c r="AF112" s="67" t="s">
        <v>399</v>
      </c>
      <c r="AG112" s="74">
        <f t="shared" si="2"/>
        <v>9.5000000000000001E-2</v>
      </c>
      <c r="AH112" s="31" t="s">
        <v>646</v>
      </c>
      <c r="AI112" s="67" t="s">
        <v>645</v>
      </c>
      <c r="AJ112" s="67" t="s">
        <v>644</v>
      </c>
      <c r="AK112" s="10" t="s">
        <v>643</v>
      </c>
      <c r="AL112" s="17">
        <v>5413218002035</v>
      </c>
      <c r="AM112" s="15" t="s">
        <v>643</v>
      </c>
      <c r="AN112" s="5">
        <v>68091100</v>
      </c>
      <c r="AO112" s="6" t="s">
        <v>3193</v>
      </c>
      <c r="AP112" s="6" t="s">
        <v>3192</v>
      </c>
      <c r="AQ112" s="6" t="s">
        <v>3201</v>
      </c>
      <c r="AR112" s="6" t="s">
        <v>3200</v>
      </c>
      <c r="AS112" s="6" t="s">
        <v>3199</v>
      </c>
    </row>
    <row r="113" spans="1:45" ht="12.75" customHeight="1">
      <c r="A113" s="77" t="s">
        <v>3198</v>
      </c>
      <c r="B113" s="6" t="s">
        <v>396</v>
      </c>
      <c r="C113" s="31" t="s">
        <v>403</v>
      </c>
      <c r="D113" s="5" t="s">
        <v>3195</v>
      </c>
      <c r="E113" s="77" t="s">
        <v>3195</v>
      </c>
      <c r="F113" s="6" t="s">
        <v>3197</v>
      </c>
      <c r="G113" s="6" t="s">
        <v>3196</v>
      </c>
      <c r="H113" s="67" t="s">
        <v>396</v>
      </c>
      <c r="I113" s="67" t="s">
        <v>396</v>
      </c>
      <c r="J113" s="77" t="s">
        <v>3195</v>
      </c>
      <c r="K113" s="77" t="s">
        <v>3195</v>
      </c>
      <c r="L113" s="10" t="s">
        <v>651</v>
      </c>
      <c r="M113" s="10" t="s">
        <v>655</v>
      </c>
      <c r="N113" s="10" t="s">
        <v>654</v>
      </c>
      <c r="O113" s="31" t="s">
        <v>653</v>
      </c>
      <c r="P113" s="10" t="s">
        <v>652</v>
      </c>
      <c r="Q113" s="10" t="s">
        <v>651</v>
      </c>
      <c r="R113" s="10" t="s">
        <v>3194</v>
      </c>
      <c r="S113" s="5" t="s">
        <v>3178</v>
      </c>
      <c r="T113" s="76">
        <v>9.5</v>
      </c>
      <c r="U113" s="76">
        <v>600</v>
      </c>
      <c r="V113" s="76">
        <v>4800</v>
      </c>
      <c r="W113" s="67" t="s">
        <v>396</v>
      </c>
      <c r="X113" s="67" t="s">
        <v>396</v>
      </c>
      <c r="Y113" s="53">
        <v>6.8</v>
      </c>
      <c r="Z113" s="75">
        <v>0.25</v>
      </c>
      <c r="AA113" s="67" t="s">
        <v>396</v>
      </c>
      <c r="AB113" s="31" t="s">
        <v>649</v>
      </c>
      <c r="AC113" s="5" t="s">
        <v>648</v>
      </c>
      <c r="AD113" s="5" t="s">
        <v>647</v>
      </c>
      <c r="AE113" s="10">
        <v>10</v>
      </c>
      <c r="AF113" s="67" t="s">
        <v>399</v>
      </c>
      <c r="AG113" s="74">
        <f t="shared" si="2"/>
        <v>9.5000000000000001E-2</v>
      </c>
      <c r="AH113" s="31" t="s">
        <v>646</v>
      </c>
      <c r="AI113" s="67" t="s">
        <v>645</v>
      </c>
      <c r="AJ113" s="67" t="s">
        <v>644</v>
      </c>
      <c r="AK113" s="10" t="s">
        <v>643</v>
      </c>
      <c r="AL113" s="17">
        <v>5413218000352</v>
      </c>
      <c r="AM113" s="15" t="s">
        <v>643</v>
      </c>
      <c r="AN113" s="5">
        <v>68091100</v>
      </c>
      <c r="AO113" s="6" t="s">
        <v>3193</v>
      </c>
      <c r="AP113" s="6" t="s">
        <v>3192</v>
      </c>
      <c r="AQ113" s="6" t="s">
        <v>3191</v>
      </c>
      <c r="AR113" s="6" t="s">
        <v>3190</v>
      </c>
      <c r="AS113" s="6" t="s">
        <v>3189</v>
      </c>
    </row>
    <row r="114" spans="1:45" ht="12.75" customHeight="1">
      <c r="A114" s="77" t="s">
        <v>3188</v>
      </c>
      <c r="B114" s="6" t="s">
        <v>396</v>
      </c>
      <c r="C114" s="31" t="s">
        <v>403</v>
      </c>
      <c r="D114" s="5" t="s">
        <v>3181</v>
      </c>
      <c r="E114" s="77" t="s">
        <v>3181</v>
      </c>
      <c r="F114" s="6" t="s">
        <v>3183</v>
      </c>
      <c r="G114" s="6" t="s">
        <v>3182</v>
      </c>
      <c r="H114" s="67" t="s">
        <v>396</v>
      </c>
      <c r="I114" s="67" t="s">
        <v>396</v>
      </c>
      <c r="J114" s="77" t="s">
        <v>3181</v>
      </c>
      <c r="K114" s="77" t="s">
        <v>3181</v>
      </c>
      <c r="L114" s="10" t="s">
        <v>651</v>
      </c>
      <c r="M114" s="10" t="s">
        <v>3180</v>
      </c>
      <c r="N114" s="10" t="s">
        <v>654</v>
      </c>
      <c r="O114" s="31" t="s">
        <v>653</v>
      </c>
      <c r="P114" s="10" t="s">
        <v>652</v>
      </c>
      <c r="Q114" s="10" t="s">
        <v>651</v>
      </c>
      <c r="R114" s="10" t="s">
        <v>3179</v>
      </c>
      <c r="S114" s="5" t="s">
        <v>3178</v>
      </c>
      <c r="T114" s="76">
        <v>9.5</v>
      </c>
      <c r="U114" s="76">
        <v>400</v>
      </c>
      <c r="V114" s="76">
        <v>2000</v>
      </c>
      <c r="W114" s="67" t="s">
        <v>396</v>
      </c>
      <c r="X114" s="67" t="s">
        <v>396</v>
      </c>
      <c r="Y114" s="13">
        <v>6.8</v>
      </c>
      <c r="Z114" s="75">
        <v>0.25</v>
      </c>
      <c r="AA114" s="67" t="s">
        <v>396</v>
      </c>
      <c r="AB114" s="31" t="s">
        <v>649</v>
      </c>
      <c r="AC114" s="5" t="s">
        <v>648</v>
      </c>
      <c r="AD114" s="5" t="s">
        <v>647</v>
      </c>
      <c r="AE114" s="10">
        <v>10</v>
      </c>
      <c r="AF114" s="67" t="s">
        <v>399</v>
      </c>
      <c r="AG114" s="74">
        <f t="shared" si="2"/>
        <v>9.5000000000000001E-2</v>
      </c>
      <c r="AH114" s="31" t="s">
        <v>646</v>
      </c>
      <c r="AI114" s="67" t="s">
        <v>645</v>
      </c>
      <c r="AJ114" s="67" t="s">
        <v>644</v>
      </c>
      <c r="AK114" s="10" t="s">
        <v>643</v>
      </c>
      <c r="AL114" s="17">
        <v>4002806121633</v>
      </c>
      <c r="AM114" s="15" t="s">
        <v>643</v>
      </c>
      <c r="AN114" s="5">
        <v>68091100</v>
      </c>
      <c r="AO114" s="6" t="s">
        <v>3177</v>
      </c>
      <c r="AP114" s="6" t="s">
        <v>3176</v>
      </c>
      <c r="AQ114" s="6" t="s">
        <v>3187</v>
      </c>
      <c r="AR114" s="6" t="s">
        <v>3186</v>
      </c>
      <c r="AS114" s="6" t="s">
        <v>3185</v>
      </c>
    </row>
    <row r="115" spans="1:45" ht="12.75" customHeight="1">
      <c r="A115" s="77" t="s">
        <v>3184</v>
      </c>
      <c r="B115" s="6" t="s">
        <v>396</v>
      </c>
      <c r="C115" s="31" t="s">
        <v>403</v>
      </c>
      <c r="D115" s="5" t="s">
        <v>3181</v>
      </c>
      <c r="E115" s="77" t="s">
        <v>3181</v>
      </c>
      <c r="F115" s="6" t="s">
        <v>3183</v>
      </c>
      <c r="G115" s="6" t="s">
        <v>3182</v>
      </c>
      <c r="H115" s="67" t="s">
        <v>396</v>
      </c>
      <c r="I115" s="67" t="s">
        <v>396</v>
      </c>
      <c r="J115" s="77" t="s">
        <v>3181</v>
      </c>
      <c r="K115" s="77" t="s">
        <v>3181</v>
      </c>
      <c r="L115" s="10" t="s">
        <v>651</v>
      </c>
      <c r="M115" s="10" t="s">
        <v>3180</v>
      </c>
      <c r="N115" s="10" t="s">
        <v>654</v>
      </c>
      <c r="O115" s="31" t="s">
        <v>653</v>
      </c>
      <c r="P115" s="10" t="s">
        <v>652</v>
      </c>
      <c r="Q115" s="10" t="s">
        <v>651</v>
      </c>
      <c r="R115" s="10" t="s">
        <v>3179</v>
      </c>
      <c r="S115" s="5" t="s">
        <v>3178</v>
      </c>
      <c r="T115" s="76">
        <v>9.5</v>
      </c>
      <c r="U115" s="76">
        <v>600</v>
      </c>
      <c r="V115" s="76">
        <v>2000</v>
      </c>
      <c r="W115" s="67" t="s">
        <v>396</v>
      </c>
      <c r="X115" s="67" t="s">
        <v>396</v>
      </c>
      <c r="Y115" s="13">
        <v>8.1</v>
      </c>
      <c r="Z115" s="75">
        <v>0.25</v>
      </c>
      <c r="AA115" s="67" t="s">
        <v>396</v>
      </c>
      <c r="AB115" s="31" t="s">
        <v>649</v>
      </c>
      <c r="AC115" s="5" t="s">
        <v>648</v>
      </c>
      <c r="AD115" s="5" t="s">
        <v>647</v>
      </c>
      <c r="AE115" s="10">
        <v>10</v>
      </c>
      <c r="AF115" s="67" t="s">
        <v>399</v>
      </c>
      <c r="AG115" s="74">
        <f t="shared" si="2"/>
        <v>9.5000000000000001E-2</v>
      </c>
      <c r="AH115" s="31" t="s">
        <v>646</v>
      </c>
      <c r="AI115" s="67" t="s">
        <v>645</v>
      </c>
      <c r="AJ115" s="67" t="s">
        <v>644</v>
      </c>
      <c r="AK115" s="10" t="s">
        <v>643</v>
      </c>
      <c r="AL115" s="17">
        <v>5413218000376</v>
      </c>
      <c r="AM115" s="15" t="s">
        <v>643</v>
      </c>
      <c r="AN115" s="5">
        <v>68091100</v>
      </c>
      <c r="AO115" s="6" t="s">
        <v>3177</v>
      </c>
      <c r="AP115" s="6" t="s">
        <v>3176</v>
      </c>
      <c r="AQ115" s="6" t="s">
        <v>3175</v>
      </c>
      <c r="AR115" s="6" t="s">
        <v>3174</v>
      </c>
      <c r="AS115" s="6" t="s">
        <v>3173</v>
      </c>
    </row>
    <row r="116" spans="1:45" ht="12.75" customHeight="1">
      <c r="A116" s="77" t="s">
        <v>3172</v>
      </c>
      <c r="B116" s="6" t="s">
        <v>396</v>
      </c>
      <c r="C116" s="31" t="s">
        <v>403</v>
      </c>
      <c r="D116" s="5" t="s">
        <v>3163</v>
      </c>
      <c r="E116" s="77" t="s">
        <v>3163</v>
      </c>
      <c r="F116" s="6" t="s">
        <v>3162</v>
      </c>
      <c r="G116" s="6" t="s">
        <v>3161</v>
      </c>
      <c r="H116" s="67" t="s">
        <v>396</v>
      </c>
      <c r="I116" s="67" t="s">
        <v>396</v>
      </c>
      <c r="J116" s="77" t="s">
        <v>3160</v>
      </c>
      <c r="K116" s="77" t="s">
        <v>3160</v>
      </c>
      <c r="L116" s="67" t="s">
        <v>2068</v>
      </c>
      <c r="M116" s="10" t="s">
        <v>655</v>
      </c>
      <c r="N116" s="10" t="s">
        <v>3159</v>
      </c>
      <c r="O116" s="10" t="s">
        <v>3158</v>
      </c>
      <c r="P116" s="56"/>
      <c r="Q116" s="56"/>
      <c r="R116" s="56" t="s">
        <v>3157</v>
      </c>
      <c r="S116" s="5" t="s">
        <v>650</v>
      </c>
      <c r="T116" s="76">
        <v>12.5</v>
      </c>
      <c r="U116" s="76">
        <v>600</v>
      </c>
      <c r="V116" s="76">
        <v>2600</v>
      </c>
      <c r="W116" s="67" t="s">
        <v>396</v>
      </c>
      <c r="X116" s="103">
        <v>13.5</v>
      </c>
      <c r="Y116" s="54"/>
      <c r="Z116" s="55">
        <v>0.25</v>
      </c>
      <c r="AA116" s="67" t="s">
        <v>396</v>
      </c>
      <c r="AB116" s="31" t="s">
        <v>649</v>
      </c>
      <c r="AC116" s="5" t="s">
        <v>648</v>
      </c>
      <c r="AD116" s="5" t="s">
        <v>647</v>
      </c>
      <c r="AE116" s="10">
        <v>740</v>
      </c>
      <c r="AF116" s="67" t="s">
        <v>399</v>
      </c>
      <c r="AG116" s="74">
        <v>9.25</v>
      </c>
      <c r="AH116" s="31" t="s">
        <v>646</v>
      </c>
      <c r="AI116" s="67" t="s">
        <v>645</v>
      </c>
      <c r="AJ116" s="67" t="s">
        <v>644</v>
      </c>
      <c r="AK116" s="10" t="s">
        <v>643</v>
      </c>
      <c r="AL116" s="17">
        <v>5413218564182</v>
      </c>
      <c r="AM116" s="15" t="s">
        <v>643</v>
      </c>
      <c r="AN116" s="5">
        <v>68091900</v>
      </c>
      <c r="AO116" s="6" t="s">
        <v>3156</v>
      </c>
      <c r="AP116" s="6" t="s">
        <v>3155</v>
      </c>
      <c r="AQ116" s="6" t="s">
        <v>3171</v>
      </c>
      <c r="AR116" s="6" t="s">
        <v>3170</v>
      </c>
      <c r="AS116" s="6" t="s">
        <v>3169</v>
      </c>
    </row>
    <row r="117" spans="1:45" ht="12.75" customHeight="1">
      <c r="A117" s="77" t="s">
        <v>3168</v>
      </c>
      <c r="B117" s="6" t="s">
        <v>396</v>
      </c>
      <c r="C117" s="31" t="s">
        <v>403</v>
      </c>
      <c r="D117" s="5" t="s">
        <v>3163</v>
      </c>
      <c r="E117" s="77" t="s">
        <v>3163</v>
      </c>
      <c r="F117" s="6" t="s">
        <v>3162</v>
      </c>
      <c r="G117" s="6" t="s">
        <v>3161</v>
      </c>
      <c r="H117" s="67" t="s">
        <v>396</v>
      </c>
      <c r="I117" s="67" t="s">
        <v>396</v>
      </c>
      <c r="J117" s="77" t="s">
        <v>3160</v>
      </c>
      <c r="K117" s="77" t="s">
        <v>3160</v>
      </c>
      <c r="L117" s="67" t="s">
        <v>2068</v>
      </c>
      <c r="M117" s="10" t="s">
        <v>655</v>
      </c>
      <c r="N117" s="10" t="s">
        <v>3159</v>
      </c>
      <c r="O117" s="10" t="s">
        <v>3158</v>
      </c>
      <c r="P117" s="56"/>
      <c r="Q117" s="56"/>
      <c r="R117" s="56" t="s">
        <v>3157</v>
      </c>
      <c r="S117" s="5" t="s">
        <v>650</v>
      </c>
      <c r="T117" s="76">
        <v>12.5</v>
      </c>
      <c r="U117" s="76">
        <v>600</v>
      </c>
      <c r="V117" s="76">
        <v>2600</v>
      </c>
      <c r="W117" s="67" t="s">
        <v>396</v>
      </c>
      <c r="X117" s="103">
        <v>14.5</v>
      </c>
      <c r="Y117" s="54"/>
      <c r="Z117" s="55">
        <v>0.25</v>
      </c>
      <c r="AA117" s="67" t="s">
        <v>396</v>
      </c>
      <c r="AB117" s="31" t="s">
        <v>649</v>
      </c>
      <c r="AC117" s="5" t="s">
        <v>648</v>
      </c>
      <c r="AD117" s="5" t="s">
        <v>647</v>
      </c>
      <c r="AE117" s="10">
        <v>740</v>
      </c>
      <c r="AF117" s="67" t="s">
        <v>399</v>
      </c>
      <c r="AG117" s="74">
        <v>9.25</v>
      </c>
      <c r="AH117" s="31" t="s">
        <v>646</v>
      </c>
      <c r="AI117" s="67" t="s">
        <v>645</v>
      </c>
      <c r="AJ117" s="67" t="s">
        <v>644</v>
      </c>
      <c r="AK117" s="10" t="s">
        <v>643</v>
      </c>
      <c r="AL117" s="17">
        <v>5413218564199</v>
      </c>
      <c r="AM117" s="15" t="s">
        <v>643</v>
      </c>
      <c r="AN117" s="5">
        <v>68091100</v>
      </c>
      <c r="AO117" s="6" t="s">
        <v>3156</v>
      </c>
      <c r="AP117" s="6" t="s">
        <v>3155</v>
      </c>
      <c r="AQ117" s="6" t="s">
        <v>3167</v>
      </c>
      <c r="AR117" s="6" t="s">
        <v>3166</v>
      </c>
      <c r="AS117" s="6" t="s">
        <v>3165</v>
      </c>
    </row>
    <row r="118" spans="1:45" ht="12.75" customHeight="1">
      <c r="A118" s="77" t="s">
        <v>3164</v>
      </c>
      <c r="B118" s="6" t="s">
        <v>396</v>
      </c>
      <c r="C118" s="31" t="s">
        <v>403</v>
      </c>
      <c r="D118" s="5" t="s">
        <v>3163</v>
      </c>
      <c r="E118" s="77" t="s">
        <v>3163</v>
      </c>
      <c r="F118" s="6" t="s">
        <v>3162</v>
      </c>
      <c r="G118" s="6" t="s">
        <v>3161</v>
      </c>
      <c r="H118" s="67" t="s">
        <v>396</v>
      </c>
      <c r="I118" s="67" t="s">
        <v>396</v>
      </c>
      <c r="J118" s="77" t="s">
        <v>3160</v>
      </c>
      <c r="K118" s="77" t="s">
        <v>3160</v>
      </c>
      <c r="L118" s="67" t="s">
        <v>2068</v>
      </c>
      <c r="M118" s="10" t="s">
        <v>655</v>
      </c>
      <c r="N118" s="10" t="s">
        <v>3159</v>
      </c>
      <c r="O118" s="10" t="s">
        <v>3158</v>
      </c>
      <c r="P118" s="56"/>
      <c r="Q118" s="56"/>
      <c r="R118" s="56" t="s">
        <v>3157</v>
      </c>
      <c r="S118" s="5" t="s">
        <v>650</v>
      </c>
      <c r="T118" s="76">
        <v>12.5</v>
      </c>
      <c r="U118" s="76">
        <v>600</v>
      </c>
      <c r="V118" s="76">
        <v>2600</v>
      </c>
      <c r="W118" s="67" t="s">
        <v>396</v>
      </c>
      <c r="X118" s="103">
        <v>15.5</v>
      </c>
      <c r="Y118" s="54"/>
      <c r="Z118" s="55">
        <v>0.25</v>
      </c>
      <c r="AA118" s="67" t="s">
        <v>396</v>
      </c>
      <c r="AB118" s="31" t="s">
        <v>649</v>
      </c>
      <c r="AC118" s="5" t="s">
        <v>648</v>
      </c>
      <c r="AD118" s="5" t="s">
        <v>647</v>
      </c>
      <c r="AE118" s="10">
        <v>740</v>
      </c>
      <c r="AF118" s="67" t="s">
        <v>399</v>
      </c>
      <c r="AG118" s="74">
        <v>9.25</v>
      </c>
      <c r="AH118" s="31" t="s">
        <v>646</v>
      </c>
      <c r="AI118" s="67" t="s">
        <v>645</v>
      </c>
      <c r="AJ118" s="67" t="s">
        <v>644</v>
      </c>
      <c r="AK118" s="10" t="s">
        <v>643</v>
      </c>
      <c r="AL118" s="17">
        <v>5413218564205</v>
      </c>
      <c r="AM118" s="15" t="s">
        <v>643</v>
      </c>
      <c r="AN118" s="5">
        <v>68091900</v>
      </c>
      <c r="AO118" s="6" t="s">
        <v>3156</v>
      </c>
      <c r="AP118" s="6" t="s">
        <v>3155</v>
      </c>
      <c r="AQ118" s="6" t="s">
        <v>3154</v>
      </c>
      <c r="AR118" s="6" t="s">
        <v>3153</v>
      </c>
      <c r="AS118" s="6" t="s">
        <v>3152</v>
      </c>
    </row>
    <row r="119" spans="1:45" ht="12.75" customHeight="1">
      <c r="A119" s="77" t="s">
        <v>3151</v>
      </c>
      <c r="B119" s="6" t="s">
        <v>396</v>
      </c>
      <c r="C119" s="31" t="s">
        <v>403</v>
      </c>
      <c r="D119" s="6" t="s">
        <v>3144</v>
      </c>
      <c r="E119" s="77" t="s">
        <v>3140</v>
      </c>
      <c r="F119" s="6" t="s">
        <v>3143</v>
      </c>
      <c r="G119" s="31" t="s">
        <v>3142</v>
      </c>
      <c r="H119" s="67" t="s">
        <v>396</v>
      </c>
      <c r="I119" s="67" t="s">
        <v>396</v>
      </c>
      <c r="J119" s="77" t="s">
        <v>3141</v>
      </c>
      <c r="K119" s="77" t="s">
        <v>3140</v>
      </c>
      <c r="L119" s="10" t="s">
        <v>3139</v>
      </c>
      <c r="M119" s="9" t="s">
        <v>399</v>
      </c>
      <c r="N119" s="10" t="s">
        <v>3138</v>
      </c>
      <c r="O119" s="10" t="s">
        <v>3137</v>
      </c>
      <c r="P119" s="56"/>
      <c r="Q119" s="56"/>
      <c r="R119" s="56"/>
      <c r="S119" s="27" t="s">
        <v>396</v>
      </c>
      <c r="T119" s="35">
        <v>1</v>
      </c>
      <c r="U119" s="76">
        <v>50</v>
      </c>
      <c r="V119" s="76">
        <v>3000</v>
      </c>
      <c r="W119" s="67" t="s">
        <v>396</v>
      </c>
      <c r="X119" s="67" t="s">
        <v>396</v>
      </c>
      <c r="Y119" s="54"/>
      <c r="Z119" s="55">
        <v>35</v>
      </c>
      <c r="AA119" s="67" t="s">
        <v>396</v>
      </c>
      <c r="AB119" s="56"/>
      <c r="AC119" s="56"/>
      <c r="AD119" s="56"/>
      <c r="AE119" s="56"/>
      <c r="AF119" s="67" t="s">
        <v>399</v>
      </c>
      <c r="AG119" s="56"/>
      <c r="AH119" s="56"/>
      <c r="AI119" s="56"/>
      <c r="AJ119" s="56"/>
      <c r="AK119" s="31" t="s">
        <v>395</v>
      </c>
      <c r="AL119" s="17">
        <v>5413218566230</v>
      </c>
      <c r="AM119" s="15" t="s">
        <v>395</v>
      </c>
      <c r="AN119" s="5">
        <v>78041100</v>
      </c>
      <c r="AO119" s="6"/>
      <c r="AP119" s="6"/>
      <c r="AQ119" s="6" t="s">
        <v>3150</v>
      </c>
      <c r="AR119" s="6" t="s">
        <v>3149</v>
      </c>
      <c r="AS119" s="6" t="s">
        <v>366</v>
      </c>
    </row>
    <row r="120" spans="1:45" ht="12.75" customHeight="1">
      <c r="A120" s="77" t="s">
        <v>3148</v>
      </c>
      <c r="B120" s="6" t="s">
        <v>396</v>
      </c>
      <c r="C120" s="31" t="s">
        <v>403</v>
      </c>
      <c r="D120" s="6" t="s">
        <v>3144</v>
      </c>
      <c r="E120" s="77" t="s">
        <v>3140</v>
      </c>
      <c r="F120" s="31" t="s">
        <v>3143</v>
      </c>
      <c r="G120" s="31" t="s">
        <v>3142</v>
      </c>
      <c r="H120" s="67" t="s">
        <v>396</v>
      </c>
      <c r="I120" s="67" t="s">
        <v>396</v>
      </c>
      <c r="J120" s="77" t="s">
        <v>3141</v>
      </c>
      <c r="K120" s="77" t="s">
        <v>3140</v>
      </c>
      <c r="L120" s="10" t="s">
        <v>3139</v>
      </c>
      <c r="M120" s="9" t="s">
        <v>399</v>
      </c>
      <c r="N120" s="10" t="s">
        <v>3138</v>
      </c>
      <c r="O120" s="10" t="s">
        <v>3137</v>
      </c>
      <c r="P120" s="56"/>
      <c r="Q120" s="56"/>
      <c r="R120" s="56"/>
      <c r="S120" s="27" t="s">
        <v>396</v>
      </c>
      <c r="T120" s="76">
        <v>2</v>
      </c>
      <c r="U120" s="76">
        <v>50</v>
      </c>
      <c r="V120" s="76">
        <v>10000</v>
      </c>
      <c r="W120" s="67" t="s">
        <v>396</v>
      </c>
      <c r="X120" s="67" t="s">
        <v>396</v>
      </c>
      <c r="Y120" s="54"/>
      <c r="Z120" s="55">
        <v>35</v>
      </c>
      <c r="AA120" s="67" t="s">
        <v>396</v>
      </c>
      <c r="AB120" s="56"/>
      <c r="AC120" s="56"/>
      <c r="AD120" s="56"/>
      <c r="AE120" s="56"/>
      <c r="AF120" s="67" t="s">
        <v>399</v>
      </c>
      <c r="AG120" s="56"/>
      <c r="AH120" s="56"/>
      <c r="AI120" s="56"/>
      <c r="AJ120" s="56"/>
      <c r="AK120" s="31" t="s">
        <v>395</v>
      </c>
      <c r="AL120" s="17">
        <v>5413218566247</v>
      </c>
      <c r="AM120" s="15" t="s">
        <v>395</v>
      </c>
      <c r="AN120" s="5">
        <v>78041100</v>
      </c>
      <c r="AO120" s="6"/>
      <c r="AP120" s="6"/>
      <c r="AQ120" s="6" t="s">
        <v>3147</v>
      </c>
      <c r="AR120" s="6" t="s">
        <v>3146</v>
      </c>
      <c r="AS120" s="6" t="s">
        <v>366</v>
      </c>
    </row>
    <row r="121" spans="1:45" ht="12.75" customHeight="1">
      <c r="A121" s="77" t="s">
        <v>3145</v>
      </c>
      <c r="B121" s="6" t="s">
        <v>396</v>
      </c>
      <c r="C121" s="31" t="s">
        <v>403</v>
      </c>
      <c r="D121" s="6" t="s">
        <v>3144</v>
      </c>
      <c r="E121" s="77" t="s">
        <v>3140</v>
      </c>
      <c r="F121" s="31" t="s">
        <v>3143</v>
      </c>
      <c r="G121" s="31" t="s">
        <v>3142</v>
      </c>
      <c r="H121" s="67" t="s">
        <v>396</v>
      </c>
      <c r="I121" s="67" t="s">
        <v>396</v>
      </c>
      <c r="J121" s="77" t="s">
        <v>3141</v>
      </c>
      <c r="K121" s="77" t="s">
        <v>3140</v>
      </c>
      <c r="L121" s="10" t="s">
        <v>3139</v>
      </c>
      <c r="M121" s="9" t="s">
        <v>399</v>
      </c>
      <c r="N121" s="10" t="s">
        <v>3138</v>
      </c>
      <c r="O121" s="10" t="s">
        <v>3137</v>
      </c>
      <c r="P121" s="56"/>
      <c r="Q121" s="56"/>
      <c r="R121" s="56"/>
      <c r="S121" s="27" t="s">
        <v>396</v>
      </c>
      <c r="T121" s="76">
        <v>3</v>
      </c>
      <c r="U121" s="76">
        <v>50</v>
      </c>
      <c r="V121" s="76">
        <v>8000</v>
      </c>
      <c r="W121" s="67" t="s">
        <v>396</v>
      </c>
      <c r="X121" s="67" t="s">
        <v>396</v>
      </c>
      <c r="Y121" s="54"/>
      <c r="Z121" s="55">
        <v>35</v>
      </c>
      <c r="AA121" s="67" t="s">
        <v>396</v>
      </c>
      <c r="AB121" s="56"/>
      <c r="AC121" s="56"/>
      <c r="AD121" s="56"/>
      <c r="AE121" s="56"/>
      <c r="AF121" s="67" t="s">
        <v>399</v>
      </c>
      <c r="AG121" s="56"/>
      <c r="AH121" s="56"/>
      <c r="AI121" s="56"/>
      <c r="AJ121" s="56"/>
      <c r="AK121" s="31" t="s">
        <v>395</v>
      </c>
      <c r="AL121" s="17">
        <v>5413218566254</v>
      </c>
      <c r="AM121" s="15" t="s">
        <v>395</v>
      </c>
      <c r="AN121" s="5">
        <v>78041100</v>
      </c>
      <c r="AO121" s="6"/>
      <c r="AP121" s="6"/>
      <c r="AQ121" s="6" t="s">
        <v>3136</v>
      </c>
      <c r="AR121" s="6" t="s">
        <v>3135</v>
      </c>
      <c r="AS121" s="6" t="s">
        <v>366</v>
      </c>
    </row>
    <row r="122" spans="1:45" ht="12.75" customHeight="1">
      <c r="A122" s="78" t="s">
        <v>3134</v>
      </c>
      <c r="B122" s="6" t="s">
        <v>396</v>
      </c>
      <c r="C122" s="31" t="s">
        <v>403</v>
      </c>
      <c r="D122" s="6" t="s">
        <v>3010</v>
      </c>
      <c r="E122" s="78" t="s">
        <v>3009</v>
      </c>
      <c r="F122" s="31" t="s">
        <v>3008</v>
      </c>
      <c r="G122" s="31" t="s">
        <v>3007</v>
      </c>
      <c r="H122" s="67" t="s">
        <v>396</v>
      </c>
      <c r="I122" s="67" t="s">
        <v>396</v>
      </c>
      <c r="J122" s="77" t="s">
        <v>3123</v>
      </c>
      <c r="K122" s="77" t="s">
        <v>3123</v>
      </c>
      <c r="L122" s="67" t="s">
        <v>2068</v>
      </c>
      <c r="M122" s="10" t="s">
        <v>655</v>
      </c>
      <c r="N122" s="1" t="s">
        <v>3122</v>
      </c>
      <c r="O122" s="10" t="s">
        <v>3121</v>
      </c>
      <c r="P122" s="31" t="s">
        <v>2069</v>
      </c>
      <c r="Q122" s="18" t="s">
        <v>2068</v>
      </c>
      <c r="R122" s="56" t="s">
        <v>3003</v>
      </c>
      <c r="S122" s="5" t="s">
        <v>655</v>
      </c>
      <c r="T122" s="102">
        <v>10</v>
      </c>
      <c r="U122" s="76">
        <v>600</v>
      </c>
      <c r="V122" s="76">
        <v>600</v>
      </c>
      <c r="W122" s="67" t="s">
        <v>396</v>
      </c>
      <c r="X122" s="102">
        <v>10</v>
      </c>
      <c r="Y122" s="13">
        <v>8.6</v>
      </c>
      <c r="Z122" s="75">
        <v>0.25</v>
      </c>
      <c r="AA122" s="67" t="s">
        <v>396</v>
      </c>
      <c r="AB122" s="56"/>
      <c r="AC122" s="56"/>
      <c r="AD122" s="56"/>
      <c r="AE122" s="67" t="s">
        <v>399</v>
      </c>
      <c r="AF122" s="67" t="s">
        <v>399</v>
      </c>
      <c r="AG122" s="67" t="s">
        <v>399</v>
      </c>
      <c r="AH122" s="56"/>
      <c r="AI122" s="56"/>
      <c r="AJ122" s="56"/>
      <c r="AK122" s="10" t="s">
        <v>643</v>
      </c>
      <c r="AL122" s="17">
        <v>3496250247536</v>
      </c>
      <c r="AM122" s="15" t="s">
        <v>643</v>
      </c>
      <c r="AN122" s="5">
        <v>68091100</v>
      </c>
      <c r="AO122" s="6"/>
      <c r="AP122" s="6"/>
      <c r="AQ122" s="6" t="s">
        <v>3128</v>
      </c>
      <c r="AR122" s="6" t="s">
        <v>3127</v>
      </c>
      <c r="AS122" s="6" t="s">
        <v>3126</v>
      </c>
    </row>
    <row r="123" spans="1:45" s="16" customFormat="1" ht="12.75" customHeight="1">
      <c r="A123" s="89" t="s">
        <v>3133</v>
      </c>
      <c r="B123" s="91" t="s">
        <v>3112</v>
      </c>
      <c r="C123" s="18" t="s">
        <v>403</v>
      </c>
      <c r="D123" s="18" t="s">
        <v>3010</v>
      </c>
      <c r="E123" s="83" t="s">
        <v>3009</v>
      </c>
      <c r="F123" s="18" t="s">
        <v>3008</v>
      </c>
      <c r="G123" s="18" t="s">
        <v>3007</v>
      </c>
      <c r="H123" s="19" t="s">
        <v>396</v>
      </c>
      <c r="I123" s="19" t="s">
        <v>396</v>
      </c>
      <c r="J123" s="91" t="s">
        <v>3123</v>
      </c>
      <c r="K123" s="91" t="s">
        <v>3123</v>
      </c>
      <c r="L123" s="19" t="s">
        <v>2068</v>
      </c>
      <c r="M123" s="16" t="s">
        <v>655</v>
      </c>
      <c r="N123" s="101" t="s">
        <v>3122</v>
      </c>
      <c r="O123" s="16" t="s">
        <v>3121</v>
      </c>
      <c r="P123" s="18" t="s">
        <v>2069</v>
      </c>
      <c r="Q123" s="18" t="s">
        <v>2068</v>
      </c>
      <c r="R123" s="16" t="s">
        <v>3003</v>
      </c>
      <c r="S123" s="16" t="s">
        <v>655</v>
      </c>
      <c r="T123" s="45">
        <v>12.5</v>
      </c>
      <c r="U123" s="45">
        <v>600</v>
      </c>
      <c r="V123" s="45">
        <v>1200</v>
      </c>
      <c r="W123" s="19" t="s">
        <v>396</v>
      </c>
      <c r="X123" s="45">
        <v>12.5</v>
      </c>
      <c r="Y123" s="42">
        <v>9.69</v>
      </c>
      <c r="Z123" s="41">
        <v>0.25</v>
      </c>
      <c r="AA123" s="19" t="s">
        <v>396</v>
      </c>
      <c r="AE123" s="19" t="s">
        <v>399</v>
      </c>
      <c r="AF123" s="19" t="s">
        <v>399</v>
      </c>
      <c r="AG123" s="19" t="s">
        <v>399</v>
      </c>
      <c r="AK123" s="18" t="s">
        <v>395</v>
      </c>
      <c r="AL123" s="15">
        <v>5413218566261</v>
      </c>
      <c r="AM123" s="15" t="s">
        <v>395</v>
      </c>
      <c r="AN123" s="5"/>
      <c r="AO123" s="6"/>
      <c r="AP123" s="6"/>
      <c r="AQ123" s="6" t="s">
        <v>3132</v>
      </c>
      <c r="AR123" s="6" t="s">
        <v>3131</v>
      </c>
      <c r="AS123" s="6" t="s">
        <v>3130</v>
      </c>
    </row>
    <row r="124" spans="1:45" ht="12.75" customHeight="1">
      <c r="A124" s="77" t="s">
        <v>3129</v>
      </c>
      <c r="B124" s="6" t="s">
        <v>396</v>
      </c>
      <c r="C124" s="31" t="s">
        <v>403</v>
      </c>
      <c r="D124" s="6" t="s">
        <v>3010</v>
      </c>
      <c r="E124" s="78" t="s">
        <v>3009</v>
      </c>
      <c r="F124" s="31" t="s">
        <v>3008</v>
      </c>
      <c r="G124" s="31" t="s">
        <v>3007</v>
      </c>
      <c r="H124" s="67" t="s">
        <v>396</v>
      </c>
      <c r="I124" s="67" t="s">
        <v>396</v>
      </c>
      <c r="J124" s="77" t="s">
        <v>3123</v>
      </c>
      <c r="K124" s="77" t="s">
        <v>3123</v>
      </c>
      <c r="L124" s="67" t="s">
        <v>2068</v>
      </c>
      <c r="M124" s="10" t="s">
        <v>655</v>
      </c>
      <c r="N124" s="1" t="s">
        <v>3122</v>
      </c>
      <c r="O124" s="10" t="s">
        <v>3121</v>
      </c>
      <c r="P124" s="31" t="s">
        <v>2069</v>
      </c>
      <c r="Q124" s="18" t="s">
        <v>2068</v>
      </c>
      <c r="R124" s="56" t="s">
        <v>3003</v>
      </c>
      <c r="S124" s="5" t="s">
        <v>3018</v>
      </c>
      <c r="T124" s="102">
        <v>10</v>
      </c>
      <c r="U124" s="76">
        <v>600</v>
      </c>
      <c r="V124" s="76">
        <v>600</v>
      </c>
      <c r="W124" s="67" t="s">
        <v>396</v>
      </c>
      <c r="X124" s="102">
        <v>10</v>
      </c>
      <c r="Y124" s="13">
        <v>8.25</v>
      </c>
      <c r="Z124" s="75">
        <v>0.25</v>
      </c>
      <c r="AA124" s="67" t="s">
        <v>396</v>
      </c>
      <c r="AB124" s="56"/>
      <c r="AC124" s="56"/>
      <c r="AD124" s="56"/>
      <c r="AE124" s="67" t="s">
        <v>399</v>
      </c>
      <c r="AF124" s="67" t="s">
        <v>399</v>
      </c>
      <c r="AG124" s="67" t="s">
        <v>399</v>
      </c>
      <c r="AH124" s="56"/>
      <c r="AI124" s="56"/>
      <c r="AJ124" s="56"/>
      <c r="AK124" s="10" t="s">
        <v>643</v>
      </c>
      <c r="AL124" s="17">
        <v>3496250247550</v>
      </c>
      <c r="AM124" s="15" t="s">
        <v>643</v>
      </c>
      <c r="AN124" s="5">
        <v>68091100</v>
      </c>
      <c r="AO124" s="6"/>
      <c r="AP124" s="6"/>
      <c r="AQ124" s="6" t="s">
        <v>3128</v>
      </c>
      <c r="AR124" s="6" t="s">
        <v>3127</v>
      </c>
      <c r="AS124" s="6" t="s">
        <v>3126</v>
      </c>
    </row>
    <row r="125" spans="1:45" s="16" customFormat="1" ht="12.75" customHeight="1">
      <c r="A125" s="89" t="s">
        <v>3125</v>
      </c>
      <c r="B125" s="18" t="s">
        <v>3124</v>
      </c>
      <c r="C125" s="18" t="s">
        <v>403</v>
      </c>
      <c r="D125" s="18" t="s">
        <v>3010</v>
      </c>
      <c r="E125" s="83" t="s">
        <v>3009</v>
      </c>
      <c r="F125" s="18" t="s">
        <v>3008</v>
      </c>
      <c r="G125" s="18" t="s">
        <v>3007</v>
      </c>
      <c r="H125" s="19" t="s">
        <v>396</v>
      </c>
      <c r="I125" s="19" t="s">
        <v>396</v>
      </c>
      <c r="J125" s="91" t="s">
        <v>3123</v>
      </c>
      <c r="K125" s="91" t="s">
        <v>3123</v>
      </c>
      <c r="L125" s="19" t="s">
        <v>2068</v>
      </c>
      <c r="M125" s="16" t="s">
        <v>655</v>
      </c>
      <c r="N125" s="101" t="s">
        <v>3122</v>
      </c>
      <c r="O125" s="16" t="s">
        <v>3121</v>
      </c>
      <c r="P125" s="18" t="s">
        <v>2069</v>
      </c>
      <c r="Q125" s="18" t="s">
        <v>2068</v>
      </c>
      <c r="R125" s="16" t="s">
        <v>3003</v>
      </c>
      <c r="S125" s="16" t="s">
        <v>3002</v>
      </c>
      <c r="T125" s="45">
        <v>12.5</v>
      </c>
      <c r="U125" s="45">
        <v>600</v>
      </c>
      <c r="V125" s="45">
        <v>600</v>
      </c>
      <c r="W125" s="19" t="s">
        <v>396</v>
      </c>
      <c r="X125" s="45">
        <v>12.5</v>
      </c>
      <c r="Y125" s="42">
        <v>9.52</v>
      </c>
      <c r="Z125" s="41">
        <v>0.25</v>
      </c>
      <c r="AA125" s="19" t="s">
        <v>396</v>
      </c>
      <c r="AE125" s="19" t="s">
        <v>399</v>
      </c>
      <c r="AF125" s="19" t="s">
        <v>399</v>
      </c>
      <c r="AG125" s="19" t="s">
        <v>399</v>
      </c>
      <c r="AK125" s="16" t="s">
        <v>643</v>
      </c>
      <c r="AL125" s="17">
        <v>3496250305564</v>
      </c>
      <c r="AM125" s="15" t="s">
        <v>643</v>
      </c>
      <c r="AN125" s="5">
        <v>68091100</v>
      </c>
      <c r="AO125" s="6"/>
      <c r="AP125" s="6"/>
      <c r="AQ125" s="6" t="s">
        <v>3120</v>
      </c>
      <c r="AR125" s="6" t="s">
        <v>3119</v>
      </c>
      <c r="AS125" s="6" t="s">
        <v>3118</v>
      </c>
    </row>
    <row r="126" spans="1:45" ht="12.75" customHeight="1">
      <c r="A126" s="78" t="s">
        <v>3117</v>
      </c>
      <c r="B126" s="6" t="s">
        <v>396</v>
      </c>
      <c r="C126" s="31" t="s">
        <v>403</v>
      </c>
      <c r="D126" s="6" t="s">
        <v>3010</v>
      </c>
      <c r="E126" s="78" t="s">
        <v>3009</v>
      </c>
      <c r="F126" s="31" t="s">
        <v>3008</v>
      </c>
      <c r="G126" s="31" t="s">
        <v>3007</v>
      </c>
      <c r="H126" s="67" t="s">
        <v>396</v>
      </c>
      <c r="I126" s="67" t="s">
        <v>396</v>
      </c>
      <c r="J126" s="77" t="s">
        <v>3102</v>
      </c>
      <c r="K126" s="77" t="s">
        <v>3102</v>
      </c>
      <c r="L126" s="67" t="s">
        <v>2068</v>
      </c>
      <c r="M126" s="10" t="s">
        <v>655</v>
      </c>
      <c r="N126" s="1" t="s">
        <v>3005</v>
      </c>
      <c r="O126" s="31" t="s">
        <v>3004</v>
      </c>
      <c r="P126" s="31" t="s">
        <v>2069</v>
      </c>
      <c r="Q126" s="18" t="s">
        <v>2068</v>
      </c>
      <c r="R126" s="56" t="s">
        <v>3003</v>
      </c>
      <c r="S126" s="5" t="s">
        <v>655</v>
      </c>
      <c r="T126" s="102">
        <v>10</v>
      </c>
      <c r="U126" s="76">
        <v>600</v>
      </c>
      <c r="V126" s="76">
        <v>600</v>
      </c>
      <c r="W126" s="67" t="s">
        <v>396</v>
      </c>
      <c r="X126" s="102">
        <v>10</v>
      </c>
      <c r="Y126" s="13">
        <v>6.56</v>
      </c>
      <c r="Z126" s="75">
        <v>0.25</v>
      </c>
      <c r="AA126" s="67" t="s">
        <v>396</v>
      </c>
      <c r="AB126" s="56"/>
      <c r="AC126" s="56"/>
      <c r="AD126" s="56"/>
      <c r="AE126" s="67" t="s">
        <v>399</v>
      </c>
      <c r="AF126" s="67" t="s">
        <v>399</v>
      </c>
      <c r="AG126" s="67" t="s">
        <v>399</v>
      </c>
      <c r="AH126" s="56"/>
      <c r="AI126" s="56"/>
      <c r="AJ126" s="56"/>
      <c r="AK126" s="10" t="s">
        <v>643</v>
      </c>
      <c r="AL126" s="17">
        <v>3496250247338</v>
      </c>
      <c r="AM126" s="15" t="s">
        <v>643</v>
      </c>
      <c r="AN126" s="5">
        <v>68091900</v>
      </c>
      <c r="AO126" s="6" t="s">
        <v>3017</v>
      </c>
      <c r="AP126" s="6" t="s">
        <v>3016</v>
      </c>
      <c r="AQ126" s="6" t="s">
        <v>3116</v>
      </c>
      <c r="AR126" s="6" t="s">
        <v>3115</v>
      </c>
      <c r="AS126" s="6" t="s">
        <v>3114</v>
      </c>
    </row>
    <row r="127" spans="1:45" s="16" customFormat="1" ht="12.75" customHeight="1">
      <c r="A127" s="89" t="s">
        <v>3113</v>
      </c>
      <c r="B127" s="91" t="s">
        <v>3112</v>
      </c>
      <c r="C127" s="18" t="s">
        <v>403</v>
      </c>
      <c r="D127" s="18" t="s">
        <v>3010</v>
      </c>
      <c r="E127" s="83" t="s">
        <v>3009</v>
      </c>
      <c r="F127" s="18" t="s">
        <v>3008</v>
      </c>
      <c r="G127" s="18" t="s">
        <v>3007</v>
      </c>
      <c r="H127" s="19" t="s">
        <v>396</v>
      </c>
      <c r="I127" s="19" t="s">
        <v>396</v>
      </c>
      <c r="J127" s="91" t="s">
        <v>3102</v>
      </c>
      <c r="K127" s="91" t="s">
        <v>3102</v>
      </c>
      <c r="L127" s="19" t="s">
        <v>2068</v>
      </c>
      <c r="M127" s="16" t="s">
        <v>655</v>
      </c>
      <c r="N127" s="101" t="s">
        <v>3005</v>
      </c>
      <c r="O127" s="18" t="s">
        <v>3004</v>
      </c>
      <c r="P127" s="18" t="s">
        <v>2069</v>
      </c>
      <c r="Q127" s="18" t="s">
        <v>2068</v>
      </c>
      <c r="R127" s="16" t="s">
        <v>3003</v>
      </c>
      <c r="S127" s="16" t="s">
        <v>655</v>
      </c>
      <c r="T127" s="45">
        <v>12.5</v>
      </c>
      <c r="U127" s="45">
        <v>600</v>
      </c>
      <c r="V127" s="45">
        <v>1200</v>
      </c>
      <c r="W127" s="19" t="s">
        <v>396</v>
      </c>
      <c r="X127" s="45">
        <v>12.5</v>
      </c>
      <c r="Y127" s="42">
        <v>7.9</v>
      </c>
      <c r="Z127" s="41">
        <v>0.25</v>
      </c>
      <c r="AA127" s="19" t="s">
        <v>396</v>
      </c>
      <c r="AE127" s="19" t="s">
        <v>399</v>
      </c>
      <c r="AF127" s="19" t="s">
        <v>399</v>
      </c>
      <c r="AG127" s="19" t="s">
        <v>399</v>
      </c>
      <c r="AK127" s="18" t="s">
        <v>395</v>
      </c>
      <c r="AL127" s="15">
        <v>5413218566278</v>
      </c>
      <c r="AM127" s="15" t="s">
        <v>395</v>
      </c>
      <c r="AN127" s="5"/>
      <c r="AO127" s="6"/>
      <c r="AP127" s="6"/>
      <c r="AQ127" s="6" t="s">
        <v>3111</v>
      </c>
      <c r="AR127" s="6" t="s">
        <v>3110</v>
      </c>
      <c r="AS127" s="6" t="s">
        <v>3109</v>
      </c>
    </row>
    <row r="128" spans="1:45" ht="12.75" customHeight="1">
      <c r="A128" s="78" t="s">
        <v>3108</v>
      </c>
      <c r="B128" s="6" t="s">
        <v>396</v>
      </c>
      <c r="C128" s="31" t="s">
        <v>403</v>
      </c>
      <c r="D128" s="6" t="s">
        <v>3010</v>
      </c>
      <c r="E128" s="78" t="s">
        <v>3009</v>
      </c>
      <c r="F128" s="31" t="s">
        <v>3008</v>
      </c>
      <c r="G128" s="31" t="s">
        <v>3007</v>
      </c>
      <c r="H128" s="67" t="s">
        <v>396</v>
      </c>
      <c r="I128" s="67" t="s">
        <v>396</v>
      </c>
      <c r="J128" s="77" t="s">
        <v>3102</v>
      </c>
      <c r="K128" s="77" t="s">
        <v>3102</v>
      </c>
      <c r="L128" s="67" t="s">
        <v>2068</v>
      </c>
      <c r="M128" s="10" t="s">
        <v>655</v>
      </c>
      <c r="N128" s="1" t="s">
        <v>3005</v>
      </c>
      <c r="O128" s="31" t="s">
        <v>3004</v>
      </c>
      <c r="P128" s="31" t="s">
        <v>2069</v>
      </c>
      <c r="Q128" s="18" t="s">
        <v>2068</v>
      </c>
      <c r="R128" s="56" t="s">
        <v>3003</v>
      </c>
      <c r="S128" s="5" t="s">
        <v>3018</v>
      </c>
      <c r="T128" s="102">
        <v>10</v>
      </c>
      <c r="U128" s="76">
        <v>600</v>
      </c>
      <c r="V128" s="76">
        <v>600</v>
      </c>
      <c r="W128" s="67" t="s">
        <v>396</v>
      </c>
      <c r="X128" s="102">
        <v>10</v>
      </c>
      <c r="Y128" s="13">
        <v>6.22</v>
      </c>
      <c r="Z128" s="75">
        <v>0.25</v>
      </c>
      <c r="AA128" s="67" t="s">
        <v>396</v>
      </c>
      <c r="AB128" s="56"/>
      <c r="AC128" s="56"/>
      <c r="AD128" s="56"/>
      <c r="AE128" s="67" t="s">
        <v>399</v>
      </c>
      <c r="AF128" s="67" t="s">
        <v>399</v>
      </c>
      <c r="AG128" s="67" t="s">
        <v>399</v>
      </c>
      <c r="AH128" s="56"/>
      <c r="AI128" s="56"/>
      <c r="AJ128" s="56"/>
      <c r="AK128" s="10" t="s">
        <v>643</v>
      </c>
      <c r="AL128" s="17">
        <v>3496250247345</v>
      </c>
      <c r="AM128" s="15" t="s">
        <v>643</v>
      </c>
      <c r="AN128" s="5">
        <v>68091900</v>
      </c>
      <c r="AO128" s="6" t="s">
        <v>3017</v>
      </c>
      <c r="AP128" s="6" t="s">
        <v>3016</v>
      </c>
      <c r="AQ128" s="6" t="s">
        <v>3107</v>
      </c>
      <c r="AR128" s="6" t="s">
        <v>3106</v>
      </c>
      <c r="AS128" s="6" t="s">
        <v>3105</v>
      </c>
    </row>
    <row r="129" spans="1:45" s="16" customFormat="1" ht="12.75" customHeight="1">
      <c r="A129" s="89" t="s">
        <v>3104</v>
      </c>
      <c r="B129" s="18" t="s">
        <v>3103</v>
      </c>
      <c r="C129" s="18" t="s">
        <v>403</v>
      </c>
      <c r="D129" s="18" t="s">
        <v>3010</v>
      </c>
      <c r="E129" s="83" t="s">
        <v>3009</v>
      </c>
      <c r="F129" s="18" t="s">
        <v>3008</v>
      </c>
      <c r="G129" s="18" t="s">
        <v>3007</v>
      </c>
      <c r="H129" s="19" t="s">
        <v>396</v>
      </c>
      <c r="I129" s="19" t="s">
        <v>396</v>
      </c>
      <c r="J129" s="91" t="s">
        <v>3102</v>
      </c>
      <c r="K129" s="91" t="s">
        <v>3102</v>
      </c>
      <c r="L129" s="19" t="s">
        <v>2068</v>
      </c>
      <c r="M129" s="16" t="s">
        <v>655</v>
      </c>
      <c r="N129" s="101" t="s">
        <v>3005</v>
      </c>
      <c r="O129" s="18" t="s">
        <v>3004</v>
      </c>
      <c r="P129" s="18" t="s">
        <v>2069</v>
      </c>
      <c r="Q129" s="18" t="s">
        <v>2068</v>
      </c>
      <c r="R129" s="16" t="s">
        <v>3003</v>
      </c>
      <c r="S129" s="16" t="s">
        <v>3002</v>
      </c>
      <c r="T129" s="45">
        <v>12.5</v>
      </c>
      <c r="U129" s="45">
        <v>600</v>
      </c>
      <c r="V129" s="45">
        <v>600</v>
      </c>
      <c r="W129" s="19" t="s">
        <v>396</v>
      </c>
      <c r="X129" s="45">
        <v>12.5</v>
      </c>
      <c r="Y129" s="42">
        <v>7.87</v>
      </c>
      <c r="Z129" s="41">
        <v>0.25</v>
      </c>
      <c r="AA129" s="19" t="s">
        <v>396</v>
      </c>
      <c r="AE129" s="19" t="s">
        <v>399</v>
      </c>
      <c r="AF129" s="19" t="s">
        <v>399</v>
      </c>
      <c r="AG129" s="19" t="s">
        <v>399</v>
      </c>
      <c r="AK129" s="18" t="s">
        <v>395</v>
      </c>
      <c r="AL129" s="17">
        <v>3496250305588</v>
      </c>
      <c r="AM129" s="15" t="s">
        <v>643</v>
      </c>
      <c r="AN129" s="5">
        <v>68091100</v>
      </c>
      <c r="AO129" s="6"/>
      <c r="AP129" s="6"/>
      <c r="AQ129" s="6" t="s">
        <v>3101</v>
      </c>
      <c r="AR129" s="6" t="s">
        <v>3100</v>
      </c>
      <c r="AS129" s="6" t="s">
        <v>3099</v>
      </c>
    </row>
    <row r="130" spans="1:45" ht="12.75" customHeight="1">
      <c r="A130" s="78" t="s">
        <v>3098</v>
      </c>
      <c r="B130" s="6" t="s">
        <v>396</v>
      </c>
      <c r="C130" s="31" t="s">
        <v>403</v>
      </c>
      <c r="D130" s="6" t="s">
        <v>3010</v>
      </c>
      <c r="E130" s="78" t="s">
        <v>3009</v>
      </c>
      <c r="F130" s="31" t="s">
        <v>3008</v>
      </c>
      <c r="G130" s="31" t="s">
        <v>3007</v>
      </c>
      <c r="H130" s="67" t="s">
        <v>396</v>
      </c>
      <c r="I130" s="67" t="s">
        <v>396</v>
      </c>
      <c r="J130" s="77" t="s">
        <v>3083</v>
      </c>
      <c r="K130" s="77" t="s">
        <v>3083</v>
      </c>
      <c r="L130" s="67" t="s">
        <v>2068</v>
      </c>
      <c r="M130" s="10" t="s">
        <v>655</v>
      </c>
      <c r="N130" s="1" t="s">
        <v>3005</v>
      </c>
      <c r="O130" s="31" t="s">
        <v>3004</v>
      </c>
      <c r="P130" s="31" t="s">
        <v>2069</v>
      </c>
      <c r="Q130" s="18" t="s">
        <v>2068</v>
      </c>
      <c r="R130" s="56" t="s">
        <v>3003</v>
      </c>
      <c r="S130" s="5" t="s">
        <v>655</v>
      </c>
      <c r="T130" s="102">
        <v>10</v>
      </c>
      <c r="U130" s="76">
        <v>600</v>
      </c>
      <c r="V130" s="76">
        <v>600</v>
      </c>
      <c r="W130" s="67" t="s">
        <v>396</v>
      </c>
      <c r="X130" s="102">
        <v>10</v>
      </c>
      <c r="Y130" s="13">
        <v>7.63</v>
      </c>
      <c r="Z130" s="75">
        <v>0.25</v>
      </c>
      <c r="AA130" s="67" t="s">
        <v>396</v>
      </c>
      <c r="AB130" s="56"/>
      <c r="AC130" s="56"/>
      <c r="AD130" s="56"/>
      <c r="AE130" s="67" t="s">
        <v>399</v>
      </c>
      <c r="AF130" s="67" t="s">
        <v>399</v>
      </c>
      <c r="AG130" s="67" t="s">
        <v>399</v>
      </c>
      <c r="AH130" s="56"/>
      <c r="AI130" s="56"/>
      <c r="AJ130" s="56"/>
      <c r="AK130" s="10" t="s">
        <v>643</v>
      </c>
      <c r="AL130" s="17">
        <v>3496250247369</v>
      </c>
      <c r="AM130" s="15" t="s">
        <v>643</v>
      </c>
      <c r="AN130" s="5">
        <v>68091100</v>
      </c>
      <c r="AO130" s="6" t="s">
        <v>3017</v>
      </c>
      <c r="AP130" s="6" t="s">
        <v>3016</v>
      </c>
      <c r="AQ130" s="6" t="s">
        <v>3097</v>
      </c>
      <c r="AR130" s="6" t="s">
        <v>3096</v>
      </c>
      <c r="AS130" s="6" t="s">
        <v>3095</v>
      </c>
    </row>
    <row r="131" spans="1:45" s="16" customFormat="1" ht="12.75" customHeight="1">
      <c r="A131" s="89" t="s">
        <v>3094</v>
      </c>
      <c r="B131" s="91" t="s">
        <v>3093</v>
      </c>
      <c r="C131" s="18" t="s">
        <v>403</v>
      </c>
      <c r="D131" s="18" t="s">
        <v>3010</v>
      </c>
      <c r="E131" s="83" t="s">
        <v>3009</v>
      </c>
      <c r="F131" s="18" t="s">
        <v>3008</v>
      </c>
      <c r="G131" s="18" t="s">
        <v>3007</v>
      </c>
      <c r="H131" s="19" t="s">
        <v>396</v>
      </c>
      <c r="I131" s="19" t="s">
        <v>396</v>
      </c>
      <c r="J131" s="91" t="s">
        <v>3083</v>
      </c>
      <c r="K131" s="91" t="s">
        <v>3083</v>
      </c>
      <c r="L131" s="19" t="s">
        <v>2068</v>
      </c>
      <c r="M131" s="16" t="s">
        <v>655</v>
      </c>
      <c r="N131" s="101" t="s">
        <v>3005</v>
      </c>
      <c r="O131" s="18" t="s">
        <v>3004</v>
      </c>
      <c r="P131" s="18" t="s">
        <v>2069</v>
      </c>
      <c r="Q131" s="18" t="s">
        <v>2068</v>
      </c>
      <c r="R131" s="16" t="s">
        <v>3003</v>
      </c>
      <c r="S131" s="16" t="s">
        <v>655</v>
      </c>
      <c r="T131" s="45">
        <v>12.5</v>
      </c>
      <c r="U131" s="45">
        <v>600</v>
      </c>
      <c r="V131" s="45">
        <v>1200</v>
      </c>
      <c r="W131" s="19" t="s">
        <v>396</v>
      </c>
      <c r="X131" s="45">
        <v>12.5</v>
      </c>
      <c r="Y131" s="42">
        <v>8.43</v>
      </c>
      <c r="Z131" s="41">
        <v>0.25</v>
      </c>
      <c r="AA131" s="19" t="s">
        <v>396</v>
      </c>
      <c r="AE131" s="19" t="s">
        <v>399</v>
      </c>
      <c r="AF131" s="19" t="s">
        <v>399</v>
      </c>
      <c r="AG131" s="19" t="s">
        <v>399</v>
      </c>
      <c r="AK131" s="18" t="s">
        <v>395</v>
      </c>
      <c r="AL131" s="15">
        <v>5413218566292</v>
      </c>
      <c r="AM131" s="15" t="s">
        <v>395</v>
      </c>
      <c r="AN131" s="5"/>
      <c r="AO131" s="6"/>
      <c r="AP131" s="6"/>
      <c r="AQ131" s="6" t="s">
        <v>3092</v>
      </c>
      <c r="AR131" s="6" t="s">
        <v>3091</v>
      </c>
      <c r="AS131" s="6" t="s">
        <v>3090</v>
      </c>
    </row>
    <row r="132" spans="1:45" ht="12.75" customHeight="1">
      <c r="A132" s="78" t="s">
        <v>3089</v>
      </c>
      <c r="B132" s="6" t="s">
        <v>396</v>
      </c>
      <c r="C132" s="31" t="s">
        <v>403</v>
      </c>
      <c r="D132" s="6" t="s">
        <v>3010</v>
      </c>
      <c r="E132" s="78" t="s">
        <v>3009</v>
      </c>
      <c r="F132" s="31" t="s">
        <v>3008</v>
      </c>
      <c r="G132" s="31" t="s">
        <v>3007</v>
      </c>
      <c r="H132" s="67" t="s">
        <v>396</v>
      </c>
      <c r="I132" s="67" t="s">
        <v>396</v>
      </c>
      <c r="J132" s="77" t="s">
        <v>3083</v>
      </c>
      <c r="K132" s="77" t="s">
        <v>3083</v>
      </c>
      <c r="L132" s="67" t="s">
        <v>2068</v>
      </c>
      <c r="M132" s="10" t="s">
        <v>655</v>
      </c>
      <c r="N132" s="1" t="s">
        <v>3005</v>
      </c>
      <c r="O132" s="31" t="s">
        <v>3004</v>
      </c>
      <c r="P132" s="31" t="s">
        <v>2069</v>
      </c>
      <c r="Q132" s="18" t="s">
        <v>2068</v>
      </c>
      <c r="R132" s="56" t="s">
        <v>3003</v>
      </c>
      <c r="S132" s="5" t="s">
        <v>3018</v>
      </c>
      <c r="T132" s="102">
        <v>10</v>
      </c>
      <c r="U132" s="76">
        <v>600</v>
      </c>
      <c r="V132" s="76">
        <v>600</v>
      </c>
      <c r="W132" s="67" t="s">
        <v>396</v>
      </c>
      <c r="X132" s="102">
        <v>10</v>
      </c>
      <c r="Y132" s="13">
        <v>7.29</v>
      </c>
      <c r="Z132" s="75">
        <v>0.25</v>
      </c>
      <c r="AA132" s="67" t="s">
        <v>396</v>
      </c>
      <c r="AB132" s="56"/>
      <c r="AC132" s="56"/>
      <c r="AD132" s="56"/>
      <c r="AE132" s="67" t="s">
        <v>399</v>
      </c>
      <c r="AF132" s="67" t="s">
        <v>399</v>
      </c>
      <c r="AG132" s="67" t="s">
        <v>399</v>
      </c>
      <c r="AH132" s="56"/>
      <c r="AI132" s="56"/>
      <c r="AJ132" s="56"/>
      <c r="AK132" s="10" t="s">
        <v>643</v>
      </c>
      <c r="AL132" s="17">
        <v>3496250247390</v>
      </c>
      <c r="AM132" s="15" t="s">
        <v>643</v>
      </c>
      <c r="AN132" s="5">
        <v>68091900</v>
      </c>
      <c r="AO132" s="6" t="s">
        <v>3017</v>
      </c>
      <c r="AP132" s="6" t="s">
        <v>3016</v>
      </c>
      <c r="AQ132" s="6" t="s">
        <v>3088</v>
      </c>
      <c r="AR132" s="6" t="s">
        <v>3087</v>
      </c>
      <c r="AS132" s="6" t="s">
        <v>3086</v>
      </c>
    </row>
    <row r="133" spans="1:45" s="16" customFormat="1" ht="12.75" customHeight="1">
      <c r="A133" s="89" t="s">
        <v>3085</v>
      </c>
      <c r="B133" s="18" t="s">
        <v>3084</v>
      </c>
      <c r="C133" s="18" t="s">
        <v>403</v>
      </c>
      <c r="D133" s="18" t="s">
        <v>3010</v>
      </c>
      <c r="E133" s="83" t="s">
        <v>3009</v>
      </c>
      <c r="F133" s="18" t="s">
        <v>3008</v>
      </c>
      <c r="G133" s="18" t="s">
        <v>3007</v>
      </c>
      <c r="H133" s="19" t="s">
        <v>396</v>
      </c>
      <c r="I133" s="19" t="s">
        <v>396</v>
      </c>
      <c r="J133" s="91" t="s">
        <v>3083</v>
      </c>
      <c r="K133" s="91" t="s">
        <v>3083</v>
      </c>
      <c r="L133" s="19" t="s">
        <v>2068</v>
      </c>
      <c r="M133" s="16" t="s">
        <v>655</v>
      </c>
      <c r="N133" s="101" t="s">
        <v>3005</v>
      </c>
      <c r="O133" s="18" t="s">
        <v>3004</v>
      </c>
      <c r="P133" s="18" t="s">
        <v>2069</v>
      </c>
      <c r="Q133" s="18" t="s">
        <v>2068</v>
      </c>
      <c r="R133" s="16" t="s">
        <v>3003</v>
      </c>
      <c r="S133" s="16" t="s">
        <v>3002</v>
      </c>
      <c r="T133" s="45">
        <v>12.5</v>
      </c>
      <c r="U133" s="45">
        <v>600</v>
      </c>
      <c r="V133" s="45">
        <v>600</v>
      </c>
      <c r="W133" s="19" t="s">
        <v>396</v>
      </c>
      <c r="X133" s="45">
        <v>12.5</v>
      </c>
      <c r="Y133" s="42">
        <v>8.43</v>
      </c>
      <c r="Z133" s="41">
        <v>0.25</v>
      </c>
      <c r="AA133" s="19" t="s">
        <v>396</v>
      </c>
      <c r="AE133" s="19" t="s">
        <v>399</v>
      </c>
      <c r="AF133" s="19" t="s">
        <v>399</v>
      </c>
      <c r="AG133" s="19" t="s">
        <v>399</v>
      </c>
      <c r="AK133" s="16" t="s">
        <v>643</v>
      </c>
      <c r="AL133" s="17">
        <v>3496250305632</v>
      </c>
      <c r="AM133" s="15" t="s">
        <v>643</v>
      </c>
      <c r="AN133" s="5">
        <v>68091100</v>
      </c>
      <c r="AO133" s="6"/>
      <c r="AP133" s="6"/>
      <c r="AQ133" s="6" t="s">
        <v>3082</v>
      </c>
      <c r="AR133" s="6" t="s">
        <v>3081</v>
      </c>
      <c r="AS133" s="6" t="s">
        <v>3080</v>
      </c>
    </row>
    <row r="134" spans="1:45" ht="12.75" customHeight="1">
      <c r="A134" s="78" t="s">
        <v>3079</v>
      </c>
      <c r="B134" s="6" t="s">
        <v>396</v>
      </c>
      <c r="C134" s="31" t="s">
        <v>403</v>
      </c>
      <c r="D134" s="6" t="s">
        <v>3010</v>
      </c>
      <c r="E134" s="78" t="s">
        <v>3009</v>
      </c>
      <c r="F134" s="31" t="s">
        <v>3008</v>
      </c>
      <c r="G134" s="31" t="s">
        <v>3007</v>
      </c>
      <c r="H134" s="67" t="s">
        <v>396</v>
      </c>
      <c r="I134" s="67" t="s">
        <v>396</v>
      </c>
      <c r="J134" s="77" t="s">
        <v>3069</v>
      </c>
      <c r="K134" s="77" t="s">
        <v>3069</v>
      </c>
      <c r="L134" s="67" t="s">
        <v>2068</v>
      </c>
      <c r="M134" s="10" t="s">
        <v>655</v>
      </c>
      <c r="N134" s="1" t="s">
        <v>3005</v>
      </c>
      <c r="O134" s="31" t="s">
        <v>3004</v>
      </c>
      <c r="P134" s="31" t="s">
        <v>2069</v>
      </c>
      <c r="Q134" s="18" t="s">
        <v>2068</v>
      </c>
      <c r="R134" s="56" t="s">
        <v>3003</v>
      </c>
      <c r="S134" s="5" t="s">
        <v>655</v>
      </c>
      <c r="T134" s="102">
        <v>10</v>
      </c>
      <c r="U134" s="76">
        <v>600</v>
      </c>
      <c r="V134" s="76">
        <v>600</v>
      </c>
      <c r="W134" s="67" t="s">
        <v>396</v>
      </c>
      <c r="X134" s="102">
        <v>10</v>
      </c>
      <c r="Y134" s="13">
        <v>8.16</v>
      </c>
      <c r="Z134" s="75">
        <v>0.25</v>
      </c>
      <c r="AA134" s="67" t="s">
        <v>396</v>
      </c>
      <c r="AB134" s="56"/>
      <c r="AC134" s="56"/>
      <c r="AD134" s="56"/>
      <c r="AE134" s="67" t="s">
        <v>399</v>
      </c>
      <c r="AF134" s="67" t="s">
        <v>399</v>
      </c>
      <c r="AG134" s="67" t="s">
        <v>399</v>
      </c>
      <c r="AH134" s="56"/>
      <c r="AI134" s="56"/>
      <c r="AJ134" s="56"/>
      <c r="AK134" s="10" t="s">
        <v>643</v>
      </c>
      <c r="AL134" s="17">
        <v>3496250247413</v>
      </c>
      <c r="AM134" s="15" t="s">
        <v>643</v>
      </c>
      <c r="AN134" s="5">
        <v>68091100</v>
      </c>
      <c r="AO134" s="6" t="s">
        <v>3017</v>
      </c>
      <c r="AP134" s="6" t="s">
        <v>3016</v>
      </c>
      <c r="AQ134" s="6" t="s">
        <v>3078</v>
      </c>
      <c r="AR134" s="6" t="s">
        <v>3077</v>
      </c>
      <c r="AS134" s="6" t="s">
        <v>3076</v>
      </c>
    </row>
    <row r="135" spans="1:45" ht="12.75" customHeight="1">
      <c r="A135" s="78" t="s">
        <v>3075</v>
      </c>
      <c r="B135" s="6" t="s">
        <v>396</v>
      </c>
      <c r="C135" s="31" t="s">
        <v>403</v>
      </c>
      <c r="D135" s="6" t="s">
        <v>3010</v>
      </c>
      <c r="E135" s="78" t="s">
        <v>3009</v>
      </c>
      <c r="F135" s="31" t="s">
        <v>3008</v>
      </c>
      <c r="G135" s="31" t="s">
        <v>3007</v>
      </c>
      <c r="H135" s="67" t="s">
        <v>396</v>
      </c>
      <c r="I135" s="67" t="s">
        <v>396</v>
      </c>
      <c r="J135" s="77" t="s">
        <v>3069</v>
      </c>
      <c r="K135" s="77" t="s">
        <v>3069</v>
      </c>
      <c r="L135" s="67" t="s">
        <v>2068</v>
      </c>
      <c r="M135" s="10" t="s">
        <v>655</v>
      </c>
      <c r="N135" s="1" t="s">
        <v>3005</v>
      </c>
      <c r="O135" s="31" t="s">
        <v>3004</v>
      </c>
      <c r="P135" s="31" t="s">
        <v>2069</v>
      </c>
      <c r="Q135" s="18" t="s">
        <v>2068</v>
      </c>
      <c r="R135" s="56" t="s">
        <v>3003</v>
      </c>
      <c r="S135" s="5" t="s">
        <v>3018</v>
      </c>
      <c r="T135" s="102">
        <v>10</v>
      </c>
      <c r="U135" s="76">
        <v>600</v>
      </c>
      <c r="V135" s="76">
        <v>600</v>
      </c>
      <c r="W135" s="67" t="s">
        <v>396</v>
      </c>
      <c r="X135" s="102">
        <v>10</v>
      </c>
      <c r="Y135" s="13">
        <v>7.83</v>
      </c>
      <c r="Z135" s="75">
        <v>0.25</v>
      </c>
      <c r="AA135" s="67" t="s">
        <v>396</v>
      </c>
      <c r="AB135" s="56"/>
      <c r="AC135" s="56"/>
      <c r="AD135" s="56"/>
      <c r="AE135" s="67" t="s">
        <v>399</v>
      </c>
      <c r="AF135" s="67" t="s">
        <v>399</v>
      </c>
      <c r="AG135" s="67" t="s">
        <v>399</v>
      </c>
      <c r="AH135" s="56"/>
      <c r="AI135" s="56"/>
      <c r="AJ135" s="56"/>
      <c r="AK135" s="10" t="s">
        <v>643</v>
      </c>
      <c r="AL135" s="17">
        <v>3496250247437</v>
      </c>
      <c r="AM135" s="15" t="s">
        <v>643</v>
      </c>
      <c r="AN135" s="5">
        <v>68091100</v>
      </c>
      <c r="AO135" s="6" t="s">
        <v>3017</v>
      </c>
      <c r="AP135" s="6" t="s">
        <v>3016</v>
      </c>
      <c r="AQ135" s="6" t="s">
        <v>3074</v>
      </c>
      <c r="AR135" s="6" t="s">
        <v>3073</v>
      </c>
      <c r="AS135" s="6" t="s">
        <v>3072</v>
      </c>
    </row>
    <row r="136" spans="1:45" s="16" customFormat="1" ht="12.75" customHeight="1">
      <c r="A136" s="89" t="s">
        <v>3071</v>
      </c>
      <c r="B136" s="18" t="s">
        <v>3070</v>
      </c>
      <c r="C136" s="18" t="s">
        <v>403</v>
      </c>
      <c r="D136" s="18" t="s">
        <v>3010</v>
      </c>
      <c r="E136" s="83" t="s">
        <v>3009</v>
      </c>
      <c r="F136" s="18" t="s">
        <v>3008</v>
      </c>
      <c r="G136" s="18" t="s">
        <v>3007</v>
      </c>
      <c r="H136" s="19" t="s">
        <v>396</v>
      </c>
      <c r="I136" s="19" t="s">
        <v>396</v>
      </c>
      <c r="J136" s="91" t="s">
        <v>3069</v>
      </c>
      <c r="K136" s="91" t="s">
        <v>3069</v>
      </c>
      <c r="L136" s="19" t="s">
        <v>2068</v>
      </c>
      <c r="M136" s="16" t="s">
        <v>655</v>
      </c>
      <c r="N136" s="101" t="s">
        <v>3005</v>
      </c>
      <c r="O136" s="18" t="s">
        <v>3004</v>
      </c>
      <c r="P136" s="18" t="s">
        <v>2069</v>
      </c>
      <c r="Q136" s="18" t="s">
        <v>2068</v>
      </c>
      <c r="R136" s="16" t="s">
        <v>3003</v>
      </c>
      <c r="S136" s="16" t="s">
        <v>3002</v>
      </c>
      <c r="T136" s="45">
        <v>12.5</v>
      </c>
      <c r="U136" s="45">
        <v>600</v>
      </c>
      <c r="V136" s="45">
        <v>600</v>
      </c>
      <c r="W136" s="19" t="s">
        <v>396</v>
      </c>
      <c r="X136" s="45">
        <v>12.5</v>
      </c>
      <c r="Y136" s="42">
        <v>9.06</v>
      </c>
      <c r="Z136" s="41">
        <v>0.25</v>
      </c>
      <c r="AA136" s="19" t="s">
        <v>396</v>
      </c>
      <c r="AE136" s="19" t="s">
        <v>399</v>
      </c>
      <c r="AF136" s="19" t="s">
        <v>399</v>
      </c>
      <c r="AG136" s="19" t="s">
        <v>399</v>
      </c>
      <c r="AK136" s="18" t="s">
        <v>395</v>
      </c>
      <c r="AL136" s="17">
        <v>3496250305663</v>
      </c>
      <c r="AM136" s="15" t="s">
        <v>643</v>
      </c>
      <c r="AN136" s="5">
        <v>68091100</v>
      </c>
      <c r="AO136" s="6"/>
      <c r="AP136" s="6"/>
      <c r="AQ136" s="6" t="s">
        <v>3068</v>
      </c>
      <c r="AR136" s="6" t="s">
        <v>3067</v>
      </c>
      <c r="AS136" s="6" t="s">
        <v>3066</v>
      </c>
    </row>
    <row r="137" spans="1:45" ht="12.75" customHeight="1">
      <c r="A137" s="78" t="s">
        <v>3065</v>
      </c>
      <c r="B137" s="6" t="s">
        <v>396</v>
      </c>
      <c r="C137" s="31" t="s">
        <v>403</v>
      </c>
      <c r="D137" s="6" t="s">
        <v>3010</v>
      </c>
      <c r="E137" s="78" t="s">
        <v>3009</v>
      </c>
      <c r="F137" s="31" t="s">
        <v>3008</v>
      </c>
      <c r="G137" s="31" t="s">
        <v>3007</v>
      </c>
      <c r="H137" s="67" t="s">
        <v>396</v>
      </c>
      <c r="I137" s="67" t="s">
        <v>396</v>
      </c>
      <c r="J137" s="77" t="s">
        <v>3055</v>
      </c>
      <c r="K137" s="77" t="s">
        <v>3055</v>
      </c>
      <c r="L137" s="67" t="s">
        <v>2068</v>
      </c>
      <c r="M137" s="10" t="s">
        <v>655</v>
      </c>
      <c r="N137" s="1" t="s">
        <v>3005</v>
      </c>
      <c r="O137" s="31" t="s">
        <v>3004</v>
      </c>
      <c r="P137" s="31" t="s">
        <v>2069</v>
      </c>
      <c r="Q137" s="18" t="s">
        <v>2068</v>
      </c>
      <c r="R137" s="56" t="s">
        <v>3003</v>
      </c>
      <c r="S137" s="5" t="s">
        <v>655</v>
      </c>
      <c r="T137" s="102">
        <v>10</v>
      </c>
      <c r="U137" s="76">
        <v>600</v>
      </c>
      <c r="V137" s="76">
        <v>600</v>
      </c>
      <c r="W137" s="67" t="s">
        <v>396</v>
      </c>
      <c r="X137" s="102">
        <v>10</v>
      </c>
      <c r="Y137" s="13">
        <v>7.15</v>
      </c>
      <c r="Z137" s="75">
        <v>0.25</v>
      </c>
      <c r="AA137" s="67" t="s">
        <v>396</v>
      </c>
      <c r="AB137" s="56"/>
      <c r="AC137" s="56"/>
      <c r="AD137" s="56"/>
      <c r="AE137" s="67" t="s">
        <v>399</v>
      </c>
      <c r="AF137" s="67" t="s">
        <v>399</v>
      </c>
      <c r="AG137" s="67" t="s">
        <v>399</v>
      </c>
      <c r="AH137" s="56"/>
      <c r="AI137" s="56"/>
      <c r="AJ137" s="56"/>
      <c r="AK137" s="10" t="s">
        <v>643</v>
      </c>
      <c r="AL137" s="17">
        <v>3496250247451</v>
      </c>
      <c r="AM137" s="15" t="s">
        <v>643</v>
      </c>
      <c r="AN137" s="5">
        <v>68091900</v>
      </c>
      <c r="AO137" s="6" t="s">
        <v>3017</v>
      </c>
      <c r="AP137" s="6" t="s">
        <v>3016</v>
      </c>
      <c r="AQ137" s="6" t="s">
        <v>3064</v>
      </c>
      <c r="AR137" s="6" t="s">
        <v>3063</v>
      </c>
      <c r="AS137" s="6" t="s">
        <v>3062</v>
      </c>
    </row>
    <row r="138" spans="1:45" ht="12.75" customHeight="1">
      <c r="A138" s="78" t="s">
        <v>3061</v>
      </c>
      <c r="B138" s="6" t="s">
        <v>396</v>
      </c>
      <c r="C138" s="31" t="s">
        <v>403</v>
      </c>
      <c r="D138" s="6" t="s">
        <v>3010</v>
      </c>
      <c r="E138" s="78" t="s">
        <v>3009</v>
      </c>
      <c r="F138" s="31" t="s">
        <v>3008</v>
      </c>
      <c r="G138" s="31" t="s">
        <v>3007</v>
      </c>
      <c r="H138" s="67" t="s">
        <v>396</v>
      </c>
      <c r="I138" s="67" t="s">
        <v>396</v>
      </c>
      <c r="J138" s="77" t="s">
        <v>3055</v>
      </c>
      <c r="K138" s="77" t="s">
        <v>3055</v>
      </c>
      <c r="L138" s="67" t="s">
        <v>2068</v>
      </c>
      <c r="M138" s="10" t="s">
        <v>655</v>
      </c>
      <c r="N138" s="1" t="s">
        <v>3005</v>
      </c>
      <c r="O138" s="31" t="s">
        <v>3004</v>
      </c>
      <c r="P138" s="31" t="s">
        <v>2069</v>
      </c>
      <c r="Q138" s="18" t="s">
        <v>2068</v>
      </c>
      <c r="R138" s="56" t="s">
        <v>3003</v>
      </c>
      <c r="S138" s="5" t="s">
        <v>3018</v>
      </c>
      <c r="T138" s="102">
        <v>10</v>
      </c>
      <c r="U138" s="76">
        <v>600</v>
      </c>
      <c r="V138" s="76">
        <v>600</v>
      </c>
      <c r="W138" s="67" t="s">
        <v>396</v>
      </c>
      <c r="X138" s="102">
        <v>10</v>
      </c>
      <c r="Y138" s="13">
        <v>6.81</v>
      </c>
      <c r="Z138" s="75">
        <v>0.25</v>
      </c>
      <c r="AA138" s="67" t="s">
        <v>396</v>
      </c>
      <c r="AB138" s="56"/>
      <c r="AC138" s="56"/>
      <c r="AD138" s="56"/>
      <c r="AE138" s="67" t="s">
        <v>399</v>
      </c>
      <c r="AF138" s="67" t="s">
        <v>399</v>
      </c>
      <c r="AG138" s="67" t="s">
        <v>399</v>
      </c>
      <c r="AH138" s="56"/>
      <c r="AI138" s="56"/>
      <c r="AJ138" s="56"/>
      <c r="AK138" s="10" t="s">
        <v>643</v>
      </c>
      <c r="AL138" s="17">
        <v>3496250247475</v>
      </c>
      <c r="AM138" s="15" t="s">
        <v>643</v>
      </c>
      <c r="AN138" s="5">
        <v>68091900</v>
      </c>
      <c r="AO138" s="6" t="s">
        <v>3017</v>
      </c>
      <c r="AP138" s="6" t="s">
        <v>3016</v>
      </c>
      <c r="AQ138" s="6" t="s">
        <v>3060</v>
      </c>
      <c r="AR138" s="6" t="s">
        <v>3059</v>
      </c>
      <c r="AS138" s="6" t="s">
        <v>3058</v>
      </c>
    </row>
    <row r="139" spans="1:45" s="16" customFormat="1" ht="12.75" customHeight="1">
      <c r="A139" s="89" t="s">
        <v>3057</v>
      </c>
      <c r="B139" s="18" t="s">
        <v>3056</v>
      </c>
      <c r="C139" s="18" t="s">
        <v>403</v>
      </c>
      <c r="D139" s="18" t="s">
        <v>3010</v>
      </c>
      <c r="E139" s="83" t="s">
        <v>3009</v>
      </c>
      <c r="F139" s="18" t="s">
        <v>3008</v>
      </c>
      <c r="G139" s="18" t="s">
        <v>3007</v>
      </c>
      <c r="H139" s="19" t="s">
        <v>396</v>
      </c>
      <c r="I139" s="19" t="s">
        <v>396</v>
      </c>
      <c r="J139" s="91" t="s">
        <v>3055</v>
      </c>
      <c r="K139" s="91" t="s">
        <v>3055</v>
      </c>
      <c r="L139" s="19" t="s">
        <v>2068</v>
      </c>
      <c r="M139" s="16" t="s">
        <v>655</v>
      </c>
      <c r="N139" s="101" t="s">
        <v>3005</v>
      </c>
      <c r="O139" s="18" t="s">
        <v>3004</v>
      </c>
      <c r="P139" s="18" t="s">
        <v>2069</v>
      </c>
      <c r="Q139" s="18" t="s">
        <v>2068</v>
      </c>
      <c r="R139" s="16" t="s">
        <v>3003</v>
      </c>
      <c r="S139" s="16" t="s">
        <v>3002</v>
      </c>
      <c r="T139" s="45">
        <v>12.5</v>
      </c>
      <c r="U139" s="45">
        <v>600</v>
      </c>
      <c r="V139" s="45">
        <v>600</v>
      </c>
      <c r="W139" s="19" t="s">
        <v>396</v>
      </c>
      <c r="X139" s="45">
        <v>12.5</v>
      </c>
      <c r="Y139" s="42">
        <v>9.52</v>
      </c>
      <c r="Z139" s="41">
        <v>0.25</v>
      </c>
      <c r="AA139" s="19" t="s">
        <v>396</v>
      </c>
      <c r="AE139" s="19" t="s">
        <v>399</v>
      </c>
      <c r="AF139" s="19" t="s">
        <v>399</v>
      </c>
      <c r="AG139" s="19" t="s">
        <v>399</v>
      </c>
      <c r="AK139" s="16" t="s">
        <v>643</v>
      </c>
      <c r="AL139" s="17">
        <v>3496250305731</v>
      </c>
      <c r="AM139" s="15" t="s">
        <v>643</v>
      </c>
      <c r="AN139" s="5">
        <v>68091100</v>
      </c>
      <c r="AO139" s="6"/>
      <c r="AP139" s="6"/>
      <c r="AQ139" s="6" t="s">
        <v>3054</v>
      </c>
      <c r="AR139" s="6" t="s">
        <v>3053</v>
      </c>
      <c r="AS139" s="6" t="s">
        <v>3052</v>
      </c>
    </row>
    <row r="140" spans="1:45" ht="12.75" customHeight="1">
      <c r="A140" s="78" t="s">
        <v>3051</v>
      </c>
      <c r="B140" s="6" t="s">
        <v>396</v>
      </c>
      <c r="C140" s="31" t="s">
        <v>403</v>
      </c>
      <c r="D140" s="6" t="s">
        <v>3010</v>
      </c>
      <c r="E140" s="78" t="s">
        <v>3009</v>
      </c>
      <c r="F140" s="31" t="s">
        <v>3008</v>
      </c>
      <c r="G140" s="31" t="s">
        <v>3007</v>
      </c>
      <c r="H140" s="67" t="s">
        <v>396</v>
      </c>
      <c r="I140" s="67" t="s">
        <v>396</v>
      </c>
      <c r="J140" s="77" t="s">
        <v>3041</v>
      </c>
      <c r="K140" s="77" t="s">
        <v>3041</v>
      </c>
      <c r="L140" s="67" t="s">
        <v>2068</v>
      </c>
      <c r="M140" s="10" t="s">
        <v>655</v>
      </c>
      <c r="N140" s="1" t="s">
        <v>3005</v>
      </c>
      <c r="O140" s="31" t="s">
        <v>3004</v>
      </c>
      <c r="P140" s="31" t="s">
        <v>2069</v>
      </c>
      <c r="Q140" s="18" t="s">
        <v>2068</v>
      </c>
      <c r="R140" s="56" t="s">
        <v>3003</v>
      </c>
      <c r="S140" s="5" t="s">
        <v>655</v>
      </c>
      <c r="T140" s="102">
        <v>10</v>
      </c>
      <c r="U140" s="76">
        <v>600</v>
      </c>
      <c r="V140" s="76">
        <v>600</v>
      </c>
      <c r="W140" s="67" t="s">
        <v>396</v>
      </c>
      <c r="X140" s="102">
        <v>10</v>
      </c>
      <c r="Y140" s="13">
        <v>7.88</v>
      </c>
      <c r="Z140" s="75">
        <v>0.25</v>
      </c>
      <c r="AA140" s="67" t="s">
        <v>396</v>
      </c>
      <c r="AB140" s="56"/>
      <c r="AC140" s="56"/>
      <c r="AD140" s="56"/>
      <c r="AE140" s="67" t="s">
        <v>399</v>
      </c>
      <c r="AF140" s="67" t="s">
        <v>399</v>
      </c>
      <c r="AG140" s="67" t="s">
        <v>399</v>
      </c>
      <c r="AH140" s="56"/>
      <c r="AI140" s="56"/>
      <c r="AJ140" s="56"/>
      <c r="AK140" s="10" t="s">
        <v>643</v>
      </c>
      <c r="AL140" s="17">
        <v>3496250247499</v>
      </c>
      <c r="AM140" s="15" t="s">
        <v>643</v>
      </c>
      <c r="AN140" s="5">
        <v>68091100</v>
      </c>
      <c r="AO140" s="6" t="s">
        <v>3017</v>
      </c>
      <c r="AP140" s="6" t="s">
        <v>3016</v>
      </c>
      <c r="AQ140" s="6" t="s">
        <v>3050</v>
      </c>
      <c r="AR140" s="6" t="s">
        <v>3049</v>
      </c>
      <c r="AS140" s="6" t="s">
        <v>3048</v>
      </c>
    </row>
    <row r="141" spans="1:45" ht="12.75" customHeight="1">
      <c r="A141" s="78" t="s">
        <v>3047</v>
      </c>
      <c r="B141" s="6" t="s">
        <v>396</v>
      </c>
      <c r="C141" s="31" t="s">
        <v>403</v>
      </c>
      <c r="D141" s="6" t="s">
        <v>3010</v>
      </c>
      <c r="E141" s="78" t="s">
        <v>3009</v>
      </c>
      <c r="F141" s="31" t="s">
        <v>3008</v>
      </c>
      <c r="G141" s="31" t="s">
        <v>3007</v>
      </c>
      <c r="H141" s="67" t="s">
        <v>396</v>
      </c>
      <c r="I141" s="67" t="s">
        <v>396</v>
      </c>
      <c r="J141" s="77" t="s">
        <v>3041</v>
      </c>
      <c r="K141" s="77" t="s">
        <v>3041</v>
      </c>
      <c r="L141" s="67" t="s">
        <v>2068</v>
      </c>
      <c r="M141" s="10" t="s">
        <v>655</v>
      </c>
      <c r="N141" s="1" t="s">
        <v>3005</v>
      </c>
      <c r="O141" s="31" t="s">
        <v>3004</v>
      </c>
      <c r="P141" s="31" t="s">
        <v>2069</v>
      </c>
      <c r="Q141" s="18" t="s">
        <v>2068</v>
      </c>
      <c r="R141" s="56" t="s">
        <v>3003</v>
      </c>
      <c r="S141" s="5" t="s">
        <v>3018</v>
      </c>
      <c r="T141" s="102">
        <v>10</v>
      </c>
      <c r="U141" s="76">
        <v>600</v>
      </c>
      <c r="V141" s="76">
        <v>600</v>
      </c>
      <c r="W141" s="67" t="s">
        <v>396</v>
      </c>
      <c r="X141" s="102">
        <v>10</v>
      </c>
      <c r="Y141" s="13">
        <v>7.76</v>
      </c>
      <c r="Z141" s="75">
        <v>0.25</v>
      </c>
      <c r="AA141" s="67" t="s">
        <v>396</v>
      </c>
      <c r="AB141" s="56"/>
      <c r="AC141" s="56"/>
      <c r="AD141" s="56"/>
      <c r="AE141" s="67" t="s">
        <v>399</v>
      </c>
      <c r="AF141" s="67" t="s">
        <v>399</v>
      </c>
      <c r="AG141" s="67" t="s">
        <v>399</v>
      </c>
      <c r="AH141" s="56"/>
      <c r="AI141" s="56"/>
      <c r="AJ141" s="56"/>
      <c r="AK141" s="10" t="s">
        <v>643</v>
      </c>
      <c r="AL141" s="17">
        <v>3496250247512</v>
      </c>
      <c r="AM141" s="15" t="s">
        <v>643</v>
      </c>
      <c r="AN141" s="5">
        <v>68091100</v>
      </c>
      <c r="AO141" s="6" t="s">
        <v>3017</v>
      </c>
      <c r="AP141" s="6" t="s">
        <v>3016</v>
      </c>
      <c r="AQ141" s="6" t="s">
        <v>3046</v>
      </c>
      <c r="AR141" s="6" t="s">
        <v>3045</v>
      </c>
      <c r="AS141" s="6" t="s">
        <v>3044</v>
      </c>
    </row>
    <row r="142" spans="1:45" s="16" customFormat="1" ht="12.75" customHeight="1">
      <c r="A142" s="89" t="s">
        <v>3043</v>
      </c>
      <c r="B142" s="18" t="s">
        <v>3042</v>
      </c>
      <c r="C142" s="18" t="s">
        <v>403</v>
      </c>
      <c r="D142" s="18" t="s">
        <v>3010</v>
      </c>
      <c r="E142" s="83" t="s">
        <v>3009</v>
      </c>
      <c r="F142" s="18" t="s">
        <v>3008</v>
      </c>
      <c r="G142" s="18" t="s">
        <v>3007</v>
      </c>
      <c r="H142" s="19" t="s">
        <v>396</v>
      </c>
      <c r="I142" s="19" t="s">
        <v>396</v>
      </c>
      <c r="J142" s="91" t="s">
        <v>3041</v>
      </c>
      <c r="K142" s="91" t="s">
        <v>3041</v>
      </c>
      <c r="L142" s="19" t="s">
        <v>2068</v>
      </c>
      <c r="M142" s="16" t="s">
        <v>655</v>
      </c>
      <c r="N142" s="101" t="s">
        <v>3005</v>
      </c>
      <c r="O142" s="18" t="s">
        <v>3004</v>
      </c>
      <c r="P142" s="18" t="s">
        <v>2069</v>
      </c>
      <c r="Q142" s="18" t="s">
        <v>2068</v>
      </c>
      <c r="R142" s="16" t="s">
        <v>3003</v>
      </c>
      <c r="S142" s="16" t="s">
        <v>3002</v>
      </c>
      <c r="T142" s="45">
        <v>12.5</v>
      </c>
      <c r="U142" s="45">
        <v>600</v>
      </c>
      <c r="V142" s="45">
        <v>600</v>
      </c>
      <c r="W142" s="19" t="s">
        <v>396</v>
      </c>
      <c r="X142" s="45">
        <v>12.5</v>
      </c>
      <c r="Y142" s="42">
        <v>8.6999999999999993</v>
      </c>
      <c r="Z142" s="41">
        <v>0.25</v>
      </c>
      <c r="AA142" s="19" t="s">
        <v>396</v>
      </c>
      <c r="AE142" s="19" t="s">
        <v>399</v>
      </c>
      <c r="AF142" s="19" t="s">
        <v>399</v>
      </c>
      <c r="AG142" s="19" t="s">
        <v>399</v>
      </c>
      <c r="AK142" s="16" t="s">
        <v>643</v>
      </c>
      <c r="AL142" s="17">
        <v>3496250305762</v>
      </c>
      <c r="AM142" s="15" t="s">
        <v>643</v>
      </c>
      <c r="AN142" s="5">
        <v>68091100</v>
      </c>
      <c r="AO142" s="6"/>
      <c r="AP142" s="6"/>
      <c r="AQ142" s="6" t="s">
        <v>3040</v>
      </c>
      <c r="AR142" s="6" t="s">
        <v>3039</v>
      </c>
      <c r="AS142" s="6" t="s">
        <v>3038</v>
      </c>
    </row>
    <row r="143" spans="1:45" ht="12.75" customHeight="1">
      <c r="A143" s="78" t="s">
        <v>3037</v>
      </c>
      <c r="B143" s="6" t="s">
        <v>396</v>
      </c>
      <c r="C143" s="31" t="s">
        <v>403</v>
      </c>
      <c r="D143" s="6" t="s">
        <v>3010</v>
      </c>
      <c r="E143" s="78" t="s">
        <v>3009</v>
      </c>
      <c r="F143" s="31" t="s">
        <v>3008</v>
      </c>
      <c r="G143" s="31" t="s">
        <v>3007</v>
      </c>
      <c r="H143" s="67" t="s">
        <v>396</v>
      </c>
      <c r="I143" s="67" t="s">
        <v>396</v>
      </c>
      <c r="J143" s="77" t="s">
        <v>3027</v>
      </c>
      <c r="K143" s="77" t="s">
        <v>3027</v>
      </c>
      <c r="L143" s="67" t="s">
        <v>2068</v>
      </c>
      <c r="M143" s="10" t="s">
        <v>655</v>
      </c>
      <c r="N143" s="1" t="s">
        <v>3005</v>
      </c>
      <c r="O143" s="31" t="s">
        <v>3004</v>
      </c>
      <c r="P143" s="31" t="s">
        <v>2069</v>
      </c>
      <c r="Q143" s="18" t="s">
        <v>2068</v>
      </c>
      <c r="R143" s="56" t="s">
        <v>3003</v>
      </c>
      <c r="S143" s="5" t="s">
        <v>655</v>
      </c>
      <c r="T143" s="102">
        <v>10</v>
      </c>
      <c r="U143" s="76">
        <v>600</v>
      </c>
      <c r="V143" s="76">
        <v>600</v>
      </c>
      <c r="W143" s="67" t="s">
        <v>396</v>
      </c>
      <c r="X143" s="102">
        <v>10</v>
      </c>
      <c r="Y143" s="13">
        <v>7.15</v>
      </c>
      <c r="Z143" s="75">
        <v>0.25</v>
      </c>
      <c r="AA143" s="67" t="s">
        <v>396</v>
      </c>
      <c r="AB143" s="56"/>
      <c r="AC143" s="56"/>
      <c r="AD143" s="56"/>
      <c r="AE143" s="67" t="s">
        <v>399</v>
      </c>
      <c r="AF143" s="67" t="s">
        <v>399</v>
      </c>
      <c r="AG143" s="67" t="s">
        <v>399</v>
      </c>
      <c r="AH143" s="56"/>
      <c r="AI143" s="56"/>
      <c r="AJ143" s="56"/>
      <c r="AK143" s="10" t="s">
        <v>643</v>
      </c>
      <c r="AL143" s="17">
        <v>3496250247574</v>
      </c>
      <c r="AM143" s="15" t="s">
        <v>643</v>
      </c>
      <c r="AN143" s="5">
        <v>68091100</v>
      </c>
      <c r="AO143" s="6" t="s">
        <v>3017</v>
      </c>
      <c r="AP143" s="6" t="s">
        <v>3016</v>
      </c>
      <c r="AQ143" s="6" t="s">
        <v>3036</v>
      </c>
      <c r="AR143" s="6" t="s">
        <v>3035</v>
      </c>
      <c r="AS143" s="6" t="s">
        <v>3034</v>
      </c>
    </row>
    <row r="144" spans="1:45" ht="12.75" customHeight="1">
      <c r="A144" s="78" t="s">
        <v>3033</v>
      </c>
      <c r="B144" s="6" t="s">
        <v>396</v>
      </c>
      <c r="C144" s="31" t="s">
        <v>403</v>
      </c>
      <c r="D144" s="6" t="s">
        <v>3010</v>
      </c>
      <c r="E144" s="78" t="s">
        <v>3009</v>
      </c>
      <c r="F144" s="31" t="s">
        <v>3008</v>
      </c>
      <c r="G144" s="31" t="s">
        <v>3007</v>
      </c>
      <c r="H144" s="67" t="s">
        <v>396</v>
      </c>
      <c r="I144" s="67" t="s">
        <v>396</v>
      </c>
      <c r="J144" s="77" t="s">
        <v>3027</v>
      </c>
      <c r="K144" s="77" t="s">
        <v>3027</v>
      </c>
      <c r="L144" s="67" t="s">
        <v>2068</v>
      </c>
      <c r="M144" s="10" t="s">
        <v>655</v>
      </c>
      <c r="N144" s="1" t="s">
        <v>3005</v>
      </c>
      <c r="O144" s="31" t="s">
        <v>3004</v>
      </c>
      <c r="P144" s="31" t="s">
        <v>2069</v>
      </c>
      <c r="Q144" s="18" t="s">
        <v>2068</v>
      </c>
      <c r="R144" s="56" t="s">
        <v>3003</v>
      </c>
      <c r="S144" s="5" t="s">
        <v>3018</v>
      </c>
      <c r="T144" s="102">
        <v>10</v>
      </c>
      <c r="U144" s="76">
        <v>600</v>
      </c>
      <c r="V144" s="76">
        <v>600</v>
      </c>
      <c r="W144" s="67" t="s">
        <v>396</v>
      </c>
      <c r="X144" s="102">
        <v>10</v>
      </c>
      <c r="Y144" s="13">
        <v>6.81</v>
      </c>
      <c r="Z144" s="75">
        <v>0.25</v>
      </c>
      <c r="AA144" s="67" t="s">
        <v>396</v>
      </c>
      <c r="AB144" s="56"/>
      <c r="AC144" s="56"/>
      <c r="AD144" s="56"/>
      <c r="AE144" s="67" t="s">
        <v>399</v>
      </c>
      <c r="AF144" s="67" t="s">
        <v>399</v>
      </c>
      <c r="AG144" s="67" t="s">
        <v>399</v>
      </c>
      <c r="AH144" s="56"/>
      <c r="AI144" s="56"/>
      <c r="AJ144" s="56"/>
      <c r="AK144" s="10" t="s">
        <v>643</v>
      </c>
      <c r="AL144" s="17">
        <v>3496250247581</v>
      </c>
      <c r="AM144" s="15" t="s">
        <v>643</v>
      </c>
      <c r="AN144" s="5">
        <v>68091100</v>
      </c>
      <c r="AO144" s="6" t="s">
        <v>3017</v>
      </c>
      <c r="AP144" s="6" t="s">
        <v>3016</v>
      </c>
      <c r="AQ144" s="6" t="s">
        <v>3032</v>
      </c>
      <c r="AR144" s="6" t="s">
        <v>3031</v>
      </c>
      <c r="AS144" s="6" t="s">
        <v>3030</v>
      </c>
    </row>
    <row r="145" spans="1:45" s="16" customFormat="1" ht="12.75" customHeight="1">
      <c r="A145" s="89" t="s">
        <v>3029</v>
      </c>
      <c r="B145" s="18" t="s">
        <v>3028</v>
      </c>
      <c r="C145" s="18" t="s">
        <v>403</v>
      </c>
      <c r="D145" s="18" t="s">
        <v>3010</v>
      </c>
      <c r="E145" s="83" t="s">
        <v>3009</v>
      </c>
      <c r="F145" s="18" t="s">
        <v>3008</v>
      </c>
      <c r="G145" s="18" t="s">
        <v>3007</v>
      </c>
      <c r="H145" s="19" t="s">
        <v>396</v>
      </c>
      <c r="I145" s="19" t="s">
        <v>396</v>
      </c>
      <c r="J145" s="91" t="s">
        <v>3027</v>
      </c>
      <c r="K145" s="91" t="s">
        <v>3027</v>
      </c>
      <c r="L145" s="19" t="s">
        <v>2068</v>
      </c>
      <c r="M145" s="16" t="s">
        <v>655</v>
      </c>
      <c r="N145" s="101" t="s">
        <v>3005</v>
      </c>
      <c r="O145" s="18" t="s">
        <v>3004</v>
      </c>
      <c r="P145" s="18" t="s">
        <v>2069</v>
      </c>
      <c r="Q145" s="18" t="s">
        <v>2068</v>
      </c>
      <c r="R145" s="16" t="s">
        <v>3003</v>
      </c>
      <c r="S145" s="16" t="s">
        <v>3002</v>
      </c>
      <c r="T145" s="45">
        <v>12.5</v>
      </c>
      <c r="U145" s="45">
        <v>600</v>
      </c>
      <c r="V145" s="45">
        <v>600</v>
      </c>
      <c r="W145" s="19" t="s">
        <v>396</v>
      </c>
      <c r="X145" s="45">
        <v>12.5</v>
      </c>
      <c r="Y145" s="42">
        <v>7.87</v>
      </c>
      <c r="Z145" s="41">
        <v>0.25</v>
      </c>
      <c r="AA145" s="19" t="s">
        <v>396</v>
      </c>
      <c r="AE145" s="19" t="s">
        <v>399</v>
      </c>
      <c r="AF145" s="19" t="s">
        <v>399</v>
      </c>
      <c r="AG145" s="19" t="s">
        <v>399</v>
      </c>
      <c r="AK145" s="16" t="s">
        <v>643</v>
      </c>
      <c r="AL145" s="17">
        <v>3496250305830</v>
      </c>
      <c r="AM145" s="15" t="s">
        <v>643</v>
      </c>
      <c r="AN145" s="5">
        <v>68091100</v>
      </c>
      <c r="AO145" s="6"/>
      <c r="AP145" s="6"/>
      <c r="AQ145" s="6" t="s">
        <v>3026</v>
      </c>
      <c r="AR145" s="6" t="s">
        <v>3025</v>
      </c>
      <c r="AS145" s="6" t="s">
        <v>3024</v>
      </c>
    </row>
    <row r="146" spans="1:45" ht="12.75" customHeight="1">
      <c r="A146" s="78" t="s">
        <v>3023</v>
      </c>
      <c r="B146" s="6" t="s">
        <v>396</v>
      </c>
      <c r="C146" s="31" t="s">
        <v>403</v>
      </c>
      <c r="D146" s="6" t="s">
        <v>3010</v>
      </c>
      <c r="E146" s="78" t="s">
        <v>3009</v>
      </c>
      <c r="F146" s="31" t="s">
        <v>3008</v>
      </c>
      <c r="G146" s="31" t="s">
        <v>3007</v>
      </c>
      <c r="H146" s="67" t="s">
        <v>396</v>
      </c>
      <c r="I146" s="67" t="s">
        <v>396</v>
      </c>
      <c r="J146" s="77" t="s">
        <v>3006</v>
      </c>
      <c r="K146" s="77" t="s">
        <v>3006</v>
      </c>
      <c r="L146" s="67" t="s">
        <v>2068</v>
      </c>
      <c r="M146" s="10" t="s">
        <v>655</v>
      </c>
      <c r="N146" s="1" t="s">
        <v>3005</v>
      </c>
      <c r="O146" s="31" t="s">
        <v>3004</v>
      </c>
      <c r="P146" s="31" t="s">
        <v>2069</v>
      </c>
      <c r="Q146" s="18" t="s">
        <v>2068</v>
      </c>
      <c r="R146" s="56" t="s">
        <v>3003</v>
      </c>
      <c r="S146" s="5" t="s">
        <v>655</v>
      </c>
      <c r="T146" s="102">
        <v>10</v>
      </c>
      <c r="U146" s="76">
        <v>600</v>
      </c>
      <c r="V146" s="76">
        <v>600</v>
      </c>
      <c r="W146" s="67" t="s">
        <v>396</v>
      </c>
      <c r="X146" s="102">
        <v>10</v>
      </c>
      <c r="Y146" s="13">
        <v>7.23</v>
      </c>
      <c r="Z146" s="75">
        <v>0.25</v>
      </c>
      <c r="AA146" s="67" t="s">
        <v>396</v>
      </c>
      <c r="AB146" s="56"/>
      <c r="AC146" s="56"/>
      <c r="AD146" s="56"/>
      <c r="AE146" s="67" t="s">
        <v>399</v>
      </c>
      <c r="AF146" s="67" t="s">
        <v>399</v>
      </c>
      <c r="AG146" s="67" t="s">
        <v>399</v>
      </c>
      <c r="AH146" s="56"/>
      <c r="AI146" s="56"/>
      <c r="AJ146" s="56"/>
      <c r="AK146" s="10" t="s">
        <v>643</v>
      </c>
      <c r="AL146" s="17">
        <v>3496250247611</v>
      </c>
      <c r="AM146" s="15" t="s">
        <v>643</v>
      </c>
      <c r="AN146" s="5">
        <v>68091900</v>
      </c>
      <c r="AO146" s="6" t="s">
        <v>3017</v>
      </c>
      <c r="AP146" s="6" t="s">
        <v>3016</v>
      </c>
      <c r="AQ146" s="6" t="s">
        <v>3022</v>
      </c>
      <c r="AR146" s="6" t="s">
        <v>3021</v>
      </c>
      <c r="AS146" s="6" t="s">
        <v>3020</v>
      </c>
    </row>
    <row r="147" spans="1:45" ht="12.75" customHeight="1">
      <c r="A147" s="78" t="s">
        <v>3019</v>
      </c>
      <c r="B147" s="6" t="s">
        <v>396</v>
      </c>
      <c r="C147" s="31" t="s">
        <v>403</v>
      </c>
      <c r="D147" s="6" t="s">
        <v>3010</v>
      </c>
      <c r="E147" s="78" t="s">
        <v>3009</v>
      </c>
      <c r="F147" s="31" t="s">
        <v>3008</v>
      </c>
      <c r="G147" s="31" t="s">
        <v>3007</v>
      </c>
      <c r="H147" s="67" t="s">
        <v>396</v>
      </c>
      <c r="I147" s="67" t="s">
        <v>396</v>
      </c>
      <c r="J147" s="77" t="s">
        <v>3006</v>
      </c>
      <c r="K147" s="77" t="s">
        <v>3006</v>
      </c>
      <c r="L147" s="67" t="s">
        <v>2068</v>
      </c>
      <c r="M147" s="10" t="s">
        <v>655</v>
      </c>
      <c r="N147" s="1" t="s">
        <v>3005</v>
      </c>
      <c r="O147" s="31" t="s">
        <v>3004</v>
      </c>
      <c r="P147" s="31" t="s">
        <v>2069</v>
      </c>
      <c r="Q147" s="18" t="s">
        <v>2068</v>
      </c>
      <c r="R147" s="56" t="s">
        <v>3003</v>
      </c>
      <c r="S147" s="5" t="s">
        <v>3018</v>
      </c>
      <c r="T147" s="102">
        <v>10</v>
      </c>
      <c r="U147" s="76">
        <v>600</v>
      </c>
      <c r="V147" s="76">
        <v>600</v>
      </c>
      <c r="W147" s="67" t="s">
        <v>396</v>
      </c>
      <c r="X147" s="102">
        <v>10</v>
      </c>
      <c r="Y147" s="13">
        <v>6.89</v>
      </c>
      <c r="Z147" s="75">
        <v>0.25</v>
      </c>
      <c r="AA147" s="67" t="s">
        <v>396</v>
      </c>
      <c r="AB147" s="56"/>
      <c r="AC147" s="56"/>
      <c r="AD147" s="56"/>
      <c r="AE147" s="67" t="s">
        <v>399</v>
      </c>
      <c r="AF147" s="67" t="s">
        <v>399</v>
      </c>
      <c r="AG147" s="67" t="s">
        <v>399</v>
      </c>
      <c r="AH147" s="56"/>
      <c r="AI147" s="56"/>
      <c r="AJ147" s="56"/>
      <c r="AK147" s="10" t="s">
        <v>643</v>
      </c>
      <c r="AL147" s="17">
        <v>3496250247635</v>
      </c>
      <c r="AM147" s="15" t="s">
        <v>643</v>
      </c>
      <c r="AN147" s="5">
        <v>68091900</v>
      </c>
      <c r="AO147" s="6" t="s">
        <v>3017</v>
      </c>
      <c r="AP147" s="6" t="s">
        <v>3016</v>
      </c>
      <c r="AQ147" s="6" t="s">
        <v>3015</v>
      </c>
      <c r="AR147" s="6" t="s">
        <v>3014</v>
      </c>
      <c r="AS147" s="6" t="s">
        <v>3013</v>
      </c>
    </row>
    <row r="148" spans="1:45" s="16" customFormat="1" ht="12.75" customHeight="1">
      <c r="A148" s="89" t="s">
        <v>3012</v>
      </c>
      <c r="B148" s="18" t="s">
        <v>3011</v>
      </c>
      <c r="C148" s="18" t="s">
        <v>403</v>
      </c>
      <c r="D148" s="18" t="s">
        <v>3010</v>
      </c>
      <c r="E148" s="83" t="s">
        <v>3009</v>
      </c>
      <c r="F148" s="18" t="s">
        <v>3008</v>
      </c>
      <c r="G148" s="18" t="s">
        <v>3007</v>
      </c>
      <c r="H148" s="19" t="s">
        <v>396</v>
      </c>
      <c r="I148" s="19" t="s">
        <v>396</v>
      </c>
      <c r="J148" s="91" t="s">
        <v>3006</v>
      </c>
      <c r="K148" s="91" t="s">
        <v>3006</v>
      </c>
      <c r="L148" s="19" t="s">
        <v>2068</v>
      </c>
      <c r="M148" s="16" t="s">
        <v>655</v>
      </c>
      <c r="N148" s="101" t="s">
        <v>3005</v>
      </c>
      <c r="O148" s="18" t="s">
        <v>3004</v>
      </c>
      <c r="P148" s="18" t="s">
        <v>2069</v>
      </c>
      <c r="Q148" s="18" t="s">
        <v>2068</v>
      </c>
      <c r="R148" s="16" t="s">
        <v>3003</v>
      </c>
      <c r="S148" s="16" t="s">
        <v>3002</v>
      </c>
      <c r="T148" s="45">
        <v>12.5</v>
      </c>
      <c r="U148" s="45">
        <v>600</v>
      </c>
      <c r="V148" s="45">
        <v>600</v>
      </c>
      <c r="W148" s="19" t="s">
        <v>396</v>
      </c>
      <c r="X148" s="45">
        <v>12.5</v>
      </c>
      <c r="Y148" s="42">
        <v>7.97</v>
      </c>
      <c r="Z148" s="41">
        <v>0.25</v>
      </c>
      <c r="AA148" s="19" t="s">
        <v>396</v>
      </c>
      <c r="AE148" s="19" t="s">
        <v>399</v>
      </c>
      <c r="AF148" s="19" t="s">
        <v>399</v>
      </c>
      <c r="AG148" s="19" t="s">
        <v>399</v>
      </c>
      <c r="AK148" s="16" t="s">
        <v>643</v>
      </c>
      <c r="AL148" s="17">
        <v>3496250305861</v>
      </c>
      <c r="AM148" s="15" t="s">
        <v>643</v>
      </c>
      <c r="AN148" s="5">
        <v>68091100</v>
      </c>
      <c r="AO148" s="6"/>
      <c r="AP148" s="6"/>
      <c r="AQ148" s="6" t="s">
        <v>3001</v>
      </c>
      <c r="AR148" s="6" t="s">
        <v>3000</v>
      </c>
      <c r="AS148" s="6" t="s">
        <v>2999</v>
      </c>
    </row>
    <row r="149" spans="1:45" s="16" customFormat="1" ht="12.75" customHeight="1">
      <c r="A149" s="89" t="s">
        <v>2998</v>
      </c>
      <c r="B149" s="18" t="s">
        <v>2997</v>
      </c>
      <c r="C149" s="18" t="s">
        <v>403</v>
      </c>
      <c r="D149" s="18" t="s">
        <v>2956</v>
      </c>
      <c r="E149" s="83" t="s">
        <v>2955</v>
      </c>
      <c r="F149" s="18" t="s">
        <v>2954</v>
      </c>
      <c r="G149" s="18" t="s">
        <v>2953</v>
      </c>
      <c r="H149" s="19" t="s">
        <v>396</v>
      </c>
      <c r="I149" s="19" t="s">
        <v>396</v>
      </c>
      <c r="J149" s="91" t="s">
        <v>2991</v>
      </c>
      <c r="K149" s="91" t="s">
        <v>2991</v>
      </c>
      <c r="L149" s="19" t="s">
        <v>2068</v>
      </c>
      <c r="M149" s="16" t="s">
        <v>655</v>
      </c>
      <c r="N149" s="101" t="s">
        <v>2990</v>
      </c>
      <c r="O149" s="16" t="s">
        <v>2989</v>
      </c>
      <c r="P149" s="18" t="s">
        <v>2069</v>
      </c>
      <c r="Q149" s="18" t="s">
        <v>2068</v>
      </c>
      <c r="R149" s="16" t="s">
        <v>2949</v>
      </c>
      <c r="S149" s="16" t="s">
        <v>2948</v>
      </c>
      <c r="T149" s="45">
        <v>12.5</v>
      </c>
      <c r="U149" s="45">
        <v>300</v>
      </c>
      <c r="V149" s="45">
        <v>1800</v>
      </c>
      <c r="W149" s="19" t="s">
        <v>396</v>
      </c>
      <c r="X149" s="45">
        <v>12.5</v>
      </c>
      <c r="Y149" s="42">
        <v>9.69</v>
      </c>
      <c r="Z149" s="41">
        <v>0.25</v>
      </c>
      <c r="AA149" s="19" t="s">
        <v>396</v>
      </c>
      <c r="AE149" s="19" t="s">
        <v>399</v>
      </c>
      <c r="AF149" s="19" t="s">
        <v>399</v>
      </c>
      <c r="AG149" s="19" t="s">
        <v>399</v>
      </c>
      <c r="AK149" s="16" t="s">
        <v>643</v>
      </c>
      <c r="AL149" s="15">
        <v>7318932144819</v>
      </c>
      <c r="AM149" s="15" t="s">
        <v>735</v>
      </c>
      <c r="AN149" s="5">
        <v>68091900</v>
      </c>
      <c r="AO149" s="6"/>
      <c r="AP149" s="6"/>
      <c r="AQ149" s="6" t="s">
        <v>2996</v>
      </c>
      <c r="AR149" s="6" t="s">
        <v>2995</v>
      </c>
      <c r="AS149" s="6" t="s">
        <v>2994</v>
      </c>
    </row>
    <row r="150" spans="1:45" s="16" customFormat="1" ht="12.75" customHeight="1">
      <c r="A150" s="89" t="s">
        <v>2993</v>
      </c>
      <c r="B150" s="18" t="s">
        <v>2992</v>
      </c>
      <c r="C150" s="18" t="s">
        <v>403</v>
      </c>
      <c r="D150" s="18" t="s">
        <v>2956</v>
      </c>
      <c r="E150" s="83" t="s">
        <v>2955</v>
      </c>
      <c r="F150" s="18" t="s">
        <v>2954</v>
      </c>
      <c r="G150" s="18" t="s">
        <v>2953</v>
      </c>
      <c r="H150" s="19" t="s">
        <v>396</v>
      </c>
      <c r="I150" s="19" t="s">
        <v>396</v>
      </c>
      <c r="J150" s="91" t="s">
        <v>2991</v>
      </c>
      <c r="K150" s="91" t="s">
        <v>2991</v>
      </c>
      <c r="L150" s="19" t="s">
        <v>2068</v>
      </c>
      <c r="M150" s="16" t="s">
        <v>655</v>
      </c>
      <c r="N150" s="101" t="s">
        <v>2990</v>
      </c>
      <c r="O150" s="16" t="s">
        <v>2989</v>
      </c>
      <c r="P150" s="18" t="s">
        <v>2069</v>
      </c>
      <c r="Q150" s="18" t="s">
        <v>2068</v>
      </c>
      <c r="R150" s="16" t="s">
        <v>2949</v>
      </c>
      <c r="S150" s="16" t="s">
        <v>2948</v>
      </c>
      <c r="T150" s="45">
        <v>12.5</v>
      </c>
      <c r="U150" s="45">
        <v>300</v>
      </c>
      <c r="V150" s="45">
        <v>2100</v>
      </c>
      <c r="W150" s="19" t="s">
        <v>396</v>
      </c>
      <c r="X150" s="45">
        <v>12.5</v>
      </c>
      <c r="Y150" s="42">
        <v>9.69</v>
      </c>
      <c r="Z150" s="41">
        <v>0.25</v>
      </c>
      <c r="AA150" s="19" t="s">
        <v>396</v>
      </c>
      <c r="AE150" s="19" t="s">
        <v>399</v>
      </c>
      <c r="AF150" s="19" t="s">
        <v>399</v>
      </c>
      <c r="AG150" s="19" t="s">
        <v>399</v>
      </c>
      <c r="AK150" s="18" t="s">
        <v>643</v>
      </c>
      <c r="AL150" s="15">
        <v>7318932144857</v>
      </c>
      <c r="AM150" s="15" t="s">
        <v>735</v>
      </c>
      <c r="AN150" s="5">
        <v>68091900</v>
      </c>
      <c r="AO150" s="6"/>
      <c r="AP150" s="6"/>
      <c r="AQ150" s="6" t="s">
        <v>2988</v>
      </c>
      <c r="AR150" s="6" t="s">
        <v>2987</v>
      </c>
      <c r="AS150" s="6" t="s">
        <v>2986</v>
      </c>
    </row>
    <row r="151" spans="1:45" s="16" customFormat="1" ht="12.75" customHeight="1">
      <c r="A151" s="89" t="s">
        <v>2985</v>
      </c>
      <c r="B151" s="18" t="s">
        <v>2984</v>
      </c>
      <c r="C151" s="18" t="s">
        <v>403</v>
      </c>
      <c r="D151" s="18" t="s">
        <v>2956</v>
      </c>
      <c r="E151" s="83" t="s">
        <v>2955</v>
      </c>
      <c r="F151" s="18" t="s">
        <v>2954</v>
      </c>
      <c r="G151" s="18" t="s">
        <v>2953</v>
      </c>
      <c r="H151" s="19" t="s">
        <v>396</v>
      </c>
      <c r="I151" s="19" t="s">
        <v>396</v>
      </c>
      <c r="J151" s="91" t="s">
        <v>2978</v>
      </c>
      <c r="K151" s="91" t="s">
        <v>2978</v>
      </c>
      <c r="L151" s="19" t="s">
        <v>2068</v>
      </c>
      <c r="M151" s="16" t="s">
        <v>655</v>
      </c>
      <c r="N151" s="101" t="s">
        <v>2951</v>
      </c>
      <c r="O151" s="16" t="s">
        <v>2950</v>
      </c>
      <c r="P151" s="18" t="s">
        <v>2069</v>
      </c>
      <c r="Q151" s="18" t="s">
        <v>2068</v>
      </c>
      <c r="R151" s="16" t="s">
        <v>2949</v>
      </c>
      <c r="S151" s="16" t="s">
        <v>2948</v>
      </c>
      <c r="T151" s="45">
        <v>12.5</v>
      </c>
      <c r="U151" s="45">
        <v>300</v>
      </c>
      <c r="V151" s="45">
        <v>1800</v>
      </c>
      <c r="W151" s="19" t="s">
        <v>396</v>
      </c>
      <c r="X151" s="45">
        <v>12.5</v>
      </c>
      <c r="Y151" s="42">
        <v>7.9</v>
      </c>
      <c r="Z151" s="41">
        <v>0.25</v>
      </c>
      <c r="AA151" s="19" t="s">
        <v>396</v>
      </c>
      <c r="AE151" s="19" t="s">
        <v>399</v>
      </c>
      <c r="AF151" s="19" t="s">
        <v>399</v>
      </c>
      <c r="AG151" s="19" t="s">
        <v>399</v>
      </c>
      <c r="AK151" s="16" t="s">
        <v>643</v>
      </c>
      <c r="AL151" s="15">
        <v>7318932144789</v>
      </c>
      <c r="AM151" s="15" t="s">
        <v>735</v>
      </c>
      <c r="AN151" s="5">
        <v>68091100</v>
      </c>
      <c r="AO151" s="6"/>
      <c r="AP151" s="6"/>
      <c r="AQ151" s="6" t="s">
        <v>2983</v>
      </c>
      <c r="AR151" s="6" t="s">
        <v>2982</v>
      </c>
      <c r="AS151" s="6" t="s">
        <v>2981</v>
      </c>
    </row>
    <row r="152" spans="1:45" s="16" customFormat="1" ht="12.75" customHeight="1">
      <c r="A152" s="89" t="s">
        <v>2980</v>
      </c>
      <c r="B152" s="18" t="s">
        <v>2979</v>
      </c>
      <c r="C152" s="18" t="s">
        <v>403</v>
      </c>
      <c r="D152" s="18" t="s">
        <v>2956</v>
      </c>
      <c r="E152" s="83" t="s">
        <v>2955</v>
      </c>
      <c r="F152" s="18" t="s">
        <v>2954</v>
      </c>
      <c r="G152" s="18" t="s">
        <v>2953</v>
      </c>
      <c r="H152" s="19" t="s">
        <v>396</v>
      </c>
      <c r="I152" s="19" t="s">
        <v>396</v>
      </c>
      <c r="J152" s="91" t="s">
        <v>2978</v>
      </c>
      <c r="K152" s="91" t="s">
        <v>2978</v>
      </c>
      <c r="L152" s="19" t="s">
        <v>2068</v>
      </c>
      <c r="M152" s="16" t="s">
        <v>655</v>
      </c>
      <c r="N152" s="16" t="s">
        <v>2951</v>
      </c>
      <c r="O152" s="16" t="s">
        <v>2950</v>
      </c>
      <c r="P152" s="18" t="s">
        <v>2069</v>
      </c>
      <c r="Q152" s="18" t="s">
        <v>2068</v>
      </c>
      <c r="R152" s="16" t="s">
        <v>2949</v>
      </c>
      <c r="S152" s="16" t="s">
        <v>2948</v>
      </c>
      <c r="T152" s="45">
        <v>12.5</v>
      </c>
      <c r="U152" s="45">
        <v>300</v>
      </c>
      <c r="V152" s="45">
        <v>1800</v>
      </c>
      <c r="W152" s="19" t="s">
        <v>396</v>
      </c>
      <c r="X152" s="45">
        <v>12.5</v>
      </c>
      <c r="Y152" s="42">
        <v>7.9</v>
      </c>
      <c r="Z152" s="41">
        <v>0.25</v>
      </c>
      <c r="AA152" s="19" t="s">
        <v>396</v>
      </c>
      <c r="AE152" s="19" t="s">
        <v>399</v>
      </c>
      <c r="AF152" s="19" t="s">
        <v>399</v>
      </c>
      <c r="AG152" s="19" t="s">
        <v>399</v>
      </c>
      <c r="AK152" s="16" t="s">
        <v>643</v>
      </c>
      <c r="AL152" s="15">
        <v>7318932144826</v>
      </c>
      <c r="AM152" s="15" t="s">
        <v>735</v>
      </c>
      <c r="AN152" s="5">
        <v>68091100</v>
      </c>
      <c r="AO152" s="6"/>
      <c r="AP152" s="6"/>
      <c r="AQ152" s="6" t="s">
        <v>2977</v>
      </c>
      <c r="AR152" s="6" t="s">
        <v>2976</v>
      </c>
      <c r="AS152" s="6" t="s">
        <v>2975</v>
      </c>
    </row>
    <row r="153" spans="1:45" s="16" customFormat="1" ht="12.75" customHeight="1">
      <c r="A153" s="89" t="s">
        <v>2974</v>
      </c>
      <c r="B153" s="18" t="s">
        <v>2973</v>
      </c>
      <c r="C153" s="18" t="s">
        <v>403</v>
      </c>
      <c r="D153" s="18" t="s">
        <v>2956</v>
      </c>
      <c r="E153" s="83" t="s">
        <v>2955</v>
      </c>
      <c r="F153" s="18" t="s">
        <v>2954</v>
      </c>
      <c r="G153" s="18" t="s">
        <v>2953</v>
      </c>
      <c r="H153" s="19" t="s">
        <v>396</v>
      </c>
      <c r="I153" s="19" t="s">
        <v>396</v>
      </c>
      <c r="J153" s="91" t="s">
        <v>2967</v>
      </c>
      <c r="K153" s="91" t="s">
        <v>2967</v>
      </c>
      <c r="L153" s="19" t="s">
        <v>2068</v>
      </c>
      <c r="M153" s="16" t="s">
        <v>655</v>
      </c>
      <c r="N153" s="16" t="s">
        <v>2951</v>
      </c>
      <c r="O153" s="16" t="s">
        <v>2950</v>
      </c>
      <c r="P153" s="18" t="s">
        <v>2069</v>
      </c>
      <c r="Q153" s="18" t="s">
        <v>2068</v>
      </c>
      <c r="R153" s="16" t="s">
        <v>2949</v>
      </c>
      <c r="S153" s="16" t="s">
        <v>2948</v>
      </c>
      <c r="T153" s="45">
        <v>12.5</v>
      </c>
      <c r="U153" s="45">
        <v>300</v>
      </c>
      <c r="V153" s="45">
        <v>1800</v>
      </c>
      <c r="W153" s="19" t="s">
        <v>396</v>
      </c>
      <c r="X153" s="45">
        <v>12.5</v>
      </c>
      <c r="Y153" s="42">
        <v>8.43</v>
      </c>
      <c r="Z153" s="41">
        <v>0.25</v>
      </c>
      <c r="AA153" s="19" t="s">
        <v>396</v>
      </c>
      <c r="AE153" s="19" t="s">
        <v>399</v>
      </c>
      <c r="AF153" s="19" t="s">
        <v>399</v>
      </c>
      <c r="AG153" s="19" t="s">
        <v>399</v>
      </c>
      <c r="AK153" s="16" t="s">
        <v>643</v>
      </c>
      <c r="AL153" s="15">
        <v>7318932144796</v>
      </c>
      <c r="AM153" s="15" t="s">
        <v>735</v>
      </c>
      <c r="AN153" s="5">
        <v>68091100</v>
      </c>
      <c r="AO153" s="6"/>
      <c r="AP153" s="6"/>
      <c r="AQ153" s="6" t="s">
        <v>2972</v>
      </c>
      <c r="AR153" s="6" t="s">
        <v>2971</v>
      </c>
      <c r="AS153" s="6" t="s">
        <v>2970</v>
      </c>
    </row>
    <row r="154" spans="1:45" s="16" customFormat="1" ht="12.75" customHeight="1">
      <c r="A154" s="89" t="s">
        <v>2969</v>
      </c>
      <c r="B154" s="18" t="s">
        <v>2968</v>
      </c>
      <c r="C154" s="18" t="s">
        <v>403</v>
      </c>
      <c r="D154" s="18" t="s">
        <v>2956</v>
      </c>
      <c r="E154" s="83" t="s">
        <v>2955</v>
      </c>
      <c r="F154" s="18" t="s">
        <v>2954</v>
      </c>
      <c r="G154" s="18" t="s">
        <v>2953</v>
      </c>
      <c r="H154" s="19" t="s">
        <v>396</v>
      </c>
      <c r="I154" s="19" t="s">
        <v>396</v>
      </c>
      <c r="J154" s="91" t="s">
        <v>2967</v>
      </c>
      <c r="K154" s="91" t="s">
        <v>2967</v>
      </c>
      <c r="L154" s="19" t="s">
        <v>2068</v>
      </c>
      <c r="M154" s="16" t="s">
        <v>655</v>
      </c>
      <c r="N154" s="16" t="s">
        <v>2951</v>
      </c>
      <c r="O154" s="16" t="s">
        <v>2950</v>
      </c>
      <c r="P154" s="18" t="s">
        <v>2069</v>
      </c>
      <c r="Q154" s="18" t="s">
        <v>2068</v>
      </c>
      <c r="R154" s="16" t="s">
        <v>2949</v>
      </c>
      <c r="S154" s="16" t="s">
        <v>2948</v>
      </c>
      <c r="T154" s="45">
        <v>12.5</v>
      </c>
      <c r="U154" s="45">
        <v>300</v>
      </c>
      <c r="V154" s="45">
        <v>2100</v>
      </c>
      <c r="W154" s="19" t="s">
        <v>396</v>
      </c>
      <c r="X154" s="45">
        <v>12.5</v>
      </c>
      <c r="Y154" s="42">
        <v>8.43</v>
      </c>
      <c r="Z154" s="41">
        <v>0.25</v>
      </c>
      <c r="AA154" s="19" t="s">
        <v>396</v>
      </c>
      <c r="AE154" s="19" t="s">
        <v>399</v>
      </c>
      <c r="AF154" s="19" t="s">
        <v>399</v>
      </c>
      <c r="AG154" s="19" t="s">
        <v>399</v>
      </c>
      <c r="AK154" s="16" t="s">
        <v>643</v>
      </c>
      <c r="AL154" s="15">
        <v>7318932144833</v>
      </c>
      <c r="AM154" s="15" t="s">
        <v>735</v>
      </c>
      <c r="AN154" s="5">
        <v>68091100</v>
      </c>
      <c r="AO154" s="6"/>
      <c r="AP154" s="6"/>
      <c r="AQ154" s="6" t="s">
        <v>2966</v>
      </c>
      <c r="AR154" s="6" t="s">
        <v>2965</v>
      </c>
      <c r="AS154" s="6" t="s">
        <v>2964</v>
      </c>
    </row>
    <row r="155" spans="1:45" s="16" customFormat="1" ht="12.75" customHeight="1">
      <c r="A155" s="89" t="s">
        <v>2963</v>
      </c>
      <c r="B155" s="18" t="s">
        <v>2962</v>
      </c>
      <c r="C155" s="18" t="s">
        <v>403</v>
      </c>
      <c r="D155" s="18" t="s">
        <v>2956</v>
      </c>
      <c r="E155" s="83" t="s">
        <v>2955</v>
      </c>
      <c r="F155" s="18" t="s">
        <v>2954</v>
      </c>
      <c r="G155" s="18" t="s">
        <v>2953</v>
      </c>
      <c r="H155" s="19" t="s">
        <v>396</v>
      </c>
      <c r="I155" s="19" t="s">
        <v>396</v>
      </c>
      <c r="J155" s="91" t="s">
        <v>2952</v>
      </c>
      <c r="K155" s="91" t="s">
        <v>2952</v>
      </c>
      <c r="L155" s="19" t="s">
        <v>2068</v>
      </c>
      <c r="M155" s="16" t="s">
        <v>655</v>
      </c>
      <c r="N155" s="16" t="s">
        <v>2951</v>
      </c>
      <c r="O155" s="16" t="s">
        <v>2950</v>
      </c>
      <c r="P155" s="18" t="s">
        <v>2069</v>
      </c>
      <c r="Q155" s="18" t="s">
        <v>2068</v>
      </c>
      <c r="R155" s="16" t="s">
        <v>2949</v>
      </c>
      <c r="S155" s="16" t="s">
        <v>2948</v>
      </c>
      <c r="T155" s="45">
        <v>12.5</v>
      </c>
      <c r="U155" s="45">
        <v>300</v>
      </c>
      <c r="V155" s="45">
        <v>1800</v>
      </c>
      <c r="W155" s="19" t="s">
        <v>396</v>
      </c>
      <c r="X155" s="45">
        <v>12.5</v>
      </c>
      <c r="Y155" s="42">
        <v>7.9</v>
      </c>
      <c r="Z155" s="41">
        <v>0.25</v>
      </c>
      <c r="AA155" s="19" t="s">
        <v>396</v>
      </c>
      <c r="AE155" s="19" t="s">
        <v>399</v>
      </c>
      <c r="AF155" s="19" t="s">
        <v>399</v>
      </c>
      <c r="AG155" s="19" t="s">
        <v>399</v>
      </c>
      <c r="AK155" s="16" t="s">
        <v>643</v>
      </c>
      <c r="AL155" s="15">
        <v>7318932144802</v>
      </c>
      <c r="AM155" s="15" t="s">
        <v>735</v>
      </c>
      <c r="AN155" s="5">
        <v>68091100</v>
      </c>
      <c r="AO155" s="6"/>
      <c r="AP155" s="6"/>
      <c r="AQ155" s="6" t="s">
        <v>2961</v>
      </c>
      <c r="AR155" s="6" t="s">
        <v>2960</v>
      </c>
      <c r="AS155" s="6" t="s">
        <v>2959</v>
      </c>
    </row>
    <row r="156" spans="1:45" s="16" customFormat="1" ht="12.75" customHeight="1">
      <c r="A156" s="89" t="s">
        <v>2958</v>
      </c>
      <c r="B156" s="18" t="s">
        <v>2957</v>
      </c>
      <c r="C156" s="18" t="s">
        <v>403</v>
      </c>
      <c r="D156" s="18" t="s">
        <v>2956</v>
      </c>
      <c r="E156" s="83" t="s">
        <v>2955</v>
      </c>
      <c r="F156" s="18" t="s">
        <v>2954</v>
      </c>
      <c r="G156" s="18" t="s">
        <v>2953</v>
      </c>
      <c r="H156" s="19" t="s">
        <v>396</v>
      </c>
      <c r="I156" s="19" t="s">
        <v>396</v>
      </c>
      <c r="J156" s="91" t="s">
        <v>2952</v>
      </c>
      <c r="K156" s="91" t="s">
        <v>2952</v>
      </c>
      <c r="L156" s="19" t="s">
        <v>2068</v>
      </c>
      <c r="M156" s="16" t="s">
        <v>655</v>
      </c>
      <c r="N156" s="16" t="s">
        <v>2951</v>
      </c>
      <c r="O156" s="16" t="s">
        <v>2950</v>
      </c>
      <c r="P156" s="18" t="s">
        <v>2069</v>
      </c>
      <c r="Q156" s="18" t="s">
        <v>2068</v>
      </c>
      <c r="R156" s="16" t="s">
        <v>2949</v>
      </c>
      <c r="S156" s="16" t="s">
        <v>2948</v>
      </c>
      <c r="T156" s="45">
        <v>12.5</v>
      </c>
      <c r="U156" s="45">
        <v>300</v>
      </c>
      <c r="V156" s="45">
        <v>2100</v>
      </c>
      <c r="W156" s="19" t="s">
        <v>396</v>
      </c>
      <c r="X156" s="45">
        <v>12.5</v>
      </c>
      <c r="Y156" s="42">
        <v>7.9</v>
      </c>
      <c r="Z156" s="41">
        <v>0.25</v>
      </c>
      <c r="AA156" s="19" t="s">
        <v>396</v>
      </c>
      <c r="AE156" s="19" t="s">
        <v>399</v>
      </c>
      <c r="AF156" s="19" t="s">
        <v>399</v>
      </c>
      <c r="AG156" s="19" t="s">
        <v>399</v>
      </c>
      <c r="AK156" s="16" t="s">
        <v>643</v>
      </c>
      <c r="AL156" s="15">
        <v>7318932144840</v>
      </c>
      <c r="AM156" s="15" t="s">
        <v>735</v>
      </c>
      <c r="AN156" s="5">
        <v>68091100</v>
      </c>
      <c r="AO156" s="6"/>
      <c r="AP156" s="6"/>
      <c r="AQ156" s="6" t="s">
        <v>2947</v>
      </c>
      <c r="AR156" s="6" t="s">
        <v>2946</v>
      </c>
      <c r="AS156" s="6" t="s">
        <v>2945</v>
      </c>
    </row>
    <row r="157" spans="1:45" ht="12.75" customHeight="1">
      <c r="A157" s="78" t="s">
        <v>2944</v>
      </c>
      <c r="B157" s="6" t="s">
        <v>396</v>
      </c>
      <c r="C157" s="31" t="s">
        <v>403</v>
      </c>
      <c r="D157" s="6" t="s">
        <v>2939</v>
      </c>
      <c r="E157" s="6" t="s">
        <v>2938</v>
      </c>
      <c r="F157" s="31" t="s">
        <v>2937</v>
      </c>
      <c r="G157" s="31" t="s">
        <v>2936</v>
      </c>
      <c r="H157" s="67" t="s">
        <v>396</v>
      </c>
      <c r="I157" s="67" t="s">
        <v>396</v>
      </c>
      <c r="J157" s="78" t="s">
        <v>2935</v>
      </c>
      <c r="K157" s="78" t="s">
        <v>2935</v>
      </c>
      <c r="L157" s="67" t="s">
        <v>2068</v>
      </c>
      <c r="M157" s="10" t="s">
        <v>655</v>
      </c>
      <c r="N157" s="1" t="s">
        <v>2934</v>
      </c>
      <c r="O157" s="10" t="s">
        <v>2933</v>
      </c>
      <c r="P157" s="77" t="s">
        <v>2918</v>
      </c>
      <c r="Q157" s="77" t="s">
        <v>1215</v>
      </c>
      <c r="R157" s="56" t="s">
        <v>2917</v>
      </c>
      <c r="S157" s="5" t="s">
        <v>655</v>
      </c>
      <c r="T157" s="76">
        <v>9.5</v>
      </c>
      <c r="U157" s="76">
        <v>595</v>
      </c>
      <c r="V157" s="76">
        <v>595</v>
      </c>
      <c r="W157" s="67" t="s">
        <v>396</v>
      </c>
      <c r="X157" s="76">
        <v>9.5</v>
      </c>
      <c r="Y157" s="13">
        <v>7.9</v>
      </c>
      <c r="Z157" s="75">
        <v>0.25</v>
      </c>
      <c r="AA157" s="67" t="s">
        <v>396</v>
      </c>
      <c r="AB157" s="56"/>
      <c r="AC157" s="56"/>
      <c r="AD157" s="56"/>
      <c r="AE157" s="38"/>
      <c r="AF157" s="67" t="s">
        <v>399</v>
      </c>
      <c r="AG157" s="38"/>
      <c r="AH157" s="56"/>
      <c r="AI157" s="56"/>
      <c r="AJ157" s="56"/>
      <c r="AK157" s="31" t="s">
        <v>395</v>
      </c>
      <c r="AL157" s="17">
        <v>8711149902446</v>
      </c>
      <c r="AM157" s="15" t="s">
        <v>395</v>
      </c>
      <c r="AN157" s="5">
        <v>68091900</v>
      </c>
      <c r="AO157" s="6" t="s">
        <v>2916</v>
      </c>
      <c r="AP157" s="6" t="s">
        <v>2915</v>
      </c>
      <c r="AQ157" s="6" t="s">
        <v>2943</v>
      </c>
      <c r="AR157" s="6" t="s">
        <v>2942</v>
      </c>
      <c r="AS157" s="6" t="s">
        <v>2941</v>
      </c>
    </row>
    <row r="158" spans="1:45" ht="12.75" customHeight="1">
      <c r="A158" s="77" t="s">
        <v>2940</v>
      </c>
      <c r="B158" s="6" t="s">
        <v>396</v>
      </c>
      <c r="C158" s="31" t="s">
        <v>403</v>
      </c>
      <c r="D158" s="6" t="s">
        <v>2939</v>
      </c>
      <c r="E158" s="6" t="s">
        <v>2938</v>
      </c>
      <c r="F158" s="31" t="s">
        <v>2937</v>
      </c>
      <c r="G158" s="31" t="s">
        <v>2936</v>
      </c>
      <c r="H158" s="67" t="s">
        <v>396</v>
      </c>
      <c r="I158" s="67" t="s">
        <v>396</v>
      </c>
      <c r="J158" s="78" t="s">
        <v>2935</v>
      </c>
      <c r="K158" s="78" t="s">
        <v>2935</v>
      </c>
      <c r="L158" s="67" t="s">
        <v>2068</v>
      </c>
      <c r="M158" s="10" t="s">
        <v>655</v>
      </c>
      <c r="N158" s="10" t="s">
        <v>2934</v>
      </c>
      <c r="O158" s="10" t="s">
        <v>2933</v>
      </c>
      <c r="P158" s="77" t="s">
        <v>2918</v>
      </c>
      <c r="Q158" s="77" t="s">
        <v>1215</v>
      </c>
      <c r="R158" s="56" t="s">
        <v>2917</v>
      </c>
      <c r="S158" s="5" t="s">
        <v>655</v>
      </c>
      <c r="T158" s="76">
        <v>9.5</v>
      </c>
      <c r="U158" s="76">
        <v>595</v>
      </c>
      <c r="V158" s="76">
        <v>1195</v>
      </c>
      <c r="W158" s="67" t="s">
        <v>396</v>
      </c>
      <c r="X158" s="76">
        <v>9.5</v>
      </c>
      <c r="Y158" s="13">
        <v>7.9</v>
      </c>
      <c r="Z158" s="75">
        <v>0.25</v>
      </c>
      <c r="AA158" s="67" t="s">
        <v>396</v>
      </c>
      <c r="AB158" s="56"/>
      <c r="AC158" s="56"/>
      <c r="AD158" s="56"/>
      <c r="AE158" s="38"/>
      <c r="AF158" s="67" t="s">
        <v>399</v>
      </c>
      <c r="AG158" s="38"/>
      <c r="AH158" s="56"/>
      <c r="AI158" s="56"/>
      <c r="AJ158" s="56"/>
      <c r="AK158" s="31" t="s">
        <v>395</v>
      </c>
      <c r="AL158" s="17">
        <v>8711149901708</v>
      </c>
      <c r="AM158" s="15" t="s">
        <v>395</v>
      </c>
      <c r="AN158" s="5">
        <v>68091900</v>
      </c>
      <c r="AO158" s="6" t="s">
        <v>2916</v>
      </c>
      <c r="AP158" s="6" t="s">
        <v>2915</v>
      </c>
      <c r="AQ158" s="6" t="s">
        <v>2932</v>
      </c>
      <c r="AR158" s="6" t="s">
        <v>2931</v>
      </c>
      <c r="AS158" s="6" t="s">
        <v>366</v>
      </c>
    </row>
    <row r="159" spans="1:45" ht="12.75" customHeight="1">
      <c r="A159" s="77" t="s">
        <v>2930</v>
      </c>
      <c r="B159" s="6" t="s">
        <v>396</v>
      </c>
      <c r="C159" s="31" t="s">
        <v>403</v>
      </c>
      <c r="D159" s="5" t="s">
        <v>2926</v>
      </c>
      <c r="E159" s="5" t="s">
        <v>2925</v>
      </c>
      <c r="F159" s="31" t="s">
        <v>2924</v>
      </c>
      <c r="G159" s="31" t="s">
        <v>2923</v>
      </c>
      <c r="H159" s="67" t="s">
        <v>396</v>
      </c>
      <c r="I159" s="67" t="s">
        <v>396</v>
      </c>
      <c r="J159" s="78" t="s">
        <v>2922</v>
      </c>
      <c r="K159" s="78" t="s">
        <v>2922</v>
      </c>
      <c r="L159" s="67" t="s">
        <v>2068</v>
      </c>
      <c r="M159" s="10" t="s">
        <v>2921</v>
      </c>
      <c r="N159" s="10" t="s">
        <v>2920</v>
      </c>
      <c r="O159" s="10" t="s">
        <v>2919</v>
      </c>
      <c r="P159" s="77" t="s">
        <v>2918</v>
      </c>
      <c r="Q159" s="77" t="s">
        <v>1215</v>
      </c>
      <c r="R159" s="56" t="s">
        <v>2917</v>
      </c>
      <c r="S159" s="5" t="s">
        <v>655</v>
      </c>
      <c r="T159" s="76">
        <v>12.5</v>
      </c>
      <c r="U159" s="76">
        <v>600</v>
      </c>
      <c r="V159" s="76">
        <v>600</v>
      </c>
      <c r="W159" s="67" t="s">
        <v>396</v>
      </c>
      <c r="X159" s="76">
        <v>12.5</v>
      </c>
      <c r="Y159" s="13">
        <v>11</v>
      </c>
      <c r="Z159" s="75">
        <v>0.25</v>
      </c>
      <c r="AA159" s="67" t="s">
        <v>396</v>
      </c>
      <c r="AB159" s="56"/>
      <c r="AC159" s="56"/>
      <c r="AD159" s="56"/>
      <c r="AE159" s="38"/>
      <c r="AF159" s="67" t="s">
        <v>399</v>
      </c>
      <c r="AG159" s="38"/>
      <c r="AH159" s="56"/>
      <c r="AI159" s="56"/>
      <c r="AJ159" s="56"/>
      <c r="AK159" s="31" t="s">
        <v>395</v>
      </c>
      <c r="AL159" s="17">
        <v>5413218564151</v>
      </c>
      <c r="AM159" s="15" t="s">
        <v>395</v>
      </c>
      <c r="AN159" s="5">
        <v>68091900</v>
      </c>
      <c r="AO159" s="6" t="s">
        <v>2916</v>
      </c>
      <c r="AP159" s="6" t="s">
        <v>2915</v>
      </c>
      <c r="AQ159" s="6" t="s">
        <v>2929</v>
      </c>
      <c r="AR159" s="6" t="s">
        <v>2928</v>
      </c>
      <c r="AS159" s="6" t="s">
        <v>366</v>
      </c>
    </row>
    <row r="160" spans="1:45" ht="12.75" customHeight="1">
      <c r="A160" s="77" t="s">
        <v>2927</v>
      </c>
      <c r="B160" s="6" t="s">
        <v>396</v>
      </c>
      <c r="C160" s="31" t="s">
        <v>403</v>
      </c>
      <c r="D160" s="5" t="s">
        <v>2926</v>
      </c>
      <c r="E160" s="5" t="s">
        <v>2925</v>
      </c>
      <c r="F160" s="31" t="s">
        <v>2924</v>
      </c>
      <c r="G160" s="31" t="s">
        <v>2923</v>
      </c>
      <c r="H160" s="67" t="s">
        <v>396</v>
      </c>
      <c r="I160" s="67" t="s">
        <v>396</v>
      </c>
      <c r="J160" s="78" t="s">
        <v>2922</v>
      </c>
      <c r="K160" s="78" t="s">
        <v>2922</v>
      </c>
      <c r="L160" s="67" t="s">
        <v>2068</v>
      </c>
      <c r="M160" s="10" t="s">
        <v>2921</v>
      </c>
      <c r="N160" s="10" t="s">
        <v>2920</v>
      </c>
      <c r="O160" s="10" t="s">
        <v>2919</v>
      </c>
      <c r="P160" s="77" t="s">
        <v>2918</v>
      </c>
      <c r="Q160" s="77" t="s">
        <v>1215</v>
      </c>
      <c r="R160" s="56" t="s">
        <v>2917</v>
      </c>
      <c r="S160" s="5" t="s">
        <v>655</v>
      </c>
      <c r="T160" s="76">
        <v>12.5</v>
      </c>
      <c r="U160" s="76">
        <v>600</v>
      </c>
      <c r="V160" s="76">
        <v>1200</v>
      </c>
      <c r="W160" s="67" t="s">
        <v>396</v>
      </c>
      <c r="X160" s="76">
        <v>12.5</v>
      </c>
      <c r="Y160" s="13">
        <v>11</v>
      </c>
      <c r="Z160" s="75">
        <v>0.25</v>
      </c>
      <c r="AA160" s="67" t="s">
        <v>396</v>
      </c>
      <c r="AB160" s="56"/>
      <c r="AC160" s="56"/>
      <c r="AD160" s="56"/>
      <c r="AE160" s="67" t="s">
        <v>399</v>
      </c>
      <c r="AF160" s="67" t="s">
        <v>399</v>
      </c>
      <c r="AG160" s="67" t="s">
        <v>399</v>
      </c>
      <c r="AH160" s="56"/>
      <c r="AI160" s="56"/>
      <c r="AJ160" s="56"/>
      <c r="AK160" s="31" t="s">
        <v>395</v>
      </c>
      <c r="AL160" s="17">
        <v>5413218566391</v>
      </c>
      <c r="AM160" s="15" t="s">
        <v>395</v>
      </c>
      <c r="AN160" s="5">
        <v>68091900</v>
      </c>
      <c r="AO160" s="6" t="s">
        <v>2916</v>
      </c>
      <c r="AP160" s="6" t="s">
        <v>2915</v>
      </c>
      <c r="AQ160" s="6" t="s">
        <v>2914</v>
      </c>
      <c r="AR160" s="6" t="s">
        <v>2913</v>
      </c>
      <c r="AS160" s="6" t="s">
        <v>366</v>
      </c>
    </row>
    <row r="161" spans="1:45" ht="12.75" customHeight="1">
      <c r="A161" s="78" t="s">
        <v>2912</v>
      </c>
      <c r="B161" s="6" t="s">
        <v>396</v>
      </c>
      <c r="C161" s="31" t="s">
        <v>403</v>
      </c>
      <c r="D161" s="6" t="s">
        <v>2884</v>
      </c>
      <c r="E161" s="6" t="s">
        <v>2884</v>
      </c>
      <c r="F161" s="31" t="s">
        <v>2883</v>
      </c>
      <c r="G161" s="31" t="s">
        <v>2882</v>
      </c>
      <c r="H161" s="67" t="s">
        <v>396</v>
      </c>
      <c r="I161" s="67" t="s">
        <v>396</v>
      </c>
      <c r="J161" s="78" t="s">
        <v>2911</v>
      </c>
      <c r="K161" s="78" t="s">
        <v>2911</v>
      </c>
      <c r="L161" s="67" t="s">
        <v>2068</v>
      </c>
      <c r="M161" s="10" t="s">
        <v>655</v>
      </c>
      <c r="N161" s="1" t="s">
        <v>2880</v>
      </c>
      <c r="O161" s="10" t="s">
        <v>2879</v>
      </c>
      <c r="P161" s="31" t="s">
        <v>2069</v>
      </c>
      <c r="Q161" s="18" t="s">
        <v>2068</v>
      </c>
      <c r="R161" s="56" t="s">
        <v>2878</v>
      </c>
      <c r="S161" s="5" t="s">
        <v>2639</v>
      </c>
      <c r="T161" s="76">
        <v>12.5</v>
      </c>
      <c r="U161" s="76">
        <v>900</v>
      </c>
      <c r="V161" s="76">
        <v>2700</v>
      </c>
      <c r="W161" s="67" t="s">
        <v>396</v>
      </c>
      <c r="X161" s="76">
        <v>12.5</v>
      </c>
      <c r="Y161" s="13">
        <v>8.16</v>
      </c>
      <c r="Z161" s="75">
        <v>0.25</v>
      </c>
      <c r="AA161" s="67" t="s">
        <v>396</v>
      </c>
      <c r="AB161" s="56"/>
      <c r="AC161" s="56"/>
      <c r="AD161" s="56"/>
      <c r="AE161" s="67" t="s">
        <v>399</v>
      </c>
      <c r="AF161" s="67" t="s">
        <v>399</v>
      </c>
      <c r="AG161" s="67" t="s">
        <v>399</v>
      </c>
      <c r="AH161" s="56"/>
      <c r="AI161" s="56"/>
      <c r="AJ161" s="56"/>
      <c r="AK161" s="10" t="s">
        <v>643</v>
      </c>
      <c r="AL161" s="17">
        <v>7318936605934</v>
      </c>
      <c r="AM161" s="15" t="s">
        <v>643</v>
      </c>
      <c r="AN161" s="5">
        <v>68091900</v>
      </c>
      <c r="AO161" s="6" t="s">
        <v>2877</v>
      </c>
      <c r="AP161" s="6" t="s">
        <v>2876</v>
      </c>
      <c r="AQ161" s="6"/>
      <c r="AR161" s="6"/>
      <c r="AS161" s="6" t="s">
        <v>2910</v>
      </c>
    </row>
    <row r="162" spans="1:45" ht="12.75" customHeight="1">
      <c r="A162" s="78" t="s">
        <v>2909</v>
      </c>
      <c r="B162" s="6" t="s">
        <v>396</v>
      </c>
      <c r="C162" s="31" t="s">
        <v>403</v>
      </c>
      <c r="D162" s="6" t="s">
        <v>2884</v>
      </c>
      <c r="E162" s="6" t="s">
        <v>2884</v>
      </c>
      <c r="F162" s="31" t="s">
        <v>2883</v>
      </c>
      <c r="G162" s="31" t="s">
        <v>2882</v>
      </c>
      <c r="H162" s="67" t="s">
        <v>396</v>
      </c>
      <c r="I162" s="67" t="s">
        <v>396</v>
      </c>
      <c r="J162" s="78" t="s">
        <v>2908</v>
      </c>
      <c r="K162" s="78" t="s">
        <v>2908</v>
      </c>
      <c r="L162" s="67" t="s">
        <v>2068</v>
      </c>
      <c r="M162" s="10" t="s">
        <v>655</v>
      </c>
      <c r="N162" s="10" t="s">
        <v>2880</v>
      </c>
      <c r="O162" s="10" t="s">
        <v>2879</v>
      </c>
      <c r="P162" s="31" t="s">
        <v>2069</v>
      </c>
      <c r="Q162" s="18" t="s">
        <v>2068</v>
      </c>
      <c r="R162" s="56" t="s">
        <v>2878</v>
      </c>
      <c r="S162" s="5" t="s">
        <v>2639</v>
      </c>
      <c r="T162" s="76">
        <v>12.5</v>
      </c>
      <c r="U162" s="76">
        <v>1200</v>
      </c>
      <c r="V162" s="76">
        <v>2400</v>
      </c>
      <c r="W162" s="67" t="s">
        <v>396</v>
      </c>
      <c r="X162" s="76">
        <v>12.5</v>
      </c>
      <c r="Y162" s="13">
        <v>8.6</v>
      </c>
      <c r="Z162" s="75">
        <v>0.25</v>
      </c>
      <c r="AA162" s="67" t="s">
        <v>396</v>
      </c>
      <c r="AB162" s="56"/>
      <c r="AC162" s="56"/>
      <c r="AD162" s="56"/>
      <c r="AE162" s="67" t="s">
        <v>399</v>
      </c>
      <c r="AF162" s="67" t="s">
        <v>399</v>
      </c>
      <c r="AG162" s="67" t="s">
        <v>399</v>
      </c>
      <c r="AH162" s="56"/>
      <c r="AI162" s="56"/>
      <c r="AJ162" s="56"/>
      <c r="AK162" s="10" t="s">
        <v>643</v>
      </c>
      <c r="AL162" s="17">
        <v>3496250247819</v>
      </c>
      <c r="AM162" s="15" t="s">
        <v>643</v>
      </c>
      <c r="AN162" s="5">
        <v>68091100</v>
      </c>
      <c r="AO162" s="6" t="s">
        <v>2877</v>
      </c>
      <c r="AP162" s="6" t="s">
        <v>2876</v>
      </c>
      <c r="AQ162" s="6"/>
      <c r="AR162" s="6"/>
      <c r="AS162" s="6" t="s">
        <v>2907</v>
      </c>
    </row>
    <row r="163" spans="1:45" ht="12.75" customHeight="1">
      <c r="A163" s="78" t="s">
        <v>2906</v>
      </c>
      <c r="B163" s="6" t="s">
        <v>396</v>
      </c>
      <c r="C163" s="31" t="s">
        <v>403</v>
      </c>
      <c r="D163" s="6" t="s">
        <v>2884</v>
      </c>
      <c r="E163" s="6" t="s">
        <v>2884</v>
      </c>
      <c r="F163" s="31" t="s">
        <v>2883</v>
      </c>
      <c r="G163" s="31" t="s">
        <v>2882</v>
      </c>
      <c r="H163" s="67" t="s">
        <v>396</v>
      </c>
      <c r="I163" s="67" t="s">
        <v>396</v>
      </c>
      <c r="J163" s="78" t="s">
        <v>2905</v>
      </c>
      <c r="K163" s="78" t="s">
        <v>2905</v>
      </c>
      <c r="L163" s="67" t="s">
        <v>2068</v>
      </c>
      <c r="M163" s="10" t="s">
        <v>655</v>
      </c>
      <c r="N163" s="10" t="s">
        <v>2880</v>
      </c>
      <c r="O163" s="10" t="s">
        <v>2879</v>
      </c>
      <c r="P163" s="31" t="s">
        <v>2069</v>
      </c>
      <c r="Q163" s="18" t="s">
        <v>2068</v>
      </c>
      <c r="R163" s="56" t="s">
        <v>2878</v>
      </c>
      <c r="S163" s="5" t="s">
        <v>2639</v>
      </c>
      <c r="T163" s="76">
        <v>12.5</v>
      </c>
      <c r="U163" s="76">
        <v>1200</v>
      </c>
      <c r="V163" s="76">
        <v>2400</v>
      </c>
      <c r="W163" s="67" t="s">
        <v>396</v>
      </c>
      <c r="X163" s="76">
        <v>12.5</v>
      </c>
      <c r="Y163" s="13">
        <v>8.34</v>
      </c>
      <c r="Z163" s="75">
        <v>0.25</v>
      </c>
      <c r="AA163" s="67" t="s">
        <v>396</v>
      </c>
      <c r="AB163" s="56"/>
      <c r="AC163" s="56"/>
      <c r="AD163" s="56"/>
      <c r="AE163" s="67" t="s">
        <v>399</v>
      </c>
      <c r="AF163" s="67" t="s">
        <v>399</v>
      </c>
      <c r="AG163" s="67" t="s">
        <v>399</v>
      </c>
      <c r="AH163" s="56"/>
      <c r="AI163" s="56"/>
      <c r="AJ163" s="56"/>
      <c r="AK163" s="10" t="s">
        <v>643</v>
      </c>
      <c r="AL163" s="17">
        <v>7318936641741</v>
      </c>
      <c r="AM163" s="15" t="s">
        <v>643</v>
      </c>
      <c r="AN163" s="5">
        <v>68091900</v>
      </c>
      <c r="AO163" s="6" t="s">
        <v>2877</v>
      </c>
      <c r="AP163" s="6" t="s">
        <v>2876</v>
      </c>
      <c r="AQ163" s="6"/>
      <c r="AR163" s="6"/>
      <c r="AS163" s="6" t="s">
        <v>2904</v>
      </c>
    </row>
    <row r="164" spans="1:45" ht="12.75" customHeight="1">
      <c r="A164" s="78" t="s">
        <v>2903</v>
      </c>
      <c r="B164" s="6" t="s">
        <v>396</v>
      </c>
      <c r="C164" s="31" t="s">
        <v>403</v>
      </c>
      <c r="D164" s="6" t="s">
        <v>2884</v>
      </c>
      <c r="E164" s="6" t="s">
        <v>2884</v>
      </c>
      <c r="F164" s="31" t="s">
        <v>2883</v>
      </c>
      <c r="G164" s="31" t="s">
        <v>2882</v>
      </c>
      <c r="H164" s="67" t="s">
        <v>396</v>
      </c>
      <c r="I164" s="67" t="s">
        <v>396</v>
      </c>
      <c r="J164" s="78" t="s">
        <v>2902</v>
      </c>
      <c r="K164" s="78" t="s">
        <v>2902</v>
      </c>
      <c r="L164" s="67" t="s">
        <v>2068</v>
      </c>
      <c r="M164" s="10" t="s">
        <v>655</v>
      </c>
      <c r="N164" s="10" t="s">
        <v>2880</v>
      </c>
      <c r="O164" s="10" t="s">
        <v>2879</v>
      </c>
      <c r="P164" s="31" t="s">
        <v>2069</v>
      </c>
      <c r="Q164" s="18" t="s">
        <v>2068</v>
      </c>
      <c r="R164" s="56" t="s">
        <v>2878</v>
      </c>
      <c r="S164" s="5" t="s">
        <v>2639</v>
      </c>
      <c r="T164" s="76">
        <v>12.5</v>
      </c>
      <c r="U164" s="76">
        <v>1200</v>
      </c>
      <c r="V164" s="76">
        <v>2400</v>
      </c>
      <c r="W164" s="67" t="s">
        <v>396</v>
      </c>
      <c r="X164" s="76">
        <v>12.5</v>
      </c>
      <c r="Y164" s="13">
        <v>8.34</v>
      </c>
      <c r="Z164" s="75">
        <v>0.25</v>
      </c>
      <c r="AA164" s="67" t="s">
        <v>396</v>
      </c>
      <c r="AB164" s="56"/>
      <c r="AC164" s="56"/>
      <c r="AD164" s="56"/>
      <c r="AE164" s="67" t="s">
        <v>399</v>
      </c>
      <c r="AF164" s="67" t="s">
        <v>399</v>
      </c>
      <c r="AG164" s="67" t="s">
        <v>399</v>
      </c>
      <c r="AH164" s="56"/>
      <c r="AI164" s="56"/>
      <c r="AJ164" s="56"/>
      <c r="AK164" s="10" t="s">
        <v>643</v>
      </c>
      <c r="AL164" s="17">
        <v>3496250190603</v>
      </c>
      <c r="AM164" s="15" t="s">
        <v>643</v>
      </c>
      <c r="AN164" s="5">
        <v>68091900</v>
      </c>
      <c r="AO164" s="6" t="s">
        <v>2877</v>
      </c>
      <c r="AP164" s="6" t="s">
        <v>2876</v>
      </c>
      <c r="AQ164" s="6"/>
      <c r="AR164" s="6"/>
      <c r="AS164" s="6" t="s">
        <v>2901</v>
      </c>
    </row>
    <row r="165" spans="1:45" ht="12.75" customHeight="1">
      <c r="A165" s="78" t="s">
        <v>2900</v>
      </c>
      <c r="B165" s="6" t="s">
        <v>396</v>
      </c>
      <c r="C165" s="31" t="s">
        <v>403</v>
      </c>
      <c r="D165" s="6" t="s">
        <v>2884</v>
      </c>
      <c r="E165" s="6" t="s">
        <v>2884</v>
      </c>
      <c r="F165" s="31" t="s">
        <v>2883</v>
      </c>
      <c r="G165" s="31" t="s">
        <v>2882</v>
      </c>
      <c r="H165" s="67" t="s">
        <v>396</v>
      </c>
      <c r="I165" s="67" t="s">
        <v>396</v>
      </c>
      <c r="J165" s="78" t="s">
        <v>2899</v>
      </c>
      <c r="K165" s="78" t="s">
        <v>2899</v>
      </c>
      <c r="L165" s="67" t="s">
        <v>2068</v>
      </c>
      <c r="M165" s="10" t="s">
        <v>655</v>
      </c>
      <c r="N165" s="10" t="s">
        <v>2880</v>
      </c>
      <c r="O165" s="10" t="s">
        <v>2879</v>
      </c>
      <c r="P165" s="31" t="s">
        <v>2069</v>
      </c>
      <c r="Q165" s="18" t="s">
        <v>2068</v>
      </c>
      <c r="R165" s="56" t="s">
        <v>2878</v>
      </c>
      <c r="S165" s="5" t="s">
        <v>2639</v>
      </c>
      <c r="T165" s="76">
        <v>12.5</v>
      </c>
      <c r="U165" s="76">
        <v>1200</v>
      </c>
      <c r="V165" s="76">
        <v>2400</v>
      </c>
      <c r="W165" s="67" t="s">
        <v>396</v>
      </c>
      <c r="X165" s="76">
        <v>12.5</v>
      </c>
      <c r="Y165" s="13">
        <v>8.8699999999999992</v>
      </c>
      <c r="Z165" s="75">
        <v>0.25</v>
      </c>
      <c r="AA165" s="67" t="s">
        <v>396</v>
      </c>
      <c r="AB165" s="56"/>
      <c r="AC165" s="56"/>
      <c r="AD165" s="56"/>
      <c r="AE165" s="67" t="s">
        <v>399</v>
      </c>
      <c r="AF165" s="67" t="s">
        <v>399</v>
      </c>
      <c r="AG165" s="67" t="s">
        <v>399</v>
      </c>
      <c r="AH165" s="56"/>
      <c r="AI165" s="56"/>
      <c r="AJ165" s="56"/>
      <c r="AK165" s="10" t="s">
        <v>643</v>
      </c>
      <c r="AL165" s="17">
        <v>3496250247758</v>
      </c>
      <c r="AM165" s="15" t="s">
        <v>643</v>
      </c>
      <c r="AN165" s="5">
        <v>68091900</v>
      </c>
      <c r="AO165" s="6" t="s">
        <v>2877</v>
      </c>
      <c r="AP165" s="6" t="s">
        <v>2876</v>
      </c>
      <c r="AQ165" s="6"/>
      <c r="AR165" s="6"/>
      <c r="AS165" s="6" t="s">
        <v>2898</v>
      </c>
    </row>
    <row r="166" spans="1:45" ht="12.75" customHeight="1">
      <c r="A166" s="78" t="s">
        <v>2897</v>
      </c>
      <c r="B166" s="6" t="s">
        <v>396</v>
      </c>
      <c r="C166" s="31" t="s">
        <v>403</v>
      </c>
      <c r="D166" s="6" t="s">
        <v>2884</v>
      </c>
      <c r="E166" s="6" t="s">
        <v>2884</v>
      </c>
      <c r="F166" s="31" t="s">
        <v>2883</v>
      </c>
      <c r="G166" s="31" t="s">
        <v>2882</v>
      </c>
      <c r="H166" s="67" t="s">
        <v>396</v>
      </c>
      <c r="I166" s="67" t="s">
        <v>396</v>
      </c>
      <c r="J166" s="78" t="s">
        <v>2896</v>
      </c>
      <c r="K166" s="78" t="s">
        <v>2896</v>
      </c>
      <c r="L166" s="67" t="s">
        <v>2068</v>
      </c>
      <c r="M166" s="10" t="s">
        <v>655</v>
      </c>
      <c r="N166" s="10" t="s">
        <v>2880</v>
      </c>
      <c r="O166" s="10" t="s">
        <v>2879</v>
      </c>
      <c r="P166" s="31" t="s">
        <v>2069</v>
      </c>
      <c r="Q166" s="18" t="s">
        <v>2068</v>
      </c>
      <c r="R166" s="56" t="s">
        <v>2878</v>
      </c>
      <c r="S166" s="5" t="s">
        <v>2639</v>
      </c>
      <c r="T166" s="76">
        <v>12.5</v>
      </c>
      <c r="U166" s="76">
        <v>1200</v>
      </c>
      <c r="V166" s="76">
        <v>2400</v>
      </c>
      <c r="W166" s="67" t="s">
        <v>396</v>
      </c>
      <c r="X166" s="76">
        <v>12.5</v>
      </c>
      <c r="Y166" s="13">
        <v>8.16</v>
      </c>
      <c r="Z166" s="75">
        <v>0.25</v>
      </c>
      <c r="AA166" s="67" t="s">
        <v>396</v>
      </c>
      <c r="AB166" s="56"/>
      <c r="AC166" s="56"/>
      <c r="AD166" s="56"/>
      <c r="AE166" s="67" t="s">
        <v>399</v>
      </c>
      <c r="AF166" s="67" t="s">
        <v>399</v>
      </c>
      <c r="AG166" s="67" t="s">
        <v>399</v>
      </c>
      <c r="AH166" s="56"/>
      <c r="AI166" s="56"/>
      <c r="AJ166" s="56"/>
      <c r="AK166" s="10" t="s">
        <v>643</v>
      </c>
      <c r="AL166" s="17">
        <v>7318936632527</v>
      </c>
      <c r="AM166" s="15" t="s">
        <v>643</v>
      </c>
      <c r="AN166" s="5">
        <v>68091900</v>
      </c>
      <c r="AO166" s="6" t="s">
        <v>2877</v>
      </c>
      <c r="AP166" s="6" t="s">
        <v>2876</v>
      </c>
      <c r="AQ166" s="6"/>
      <c r="AR166" s="6"/>
      <c r="AS166" s="6" t="s">
        <v>2895</v>
      </c>
    </row>
    <row r="167" spans="1:45" ht="12.75" customHeight="1">
      <c r="A167" s="78" t="s">
        <v>2894</v>
      </c>
      <c r="B167" s="6" t="s">
        <v>396</v>
      </c>
      <c r="C167" s="31" t="s">
        <v>403</v>
      </c>
      <c r="D167" s="6" t="s">
        <v>2884</v>
      </c>
      <c r="E167" s="6" t="s">
        <v>2884</v>
      </c>
      <c r="F167" s="31" t="s">
        <v>2883</v>
      </c>
      <c r="G167" s="31" t="s">
        <v>2882</v>
      </c>
      <c r="H167" s="67" t="s">
        <v>396</v>
      </c>
      <c r="I167" s="67" t="s">
        <v>396</v>
      </c>
      <c r="J167" s="78" t="s">
        <v>2893</v>
      </c>
      <c r="K167" s="78" t="s">
        <v>2893</v>
      </c>
      <c r="L167" s="67" t="s">
        <v>2068</v>
      </c>
      <c r="M167" s="10" t="s">
        <v>655</v>
      </c>
      <c r="N167" s="10" t="s">
        <v>2880</v>
      </c>
      <c r="O167" s="10" t="s">
        <v>2879</v>
      </c>
      <c r="P167" s="31" t="s">
        <v>2069</v>
      </c>
      <c r="Q167" s="18" t="s">
        <v>2068</v>
      </c>
      <c r="R167" s="56" t="s">
        <v>2878</v>
      </c>
      <c r="S167" s="5" t="s">
        <v>2639</v>
      </c>
      <c r="T167" s="76">
        <v>12.5</v>
      </c>
      <c r="U167" s="76">
        <v>1200</v>
      </c>
      <c r="V167" s="76">
        <v>2400</v>
      </c>
      <c r="W167" s="67" t="s">
        <v>396</v>
      </c>
      <c r="X167" s="76">
        <v>12.5</v>
      </c>
      <c r="Y167" s="13">
        <v>7.97</v>
      </c>
      <c r="Z167" s="75">
        <v>0.25</v>
      </c>
      <c r="AA167" s="67" t="s">
        <v>396</v>
      </c>
      <c r="AB167" s="56"/>
      <c r="AC167" s="56"/>
      <c r="AD167" s="56"/>
      <c r="AE167" s="67" t="s">
        <v>399</v>
      </c>
      <c r="AF167" s="67" t="s">
        <v>399</v>
      </c>
      <c r="AG167" s="67" t="s">
        <v>399</v>
      </c>
      <c r="AH167" s="56"/>
      <c r="AI167" s="56"/>
      <c r="AJ167" s="56"/>
      <c r="AK167" s="10" t="s">
        <v>643</v>
      </c>
      <c r="AL167" s="17">
        <v>7318936637218</v>
      </c>
      <c r="AM167" s="15" t="s">
        <v>643</v>
      </c>
      <c r="AN167" s="5">
        <v>68091900</v>
      </c>
      <c r="AO167" s="6" t="s">
        <v>2877</v>
      </c>
      <c r="AP167" s="6" t="s">
        <v>2876</v>
      </c>
      <c r="AQ167" s="6"/>
      <c r="AR167" s="6"/>
      <c r="AS167" s="6" t="s">
        <v>2892</v>
      </c>
    </row>
    <row r="168" spans="1:45" ht="12.75" customHeight="1">
      <c r="A168" s="78" t="s">
        <v>2891</v>
      </c>
      <c r="B168" s="6" t="s">
        <v>396</v>
      </c>
      <c r="C168" s="31" t="s">
        <v>403</v>
      </c>
      <c r="D168" s="6" t="s">
        <v>2884</v>
      </c>
      <c r="E168" s="6" t="s">
        <v>2884</v>
      </c>
      <c r="F168" s="31" t="s">
        <v>2883</v>
      </c>
      <c r="G168" s="31" t="s">
        <v>2882</v>
      </c>
      <c r="H168" s="67" t="s">
        <v>396</v>
      </c>
      <c r="I168" s="67" t="s">
        <v>396</v>
      </c>
      <c r="J168" s="78" t="s">
        <v>2890</v>
      </c>
      <c r="K168" s="78" t="s">
        <v>2890</v>
      </c>
      <c r="L168" s="67" t="s">
        <v>2068</v>
      </c>
      <c r="M168" s="10" t="s">
        <v>655</v>
      </c>
      <c r="N168" s="10" t="s">
        <v>2880</v>
      </c>
      <c r="O168" s="10" t="s">
        <v>2879</v>
      </c>
      <c r="P168" s="31" t="s">
        <v>2069</v>
      </c>
      <c r="Q168" s="18" t="s">
        <v>2068</v>
      </c>
      <c r="R168" s="56" t="s">
        <v>2878</v>
      </c>
      <c r="S168" s="5" t="s">
        <v>2639</v>
      </c>
      <c r="T168" s="76">
        <v>12.5</v>
      </c>
      <c r="U168" s="76">
        <v>1200</v>
      </c>
      <c r="V168" s="76">
        <v>2400</v>
      </c>
      <c r="W168" s="67" t="s">
        <v>396</v>
      </c>
      <c r="X168" s="76">
        <v>12.5</v>
      </c>
      <c r="Y168" s="13">
        <v>8.8699999999999992</v>
      </c>
      <c r="Z168" s="75">
        <v>0.25</v>
      </c>
      <c r="AA168" s="67" t="s">
        <v>396</v>
      </c>
      <c r="AB168" s="56"/>
      <c r="AC168" s="56"/>
      <c r="AD168" s="56"/>
      <c r="AE168" s="67" t="s">
        <v>399</v>
      </c>
      <c r="AF168" s="67" t="s">
        <v>399</v>
      </c>
      <c r="AG168" s="67" t="s">
        <v>399</v>
      </c>
      <c r="AH168" s="56"/>
      <c r="AI168" s="56"/>
      <c r="AJ168" s="56"/>
      <c r="AK168" s="10" t="s">
        <v>643</v>
      </c>
      <c r="AL168" s="17">
        <v>3496250247772</v>
      </c>
      <c r="AM168" s="15" t="s">
        <v>643</v>
      </c>
      <c r="AN168" s="5">
        <v>68091100</v>
      </c>
      <c r="AO168" s="6" t="s">
        <v>2877</v>
      </c>
      <c r="AP168" s="6" t="s">
        <v>2876</v>
      </c>
      <c r="AQ168" s="6"/>
      <c r="AR168" s="6"/>
      <c r="AS168" s="6" t="s">
        <v>2889</v>
      </c>
    </row>
    <row r="169" spans="1:45" ht="12.75" customHeight="1">
      <c r="A169" s="78" t="s">
        <v>2888</v>
      </c>
      <c r="B169" s="6" t="s">
        <v>396</v>
      </c>
      <c r="C169" s="31" t="s">
        <v>403</v>
      </c>
      <c r="D169" s="6" t="s">
        <v>2884</v>
      </c>
      <c r="E169" s="6" t="s">
        <v>2884</v>
      </c>
      <c r="F169" s="31" t="s">
        <v>2883</v>
      </c>
      <c r="G169" s="31" t="s">
        <v>2882</v>
      </c>
      <c r="H169" s="67" t="s">
        <v>396</v>
      </c>
      <c r="I169" s="67" t="s">
        <v>396</v>
      </c>
      <c r="J169" s="78" t="s">
        <v>2887</v>
      </c>
      <c r="K169" s="78" t="s">
        <v>2887</v>
      </c>
      <c r="L169" s="67" t="s">
        <v>2068</v>
      </c>
      <c r="M169" s="10" t="s">
        <v>655</v>
      </c>
      <c r="N169" s="10" t="s">
        <v>2880</v>
      </c>
      <c r="O169" s="10" t="s">
        <v>2879</v>
      </c>
      <c r="P169" s="31" t="s">
        <v>2069</v>
      </c>
      <c r="Q169" s="18" t="s">
        <v>2068</v>
      </c>
      <c r="R169" s="56" t="s">
        <v>2878</v>
      </c>
      <c r="S169" s="5" t="s">
        <v>2639</v>
      </c>
      <c r="T169" s="76">
        <v>12.5</v>
      </c>
      <c r="U169" s="76">
        <v>1200</v>
      </c>
      <c r="V169" s="76">
        <v>2400</v>
      </c>
      <c r="W169" s="67" t="s">
        <v>396</v>
      </c>
      <c r="X169" s="76">
        <v>12.5</v>
      </c>
      <c r="Y169" s="13">
        <v>9.23</v>
      </c>
      <c r="Z169" s="75">
        <v>0.25</v>
      </c>
      <c r="AA169" s="67" t="s">
        <v>396</v>
      </c>
      <c r="AB169" s="56"/>
      <c r="AC169" s="56"/>
      <c r="AD169" s="56"/>
      <c r="AE169" s="67" t="s">
        <v>399</v>
      </c>
      <c r="AF169" s="67" t="s">
        <v>399</v>
      </c>
      <c r="AG169" s="67" t="s">
        <v>399</v>
      </c>
      <c r="AH169" s="56"/>
      <c r="AI169" s="56"/>
      <c r="AJ169" s="56"/>
      <c r="AK169" s="10" t="s">
        <v>643</v>
      </c>
      <c r="AL169" s="17">
        <v>3496250247796</v>
      </c>
      <c r="AM169" s="15" t="s">
        <v>643</v>
      </c>
      <c r="AN169" s="5">
        <v>68091100</v>
      </c>
      <c r="AO169" s="6" t="s">
        <v>2877</v>
      </c>
      <c r="AP169" s="6" t="s">
        <v>2876</v>
      </c>
      <c r="AQ169" s="6"/>
      <c r="AR169" s="6"/>
      <c r="AS169" s="6" t="s">
        <v>2886</v>
      </c>
    </row>
    <row r="170" spans="1:45" ht="12.75" customHeight="1">
      <c r="A170" s="77" t="s">
        <v>2885</v>
      </c>
      <c r="B170" s="6" t="s">
        <v>396</v>
      </c>
      <c r="C170" s="31" t="s">
        <v>403</v>
      </c>
      <c r="D170" s="6" t="s">
        <v>2884</v>
      </c>
      <c r="E170" s="6" t="s">
        <v>2884</v>
      </c>
      <c r="F170" s="31" t="s">
        <v>2883</v>
      </c>
      <c r="G170" s="31" t="s">
        <v>2882</v>
      </c>
      <c r="H170" s="67" t="s">
        <v>396</v>
      </c>
      <c r="I170" s="67" t="s">
        <v>396</v>
      </c>
      <c r="J170" s="78" t="s">
        <v>2881</v>
      </c>
      <c r="K170" s="78" t="s">
        <v>2881</v>
      </c>
      <c r="L170" s="67" t="s">
        <v>2068</v>
      </c>
      <c r="M170" s="10" t="s">
        <v>655</v>
      </c>
      <c r="N170" s="10" t="s">
        <v>2880</v>
      </c>
      <c r="O170" s="10" t="s">
        <v>2879</v>
      </c>
      <c r="P170" s="31" t="s">
        <v>2069</v>
      </c>
      <c r="Q170" s="18" t="s">
        <v>2068</v>
      </c>
      <c r="R170" s="56" t="s">
        <v>2878</v>
      </c>
      <c r="S170" s="5" t="s">
        <v>2639</v>
      </c>
      <c r="T170" s="76">
        <v>12.5</v>
      </c>
      <c r="U170" s="76">
        <v>1200</v>
      </c>
      <c r="V170" s="76">
        <v>2400</v>
      </c>
      <c r="W170" s="67" t="s">
        <v>396</v>
      </c>
      <c r="X170" s="76">
        <v>12.5</v>
      </c>
      <c r="Y170" s="13">
        <v>7.93</v>
      </c>
      <c r="Z170" s="75">
        <v>0.25</v>
      </c>
      <c r="AA170" s="67" t="s">
        <v>396</v>
      </c>
      <c r="AB170" s="56"/>
      <c r="AC170" s="56"/>
      <c r="AD170" s="56"/>
      <c r="AE170" s="67" t="s">
        <v>399</v>
      </c>
      <c r="AF170" s="67" t="s">
        <v>399</v>
      </c>
      <c r="AG170" s="67" t="s">
        <v>399</v>
      </c>
      <c r="AH170" s="56"/>
      <c r="AI170" s="56"/>
      <c r="AJ170" s="56"/>
      <c r="AK170" s="10" t="s">
        <v>643</v>
      </c>
      <c r="AL170" s="17">
        <v>7318936584338</v>
      </c>
      <c r="AM170" s="15" t="s">
        <v>643</v>
      </c>
      <c r="AN170" s="5">
        <v>68091900</v>
      </c>
      <c r="AO170" s="6" t="s">
        <v>2877</v>
      </c>
      <c r="AP170" s="6" t="s">
        <v>2876</v>
      </c>
      <c r="AQ170" s="6"/>
      <c r="AR170" s="6"/>
      <c r="AS170" s="6" t="s">
        <v>2875</v>
      </c>
    </row>
    <row r="171" spans="1:45" s="16" customFormat="1" ht="12.75" customHeight="1">
      <c r="A171" s="89" t="s">
        <v>2874</v>
      </c>
      <c r="B171" s="18" t="s">
        <v>2873</v>
      </c>
      <c r="C171" s="18" t="s">
        <v>403</v>
      </c>
      <c r="D171" s="18" t="s">
        <v>2854</v>
      </c>
      <c r="E171" s="18" t="s">
        <v>2854</v>
      </c>
      <c r="F171" s="18" t="s">
        <v>2853</v>
      </c>
      <c r="G171" s="18" t="s">
        <v>2852</v>
      </c>
      <c r="H171" s="19" t="s">
        <v>396</v>
      </c>
      <c r="I171" s="19" t="s">
        <v>396</v>
      </c>
      <c r="J171" s="83" t="s">
        <v>2872</v>
      </c>
      <c r="K171" s="83" t="s">
        <v>2872</v>
      </c>
      <c r="L171" s="19" t="s">
        <v>2068</v>
      </c>
      <c r="M171" s="16" t="s">
        <v>655</v>
      </c>
      <c r="N171" s="16" t="s">
        <v>2850</v>
      </c>
      <c r="O171" s="18" t="s">
        <v>2849</v>
      </c>
      <c r="P171" s="18" t="s">
        <v>2848</v>
      </c>
      <c r="Q171" s="18" t="s">
        <v>2068</v>
      </c>
      <c r="R171" s="16" t="s">
        <v>2847</v>
      </c>
      <c r="S171" s="16" t="s">
        <v>650</v>
      </c>
      <c r="T171" s="45">
        <v>6.5</v>
      </c>
      <c r="U171" s="45">
        <v>1200</v>
      </c>
      <c r="V171" s="45">
        <v>2400</v>
      </c>
      <c r="W171" s="19" t="s">
        <v>396</v>
      </c>
      <c r="X171" s="45">
        <v>6.5</v>
      </c>
      <c r="Y171" s="42">
        <v>7.22</v>
      </c>
      <c r="Z171" s="41">
        <v>0.25</v>
      </c>
      <c r="AA171" s="19" t="s">
        <v>396</v>
      </c>
      <c r="AE171" s="19" t="s">
        <v>399</v>
      </c>
      <c r="AF171" s="19" t="s">
        <v>399</v>
      </c>
      <c r="AG171" s="19" t="s">
        <v>399</v>
      </c>
      <c r="AK171" s="16" t="s">
        <v>643</v>
      </c>
      <c r="AL171" s="15">
        <v>7318936623877</v>
      </c>
      <c r="AM171" s="15" t="s">
        <v>643</v>
      </c>
      <c r="AN171" s="5"/>
      <c r="AO171" s="6"/>
      <c r="AP171" s="6"/>
      <c r="AQ171" s="6" t="s">
        <v>2871</v>
      </c>
      <c r="AR171" s="6" t="s">
        <v>2870</v>
      </c>
      <c r="AS171" s="6" t="s">
        <v>2869</v>
      </c>
    </row>
    <row r="172" spans="1:45" s="16" customFormat="1" ht="12.75" customHeight="1">
      <c r="A172" s="89" t="s">
        <v>2868</v>
      </c>
      <c r="B172" s="18" t="s">
        <v>2867</v>
      </c>
      <c r="C172" s="18" t="s">
        <v>403</v>
      </c>
      <c r="D172" s="18" t="s">
        <v>2854</v>
      </c>
      <c r="E172" s="18" t="s">
        <v>2854</v>
      </c>
      <c r="F172" s="18" t="s">
        <v>2853</v>
      </c>
      <c r="G172" s="18" t="s">
        <v>2852</v>
      </c>
      <c r="H172" s="19" t="s">
        <v>396</v>
      </c>
      <c r="I172" s="19" t="s">
        <v>396</v>
      </c>
      <c r="J172" s="83" t="s">
        <v>2866</v>
      </c>
      <c r="K172" s="83" t="s">
        <v>2866</v>
      </c>
      <c r="L172" s="19" t="s">
        <v>2068</v>
      </c>
      <c r="M172" s="16" t="s">
        <v>655</v>
      </c>
      <c r="N172" s="16" t="s">
        <v>2850</v>
      </c>
      <c r="O172" s="18" t="s">
        <v>2849</v>
      </c>
      <c r="P172" s="18" t="s">
        <v>2848</v>
      </c>
      <c r="Q172" s="18" t="s">
        <v>2068</v>
      </c>
      <c r="R172" s="16" t="s">
        <v>2847</v>
      </c>
      <c r="S172" s="16" t="s">
        <v>650</v>
      </c>
      <c r="T172" s="45">
        <v>6.5</v>
      </c>
      <c r="U172" s="45">
        <v>1200</v>
      </c>
      <c r="V172" s="45">
        <v>2400</v>
      </c>
      <c r="W172" s="19" t="s">
        <v>396</v>
      </c>
      <c r="X172" s="45">
        <v>6.5</v>
      </c>
      <c r="Y172" s="42">
        <v>6.39</v>
      </c>
      <c r="Z172" s="41">
        <v>0.25</v>
      </c>
      <c r="AA172" s="19" t="s">
        <v>396</v>
      </c>
      <c r="AE172" s="19" t="s">
        <v>399</v>
      </c>
      <c r="AF172" s="19" t="s">
        <v>399</v>
      </c>
      <c r="AG172" s="19" t="s">
        <v>399</v>
      </c>
      <c r="AK172" s="16" t="s">
        <v>643</v>
      </c>
      <c r="AL172" s="15">
        <v>7318936623846</v>
      </c>
      <c r="AM172" s="15" t="s">
        <v>643</v>
      </c>
      <c r="AN172" s="5"/>
      <c r="AO172" s="6"/>
      <c r="AP172" s="6"/>
      <c r="AQ172" s="6" t="s">
        <v>2865</v>
      </c>
      <c r="AR172" s="6" t="s">
        <v>2864</v>
      </c>
      <c r="AS172" s="6" t="s">
        <v>2863</v>
      </c>
    </row>
    <row r="173" spans="1:45" s="16" customFormat="1" ht="12.75" customHeight="1">
      <c r="A173" s="89" t="s">
        <v>2862</v>
      </c>
      <c r="B173" s="18" t="s">
        <v>2861</v>
      </c>
      <c r="C173" s="18" t="s">
        <v>403</v>
      </c>
      <c r="D173" s="18" t="s">
        <v>2854</v>
      </c>
      <c r="E173" s="18" t="s">
        <v>2854</v>
      </c>
      <c r="F173" s="18" t="s">
        <v>2853</v>
      </c>
      <c r="G173" s="18" t="s">
        <v>2852</v>
      </c>
      <c r="H173" s="19" t="s">
        <v>396</v>
      </c>
      <c r="I173" s="19" t="s">
        <v>396</v>
      </c>
      <c r="J173" s="83" t="s">
        <v>2860</v>
      </c>
      <c r="K173" s="83" t="s">
        <v>2860</v>
      </c>
      <c r="L173" s="19" t="s">
        <v>2068</v>
      </c>
      <c r="M173" s="16" t="s">
        <v>655</v>
      </c>
      <c r="N173" s="16" t="s">
        <v>2850</v>
      </c>
      <c r="O173" s="18" t="s">
        <v>2849</v>
      </c>
      <c r="P173" s="18" t="s">
        <v>2848</v>
      </c>
      <c r="Q173" s="18" t="s">
        <v>2068</v>
      </c>
      <c r="R173" s="16" t="s">
        <v>2847</v>
      </c>
      <c r="S173" s="16" t="s">
        <v>650</v>
      </c>
      <c r="T173" s="45">
        <v>6.5</v>
      </c>
      <c r="U173" s="45">
        <v>1200</v>
      </c>
      <c r="V173" s="45">
        <v>2400</v>
      </c>
      <c r="W173" s="19" t="s">
        <v>396</v>
      </c>
      <c r="X173" s="45">
        <v>6.5</v>
      </c>
      <c r="Y173" s="42">
        <v>6.2</v>
      </c>
      <c r="Z173" s="41">
        <v>0.25</v>
      </c>
      <c r="AA173" s="19" t="s">
        <v>396</v>
      </c>
      <c r="AE173" s="19" t="s">
        <v>399</v>
      </c>
      <c r="AF173" s="19" t="s">
        <v>399</v>
      </c>
      <c r="AG173" s="19" t="s">
        <v>399</v>
      </c>
      <c r="AK173" s="16" t="s">
        <v>643</v>
      </c>
      <c r="AL173" s="15">
        <v>7318936623853</v>
      </c>
      <c r="AM173" s="15" t="s">
        <v>643</v>
      </c>
      <c r="AN173" s="5"/>
      <c r="AO173" s="6"/>
      <c r="AP173" s="6"/>
      <c r="AQ173" s="6" t="s">
        <v>2859</v>
      </c>
      <c r="AR173" s="6" t="s">
        <v>2858</v>
      </c>
      <c r="AS173" s="6" t="s">
        <v>2857</v>
      </c>
    </row>
    <row r="174" spans="1:45" s="16" customFormat="1" ht="12.75" customHeight="1">
      <c r="A174" s="89" t="s">
        <v>2856</v>
      </c>
      <c r="B174" s="18" t="s">
        <v>2855</v>
      </c>
      <c r="C174" s="18" t="s">
        <v>403</v>
      </c>
      <c r="D174" s="18" t="s">
        <v>2854</v>
      </c>
      <c r="E174" s="18" t="s">
        <v>2854</v>
      </c>
      <c r="F174" s="18" t="s">
        <v>2853</v>
      </c>
      <c r="G174" s="18" t="s">
        <v>2852</v>
      </c>
      <c r="H174" s="19" t="s">
        <v>396</v>
      </c>
      <c r="I174" s="19" t="s">
        <v>396</v>
      </c>
      <c r="J174" s="83" t="s">
        <v>2851</v>
      </c>
      <c r="K174" s="83" t="s">
        <v>2851</v>
      </c>
      <c r="L174" s="19" t="s">
        <v>2068</v>
      </c>
      <c r="M174" s="16" t="s">
        <v>655</v>
      </c>
      <c r="N174" s="16" t="s">
        <v>2850</v>
      </c>
      <c r="O174" s="18" t="s">
        <v>2849</v>
      </c>
      <c r="P174" s="18" t="s">
        <v>2848</v>
      </c>
      <c r="Q174" s="18" t="s">
        <v>2068</v>
      </c>
      <c r="R174" s="16" t="s">
        <v>2847</v>
      </c>
      <c r="S174" s="16" t="s">
        <v>650</v>
      </c>
      <c r="T174" s="45">
        <v>6.5</v>
      </c>
      <c r="U174" s="45">
        <v>1200</v>
      </c>
      <c r="V174" s="45">
        <v>2400</v>
      </c>
      <c r="W174" s="19" t="s">
        <v>396</v>
      </c>
      <c r="X174" s="45">
        <v>6.5</v>
      </c>
      <c r="Y174" s="42">
        <v>6.25</v>
      </c>
      <c r="Z174" s="41">
        <v>0.25</v>
      </c>
      <c r="AA174" s="19" t="s">
        <v>396</v>
      </c>
      <c r="AE174" s="19" t="s">
        <v>399</v>
      </c>
      <c r="AF174" s="19" t="s">
        <v>399</v>
      </c>
      <c r="AG174" s="19" t="s">
        <v>399</v>
      </c>
      <c r="AK174" s="16" t="s">
        <v>643</v>
      </c>
      <c r="AL174" s="15">
        <v>7318936623860</v>
      </c>
      <c r="AM174" s="15" t="s">
        <v>643</v>
      </c>
      <c r="AN174" s="5"/>
      <c r="AO174" s="6"/>
      <c r="AP174" s="6"/>
      <c r="AQ174" s="6" t="s">
        <v>2846</v>
      </c>
      <c r="AR174" s="6" t="s">
        <v>2845</v>
      </c>
      <c r="AS174" s="6" t="s">
        <v>2844</v>
      </c>
    </row>
    <row r="175" spans="1:45" s="16" customFormat="1" ht="12.75" customHeight="1">
      <c r="A175" s="89" t="s">
        <v>2843</v>
      </c>
      <c r="B175" s="18" t="s">
        <v>2842</v>
      </c>
      <c r="C175" s="18" t="s">
        <v>403</v>
      </c>
      <c r="D175" s="18" t="s">
        <v>2715</v>
      </c>
      <c r="E175" s="18" t="s">
        <v>2715</v>
      </c>
      <c r="F175" s="18" t="s">
        <v>2714</v>
      </c>
      <c r="G175" s="18" t="s">
        <v>2713</v>
      </c>
      <c r="H175" s="19" t="s">
        <v>396</v>
      </c>
      <c r="I175" s="19" t="s">
        <v>396</v>
      </c>
      <c r="J175" s="91" t="s">
        <v>2836</v>
      </c>
      <c r="K175" s="91" t="s">
        <v>2836</v>
      </c>
      <c r="L175" s="19" t="s">
        <v>2068</v>
      </c>
      <c r="M175" s="16" t="s">
        <v>655</v>
      </c>
      <c r="N175" s="16" t="s">
        <v>2645</v>
      </c>
      <c r="O175" s="18" t="s">
        <v>2644</v>
      </c>
      <c r="P175" s="18" t="s">
        <v>2711</v>
      </c>
      <c r="Q175" s="18" t="s">
        <v>2068</v>
      </c>
      <c r="R175" s="16" t="s">
        <v>2710</v>
      </c>
      <c r="S175" s="16" t="s">
        <v>2242</v>
      </c>
      <c r="T175" s="45">
        <v>12.5</v>
      </c>
      <c r="U175" s="45">
        <v>1188</v>
      </c>
      <c r="V175" s="45">
        <v>1998</v>
      </c>
      <c r="W175" s="19" t="s">
        <v>396</v>
      </c>
      <c r="X175" s="45">
        <v>12.5</v>
      </c>
      <c r="Y175" s="42">
        <v>10.18</v>
      </c>
      <c r="Z175" s="41">
        <v>0.25</v>
      </c>
      <c r="AA175" s="19" t="s">
        <v>396</v>
      </c>
      <c r="AE175" s="19" t="s">
        <v>399</v>
      </c>
      <c r="AF175" s="19" t="s">
        <v>399</v>
      </c>
      <c r="AG175" s="19" t="s">
        <v>399</v>
      </c>
      <c r="AK175" s="16" t="s">
        <v>643</v>
      </c>
      <c r="AL175" s="17">
        <v>4002806920939</v>
      </c>
      <c r="AM175" s="15" t="s">
        <v>643</v>
      </c>
      <c r="AN175" s="5">
        <v>68091100</v>
      </c>
      <c r="AO175" s="6"/>
      <c r="AP175" s="6"/>
      <c r="AQ175" s="6" t="s">
        <v>2841</v>
      </c>
      <c r="AR175" s="6" t="s">
        <v>2840</v>
      </c>
      <c r="AS175" s="6" t="s">
        <v>2839</v>
      </c>
    </row>
    <row r="176" spans="1:45" s="16" customFormat="1" ht="12.75" customHeight="1">
      <c r="A176" s="89" t="s">
        <v>2838</v>
      </c>
      <c r="B176" s="18" t="s">
        <v>2837</v>
      </c>
      <c r="C176" s="18" t="s">
        <v>403</v>
      </c>
      <c r="D176" s="18" t="s">
        <v>2715</v>
      </c>
      <c r="E176" s="18" t="s">
        <v>2715</v>
      </c>
      <c r="F176" s="18" t="s">
        <v>2714</v>
      </c>
      <c r="G176" s="18" t="s">
        <v>2713</v>
      </c>
      <c r="H176" s="19" t="s">
        <v>396</v>
      </c>
      <c r="I176" s="19" t="s">
        <v>396</v>
      </c>
      <c r="J176" s="91" t="s">
        <v>2836</v>
      </c>
      <c r="K176" s="91" t="s">
        <v>2836</v>
      </c>
      <c r="L176" s="19" t="s">
        <v>2068</v>
      </c>
      <c r="M176" s="16" t="s">
        <v>655</v>
      </c>
      <c r="N176" s="16" t="s">
        <v>2645</v>
      </c>
      <c r="O176" s="18" t="s">
        <v>2644</v>
      </c>
      <c r="P176" s="18" t="s">
        <v>2711</v>
      </c>
      <c r="Q176" s="18" t="s">
        <v>2068</v>
      </c>
      <c r="R176" s="16" t="s">
        <v>2710</v>
      </c>
      <c r="S176" s="16" t="s">
        <v>2242</v>
      </c>
      <c r="T176" s="45">
        <v>12.5</v>
      </c>
      <c r="U176" s="45">
        <v>1188</v>
      </c>
      <c r="V176" s="45">
        <v>1998</v>
      </c>
      <c r="W176" s="19" t="s">
        <v>396</v>
      </c>
      <c r="X176" s="45">
        <v>12.5</v>
      </c>
      <c r="Y176" s="42">
        <v>10.18</v>
      </c>
      <c r="Z176" s="41">
        <v>0.25</v>
      </c>
      <c r="AA176" s="19" t="s">
        <v>396</v>
      </c>
      <c r="AE176" s="19" t="s">
        <v>399</v>
      </c>
      <c r="AF176" s="19" t="s">
        <v>399</v>
      </c>
      <c r="AG176" s="19" t="s">
        <v>399</v>
      </c>
      <c r="AK176" s="16" t="s">
        <v>643</v>
      </c>
      <c r="AL176" s="17">
        <v>4002806920953</v>
      </c>
      <c r="AM176" s="15" t="s">
        <v>643</v>
      </c>
      <c r="AN176" s="5">
        <v>68091100</v>
      </c>
      <c r="AO176" s="6"/>
      <c r="AP176" s="6"/>
      <c r="AQ176" s="6" t="s">
        <v>2835</v>
      </c>
      <c r="AR176" s="6" t="s">
        <v>2834</v>
      </c>
      <c r="AS176" s="6" t="s">
        <v>2833</v>
      </c>
    </row>
    <row r="177" spans="1:45" s="16" customFormat="1" ht="12.75" customHeight="1">
      <c r="A177" s="89" t="s">
        <v>2832</v>
      </c>
      <c r="B177" s="18" t="s">
        <v>2831</v>
      </c>
      <c r="C177" s="18" t="s">
        <v>403</v>
      </c>
      <c r="D177" s="18" t="s">
        <v>2715</v>
      </c>
      <c r="E177" s="18" t="s">
        <v>2715</v>
      </c>
      <c r="F177" s="18" t="s">
        <v>2714</v>
      </c>
      <c r="G177" s="18" t="s">
        <v>2713</v>
      </c>
      <c r="H177" s="19" t="s">
        <v>396</v>
      </c>
      <c r="I177" s="19" t="s">
        <v>396</v>
      </c>
      <c r="J177" s="91" t="s">
        <v>2825</v>
      </c>
      <c r="K177" s="91" t="s">
        <v>2825</v>
      </c>
      <c r="L177" s="19" t="s">
        <v>2068</v>
      </c>
      <c r="M177" s="16" t="s">
        <v>655</v>
      </c>
      <c r="N177" s="16" t="s">
        <v>2645</v>
      </c>
      <c r="O177" s="18" t="s">
        <v>2644</v>
      </c>
      <c r="P177" s="18" t="s">
        <v>2711</v>
      </c>
      <c r="Q177" s="18" t="s">
        <v>2068</v>
      </c>
      <c r="R177" s="16" t="s">
        <v>2710</v>
      </c>
      <c r="S177" s="16" t="s">
        <v>2242</v>
      </c>
      <c r="T177" s="45">
        <v>12.5</v>
      </c>
      <c r="U177" s="45">
        <v>1188</v>
      </c>
      <c r="V177" s="45">
        <v>1998</v>
      </c>
      <c r="W177" s="19" t="s">
        <v>396</v>
      </c>
      <c r="X177" s="45">
        <v>12.5</v>
      </c>
      <c r="Y177" s="42">
        <v>9.4700000000000006</v>
      </c>
      <c r="Z177" s="41">
        <v>0.25</v>
      </c>
      <c r="AA177" s="19" t="s">
        <v>396</v>
      </c>
      <c r="AE177" s="19" t="s">
        <v>399</v>
      </c>
      <c r="AF177" s="19" t="s">
        <v>399</v>
      </c>
      <c r="AG177" s="19" t="s">
        <v>399</v>
      </c>
      <c r="AK177" s="16" t="s">
        <v>643</v>
      </c>
      <c r="AL177" s="17">
        <v>4002806920977</v>
      </c>
      <c r="AM177" s="15" t="s">
        <v>643</v>
      </c>
      <c r="AN177" s="5">
        <v>68091100</v>
      </c>
      <c r="AO177" s="6"/>
      <c r="AP177" s="6"/>
      <c r="AQ177" s="6" t="s">
        <v>2830</v>
      </c>
      <c r="AR177" s="6" t="s">
        <v>2829</v>
      </c>
      <c r="AS177" s="6" t="s">
        <v>2828</v>
      </c>
    </row>
    <row r="178" spans="1:45" s="16" customFormat="1" ht="12.75" customHeight="1">
      <c r="A178" s="89" t="s">
        <v>2827</v>
      </c>
      <c r="B178" s="18" t="s">
        <v>2826</v>
      </c>
      <c r="C178" s="18" t="s">
        <v>403</v>
      </c>
      <c r="D178" s="18" t="s">
        <v>2715</v>
      </c>
      <c r="E178" s="18" t="s">
        <v>2715</v>
      </c>
      <c r="F178" s="18" t="s">
        <v>2714</v>
      </c>
      <c r="G178" s="18" t="s">
        <v>2713</v>
      </c>
      <c r="H178" s="19" t="s">
        <v>396</v>
      </c>
      <c r="I178" s="19" t="s">
        <v>396</v>
      </c>
      <c r="J178" s="91" t="s">
        <v>2825</v>
      </c>
      <c r="K178" s="91" t="s">
        <v>2825</v>
      </c>
      <c r="L178" s="19" t="s">
        <v>2068</v>
      </c>
      <c r="M178" s="16" t="s">
        <v>655</v>
      </c>
      <c r="N178" s="16" t="s">
        <v>2645</v>
      </c>
      <c r="O178" s="18" t="s">
        <v>2644</v>
      </c>
      <c r="P178" s="18" t="s">
        <v>2711</v>
      </c>
      <c r="Q178" s="18" t="s">
        <v>2068</v>
      </c>
      <c r="R178" s="16" t="s">
        <v>2710</v>
      </c>
      <c r="S178" s="16" t="s">
        <v>2242</v>
      </c>
      <c r="T178" s="45">
        <v>12.5</v>
      </c>
      <c r="U178" s="45">
        <v>1188</v>
      </c>
      <c r="V178" s="45">
        <v>1998</v>
      </c>
      <c r="W178" s="19" t="s">
        <v>396</v>
      </c>
      <c r="X178" s="45">
        <v>12.5</v>
      </c>
      <c r="Y178" s="42">
        <v>9.4700000000000006</v>
      </c>
      <c r="Z178" s="41">
        <v>0.25</v>
      </c>
      <c r="AA178" s="19" t="s">
        <v>396</v>
      </c>
      <c r="AE178" s="19" t="s">
        <v>399</v>
      </c>
      <c r="AF178" s="19" t="s">
        <v>399</v>
      </c>
      <c r="AG178" s="19" t="s">
        <v>399</v>
      </c>
      <c r="AK178" s="16" t="s">
        <v>643</v>
      </c>
      <c r="AL178" s="17">
        <v>4002806920991</v>
      </c>
      <c r="AM178" s="15" t="s">
        <v>643</v>
      </c>
      <c r="AN178" s="5">
        <v>68091100</v>
      </c>
      <c r="AO178" s="6"/>
      <c r="AP178" s="6"/>
      <c r="AQ178" s="6" t="s">
        <v>2824</v>
      </c>
      <c r="AR178" s="6" t="s">
        <v>2823</v>
      </c>
      <c r="AS178" s="6" t="s">
        <v>2822</v>
      </c>
    </row>
    <row r="179" spans="1:45" s="16" customFormat="1" ht="12.75" customHeight="1">
      <c r="A179" s="89" t="s">
        <v>2821</v>
      </c>
      <c r="B179" s="18" t="s">
        <v>2820</v>
      </c>
      <c r="C179" s="18" t="s">
        <v>403</v>
      </c>
      <c r="D179" s="18" t="s">
        <v>2715</v>
      </c>
      <c r="E179" s="18" t="s">
        <v>2715</v>
      </c>
      <c r="F179" s="18" t="s">
        <v>2714</v>
      </c>
      <c r="G179" s="18" t="s">
        <v>2713</v>
      </c>
      <c r="H179" s="19" t="s">
        <v>396</v>
      </c>
      <c r="I179" s="19" t="s">
        <v>396</v>
      </c>
      <c r="J179" s="91" t="s">
        <v>2814</v>
      </c>
      <c r="K179" s="91" t="s">
        <v>2814</v>
      </c>
      <c r="L179" s="19" t="s">
        <v>2068</v>
      </c>
      <c r="M179" s="16" t="s">
        <v>655</v>
      </c>
      <c r="N179" s="16" t="s">
        <v>2645</v>
      </c>
      <c r="O179" s="18" t="s">
        <v>2644</v>
      </c>
      <c r="P179" s="18" t="s">
        <v>2711</v>
      </c>
      <c r="Q179" s="18" t="s">
        <v>2068</v>
      </c>
      <c r="R179" s="16" t="s">
        <v>2710</v>
      </c>
      <c r="S179" s="16" t="s">
        <v>2242</v>
      </c>
      <c r="T179" s="45">
        <v>12.5</v>
      </c>
      <c r="U179" s="45">
        <v>1196</v>
      </c>
      <c r="V179" s="45">
        <v>2001</v>
      </c>
      <c r="W179" s="19" t="s">
        <v>396</v>
      </c>
      <c r="X179" s="45">
        <v>12.5</v>
      </c>
      <c r="Y179" s="42">
        <v>9.5399999999999991</v>
      </c>
      <c r="Z179" s="41">
        <v>0.25</v>
      </c>
      <c r="AA179" s="19" t="s">
        <v>396</v>
      </c>
      <c r="AE179" s="19" t="s">
        <v>399</v>
      </c>
      <c r="AF179" s="19" t="s">
        <v>399</v>
      </c>
      <c r="AG179" s="19" t="s">
        <v>399</v>
      </c>
      <c r="AK179" s="16" t="s">
        <v>643</v>
      </c>
      <c r="AL179" s="17">
        <v>4002806921011</v>
      </c>
      <c r="AM179" s="15" t="s">
        <v>643</v>
      </c>
      <c r="AN179" s="5">
        <v>68091100</v>
      </c>
      <c r="AO179" s="6"/>
      <c r="AP179" s="6"/>
      <c r="AQ179" s="6" t="s">
        <v>2819</v>
      </c>
      <c r="AR179" s="6" t="s">
        <v>2818</v>
      </c>
      <c r="AS179" s="6" t="s">
        <v>2817</v>
      </c>
    </row>
    <row r="180" spans="1:45" s="16" customFormat="1" ht="12.75" customHeight="1">
      <c r="A180" s="89" t="s">
        <v>2816</v>
      </c>
      <c r="B180" s="18" t="s">
        <v>2815</v>
      </c>
      <c r="C180" s="18" t="s">
        <v>403</v>
      </c>
      <c r="D180" s="18" t="s">
        <v>2715</v>
      </c>
      <c r="E180" s="18" t="s">
        <v>2715</v>
      </c>
      <c r="F180" s="18" t="s">
        <v>2714</v>
      </c>
      <c r="G180" s="18" t="s">
        <v>2713</v>
      </c>
      <c r="H180" s="19" t="s">
        <v>396</v>
      </c>
      <c r="I180" s="19" t="s">
        <v>396</v>
      </c>
      <c r="J180" s="91" t="s">
        <v>2814</v>
      </c>
      <c r="K180" s="91" t="s">
        <v>2814</v>
      </c>
      <c r="L180" s="19" t="s">
        <v>2068</v>
      </c>
      <c r="M180" s="16" t="s">
        <v>655</v>
      </c>
      <c r="N180" s="16" t="s">
        <v>2645</v>
      </c>
      <c r="O180" s="18" t="s">
        <v>2644</v>
      </c>
      <c r="P180" s="18" t="s">
        <v>2711</v>
      </c>
      <c r="Q180" s="18" t="s">
        <v>2068</v>
      </c>
      <c r="R180" s="16" t="s">
        <v>2710</v>
      </c>
      <c r="S180" s="16" t="s">
        <v>2242</v>
      </c>
      <c r="T180" s="45">
        <v>12.5</v>
      </c>
      <c r="U180" s="45">
        <v>1196</v>
      </c>
      <c r="V180" s="45">
        <v>2001</v>
      </c>
      <c r="W180" s="19" t="s">
        <v>396</v>
      </c>
      <c r="X180" s="45">
        <v>12.5</v>
      </c>
      <c r="Y180" s="42">
        <v>9.5399999999999991</v>
      </c>
      <c r="Z180" s="41">
        <v>0.25</v>
      </c>
      <c r="AA180" s="19" t="s">
        <v>396</v>
      </c>
      <c r="AE180" s="19" t="s">
        <v>399</v>
      </c>
      <c r="AF180" s="19" t="s">
        <v>399</v>
      </c>
      <c r="AG180" s="19" t="s">
        <v>399</v>
      </c>
      <c r="AK180" s="16" t="s">
        <v>643</v>
      </c>
      <c r="AL180" s="17">
        <v>4002806921035</v>
      </c>
      <c r="AM180" s="15" t="s">
        <v>643</v>
      </c>
      <c r="AN180" s="5">
        <v>68091100</v>
      </c>
      <c r="AO180" s="6"/>
      <c r="AP180" s="6"/>
      <c r="AQ180" s="6" t="s">
        <v>2813</v>
      </c>
      <c r="AR180" s="6" t="s">
        <v>2812</v>
      </c>
      <c r="AS180" s="6" t="s">
        <v>2811</v>
      </c>
    </row>
    <row r="181" spans="1:45" s="16" customFormat="1" ht="12.75" customHeight="1">
      <c r="A181" s="89" t="s">
        <v>2810</v>
      </c>
      <c r="B181" s="18" t="s">
        <v>2809</v>
      </c>
      <c r="C181" s="18" t="s">
        <v>403</v>
      </c>
      <c r="D181" s="18" t="s">
        <v>2715</v>
      </c>
      <c r="E181" s="18" t="s">
        <v>2715</v>
      </c>
      <c r="F181" s="18" t="s">
        <v>2714</v>
      </c>
      <c r="G181" s="18" t="s">
        <v>2713</v>
      </c>
      <c r="H181" s="19" t="s">
        <v>396</v>
      </c>
      <c r="I181" s="19" t="s">
        <v>396</v>
      </c>
      <c r="J181" s="91" t="s">
        <v>2803</v>
      </c>
      <c r="K181" s="91" t="s">
        <v>2803</v>
      </c>
      <c r="L181" s="19" t="s">
        <v>2068</v>
      </c>
      <c r="M181" s="16" t="s">
        <v>655</v>
      </c>
      <c r="N181" s="16" t="s">
        <v>2645</v>
      </c>
      <c r="O181" s="18" t="s">
        <v>2644</v>
      </c>
      <c r="P181" s="18" t="s">
        <v>2711</v>
      </c>
      <c r="Q181" s="18" t="s">
        <v>2068</v>
      </c>
      <c r="R181" s="16" t="s">
        <v>2710</v>
      </c>
      <c r="S181" s="16" t="s">
        <v>2242</v>
      </c>
      <c r="T181" s="45">
        <v>12.5</v>
      </c>
      <c r="U181" s="45">
        <v>1200</v>
      </c>
      <c r="V181" s="45">
        <v>2000</v>
      </c>
      <c r="W181" s="19" t="s">
        <v>396</v>
      </c>
      <c r="X181" s="45">
        <v>12.5</v>
      </c>
      <c r="Y181" s="42">
        <v>9.19</v>
      </c>
      <c r="Z181" s="41">
        <v>0.25</v>
      </c>
      <c r="AA181" s="19" t="s">
        <v>396</v>
      </c>
      <c r="AE181" s="19" t="s">
        <v>399</v>
      </c>
      <c r="AF181" s="19" t="s">
        <v>399</v>
      </c>
      <c r="AG181" s="19" t="s">
        <v>399</v>
      </c>
      <c r="AK181" s="16" t="s">
        <v>643</v>
      </c>
      <c r="AL181" s="17">
        <v>4002806921097</v>
      </c>
      <c r="AM181" s="15" t="s">
        <v>643</v>
      </c>
      <c r="AN181" s="5">
        <v>68091100</v>
      </c>
      <c r="AO181" s="6"/>
      <c r="AP181" s="6"/>
      <c r="AQ181" s="6" t="s">
        <v>2808</v>
      </c>
      <c r="AR181" s="6" t="s">
        <v>2807</v>
      </c>
      <c r="AS181" s="6" t="s">
        <v>2806</v>
      </c>
    </row>
    <row r="182" spans="1:45" s="16" customFormat="1" ht="12.75" customHeight="1">
      <c r="A182" s="89" t="s">
        <v>2805</v>
      </c>
      <c r="B182" s="18" t="s">
        <v>2804</v>
      </c>
      <c r="C182" s="18" t="s">
        <v>403</v>
      </c>
      <c r="D182" s="18" t="s">
        <v>2715</v>
      </c>
      <c r="E182" s="18" t="s">
        <v>2715</v>
      </c>
      <c r="F182" s="18" t="s">
        <v>2714</v>
      </c>
      <c r="G182" s="18" t="s">
        <v>2713</v>
      </c>
      <c r="H182" s="19" t="s">
        <v>396</v>
      </c>
      <c r="I182" s="19" t="s">
        <v>396</v>
      </c>
      <c r="J182" s="91" t="s">
        <v>2803</v>
      </c>
      <c r="K182" s="91" t="s">
        <v>2803</v>
      </c>
      <c r="L182" s="19" t="s">
        <v>2068</v>
      </c>
      <c r="M182" s="16" t="s">
        <v>655</v>
      </c>
      <c r="N182" s="16" t="s">
        <v>2645</v>
      </c>
      <c r="O182" s="18" t="s">
        <v>2644</v>
      </c>
      <c r="P182" s="18" t="s">
        <v>2711</v>
      </c>
      <c r="Q182" s="18" t="s">
        <v>2068</v>
      </c>
      <c r="R182" s="16" t="s">
        <v>2710</v>
      </c>
      <c r="S182" s="16" t="s">
        <v>2242</v>
      </c>
      <c r="T182" s="45">
        <v>12.5</v>
      </c>
      <c r="U182" s="45">
        <v>1200</v>
      </c>
      <c r="V182" s="45">
        <v>2000</v>
      </c>
      <c r="W182" s="19" t="s">
        <v>396</v>
      </c>
      <c r="X182" s="45">
        <v>12.5</v>
      </c>
      <c r="Y182" s="42">
        <v>9.19</v>
      </c>
      <c r="Z182" s="41">
        <v>0.25</v>
      </c>
      <c r="AA182" s="19" t="s">
        <v>396</v>
      </c>
      <c r="AE182" s="19" t="s">
        <v>399</v>
      </c>
      <c r="AF182" s="19" t="s">
        <v>399</v>
      </c>
      <c r="AG182" s="19" t="s">
        <v>399</v>
      </c>
      <c r="AK182" s="16" t="s">
        <v>643</v>
      </c>
      <c r="AL182" s="17">
        <v>4002806921110</v>
      </c>
      <c r="AM182" s="15" t="s">
        <v>643</v>
      </c>
      <c r="AN182" s="5">
        <v>68091100</v>
      </c>
      <c r="AO182" s="6"/>
      <c r="AP182" s="6"/>
      <c r="AQ182" s="6" t="s">
        <v>2802</v>
      </c>
      <c r="AR182" s="6" t="s">
        <v>2801</v>
      </c>
      <c r="AS182" s="6" t="s">
        <v>2800</v>
      </c>
    </row>
    <row r="183" spans="1:45" s="92" customFormat="1" ht="12.75" customHeight="1">
      <c r="A183" s="100" t="s">
        <v>2799</v>
      </c>
      <c r="B183" s="93" t="s">
        <v>2798</v>
      </c>
      <c r="C183" s="93" t="s">
        <v>403</v>
      </c>
      <c r="D183" s="93" t="s">
        <v>2715</v>
      </c>
      <c r="E183" s="93" t="s">
        <v>2715</v>
      </c>
      <c r="F183" s="93" t="s">
        <v>2714</v>
      </c>
      <c r="G183" s="93" t="s">
        <v>2713</v>
      </c>
      <c r="H183" s="95" t="s">
        <v>396</v>
      </c>
      <c r="I183" s="95" t="s">
        <v>396</v>
      </c>
      <c r="J183" s="99" t="s">
        <v>2792</v>
      </c>
      <c r="K183" s="99" t="s">
        <v>2792</v>
      </c>
      <c r="L183" s="95" t="s">
        <v>2068</v>
      </c>
      <c r="M183" s="92" t="s">
        <v>655</v>
      </c>
      <c r="N183" s="92" t="s">
        <v>2645</v>
      </c>
      <c r="O183" s="93" t="s">
        <v>2644</v>
      </c>
      <c r="P183" s="93" t="s">
        <v>2711</v>
      </c>
      <c r="Q183" s="93" t="s">
        <v>2068</v>
      </c>
      <c r="R183" s="92" t="s">
        <v>2710</v>
      </c>
      <c r="S183" s="92" t="s">
        <v>2242</v>
      </c>
      <c r="T183" s="98">
        <v>12.5</v>
      </c>
      <c r="U183" s="98">
        <v>1200</v>
      </c>
      <c r="V183" s="98">
        <v>2010</v>
      </c>
      <c r="W183" s="95" t="s">
        <v>396</v>
      </c>
      <c r="X183" s="98">
        <v>12.5</v>
      </c>
      <c r="Y183" s="97">
        <v>9.07</v>
      </c>
      <c r="Z183" s="96">
        <v>0.25</v>
      </c>
      <c r="AA183" s="95" t="s">
        <v>396</v>
      </c>
      <c r="AE183" s="95" t="s">
        <v>399</v>
      </c>
      <c r="AF183" s="95" t="s">
        <v>399</v>
      </c>
      <c r="AG183" s="95" t="s">
        <v>399</v>
      </c>
      <c r="AK183" s="92" t="s">
        <v>643</v>
      </c>
      <c r="AL183" s="94">
        <v>4002806943044</v>
      </c>
      <c r="AM183" s="94" t="s">
        <v>643</v>
      </c>
      <c r="AN183" s="92">
        <v>68091900</v>
      </c>
      <c r="AO183" s="93"/>
      <c r="AP183" s="93"/>
      <c r="AQ183" s="93" t="s">
        <v>2797</v>
      </c>
      <c r="AR183" s="93" t="s">
        <v>2796</v>
      </c>
      <c r="AS183" s="93" t="s">
        <v>2795</v>
      </c>
    </row>
    <row r="184" spans="1:45" s="92" customFormat="1" ht="12.75" customHeight="1">
      <c r="A184" s="100" t="s">
        <v>2794</v>
      </c>
      <c r="B184" s="93" t="s">
        <v>2793</v>
      </c>
      <c r="C184" s="93" t="s">
        <v>403</v>
      </c>
      <c r="D184" s="93" t="s">
        <v>2715</v>
      </c>
      <c r="E184" s="93" t="s">
        <v>2715</v>
      </c>
      <c r="F184" s="93" t="s">
        <v>2714</v>
      </c>
      <c r="G184" s="93" t="s">
        <v>2713</v>
      </c>
      <c r="H184" s="95" t="s">
        <v>396</v>
      </c>
      <c r="I184" s="95" t="s">
        <v>396</v>
      </c>
      <c r="J184" s="99" t="s">
        <v>2792</v>
      </c>
      <c r="K184" s="99" t="s">
        <v>2792</v>
      </c>
      <c r="L184" s="95" t="s">
        <v>2068</v>
      </c>
      <c r="M184" s="92" t="s">
        <v>655</v>
      </c>
      <c r="N184" s="92" t="s">
        <v>2645</v>
      </c>
      <c r="O184" s="93" t="s">
        <v>2644</v>
      </c>
      <c r="P184" s="93" t="s">
        <v>2711</v>
      </c>
      <c r="Q184" s="93" t="s">
        <v>2068</v>
      </c>
      <c r="R184" s="92" t="s">
        <v>2710</v>
      </c>
      <c r="S184" s="92" t="s">
        <v>2242</v>
      </c>
      <c r="T184" s="98">
        <v>12.5</v>
      </c>
      <c r="U184" s="98">
        <v>1200</v>
      </c>
      <c r="V184" s="98">
        <v>2010</v>
      </c>
      <c r="W184" s="95" t="s">
        <v>396</v>
      </c>
      <c r="X184" s="98">
        <v>12.5</v>
      </c>
      <c r="Y184" s="97">
        <v>9.07</v>
      </c>
      <c r="Z184" s="96">
        <v>0.25</v>
      </c>
      <c r="AA184" s="95" t="s">
        <v>396</v>
      </c>
      <c r="AE184" s="95" t="s">
        <v>399</v>
      </c>
      <c r="AF184" s="95" t="s">
        <v>399</v>
      </c>
      <c r="AG184" s="95" t="s">
        <v>399</v>
      </c>
      <c r="AK184" s="92" t="s">
        <v>643</v>
      </c>
      <c r="AL184" s="94">
        <v>4002806943051</v>
      </c>
      <c r="AM184" s="94" t="s">
        <v>643</v>
      </c>
      <c r="AN184" s="92">
        <v>68091100</v>
      </c>
      <c r="AO184" s="93"/>
      <c r="AP184" s="93"/>
      <c r="AQ184" s="93" t="s">
        <v>2791</v>
      </c>
      <c r="AR184" s="93" t="s">
        <v>2790</v>
      </c>
      <c r="AS184" s="93" t="s">
        <v>2789</v>
      </c>
    </row>
    <row r="185" spans="1:45" s="16" customFormat="1" ht="12.75" customHeight="1">
      <c r="A185" s="89" t="s">
        <v>2788</v>
      </c>
      <c r="B185" s="18" t="s">
        <v>2787</v>
      </c>
      <c r="C185" s="18" t="s">
        <v>403</v>
      </c>
      <c r="D185" s="18" t="s">
        <v>2715</v>
      </c>
      <c r="E185" s="18" t="s">
        <v>2715</v>
      </c>
      <c r="F185" s="18" t="s">
        <v>2714</v>
      </c>
      <c r="G185" s="18" t="s">
        <v>2713</v>
      </c>
      <c r="H185" s="19" t="s">
        <v>396</v>
      </c>
      <c r="I185" s="19" t="s">
        <v>396</v>
      </c>
      <c r="J185" s="91" t="s">
        <v>2781</v>
      </c>
      <c r="K185" s="91" t="s">
        <v>2781</v>
      </c>
      <c r="L185" s="19" t="s">
        <v>2068</v>
      </c>
      <c r="M185" s="16" t="s">
        <v>655</v>
      </c>
      <c r="N185" s="16" t="s">
        <v>2645</v>
      </c>
      <c r="O185" s="18" t="s">
        <v>2644</v>
      </c>
      <c r="P185" s="18" t="s">
        <v>2711</v>
      </c>
      <c r="Q185" s="18" t="s">
        <v>2068</v>
      </c>
      <c r="R185" s="16" t="s">
        <v>2710</v>
      </c>
      <c r="S185" s="16" t="s">
        <v>2242</v>
      </c>
      <c r="T185" s="45">
        <v>12.5</v>
      </c>
      <c r="U185" s="45">
        <v>1200</v>
      </c>
      <c r="V185" s="45">
        <v>2000</v>
      </c>
      <c r="W185" s="19" t="s">
        <v>396</v>
      </c>
      <c r="X185" s="45">
        <v>12.5</v>
      </c>
      <c r="Y185" s="42">
        <v>9.6999999999999993</v>
      </c>
      <c r="Z185" s="41">
        <v>0.25</v>
      </c>
      <c r="AA185" s="19" t="s">
        <v>396</v>
      </c>
      <c r="AE185" s="19" t="s">
        <v>399</v>
      </c>
      <c r="AF185" s="19" t="s">
        <v>399</v>
      </c>
      <c r="AG185" s="19" t="s">
        <v>399</v>
      </c>
      <c r="AK185" s="16" t="s">
        <v>643</v>
      </c>
      <c r="AL185" s="17">
        <v>4002806921929</v>
      </c>
      <c r="AM185" s="15" t="s">
        <v>643</v>
      </c>
      <c r="AN185" s="5">
        <v>68091100</v>
      </c>
      <c r="AO185" s="6"/>
      <c r="AP185" s="6"/>
      <c r="AQ185" s="6" t="s">
        <v>2786</v>
      </c>
      <c r="AR185" s="6" t="s">
        <v>2785</v>
      </c>
      <c r="AS185" s="6" t="s">
        <v>2784</v>
      </c>
    </row>
    <row r="186" spans="1:45" s="16" customFormat="1" ht="12.75" customHeight="1">
      <c r="A186" s="89" t="s">
        <v>2783</v>
      </c>
      <c r="B186" s="18" t="s">
        <v>2782</v>
      </c>
      <c r="C186" s="18" t="s">
        <v>403</v>
      </c>
      <c r="D186" s="18" t="s">
        <v>2715</v>
      </c>
      <c r="E186" s="18" t="s">
        <v>2715</v>
      </c>
      <c r="F186" s="18" t="s">
        <v>2714</v>
      </c>
      <c r="G186" s="18" t="s">
        <v>2713</v>
      </c>
      <c r="H186" s="19" t="s">
        <v>396</v>
      </c>
      <c r="I186" s="19" t="s">
        <v>396</v>
      </c>
      <c r="J186" s="91" t="s">
        <v>2781</v>
      </c>
      <c r="K186" s="91" t="s">
        <v>2781</v>
      </c>
      <c r="L186" s="19" t="s">
        <v>2068</v>
      </c>
      <c r="M186" s="16" t="s">
        <v>655</v>
      </c>
      <c r="N186" s="16" t="s">
        <v>2645</v>
      </c>
      <c r="O186" s="18" t="s">
        <v>2644</v>
      </c>
      <c r="P186" s="18" t="s">
        <v>2711</v>
      </c>
      <c r="Q186" s="18" t="s">
        <v>2068</v>
      </c>
      <c r="R186" s="16" t="s">
        <v>2710</v>
      </c>
      <c r="S186" s="16" t="s">
        <v>2242</v>
      </c>
      <c r="T186" s="45">
        <v>12.5</v>
      </c>
      <c r="U186" s="45">
        <v>1200</v>
      </c>
      <c r="V186" s="45">
        <v>2000</v>
      </c>
      <c r="W186" s="19" t="s">
        <v>396</v>
      </c>
      <c r="X186" s="45">
        <v>12.5</v>
      </c>
      <c r="Y186" s="42">
        <v>9.6999999999999993</v>
      </c>
      <c r="Z186" s="41">
        <v>0.25</v>
      </c>
      <c r="AA186" s="19" t="s">
        <v>396</v>
      </c>
      <c r="AE186" s="19" t="s">
        <v>399</v>
      </c>
      <c r="AF186" s="19" t="s">
        <v>399</v>
      </c>
      <c r="AG186" s="19" t="s">
        <v>399</v>
      </c>
      <c r="AK186" s="16" t="s">
        <v>643</v>
      </c>
      <c r="AL186" s="17">
        <v>4002806921905</v>
      </c>
      <c r="AM186" s="15" t="s">
        <v>643</v>
      </c>
      <c r="AN186" s="5">
        <v>68091100</v>
      </c>
      <c r="AO186" s="6"/>
      <c r="AP186" s="6"/>
      <c r="AQ186" s="6" t="s">
        <v>2780</v>
      </c>
      <c r="AR186" s="6" t="s">
        <v>2779</v>
      </c>
      <c r="AS186" s="6" t="s">
        <v>2778</v>
      </c>
    </row>
    <row r="187" spans="1:45" s="16" customFormat="1" ht="12.75" customHeight="1">
      <c r="A187" s="89" t="s">
        <v>2777</v>
      </c>
      <c r="B187" s="18" t="s">
        <v>2776</v>
      </c>
      <c r="C187" s="18" t="s">
        <v>403</v>
      </c>
      <c r="D187" s="18" t="s">
        <v>2715</v>
      </c>
      <c r="E187" s="18" t="s">
        <v>2715</v>
      </c>
      <c r="F187" s="18" t="s">
        <v>2714</v>
      </c>
      <c r="G187" s="18" t="s">
        <v>2713</v>
      </c>
      <c r="H187" s="19" t="s">
        <v>396</v>
      </c>
      <c r="I187" s="19" t="s">
        <v>396</v>
      </c>
      <c r="J187" s="91" t="s">
        <v>2770</v>
      </c>
      <c r="K187" s="91" t="s">
        <v>2770</v>
      </c>
      <c r="L187" s="19" t="s">
        <v>2068</v>
      </c>
      <c r="M187" s="16" t="s">
        <v>655</v>
      </c>
      <c r="N187" s="16" t="s">
        <v>2645</v>
      </c>
      <c r="O187" s="18" t="s">
        <v>2644</v>
      </c>
      <c r="P187" s="18" t="s">
        <v>2711</v>
      </c>
      <c r="Q187" s="18" t="s">
        <v>2068</v>
      </c>
      <c r="R187" s="16" t="s">
        <v>2710</v>
      </c>
      <c r="S187" s="16" t="s">
        <v>2242</v>
      </c>
      <c r="T187" s="45">
        <v>12.5</v>
      </c>
      <c r="U187" s="45">
        <v>1188</v>
      </c>
      <c r="V187" s="45">
        <v>1980</v>
      </c>
      <c r="W187" s="19" t="s">
        <v>396</v>
      </c>
      <c r="X187" s="45">
        <v>12.5</v>
      </c>
      <c r="Y187" s="42">
        <v>9.11</v>
      </c>
      <c r="Z187" s="41">
        <v>0.25</v>
      </c>
      <c r="AA187" s="19" t="s">
        <v>396</v>
      </c>
      <c r="AE187" s="19" t="s">
        <v>399</v>
      </c>
      <c r="AF187" s="19" t="s">
        <v>399</v>
      </c>
      <c r="AG187" s="19" t="s">
        <v>399</v>
      </c>
      <c r="AK187" s="16" t="s">
        <v>643</v>
      </c>
      <c r="AL187" s="17">
        <v>4002806921141</v>
      </c>
      <c r="AM187" s="15" t="s">
        <v>643</v>
      </c>
      <c r="AN187" s="5">
        <v>68091100</v>
      </c>
      <c r="AO187" s="6"/>
      <c r="AP187" s="6"/>
      <c r="AQ187" s="6" t="s">
        <v>2775</v>
      </c>
      <c r="AR187" s="6" t="s">
        <v>2774</v>
      </c>
      <c r="AS187" s="6" t="s">
        <v>2773</v>
      </c>
    </row>
    <row r="188" spans="1:45" s="16" customFormat="1" ht="12.75" customHeight="1">
      <c r="A188" s="89" t="s">
        <v>2772</v>
      </c>
      <c r="B188" s="18" t="s">
        <v>2771</v>
      </c>
      <c r="C188" s="18" t="s">
        <v>403</v>
      </c>
      <c r="D188" s="18" t="s">
        <v>2715</v>
      </c>
      <c r="E188" s="18" t="s">
        <v>2715</v>
      </c>
      <c r="F188" s="18" t="s">
        <v>2714</v>
      </c>
      <c r="G188" s="18" t="s">
        <v>2713</v>
      </c>
      <c r="H188" s="19" t="s">
        <v>396</v>
      </c>
      <c r="I188" s="19" t="s">
        <v>396</v>
      </c>
      <c r="J188" s="91" t="s">
        <v>2770</v>
      </c>
      <c r="K188" s="91" t="s">
        <v>2770</v>
      </c>
      <c r="L188" s="19" t="s">
        <v>2068</v>
      </c>
      <c r="M188" s="16" t="s">
        <v>655</v>
      </c>
      <c r="N188" s="16" t="s">
        <v>2645</v>
      </c>
      <c r="O188" s="18" t="s">
        <v>2644</v>
      </c>
      <c r="P188" s="18" t="s">
        <v>2711</v>
      </c>
      <c r="Q188" s="18" t="s">
        <v>2068</v>
      </c>
      <c r="R188" s="16" t="s">
        <v>2710</v>
      </c>
      <c r="S188" s="16" t="s">
        <v>2242</v>
      </c>
      <c r="T188" s="45">
        <v>12.5</v>
      </c>
      <c r="U188" s="45">
        <v>1188</v>
      </c>
      <c r="V188" s="45">
        <v>1980</v>
      </c>
      <c r="W188" s="19" t="s">
        <v>396</v>
      </c>
      <c r="X188" s="45">
        <v>12.5</v>
      </c>
      <c r="Y188" s="42">
        <v>9.11</v>
      </c>
      <c r="Z188" s="41">
        <v>0.25</v>
      </c>
      <c r="AA188" s="19" t="s">
        <v>396</v>
      </c>
      <c r="AE188" s="19" t="s">
        <v>399</v>
      </c>
      <c r="AF188" s="19" t="s">
        <v>399</v>
      </c>
      <c r="AG188" s="19" t="s">
        <v>399</v>
      </c>
      <c r="AK188" s="16" t="s">
        <v>643</v>
      </c>
      <c r="AL188" s="17">
        <v>4002806921189</v>
      </c>
      <c r="AM188" s="15" t="s">
        <v>643</v>
      </c>
      <c r="AN188" s="5">
        <v>68091100</v>
      </c>
      <c r="AO188" s="6"/>
      <c r="AP188" s="6"/>
      <c r="AQ188" s="6" t="s">
        <v>2769</v>
      </c>
      <c r="AR188" s="6" t="s">
        <v>2768</v>
      </c>
      <c r="AS188" s="6" t="s">
        <v>2767</v>
      </c>
    </row>
    <row r="189" spans="1:45" s="16" customFormat="1" ht="12.75" customHeight="1">
      <c r="A189" s="89" t="s">
        <v>2766</v>
      </c>
      <c r="B189" s="18" t="s">
        <v>2765</v>
      </c>
      <c r="C189" s="18" t="s">
        <v>403</v>
      </c>
      <c r="D189" s="18" t="s">
        <v>2715</v>
      </c>
      <c r="E189" s="18" t="s">
        <v>2715</v>
      </c>
      <c r="F189" s="18" t="s">
        <v>2714</v>
      </c>
      <c r="G189" s="18" t="s">
        <v>2713</v>
      </c>
      <c r="H189" s="19" t="s">
        <v>396</v>
      </c>
      <c r="I189" s="19" t="s">
        <v>396</v>
      </c>
      <c r="J189" s="91" t="s">
        <v>2759</v>
      </c>
      <c r="K189" s="91" t="s">
        <v>2759</v>
      </c>
      <c r="L189" s="19" t="s">
        <v>2068</v>
      </c>
      <c r="M189" s="16" t="s">
        <v>655</v>
      </c>
      <c r="N189" s="16" t="s">
        <v>2645</v>
      </c>
      <c r="O189" s="18" t="s">
        <v>2644</v>
      </c>
      <c r="P189" s="18" t="s">
        <v>2711</v>
      </c>
      <c r="Q189" s="18" t="s">
        <v>2068</v>
      </c>
      <c r="R189" s="16" t="s">
        <v>2710</v>
      </c>
      <c r="S189" s="16" t="s">
        <v>2242</v>
      </c>
      <c r="T189" s="45">
        <v>12.5</v>
      </c>
      <c r="U189" s="45">
        <v>1200</v>
      </c>
      <c r="V189" s="45">
        <v>2000</v>
      </c>
      <c r="W189" s="19" t="s">
        <v>396</v>
      </c>
      <c r="X189" s="45">
        <v>12.5</v>
      </c>
      <c r="Y189" s="42">
        <v>10.43</v>
      </c>
      <c r="Z189" s="41">
        <v>0.25</v>
      </c>
      <c r="AA189" s="19" t="s">
        <v>396</v>
      </c>
      <c r="AE189" s="19" t="s">
        <v>399</v>
      </c>
      <c r="AF189" s="19" t="s">
        <v>399</v>
      </c>
      <c r="AG189" s="19" t="s">
        <v>399</v>
      </c>
      <c r="AK189" s="16" t="s">
        <v>643</v>
      </c>
      <c r="AL189" s="17">
        <v>4002806921202</v>
      </c>
      <c r="AM189" s="15" t="s">
        <v>643</v>
      </c>
      <c r="AN189" s="5">
        <v>68091100</v>
      </c>
      <c r="AO189" s="6"/>
      <c r="AP189" s="6"/>
      <c r="AQ189" s="6" t="s">
        <v>2764</v>
      </c>
      <c r="AR189" s="6" t="s">
        <v>2763</v>
      </c>
      <c r="AS189" s="6" t="s">
        <v>2762</v>
      </c>
    </row>
    <row r="190" spans="1:45" s="16" customFormat="1" ht="12.75" customHeight="1">
      <c r="A190" s="89" t="s">
        <v>2761</v>
      </c>
      <c r="B190" s="18" t="s">
        <v>2760</v>
      </c>
      <c r="C190" s="18" t="s">
        <v>403</v>
      </c>
      <c r="D190" s="18" t="s">
        <v>2715</v>
      </c>
      <c r="E190" s="18" t="s">
        <v>2715</v>
      </c>
      <c r="F190" s="18" t="s">
        <v>2714</v>
      </c>
      <c r="G190" s="18" t="s">
        <v>2713</v>
      </c>
      <c r="H190" s="19" t="s">
        <v>396</v>
      </c>
      <c r="I190" s="19" t="s">
        <v>396</v>
      </c>
      <c r="J190" s="91" t="s">
        <v>2759</v>
      </c>
      <c r="K190" s="91" t="s">
        <v>2759</v>
      </c>
      <c r="L190" s="19" t="s">
        <v>2068</v>
      </c>
      <c r="M190" s="16" t="s">
        <v>655</v>
      </c>
      <c r="N190" s="16" t="s">
        <v>2645</v>
      </c>
      <c r="O190" s="18" t="s">
        <v>2644</v>
      </c>
      <c r="P190" s="18" t="s">
        <v>2711</v>
      </c>
      <c r="Q190" s="18" t="s">
        <v>2068</v>
      </c>
      <c r="R190" s="16" t="s">
        <v>2710</v>
      </c>
      <c r="S190" s="16" t="s">
        <v>2242</v>
      </c>
      <c r="T190" s="45">
        <v>12.5</v>
      </c>
      <c r="U190" s="45">
        <v>1200</v>
      </c>
      <c r="V190" s="45">
        <v>2000</v>
      </c>
      <c r="W190" s="19" t="s">
        <v>396</v>
      </c>
      <c r="X190" s="45">
        <v>12.5</v>
      </c>
      <c r="Y190" s="42">
        <v>10.43</v>
      </c>
      <c r="Z190" s="41">
        <v>0.25</v>
      </c>
      <c r="AA190" s="19" t="s">
        <v>396</v>
      </c>
      <c r="AE190" s="19" t="s">
        <v>399</v>
      </c>
      <c r="AF190" s="19" t="s">
        <v>399</v>
      </c>
      <c r="AG190" s="19" t="s">
        <v>399</v>
      </c>
      <c r="AK190" s="16" t="s">
        <v>643</v>
      </c>
      <c r="AL190" s="17">
        <v>4002806921226</v>
      </c>
      <c r="AM190" s="15" t="s">
        <v>643</v>
      </c>
      <c r="AN190" s="5">
        <v>68091100</v>
      </c>
      <c r="AO190" s="6"/>
      <c r="AP190" s="6"/>
      <c r="AQ190" s="6" t="s">
        <v>2758</v>
      </c>
      <c r="AR190" s="6" t="s">
        <v>2757</v>
      </c>
      <c r="AS190" s="6" t="s">
        <v>2756</v>
      </c>
    </row>
    <row r="191" spans="1:45" s="16" customFormat="1" ht="12.75" customHeight="1">
      <c r="A191" s="89" t="s">
        <v>2755</v>
      </c>
      <c r="B191" s="18" t="s">
        <v>2754</v>
      </c>
      <c r="C191" s="18" t="s">
        <v>403</v>
      </c>
      <c r="D191" s="18" t="s">
        <v>2715</v>
      </c>
      <c r="E191" s="18" t="s">
        <v>2715</v>
      </c>
      <c r="F191" s="18" t="s">
        <v>2714</v>
      </c>
      <c r="G191" s="18" t="s">
        <v>2713</v>
      </c>
      <c r="H191" s="19" t="s">
        <v>396</v>
      </c>
      <c r="I191" s="19" t="s">
        <v>396</v>
      </c>
      <c r="J191" s="91" t="s">
        <v>2748</v>
      </c>
      <c r="K191" s="91" t="s">
        <v>2748</v>
      </c>
      <c r="L191" s="19" t="s">
        <v>2068</v>
      </c>
      <c r="M191" s="16" t="s">
        <v>655</v>
      </c>
      <c r="N191" s="16" t="s">
        <v>2645</v>
      </c>
      <c r="O191" s="18" t="s">
        <v>2644</v>
      </c>
      <c r="P191" s="18" t="s">
        <v>2711</v>
      </c>
      <c r="Q191" s="18" t="s">
        <v>2068</v>
      </c>
      <c r="R191" s="16" t="s">
        <v>2710</v>
      </c>
      <c r="S191" s="16" t="s">
        <v>2242</v>
      </c>
      <c r="T191" s="45">
        <v>12.5</v>
      </c>
      <c r="U191" s="45">
        <v>1200</v>
      </c>
      <c r="V191" s="45">
        <v>1960</v>
      </c>
      <c r="W191" s="19" t="s">
        <v>396</v>
      </c>
      <c r="X191" s="45">
        <v>12.5</v>
      </c>
      <c r="Y191" s="42">
        <v>10.039999999999999</v>
      </c>
      <c r="Z191" s="41">
        <v>0.25</v>
      </c>
      <c r="AA191" s="19" t="s">
        <v>396</v>
      </c>
      <c r="AE191" s="19" t="s">
        <v>399</v>
      </c>
      <c r="AF191" s="19" t="s">
        <v>399</v>
      </c>
      <c r="AG191" s="19" t="s">
        <v>399</v>
      </c>
      <c r="AK191" s="16" t="s">
        <v>643</v>
      </c>
      <c r="AL191" s="17">
        <v>4002806921806</v>
      </c>
      <c r="AM191" s="15" t="s">
        <v>643</v>
      </c>
      <c r="AN191" s="5">
        <v>68091100</v>
      </c>
      <c r="AO191" s="6"/>
      <c r="AP191" s="6"/>
      <c r="AQ191" s="6" t="s">
        <v>2753</v>
      </c>
      <c r="AR191" s="6" t="s">
        <v>2752</v>
      </c>
      <c r="AS191" s="6" t="s">
        <v>2751</v>
      </c>
    </row>
    <row r="192" spans="1:45" s="16" customFormat="1" ht="12.75" customHeight="1">
      <c r="A192" s="89" t="s">
        <v>2750</v>
      </c>
      <c r="B192" s="18" t="s">
        <v>2749</v>
      </c>
      <c r="C192" s="18" t="s">
        <v>403</v>
      </c>
      <c r="D192" s="18" t="s">
        <v>2715</v>
      </c>
      <c r="E192" s="18" t="s">
        <v>2715</v>
      </c>
      <c r="F192" s="18" t="s">
        <v>2714</v>
      </c>
      <c r="G192" s="18" t="s">
        <v>2713</v>
      </c>
      <c r="H192" s="19" t="s">
        <v>396</v>
      </c>
      <c r="I192" s="19" t="s">
        <v>396</v>
      </c>
      <c r="J192" s="91" t="s">
        <v>2748</v>
      </c>
      <c r="K192" s="91" t="s">
        <v>2748</v>
      </c>
      <c r="L192" s="19" t="s">
        <v>2068</v>
      </c>
      <c r="M192" s="16" t="s">
        <v>655</v>
      </c>
      <c r="N192" s="16" t="s">
        <v>2645</v>
      </c>
      <c r="O192" s="18" t="s">
        <v>2644</v>
      </c>
      <c r="P192" s="18" t="s">
        <v>2711</v>
      </c>
      <c r="Q192" s="18" t="s">
        <v>2068</v>
      </c>
      <c r="R192" s="16" t="s">
        <v>2710</v>
      </c>
      <c r="S192" s="16" t="s">
        <v>2242</v>
      </c>
      <c r="T192" s="45">
        <v>12.5</v>
      </c>
      <c r="U192" s="45">
        <v>1200</v>
      </c>
      <c r="V192" s="45">
        <v>1960</v>
      </c>
      <c r="W192" s="19" t="s">
        <v>396</v>
      </c>
      <c r="X192" s="45">
        <v>12.5</v>
      </c>
      <c r="Y192" s="42">
        <v>10.039999999999999</v>
      </c>
      <c r="Z192" s="41">
        <v>0.25</v>
      </c>
      <c r="AA192" s="19" t="s">
        <v>396</v>
      </c>
      <c r="AE192" s="19" t="s">
        <v>399</v>
      </c>
      <c r="AF192" s="19" t="s">
        <v>399</v>
      </c>
      <c r="AG192" s="19" t="s">
        <v>399</v>
      </c>
      <c r="AK192" s="16" t="s">
        <v>643</v>
      </c>
      <c r="AL192" s="17">
        <v>4002806921257</v>
      </c>
      <c r="AM192" s="15" t="s">
        <v>643</v>
      </c>
      <c r="AN192" s="5">
        <v>68091100</v>
      </c>
      <c r="AO192" s="6"/>
      <c r="AP192" s="6"/>
      <c r="AQ192" s="6" t="s">
        <v>2747</v>
      </c>
      <c r="AR192" s="6" t="s">
        <v>2746</v>
      </c>
      <c r="AS192" s="6" t="s">
        <v>2745</v>
      </c>
    </row>
    <row r="193" spans="1:45" s="16" customFormat="1" ht="12.75" customHeight="1">
      <c r="A193" s="89" t="s">
        <v>2744</v>
      </c>
      <c r="B193" s="18" t="s">
        <v>2743</v>
      </c>
      <c r="C193" s="18" t="s">
        <v>403</v>
      </c>
      <c r="D193" s="18" t="s">
        <v>2715</v>
      </c>
      <c r="E193" s="18" t="s">
        <v>2715</v>
      </c>
      <c r="F193" s="18" t="s">
        <v>2714</v>
      </c>
      <c r="G193" s="18" t="s">
        <v>2713</v>
      </c>
      <c r="H193" s="19" t="s">
        <v>396</v>
      </c>
      <c r="I193" s="19" t="s">
        <v>396</v>
      </c>
      <c r="J193" s="91" t="s">
        <v>2737</v>
      </c>
      <c r="K193" s="91" t="s">
        <v>2737</v>
      </c>
      <c r="L193" s="19" t="s">
        <v>2068</v>
      </c>
      <c r="M193" s="16" t="s">
        <v>655</v>
      </c>
      <c r="N193" s="16" t="s">
        <v>2645</v>
      </c>
      <c r="O193" s="18" t="s">
        <v>2644</v>
      </c>
      <c r="P193" s="18" t="s">
        <v>2711</v>
      </c>
      <c r="Q193" s="18" t="s">
        <v>2068</v>
      </c>
      <c r="R193" s="16" t="s">
        <v>2710</v>
      </c>
      <c r="S193" s="16" t="s">
        <v>2242</v>
      </c>
      <c r="T193" s="45">
        <v>12.5</v>
      </c>
      <c r="U193" s="45">
        <v>1200</v>
      </c>
      <c r="V193" s="45">
        <v>2000</v>
      </c>
      <c r="W193" s="19" t="s">
        <v>396</v>
      </c>
      <c r="X193" s="45">
        <v>12.5</v>
      </c>
      <c r="Y193" s="42">
        <v>9.92</v>
      </c>
      <c r="Z193" s="41">
        <v>0.25</v>
      </c>
      <c r="AA193" s="19" t="s">
        <v>396</v>
      </c>
      <c r="AE193" s="19" t="s">
        <v>399</v>
      </c>
      <c r="AF193" s="19" t="s">
        <v>399</v>
      </c>
      <c r="AG193" s="19" t="s">
        <v>399</v>
      </c>
      <c r="AK193" s="16" t="s">
        <v>643</v>
      </c>
      <c r="AL193" s="17">
        <v>4002806921264</v>
      </c>
      <c r="AM193" s="15" t="s">
        <v>643</v>
      </c>
      <c r="AN193" s="5">
        <v>68091100</v>
      </c>
      <c r="AO193" s="6"/>
      <c r="AP193" s="6"/>
      <c r="AQ193" s="6" t="s">
        <v>2742</v>
      </c>
      <c r="AR193" s="6" t="s">
        <v>2741</v>
      </c>
      <c r="AS193" s="6" t="s">
        <v>2740</v>
      </c>
    </row>
    <row r="194" spans="1:45" s="16" customFormat="1" ht="12.75" customHeight="1">
      <c r="A194" s="89" t="s">
        <v>2739</v>
      </c>
      <c r="B194" s="18" t="s">
        <v>2738</v>
      </c>
      <c r="C194" s="18" t="s">
        <v>403</v>
      </c>
      <c r="D194" s="18" t="s">
        <v>2715</v>
      </c>
      <c r="E194" s="18" t="s">
        <v>2715</v>
      </c>
      <c r="F194" s="18" t="s">
        <v>2714</v>
      </c>
      <c r="G194" s="18" t="s">
        <v>2713</v>
      </c>
      <c r="H194" s="19" t="s">
        <v>396</v>
      </c>
      <c r="I194" s="19" t="s">
        <v>396</v>
      </c>
      <c r="J194" s="91" t="s">
        <v>2737</v>
      </c>
      <c r="K194" s="91" t="s">
        <v>2737</v>
      </c>
      <c r="L194" s="19" t="s">
        <v>2068</v>
      </c>
      <c r="M194" s="16" t="s">
        <v>655</v>
      </c>
      <c r="N194" s="16" t="s">
        <v>2645</v>
      </c>
      <c r="O194" s="18" t="s">
        <v>2644</v>
      </c>
      <c r="P194" s="18" t="s">
        <v>2711</v>
      </c>
      <c r="Q194" s="18" t="s">
        <v>2068</v>
      </c>
      <c r="R194" s="16" t="s">
        <v>2710</v>
      </c>
      <c r="S194" s="16" t="s">
        <v>2242</v>
      </c>
      <c r="T194" s="45">
        <v>12.5</v>
      </c>
      <c r="U194" s="45">
        <v>1200</v>
      </c>
      <c r="V194" s="45">
        <v>2000</v>
      </c>
      <c r="W194" s="19" t="s">
        <v>396</v>
      </c>
      <c r="X194" s="45">
        <v>12.5</v>
      </c>
      <c r="Y194" s="42">
        <v>9.92</v>
      </c>
      <c r="Z194" s="41">
        <v>0.25</v>
      </c>
      <c r="AA194" s="19" t="s">
        <v>396</v>
      </c>
      <c r="AE194" s="19" t="s">
        <v>399</v>
      </c>
      <c r="AF194" s="19" t="s">
        <v>399</v>
      </c>
      <c r="AG194" s="19" t="s">
        <v>399</v>
      </c>
      <c r="AK194" s="16" t="s">
        <v>643</v>
      </c>
      <c r="AL194" s="17">
        <v>4002806921271</v>
      </c>
      <c r="AM194" s="15" t="s">
        <v>643</v>
      </c>
      <c r="AN194" s="5">
        <v>68091100</v>
      </c>
      <c r="AO194" s="6"/>
      <c r="AP194" s="6"/>
      <c r="AQ194" s="6" t="s">
        <v>2736</v>
      </c>
      <c r="AR194" s="6" t="s">
        <v>2735</v>
      </c>
      <c r="AS194" s="6" t="s">
        <v>2734</v>
      </c>
    </row>
    <row r="195" spans="1:45" s="16" customFormat="1" ht="12.75" customHeight="1">
      <c r="A195" s="89" t="s">
        <v>2733</v>
      </c>
      <c r="B195" s="18" t="s">
        <v>2732</v>
      </c>
      <c r="C195" s="18" t="s">
        <v>403</v>
      </c>
      <c r="D195" s="18" t="s">
        <v>2715</v>
      </c>
      <c r="E195" s="18" t="s">
        <v>2715</v>
      </c>
      <c r="F195" s="18" t="s">
        <v>2714</v>
      </c>
      <c r="G195" s="18" t="s">
        <v>2713</v>
      </c>
      <c r="H195" s="19" t="s">
        <v>396</v>
      </c>
      <c r="I195" s="19" t="s">
        <v>396</v>
      </c>
      <c r="J195" s="91" t="s">
        <v>2726</v>
      </c>
      <c r="K195" s="91" t="s">
        <v>2726</v>
      </c>
      <c r="L195" s="19" t="s">
        <v>2068</v>
      </c>
      <c r="M195" s="16" t="s">
        <v>655</v>
      </c>
      <c r="N195" s="16" t="s">
        <v>2645</v>
      </c>
      <c r="O195" s="18" t="s">
        <v>2644</v>
      </c>
      <c r="P195" s="18" t="s">
        <v>2711</v>
      </c>
      <c r="Q195" s="18" t="s">
        <v>2068</v>
      </c>
      <c r="R195" s="16" t="s">
        <v>2710</v>
      </c>
      <c r="S195" s="16" t="s">
        <v>2242</v>
      </c>
      <c r="T195" s="45">
        <v>12.5</v>
      </c>
      <c r="U195" s="45">
        <v>1188</v>
      </c>
      <c r="V195" s="45">
        <v>1998</v>
      </c>
      <c r="W195" s="19" t="s">
        <v>396</v>
      </c>
      <c r="X195" s="45">
        <v>12.5</v>
      </c>
      <c r="Y195" s="42">
        <v>10.050000000000001</v>
      </c>
      <c r="Z195" s="41">
        <v>0.25</v>
      </c>
      <c r="AA195" s="19" t="s">
        <v>396</v>
      </c>
      <c r="AE195" s="19" t="s">
        <v>399</v>
      </c>
      <c r="AF195" s="19" t="s">
        <v>399</v>
      </c>
      <c r="AG195" s="19" t="s">
        <v>399</v>
      </c>
      <c r="AK195" s="16" t="s">
        <v>643</v>
      </c>
      <c r="AL195" s="17">
        <v>4002806921295</v>
      </c>
      <c r="AM195" s="15" t="s">
        <v>643</v>
      </c>
      <c r="AN195" s="5">
        <v>68091100</v>
      </c>
      <c r="AO195" s="6"/>
      <c r="AP195" s="6"/>
      <c r="AQ195" s="6" t="s">
        <v>2731</v>
      </c>
      <c r="AR195" s="6" t="s">
        <v>2730</v>
      </c>
      <c r="AS195" s="6" t="s">
        <v>2729</v>
      </c>
    </row>
    <row r="196" spans="1:45" s="16" customFormat="1" ht="12.75" customHeight="1">
      <c r="A196" s="89" t="s">
        <v>2728</v>
      </c>
      <c r="B196" s="18" t="s">
        <v>2727</v>
      </c>
      <c r="C196" s="18" t="s">
        <v>403</v>
      </c>
      <c r="D196" s="18" t="s">
        <v>2715</v>
      </c>
      <c r="E196" s="18" t="s">
        <v>2715</v>
      </c>
      <c r="F196" s="18" t="s">
        <v>2714</v>
      </c>
      <c r="G196" s="18" t="s">
        <v>2713</v>
      </c>
      <c r="H196" s="19" t="s">
        <v>396</v>
      </c>
      <c r="I196" s="19" t="s">
        <v>396</v>
      </c>
      <c r="J196" s="91" t="s">
        <v>2726</v>
      </c>
      <c r="K196" s="91" t="s">
        <v>2726</v>
      </c>
      <c r="L196" s="19" t="s">
        <v>2068</v>
      </c>
      <c r="M196" s="16" t="s">
        <v>655</v>
      </c>
      <c r="N196" s="16" t="s">
        <v>2645</v>
      </c>
      <c r="O196" s="18" t="s">
        <v>2644</v>
      </c>
      <c r="P196" s="18" t="s">
        <v>2711</v>
      </c>
      <c r="Q196" s="18" t="s">
        <v>2068</v>
      </c>
      <c r="R196" s="16" t="s">
        <v>2710</v>
      </c>
      <c r="S196" s="16" t="s">
        <v>2242</v>
      </c>
      <c r="T196" s="45">
        <v>12.5</v>
      </c>
      <c r="U196" s="45">
        <v>1188</v>
      </c>
      <c r="V196" s="45">
        <v>1998</v>
      </c>
      <c r="W196" s="19" t="s">
        <v>396</v>
      </c>
      <c r="X196" s="45">
        <v>12.5</v>
      </c>
      <c r="Y196" s="42">
        <v>10.050000000000001</v>
      </c>
      <c r="Z196" s="41">
        <v>0.25</v>
      </c>
      <c r="AA196" s="19" t="s">
        <v>396</v>
      </c>
      <c r="AE196" s="19" t="s">
        <v>399</v>
      </c>
      <c r="AF196" s="19" t="s">
        <v>399</v>
      </c>
      <c r="AG196" s="19" t="s">
        <v>399</v>
      </c>
      <c r="AK196" s="16" t="s">
        <v>643</v>
      </c>
      <c r="AL196" s="17">
        <v>4002806921318</v>
      </c>
      <c r="AM196" s="15" t="s">
        <v>643</v>
      </c>
      <c r="AN196" s="5">
        <v>68091100</v>
      </c>
      <c r="AO196" s="6"/>
      <c r="AP196" s="6"/>
      <c r="AQ196" s="6" t="s">
        <v>2725</v>
      </c>
      <c r="AR196" s="6" t="s">
        <v>2724</v>
      </c>
      <c r="AS196" s="6" t="s">
        <v>2723</v>
      </c>
    </row>
    <row r="197" spans="1:45" s="16" customFormat="1" ht="12.75" customHeight="1">
      <c r="A197" s="89" t="s">
        <v>2722</v>
      </c>
      <c r="B197" s="18" t="s">
        <v>2721</v>
      </c>
      <c r="C197" s="18" t="s">
        <v>403</v>
      </c>
      <c r="D197" s="18" t="s">
        <v>2715</v>
      </c>
      <c r="E197" s="18" t="s">
        <v>2715</v>
      </c>
      <c r="F197" s="18" t="s">
        <v>2714</v>
      </c>
      <c r="G197" s="18" t="s">
        <v>2713</v>
      </c>
      <c r="H197" s="19" t="s">
        <v>396</v>
      </c>
      <c r="I197" s="19" t="s">
        <v>396</v>
      </c>
      <c r="J197" s="91" t="s">
        <v>2712</v>
      </c>
      <c r="K197" s="91" t="s">
        <v>2712</v>
      </c>
      <c r="L197" s="19" t="s">
        <v>2068</v>
      </c>
      <c r="M197" s="16" t="s">
        <v>655</v>
      </c>
      <c r="N197" s="16" t="s">
        <v>2645</v>
      </c>
      <c r="O197" s="18" t="s">
        <v>2644</v>
      </c>
      <c r="P197" s="18" t="s">
        <v>2711</v>
      </c>
      <c r="Q197" s="18" t="s">
        <v>2068</v>
      </c>
      <c r="R197" s="16" t="s">
        <v>2710</v>
      </c>
      <c r="S197" s="16" t="s">
        <v>2242</v>
      </c>
      <c r="T197" s="45">
        <v>12.5</v>
      </c>
      <c r="U197" s="45">
        <v>1200</v>
      </c>
      <c r="V197" s="45">
        <v>2000</v>
      </c>
      <c r="W197" s="19" t="s">
        <v>396</v>
      </c>
      <c r="X197" s="45">
        <v>12.5</v>
      </c>
      <c r="Y197" s="42">
        <v>8.68</v>
      </c>
      <c r="Z197" s="41">
        <v>0.25</v>
      </c>
      <c r="AA197" s="19" t="s">
        <v>396</v>
      </c>
      <c r="AE197" s="19" t="s">
        <v>399</v>
      </c>
      <c r="AF197" s="19" t="s">
        <v>399</v>
      </c>
      <c r="AG197" s="19" t="s">
        <v>399</v>
      </c>
      <c r="AK197" s="16" t="s">
        <v>643</v>
      </c>
      <c r="AL197" s="17">
        <v>4002806921332</v>
      </c>
      <c r="AM197" s="15" t="s">
        <v>643</v>
      </c>
      <c r="AN197" s="5">
        <v>68091100</v>
      </c>
      <c r="AO197" s="6"/>
      <c r="AP197" s="6"/>
      <c r="AQ197" s="6" t="s">
        <v>2720</v>
      </c>
      <c r="AR197" s="6" t="s">
        <v>2719</v>
      </c>
      <c r="AS197" s="6" t="s">
        <v>2718</v>
      </c>
    </row>
    <row r="198" spans="1:45" s="16" customFormat="1" ht="12.75" customHeight="1">
      <c r="A198" s="89" t="s">
        <v>2717</v>
      </c>
      <c r="B198" s="18" t="s">
        <v>2716</v>
      </c>
      <c r="C198" s="18" t="s">
        <v>403</v>
      </c>
      <c r="D198" s="18" t="s">
        <v>2715</v>
      </c>
      <c r="E198" s="18" t="s">
        <v>2715</v>
      </c>
      <c r="F198" s="18" t="s">
        <v>2714</v>
      </c>
      <c r="G198" s="18" t="s">
        <v>2713</v>
      </c>
      <c r="H198" s="19" t="s">
        <v>396</v>
      </c>
      <c r="I198" s="19" t="s">
        <v>396</v>
      </c>
      <c r="J198" s="91" t="s">
        <v>2712</v>
      </c>
      <c r="K198" s="91" t="s">
        <v>2712</v>
      </c>
      <c r="L198" s="19" t="s">
        <v>2068</v>
      </c>
      <c r="M198" s="16" t="s">
        <v>655</v>
      </c>
      <c r="N198" s="16" t="s">
        <v>2645</v>
      </c>
      <c r="O198" s="18" t="s">
        <v>2644</v>
      </c>
      <c r="P198" s="18" t="s">
        <v>2711</v>
      </c>
      <c r="Q198" s="18" t="s">
        <v>2068</v>
      </c>
      <c r="R198" s="16" t="s">
        <v>2710</v>
      </c>
      <c r="S198" s="16" t="s">
        <v>2242</v>
      </c>
      <c r="T198" s="45">
        <v>12.5</v>
      </c>
      <c r="U198" s="45">
        <v>1200</v>
      </c>
      <c r="V198" s="45">
        <v>2000</v>
      </c>
      <c r="W198" s="19" t="s">
        <v>396</v>
      </c>
      <c r="X198" s="45">
        <v>12.5</v>
      </c>
      <c r="Y198" s="42">
        <v>8.68</v>
      </c>
      <c r="Z198" s="41">
        <v>0.25</v>
      </c>
      <c r="AA198" s="19" t="s">
        <v>396</v>
      </c>
      <c r="AE198" s="19" t="s">
        <v>399</v>
      </c>
      <c r="AF198" s="19" t="s">
        <v>399</v>
      </c>
      <c r="AG198" s="19" t="s">
        <v>399</v>
      </c>
      <c r="AK198" s="16" t="s">
        <v>643</v>
      </c>
      <c r="AL198" s="17">
        <v>4002806921356</v>
      </c>
      <c r="AM198" s="15" t="s">
        <v>643</v>
      </c>
      <c r="AN198" s="5">
        <v>68091100</v>
      </c>
      <c r="AO198" s="6"/>
      <c r="AP198" s="6"/>
      <c r="AQ198" s="6" t="s">
        <v>2709</v>
      </c>
      <c r="AR198" s="6" t="s">
        <v>2708</v>
      </c>
      <c r="AS198" s="6" t="s">
        <v>2707</v>
      </c>
    </row>
    <row r="199" spans="1:45" s="5" customFormat="1" ht="12.75" customHeight="1">
      <c r="A199" s="33" t="s">
        <v>2706</v>
      </c>
      <c r="B199" s="6" t="s">
        <v>396</v>
      </c>
      <c r="C199" s="31" t="s">
        <v>403</v>
      </c>
      <c r="D199" s="6" t="s">
        <v>2681</v>
      </c>
      <c r="E199" s="6" t="s">
        <v>2680</v>
      </c>
      <c r="F199" s="6" t="s">
        <v>396</v>
      </c>
      <c r="G199" s="6" t="s">
        <v>396</v>
      </c>
      <c r="H199" s="27" t="s">
        <v>396</v>
      </c>
      <c r="I199" s="27" t="s">
        <v>396</v>
      </c>
      <c r="J199" s="6" t="s">
        <v>2705</v>
      </c>
      <c r="K199" s="6" t="s">
        <v>2704</v>
      </c>
      <c r="L199" s="27" t="s">
        <v>399</v>
      </c>
      <c r="M199" s="27" t="s">
        <v>396</v>
      </c>
      <c r="N199" s="27" t="s">
        <v>396</v>
      </c>
      <c r="O199" s="27" t="s">
        <v>396</v>
      </c>
      <c r="P199" s="27" t="s">
        <v>396</v>
      </c>
      <c r="Q199" s="27" t="s">
        <v>396</v>
      </c>
      <c r="R199" s="6"/>
      <c r="S199" s="27" t="s">
        <v>396</v>
      </c>
      <c r="T199" s="30" t="s">
        <v>396</v>
      </c>
      <c r="U199" s="27" t="s">
        <v>396</v>
      </c>
      <c r="V199" s="29" t="s">
        <v>396</v>
      </c>
      <c r="W199" s="27" t="s">
        <v>396</v>
      </c>
      <c r="X199" s="27" t="s">
        <v>396</v>
      </c>
      <c r="Y199" s="27" t="s">
        <v>396</v>
      </c>
      <c r="Z199" s="28" t="s">
        <v>396</v>
      </c>
      <c r="AA199" s="27" t="s">
        <v>396</v>
      </c>
      <c r="AB199" s="27" t="s">
        <v>396</v>
      </c>
      <c r="AC199" s="27" t="s">
        <v>396</v>
      </c>
      <c r="AD199" s="27" t="s">
        <v>396</v>
      </c>
      <c r="AE199" s="27" t="s">
        <v>396</v>
      </c>
      <c r="AF199" s="27" t="s">
        <v>396</v>
      </c>
      <c r="AG199" s="27" t="s">
        <v>396</v>
      </c>
      <c r="AH199" s="27" t="s">
        <v>396</v>
      </c>
      <c r="AI199" s="27" t="s">
        <v>396</v>
      </c>
      <c r="AJ199" s="27" t="s">
        <v>396</v>
      </c>
      <c r="AK199" s="6" t="s">
        <v>735</v>
      </c>
      <c r="AL199" s="17">
        <v>5413218566667</v>
      </c>
      <c r="AM199" s="15" t="s">
        <v>735</v>
      </c>
      <c r="AN199" s="5">
        <v>39269097</v>
      </c>
      <c r="AO199" s="6"/>
      <c r="AP199" s="6"/>
      <c r="AQ199" s="6"/>
      <c r="AR199" s="6"/>
      <c r="AS199" s="6" t="s">
        <v>2703</v>
      </c>
    </row>
    <row r="200" spans="1:45" s="5" customFormat="1" ht="12.75" customHeight="1">
      <c r="A200" s="33" t="s">
        <v>2702</v>
      </c>
      <c r="B200" s="6" t="s">
        <v>396</v>
      </c>
      <c r="C200" s="31" t="s">
        <v>403</v>
      </c>
      <c r="D200" s="6" t="s">
        <v>2681</v>
      </c>
      <c r="E200" s="6" t="s">
        <v>2680</v>
      </c>
      <c r="F200" s="6" t="s">
        <v>396</v>
      </c>
      <c r="G200" s="6" t="s">
        <v>396</v>
      </c>
      <c r="H200" s="27" t="s">
        <v>396</v>
      </c>
      <c r="I200" s="27" t="s">
        <v>396</v>
      </c>
      <c r="J200" s="6" t="s">
        <v>2701</v>
      </c>
      <c r="K200" s="6" t="s">
        <v>2700</v>
      </c>
      <c r="L200" s="27" t="s">
        <v>399</v>
      </c>
      <c r="M200" s="27" t="s">
        <v>396</v>
      </c>
      <c r="N200" s="27" t="s">
        <v>396</v>
      </c>
      <c r="O200" s="27" t="s">
        <v>396</v>
      </c>
      <c r="P200" s="27" t="s">
        <v>396</v>
      </c>
      <c r="Q200" s="27" t="s">
        <v>396</v>
      </c>
      <c r="R200" s="6"/>
      <c r="S200" s="27" t="s">
        <v>396</v>
      </c>
      <c r="T200" s="30" t="s">
        <v>396</v>
      </c>
      <c r="U200" s="27" t="s">
        <v>396</v>
      </c>
      <c r="V200" s="29" t="s">
        <v>396</v>
      </c>
      <c r="W200" s="27" t="s">
        <v>396</v>
      </c>
      <c r="X200" s="27" t="s">
        <v>396</v>
      </c>
      <c r="Y200" s="27" t="s">
        <v>396</v>
      </c>
      <c r="Z200" s="28" t="s">
        <v>396</v>
      </c>
      <c r="AA200" s="27" t="s">
        <v>396</v>
      </c>
      <c r="AB200" s="27" t="s">
        <v>396</v>
      </c>
      <c r="AC200" s="27" t="s">
        <v>396</v>
      </c>
      <c r="AD200" s="27" t="s">
        <v>396</v>
      </c>
      <c r="AE200" s="27" t="s">
        <v>396</v>
      </c>
      <c r="AF200" s="27" t="s">
        <v>396</v>
      </c>
      <c r="AG200" s="27" t="s">
        <v>396</v>
      </c>
      <c r="AH200" s="27" t="s">
        <v>396</v>
      </c>
      <c r="AI200" s="27" t="s">
        <v>396</v>
      </c>
      <c r="AJ200" s="27" t="s">
        <v>396</v>
      </c>
      <c r="AK200" s="6" t="s">
        <v>756</v>
      </c>
      <c r="AL200" s="17">
        <v>4002806056126</v>
      </c>
      <c r="AM200" s="15" t="s">
        <v>756</v>
      </c>
      <c r="AN200" s="5">
        <v>82032090</v>
      </c>
      <c r="AO200" s="6"/>
      <c r="AP200" s="6"/>
      <c r="AQ200" s="6"/>
      <c r="AR200" s="6"/>
      <c r="AS200" s="6" t="s">
        <v>2699</v>
      </c>
    </row>
    <row r="201" spans="1:45" s="5" customFormat="1" ht="12.75" customHeight="1">
      <c r="A201" s="32" t="s">
        <v>2698</v>
      </c>
      <c r="B201" s="6" t="s">
        <v>396</v>
      </c>
      <c r="C201" s="31" t="s">
        <v>403</v>
      </c>
      <c r="D201" s="6" t="s">
        <v>2681</v>
      </c>
      <c r="E201" s="6" t="s">
        <v>2680</v>
      </c>
      <c r="F201" s="6" t="s">
        <v>396</v>
      </c>
      <c r="G201" s="6" t="s">
        <v>396</v>
      </c>
      <c r="H201" s="27" t="s">
        <v>396</v>
      </c>
      <c r="I201" s="27" t="s">
        <v>396</v>
      </c>
      <c r="J201" s="6" t="s">
        <v>2697</v>
      </c>
      <c r="K201" s="6" t="s">
        <v>2696</v>
      </c>
      <c r="L201" s="27" t="s">
        <v>399</v>
      </c>
      <c r="M201" s="27" t="s">
        <v>396</v>
      </c>
      <c r="N201" s="27" t="s">
        <v>396</v>
      </c>
      <c r="O201" s="27" t="s">
        <v>396</v>
      </c>
      <c r="P201" s="27" t="s">
        <v>396</v>
      </c>
      <c r="Q201" s="27" t="s">
        <v>396</v>
      </c>
      <c r="R201" s="6"/>
      <c r="S201" s="27" t="s">
        <v>396</v>
      </c>
      <c r="T201" s="30" t="s">
        <v>396</v>
      </c>
      <c r="U201" s="27" t="s">
        <v>396</v>
      </c>
      <c r="V201" s="29" t="s">
        <v>396</v>
      </c>
      <c r="W201" s="27" t="s">
        <v>396</v>
      </c>
      <c r="X201" s="27" t="s">
        <v>396</v>
      </c>
      <c r="Y201" s="27" t="s">
        <v>396</v>
      </c>
      <c r="Z201" s="28" t="s">
        <v>396</v>
      </c>
      <c r="AA201" s="27" t="s">
        <v>396</v>
      </c>
      <c r="AB201" s="27" t="s">
        <v>396</v>
      </c>
      <c r="AC201" s="27" t="s">
        <v>396</v>
      </c>
      <c r="AD201" s="27" t="s">
        <v>396</v>
      </c>
      <c r="AE201" s="27" t="s">
        <v>396</v>
      </c>
      <c r="AF201" s="27" t="s">
        <v>396</v>
      </c>
      <c r="AG201" s="27" t="s">
        <v>396</v>
      </c>
      <c r="AH201" s="27" t="s">
        <v>396</v>
      </c>
      <c r="AI201" s="27" t="s">
        <v>396</v>
      </c>
      <c r="AJ201" s="27" t="s">
        <v>396</v>
      </c>
      <c r="AK201" s="6" t="s">
        <v>735</v>
      </c>
      <c r="AL201" s="17">
        <v>8711149902194</v>
      </c>
      <c r="AM201" s="15" t="s">
        <v>735</v>
      </c>
      <c r="AN201" s="5">
        <v>39269097</v>
      </c>
      <c r="AO201" s="6"/>
      <c r="AP201" s="6"/>
      <c r="AQ201" s="6"/>
      <c r="AR201" s="6"/>
      <c r="AS201" s="6" t="s">
        <v>2695</v>
      </c>
    </row>
    <row r="202" spans="1:45" s="5" customFormat="1" ht="12.75" customHeight="1">
      <c r="A202" s="32" t="s">
        <v>2694</v>
      </c>
      <c r="B202" s="6" t="s">
        <v>396</v>
      </c>
      <c r="C202" s="31" t="s">
        <v>403</v>
      </c>
      <c r="D202" s="6" t="s">
        <v>2681</v>
      </c>
      <c r="E202" s="6" t="s">
        <v>2680</v>
      </c>
      <c r="F202" s="6" t="s">
        <v>396</v>
      </c>
      <c r="G202" s="6" t="s">
        <v>396</v>
      </c>
      <c r="H202" s="27" t="s">
        <v>396</v>
      </c>
      <c r="I202" s="27" t="s">
        <v>396</v>
      </c>
      <c r="J202" s="6" t="s">
        <v>2693</v>
      </c>
      <c r="K202" s="6" t="s">
        <v>2692</v>
      </c>
      <c r="L202" s="27" t="s">
        <v>399</v>
      </c>
      <c r="M202" s="27" t="s">
        <v>396</v>
      </c>
      <c r="N202" s="27" t="s">
        <v>396</v>
      </c>
      <c r="O202" s="27" t="s">
        <v>396</v>
      </c>
      <c r="P202" s="27" t="s">
        <v>396</v>
      </c>
      <c r="Q202" s="27" t="s">
        <v>396</v>
      </c>
      <c r="R202" s="6"/>
      <c r="S202" s="27" t="s">
        <v>396</v>
      </c>
      <c r="T202" s="30" t="s">
        <v>396</v>
      </c>
      <c r="U202" s="27" t="s">
        <v>396</v>
      </c>
      <c r="V202" s="29" t="s">
        <v>396</v>
      </c>
      <c r="W202" s="27" t="s">
        <v>396</v>
      </c>
      <c r="X202" s="27" t="s">
        <v>396</v>
      </c>
      <c r="Y202" s="27" t="s">
        <v>396</v>
      </c>
      <c r="Z202" s="28" t="s">
        <v>396</v>
      </c>
      <c r="AA202" s="27" t="s">
        <v>396</v>
      </c>
      <c r="AB202" s="27" t="s">
        <v>396</v>
      </c>
      <c r="AC202" s="27" t="s">
        <v>396</v>
      </c>
      <c r="AD202" s="27" t="s">
        <v>396</v>
      </c>
      <c r="AE202" s="27" t="s">
        <v>396</v>
      </c>
      <c r="AF202" s="27" t="s">
        <v>396</v>
      </c>
      <c r="AG202" s="27" t="s">
        <v>396</v>
      </c>
      <c r="AH202" s="27" t="s">
        <v>396</v>
      </c>
      <c r="AI202" s="27" t="s">
        <v>396</v>
      </c>
      <c r="AJ202" s="27" t="s">
        <v>396</v>
      </c>
      <c r="AK202" s="6" t="s">
        <v>395</v>
      </c>
      <c r="AL202" s="17">
        <v>5413218566674</v>
      </c>
      <c r="AM202" s="15" t="s">
        <v>395</v>
      </c>
      <c r="AN202" s="5">
        <v>39259080</v>
      </c>
      <c r="AO202" s="6"/>
      <c r="AP202" s="6"/>
      <c r="AQ202" s="6"/>
      <c r="AR202" s="6"/>
      <c r="AS202" s="6" t="s">
        <v>2691</v>
      </c>
    </row>
    <row r="203" spans="1:45" s="5" customFormat="1" ht="12.75" customHeight="1">
      <c r="A203" s="32" t="s">
        <v>2690</v>
      </c>
      <c r="B203" s="6" t="s">
        <v>396</v>
      </c>
      <c r="C203" s="31" t="s">
        <v>403</v>
      </c>
      <c r="D203" s="6" t="s">
        <v>2681</v>
      </c>
      <c r="E203" s="6" t="s">
        <v>2680</v>
      </c>
      <c r="F203" s="6" t="s">
        <v>396</v>
      </c>
      <c r="G203" s="6" t="s">
        <v>396</v>
      </c>
      <c r="H203" s="27" t="s">
        <v>396</v>
      </c>
      <c r="I203" s="27" t="s">
        <v>396</v>
      </c>
      <c r="J203" s="6" t="s">
        <v>2689</v>
      </c>
      <c r="K203" s="6" t="s">
        <v>2688</v>
      </c>
      <c r="L203" s="27" t="s">
        <v>399</v>
      </c>
      <c r="M203" s="27" t="s">
        <v>396</v>
      </c>
      <c r="N203" s="27" t="s">
        <v>396</v>
      </c>
      <c r="O203" s="27" t="s">
        <v>396</v>
      </c>
      <c r="P203" s="27" t="s">
        <v>396</v>
      </c>
      <c r="Q203" s="27" t="s">
        <v>396</v>
      </c>
      <c r="R203" s="6"/>
      <c r="S203" s="27" t="s">
        <v>396</v>
      </c>
      <c r="T203" s="30" t="s">
        <v>396</v>
      </c>
      <c r="U203" s="27" t="s">
        <v>396</v>
      </c>
      <c r="V203" s="29" t="s">
        <v>396</v>
      </c>
      <c r="W203" s="27" t="s">
        <v>396</v>
      </c>
      <c r="X203" s="27" t="s">
        <v>396</v>
      </c>
      <c r="Y203" s="27" t="s">
        <v>396</v>
      </c>
      <c r="Z203" s="28" t="s">
        <v>396</v>
      </c>
      <c r="AA203" s="27" t="s">
        <v>396</v>
      </c>
      <c r="AB203" s="27" t="s">
        <v>396</v>
      </c>
      <c r="AC203" s="27" t="s">
        <v>396</v>
      </c>
      <c r="AD203" s="27" t="s">
        <v>396</v>
      </c>
      <c r="AE203" s="27" t="s">
        <v>396</v>
      </c>
      <c r="AF203" s="27" t="s">
        <v>396</v>
      </c>
      <c r="AG203" s="27" t="s">
        <v>396</v>
      </c>
      <c r="AH203" s="27" t="s">
        <v>396</v>
      </c>
      <c r="AI203" s="27" t="s">
        <v>396</v>
      </c>
      <c r="AJ203" s="27" t="s">
        <v>396</v>
      </c>
      <c r="AK203" s="6" t="s">
        <v>735</v>
      </c>
      <c r="AL203" s="17">
        <v>5413218566681</v>
      </c>
      <c r="AM203" s="15" t="s">
        <v>735</v>
      </c>
      <c r="AN203" s="5">
        <v>39269098</v>
      </c>
      <c r="AO203" s="6"/>
      <c r="AP203" s="6"/>
      <c r="AQ203" s="6"/>
      <c r="AR203" s="6"/>
      <c r="AS203" s="6" t="s">
        <v>2687</v>
      </c>
    </row>
    <row r="204" spans="1:45" s="5" customFormat="1" ht="12.75" customHeight="1">
      <c r="A204" s="32" t="s">
        <v>2686</v>
      </c>
      <c r="B204" s="6" t="s">
        <v>396</v>
      </c>
      <c r="C204" s="31" t="s">
        <v>403</v>
      </c>
      <c r="D204" s="6" t="s">
        <v>2681</v>
      </c>
      <c r="E204" s="6" t="s">
        <v>2680</v>
      </c>
      <c r="F204" s="6" t="s">
        <v>396</v>
      </c>
      <c r="G204" s="6" t="s">
        <v>396</v>
      </c>
      <c r="H204" s="27" t="s">
        <v>396</v>
      </c>
      <c r="I204" s="27" t="s">
        <v>396</v>
      </c>
      <c r="J204" s="6" t="s">
        <v>2685</v>
      </c>
      <c r="K204" s="6" t="s">
        <v>2684</v>
      </c>
      <c r="L204" s="27" t="s">
        <v>399</v>
      </c>
      <c r="M204" s="27" t="s">
        <v>396</v>
      </c>
      <c r="N204" s="27" t="s">
        <v>396</v>
      </c>
      <c r="O204" s="27" t="s">
        <v>396</v>
      </c>
      <c r="P204" s="27" t="s">
        <v>396</v>
      </c>
      <c r="Q204" s="27" t="s">
        <v>396</v>
      </c>
      <c r="R204" s="6"/>
      <c r="S204" s="27" t="s">
        <v>396</v>
      </c>
      <c r="T204" s="30" t="s">
        <v>396</v>
      </c>
      <c r="U204" s="27" t="s">
        <v>396</v>
      </c>
      <c r="V204" s="29" t="s">
        <v>396</v>
      </c>
      <c r="W204" s="27" t="s">
        <v>396</v>
      </c>
      <c r="X204" s="27" t="s">
        <v>396</v>
      </c>
      <c r="Y204" s="27" t="s">
        <v>396</v>
      </c>
      <c r="Z204" s="28" t="s">
        <v>396</v>
      </c>
      <c r="AA204" s="27" t="s">
        <v>396</v>
      </c>
      <c r="AB204" s="27" t="s">
        <v>396</v>
      </c>
      <c r="AC204" s="27" t="s">
        <v>396</v>
      </c>
      <c r="AD204" s="27" t="s">
        <v>396</v>
      </c>
      <c r="AE204" s="27" t="s">
        <v>396</v>
      </c>
      <c r="AF204" s="27" t="s">
        <v>396</v>
      </c>
      <c r="AG204" s="27" t="s">
        <v>396</v>
      </c>
      <c r="AH204" s="27" t="s">
        <v>396</v>
      </c>
      <c r="AI204" s="27" t="s">
        <v>396</v>
      </c>
      <c r="AJ204" s="27" t="s">
        <v>396</v>
      </c>
      <c r="AK204" s="6" t="s">
        <v>756</v>
      </c>
      <c r="AL204" s="17">
        <v>4002806056164</v>
      </c>
      <c r="AM204" s="15" t="s">
        <v>756</v>
      </c>
      <c r="AN204" s="5">
        <v>72166110</v>
      </c>
      <c r="AO204" s="6"/>
      <c r="AP204" s="6"/>
      <c r="AQ204" s="6"/>
      <c r="AR204" s="6"/>
      <c r="AS204" s="6" t="s">
        <v>2683</v>
      </c>
    </row>
    <row r="205" spans="1:45" s="5" customFormat="1" ht="12.75" customHeight="1">
      <c r="A205" s="32" t="s">
        <v>2682</v>
      </c>
      <c r="B205" s="6" t="s">
        <v>396</v>
      </c>
      <c r="C205" s="31" t="s">
        <v>403</v>
      </c>
      <c r="D205" s="6" t="s">
        <v>2681</v>
      </c>
      <c r="E205" s="6" t="s">
        <v>2680</v>
      </c>
      <c r="F205" s="6" t="s">
        <v>396</v>
      </c>
      <c r="G205" s="6" t="s">
        <v>396</v>
      </c>
      <c r="H205" s="27" t="s">
        <v>396</v>
      </c>
      <c r="I205" s="27" t="s">
        <v>396</v>
      </c>
      <c r="J205" s="6" t="s">
        <v>2679</v>
      </c>
      <c r="K205" s="6" t="s">
        <v>2678</v>
      </c>
      <c r="L205" s="27" t="s">
        <v>399</v>
      </c>
      <c r="M205" s="27" t="s">
        <v>396</v>
      </c>
      <c r="N205" s="27" t="s">
        <v>396</v>
      </c>
      <c r="O205" s="27" t="s">
        <v>396</v>
      </c>
      <c r="P205" s="27" t="s">
        <v>396</v>
      </c>
      <c r="Q205" s="27" t="s">
        <v>396</v>
      </c>
      <c r="R205" s="6"/>
      <c r="S205" s="27" t="s">
        <v>396</v>
      </c>
      <c r="T205" s="30" t="s">
        <v>396</v>
      </c>
      <c r="U205" s="27" t="s">
        <v>396</v>
      </c>
      <c r="V205" s="29" t="s">
        <v>396</v>
      </c>
      <c r="W205" s="27" t="s">
        <v>396</v>
      </c>
      <c r="X205" s="27" t="s">
        <v>396</v>
      </c>
      <c r="Y205" s="27" t="s">
        <v>396</v>
      </c>
      <c r="Z205" s="28" t="s">
        <v>396</v>
      </c>
      <c r="AA205" s="27" t="s">
        <v>396</v>
      </c>
      <c r="AB205" s="27" t="s">
        <v>396</v>
      </c>
      <c r="AC205" s="27" t="s">
        <v>396</v>
      </c>
      <c r="AD205" s="27" t="s">
        <v>396</v>
      </c>
      <c r="AE205" s="27" t="s">
        <v>396</v>
      </c>
      <c r="AF205" s="27" t="s">
        <v>396</v>
      </c>
      <c r="AG205" s="27" t="s">
        <v>396</v>
      </c>
      <c r="AH205" s="27" t="s">
        <v>396</v>
      </c>
      <c r="AI205" s="27" t="s">
        <v>396</v>
      </c>
      <c r="AJ205" s="27" t="s">
        <v>396</v>
      </c>
      <c r="AK205" s="6" t="s">
        <v>756</v>
      </c>
      <c r="AL205" s="17">
        <v>4002806056157</v>
      </c>
      <c r="AM205" s="15" t="s">
        <v>756</v>
      </c>
      <c r="AN205" s="5">
        <v>39269098</v>
      </c>
      <c r="AO205" s="6"/>
      <c r="AP205" s="6"/>
      <c r="AQ205" s="6"/>
      <c r="AR205" s="6"/>
      <c r="AS205" s="6" t="s">
        <v>2677</v>
      </c>
    </row>
    <row r="206" spans="1:45" s="16" customFormat="1" ht="12.75" customHeight="1">
      <c r="A206" s="46" t="s">
        <v>2676</v>
      </c>
      <c r="B206" s="18" t="s">
        <v>2675</v>
      </c>
      <c r="C206" s="18" t="s">
        <v>403</v>
      </c>
      <c r="D206" s="18" t="s">
        <v>2672</v>
      </c>
      <c r="E206" s="18" t="s">
        <v>2671</v>
      </c>
      <c r="F206" s="18" t="s">
        <v>2674</v>
      </c>
      <c r="G206" s="18" t="s">
        <v>2673</v>
      </c>
      <c r="H206" s="19" t="s">
        <v>396</v>
      </c>
      <c r="I206" s="19" t="s">
        <v>396</v>
      </c>
      <c r="J206" s="18" t="s">
        <v>2672</v>
      </c>
      <c r="K206" s="18" t="s">
        <v>2671</v>
      </c>
      <c r="L206" s="19" t="s">
        <v>399</v>
      </c>
      <c r="M206" s="19" t="s">
        <v>396</v>
      </c>
      <c r="N206" s="19" t="s">
        <v>396</v>
      </c>
      <c r="O206" s="19" t="s">
        <v>396</v>
      </c>
      <c r="P206" s="19" t="s">
        <v>396</v>
      </c>
      <c r="Q206" s="19" t="s">
        <v>396</v>
      </c>
      <c r="R206" s="18"/>
      <c r="S206" s="19" t="s">
        <v>396</v>
      </c>
      <c r="T206" s="21" t="s">
        <v>396</v>
      </c>
      <c r="U206" s="19" t="s">
        <v>396</v>
      </c>
      <c r="V206" s="48" t="s">
        <v>396</v>
      </c>
      <c r="W206" s="19" t="s">
        <v>396</v>
      </c>
      <c r="X206" s="19" t="s">
        <v>396</v>
      </c>
      <c r="Y206" s="19" t="s">
        <v>396</v>
      </c>
      <c r="Z206" s="47" t="s">
        <v>396</v>
      </c>
      <c r="AA206" s="19" t="s">
        <v>396</v>
      </c>
      <c r="AB206" s="19" t="s">
        <v>396</v>
      </c>
      <c r="AC206" s="19" t="s">
        <v>396</v>
      </c>
      <c r="AD206" s="19" t="s">
        <v>396</v>
      </c>
      <c r="AE206" s="19" t="s">
        <v>396</v>
      </c>
      <c r="AF206" s="19" t="s">
        <v>396</v>
      </c>
      <c r="AG206" s="19" t="s">
        <v>396</v>
      </c>
      <c r="AH206" s="19" t="s">
        <v>396</v>
      </c>
      <c r="AI206" s="19" t="s">
        <v>396</v>
      </c>
      <c r="AJ206" s="19" t="s">
        <v>396</v>
      </c>
      <c r="AK206" s="18" t="s">
        <v>735</v>
      </c>
      <c r="AL206" s="17">
        <v>3496250267381</v>
      </c>
      <c r="AM206" s="15" t="s">
        <v>735</v>
      </c>
      <c r="AN206" s="5">
        <v>39269098</v>
      </c>
      <c r="AO206" s="6"/>
      <c r="AP206" s="6"/>
      <c r="AQ206" s="6" t="s">
        <v>2670</v>
      </c>
      <c r="AR206" s="6" t="s">
        <v>2669</v>
      </c>
      <c r="AS206" s="6" t="s">
        <v>2668</v>
      </c>
    </row>
    <row r="207" spans="1:45" s="5" customFormat="1" ht="12.75" customHeight="1">
      <c r="A207" s="33" t="s">
        <v>2667</v>
      </c>
      <c r="B207" s="6" t="s">
        <v>396</v>
      </c>
      <c r="C207" s="6" t="s">
        <v>403</v>
      </c>
      <c r="D207" s="5" t="s">
        <v>2666</v>
      </c>
      <c r="E207" s="6" t="s">
        <v>2665</v>
      </c>
      <c r="F207" s="6" t="s">
        <v>396</v>
      </c>
      <c r="G207" s="6" t="s">
        <v>396</v>
      </c>
      <c r="H207" s="27" t="s">
        <v>396</v>
      </c>
      <c r="I207" s="27" t="s">
        <v>396</v>
      </c>
      <c r="J207" s="6" t="s">
        <v>2664</v>
      </c>
      <c r="K207" s="6" t="s">
        <v>2663</v>
      </c>
      <c r="L207" s="27" t="s">
        <v>399</v>
      </c>
      <c r="M207" s="27" t="s">
        <v>396</v>
      </c>
      <c r="N207" s="27" t="s">
        <v>396</v>
      </c>
      <c r="O207" s="27" t="s">
        <v>396</v>
      </c>
      <c r="P207" s="27" t="s">
        <v>396</v>
      </c>
      <c r="Q207" s="27" t="s">
        <v>396</v>
      </c>
      <c r="R207" s="6"/>
      <c r="S207" s="27" t="s">
        <v>396</v>
      </c>
      <c r="T207" s="30" t="s">
        <v>396</v>
      </c>
      <c r="U207" s="27" t="s">
        <v>396</v>
      </c>
      <c r="V207" s="29" t="s">
        <v>396</v>
      </c>
      <c r="W207" s="27" t="s">
        <v>396</v>
      </c>
      <c r="X207" s="27" t="s">
        <v>396</v>
      </c>
      <c r="Y207" s="27" t="s">
        <v>396</v>
      </c>
      <c r="Z207" s="28" t="s">
        <v>396</v>
      </c>
      <c r="AA207" s="27" t="s">
        <v>396</v>
      </c>
      <c r="AB207" s="27" t="s">
        <v>396</v>
      </c>
      <c r="AC207" s="27" t="s">
        <v>396</v>
      </c>
      <c r="AD207" s="27" t="s">
        <v>396</v>
      </c>
      <c r="AE207" s="27" t="s">
        <v>396</v>
      </c>
      <c r="AF207" s="27" t="s">
        <v>396</v>
      </c>
      <c r="AG207" s="27" t="s">
        <v>396</v>
      </c>
      <c r="AH207" s="27" t="s">
        <v>396</v>
      </c>
      <c r="AI207" s="27" t="s">
        <v>396</v>
      </c>
      <c r="AJ207" s="27" t="s">
        <v>396</v>
      </c>
      <c r="AK207" s="6" t="s">
        <v>735</v>
      </c>
      <c r="AL207" s="17">
        <v>4002806736219</v>
      </c>
      <c r="AM207" s="15" t="s">
        <v>395</v>
      </c>
      <c r="AN207" s="5">
        <v>39269098</v>
      </c>
      <c r="AO207" s="6"/>
      <c r="AP207" s="6"/>
      <c r="AQ207" s="6"/>
      <c r="AR207" s="6"/>
      <c r="AS207" s="6" t="s">
        <v>2662</v>
      </c>
    </row>
    <row r="208" spans="1:45" s="16" customFormat="1" ht="12.75" customHeight="1">
      <c r="A208" s="46" t="s">
        <v>2661</v>
      </c>
      <c r="B208" s="18" t="s">
        <v>396</v>
      </c>
      <c r="C208" s="18" t="s">
        <v>403</v>
      </c>
      <c r="D208" s="18" t="s">
        <v>2659</v>
      </c>
      <c r="E208" s="18" t="s">
        <v>2659</v>
      </c>
      <c r="F208" s="18" t="s">
        <v>2660</v>
      </c>
      <c r="G208" s="18" t="s">
        <v>2660</v>
      </c>
      <c r="H208" s="19"/>
      <c r="I208" s="19"/>
      <c r="J208" s="18" t="s">
        <v>2659</v>
      </c>
      <c r="K208" s="18" t="s">
        <v>2659</v>
      </c>
      <c r="L208" s="19" t="s">
        <v>434</v>
      </c>
      <c r="M208" s="18" t="s">
        <v>508</v>
      </c>
      <c r="N208" s="18" t="s">
        <v>507</v>
      </c>
      <c r="O208" s="18" t="s">
        <v>506</v>
      </c>
      <c r="P208" s="18" t="s">
        <v>479</v>
      </c>
      <c r="Q208" s="18" t="s">
        <v>434</v>
      </c>
      <c r="R208" s="18"/>
      <c r="S208" s="19" t="s">
        <v>396</v>
      </c>
      <c r="T208" s="21" t="s">
        <v>396</v>
      </c>
      <c r="U208" s="19" t="s">
        <v>396</v>
      </c>
      <c r="V208" s="48" t="s">
        <v>396</v>
      </c>
      <c r="W208" s="19" t="s">
        <v>396</v>
      </c>
      <c r="X208" s="19" t="s">
        <v>396</v>
      </c>
      <c r="Y208" s="19" t="s">
        <v>396</v>
      </c>
      <c r="Z208" s="49">
        <v>0.25</v>
      </c>
      <c r="AA208" s="19" t="s">
        <v>396</v>
      </c>
      <c r="AB208" s="19" t="s">
        <v>396</v>
      </c>
      <c r="AC208" s="19" t="s">
        <v>396</v>
      </c>
      <c r="AD208" s="19" t="s">
        <v>396</v>
      </c>
      <c r="AE208" s="19"/>
      <c r="AF208" s="19" t="s">
        <v>399</v>
      </c>
      <c r="AG208" s="19"/>
      <c r="AH208" s="19"/>
      <c r="AI208" s="19"/>
      <c r="AJ208" s="19"/>
      <c r="AK208" s="18" t="s">
        <v>395</v>
      </c>
      <c r="AL208" s="17">
        <v>3496250267527</v>
      </c>
      <c r="AM208" s="15" t="s">
        <v>395</v>
      </c>
      <c r="AN208" s="5">
        <v>39269098</v>
      </c>
      <c r="AO208" s="6"/>
      <c r="AP208" s="6"/>
      <c r="AQ208" s="6" t="s">
        <v>2658</v>
      </c>
      <c r="AR208" s="6" t="s">
        <v>2657</v>
      </c>
      <c r="AS208" s="6" t="s">
        <v>2656</v>
      </c>
    </row>
    <row r="209" spans="1:45" s="5" customFormat="1" ht="12.75" customHeight="1">
      <c r="A209" s="77" t="s">
        <v>2655</v>
      </c>
      <c r="B209" s="6" t="s">
        <v>396</v>
      </c>
      <c r="C209" s="6" t="s">
        <v>403</v>
      </c>
      <c r="D209" s="6" t="s">
        <v>656</v>
      </c>
      <c r="E209" s="6" t="s">
        <v>656</v>
      </c>
      <c r="F209" s="6" t="s">
        <v>656</v>
      </c>
      <c r="G209" s="6" t="s">
        <v>656</v>
      </c>
      <c r="H209" s="27" t="s">
        <v>396</v>
      </c>
      <c r="I209" s="27" t="s">
        <v>396</v>
      </c>
      <c r="J209" s="77" t="s">
        <v>2654</v>
      </c>
      <c r="K209" s="77" t="s">
        <v>2654</v>
      </c>
      <c r="L209" s="27" t="s">
        <v>2068</v>
      </c>
      <c r="M209" s="6" t="s">
        <v>655</v>
      </c>
      <c r="N209" s="5" t="s">
        <v>2645</v>
      </c>
      <c r="O209" s="6" t="s">
        <v>2644</v>
      </c>
      <c r="P209" s="6" t="s">
        <v>2069</v>
      </c>
      <c r="Q209" s="6" t="s">
        <v>2068</v>
      </c>
      <c r="S209" s="5" t="s">
        <v>2242</v>
      </c>
      <c r="T209" s="76">
        <v>10</v>
      </c>
      <c r="U209" s="76">
        <v>1188</v>
      </c>
      <c r="V209" s="76">
        <v>1998</v>
      </c>
      <c r="W209" s="27" t="s">
        <v>396</v>
      </c>
      <c r="X209" s="27">
        <v>10</v>
      </c>
      <c r="Y209" s="53">
        <v>7.9</v>
      </c>
      <c r="Z209" s="55">
        <v>0.25</v>
      </c>
      <c r="AA209" s="27" t="s">
        <v>396</v>
      </c>
      <c r="AE209" s="27" t="s">
        <v>399</v>
      </c>
      <c r="AF209" s="27" t="s">
        <v>399</v>
      </c>
      <c r="AG209" s="27" t="s">
        <v>399</v>
      </c>
      <c r="AK209" s="5" t="s">
        <v>643</v>
      </c>
      <c r="AL209" s="17">
        <v>4002806671442</v>
      </c>
      <c r="AM209" s="15" t="s">
        <v>395</v>
      </c>
      <c r="AN209" s="5">
        <v>68091100</v>
      </c>
      <c r="AO209" s="6"/>
      <c r="AP209" s="6"/>
      <c r="AQ209" s="6"/>
      <c r="AR209" s="6"/>
      <c r="AS209" s="6" t="s">
        <v>366</v>
      </c>
    </row>
    <row r="210" spans="1:45" s="5" customFormat="1" ht="12.75" customHeight="1">
      <c r="A210" s="77" t="s">
        <v>2653</v>
      </c>
      <c r="B210" s="6" t="s">
        <v>396</v>
      </c>
      <c r="C210" s="6" t="s">
        <v>403</v>
      </c>
      <c r="D210" s="6" t="s">
        <v>656</v>
      </c>
      <c r="E210" s="6" t="s">
        <v>656</v>
      </c>
      <c r="F210" s="6" t="s">
        <v>656</v>
      </c>
      <c r="G210" s="6" t="s">
        <v>656</v>
      </c>
      <c r="H210" s="27" t="s">
        <v>396</v>
      </c>
      <c r="I210" s="27" t="s">
        <v>396</v>
      </c>
      <c r="J210" s="77" t="s">
        <v>2652</v>
      </c>
      <c r="K210" s="77" t="s">
        <v>2652</v>
      </c>
      <c r="L210" s="27" t="s">
        <v>2068</v>
      </c>
      <c r="M210" s="6" t="s">
        <v>655</v>
      </c>
      <c r="N210" s="5" t="s">
        <v>2645</v>
      </c>
      <c r="O210" s="6" t="s">
        <v>2644</v>
      </c>
      <c r="P210" s="6" t="s">
        <v>2069</v>
      </c>
      <c r="Q210" s="6" t="s">
        <v>2068</v>
      </c>
      <c r="S210" s="5" t="s">
        <v>2242</v>
      </c>
      <c r="T210" s="76">
        <v>10</v>
      </c>
      <c r="U210" s="76">
        <v>1188</v>
      </c>
      <c r="V210" s="76">
        <v>1998</v>
      </c>
      <c r="W210" s="27" t="s">
        <v>396</v>
      </c>
      <c r="X210" s="27">
        <v>10</v>
      </c>
      <c r="Y210" s="53">
        <v>7.3</v>
      </c>
      <c r="Z210" s="55">
        <v>0.25</v>
      </c>
      <c r="AA210" s="27" t="s">
        <v>396</v>
      </c>
      <c r="AE210" s="27" t="s">
        <v>399</v>
      </c>
      <c r="AF210" s="27" t="s">
        <v>399</v>
      </c>
      <c r="AG210" s="27" t="s">
        <v>399</v>
      </c>
      <c r="AK210" s="5" t="s">
        <v>643</v>
      </c>
      <c r="AL210" s="17">
        <v>4002806698326</v>
      </c>
      <c r="AM210" s="15" t="s">
        <v>643</v>
      </c>
      <c r="AN210" s="5">
        <v>68091100</v>
      </c>
      <c r="AO210" s="6"/>
      <c r="AP210" s="6"/>
      <c r="AQ210" s="6"/>
      <c r="AR210" s="6"/>
      <c r="AS210" s="6" t="s">
        <v>366</v>
      </c>
    </row>
    <row r="211" spans="1:45" s="5" customFormat="1" ht="12.75" customHeight="1">
      <c r="A211" s="77" t="s">
        <v>2651</v>
      </c>
      <c r="B211" s="6" t="s">
        <v>396</v>
      </c>
      <c r="C211" s="6" t="s">
        <v>403</v>
      </c>
      <c r="D211" s="6" t="s">
        <v>656</v>
      </c>
      <c r="E211" s="6" t="s">
        <v>656</v>
      </c>
      <c r="F211" s="6" t="s">
        <v>656</v>
      </c>
      <c r="G211" s="6" t="s">
        <v>656</v>
      </c>
      <c r="H211" s="27" t="s">
        <v>396</v>
      </c>
      <c r="I211" s="27" t="s">
        <v>396</v>
      </c>
      <c r="J211" s="77" t="s">
        <v>2650</v>
      </c>
      <c r="K211" s="77" t="s">
        <v>2650</v>
      </c>
      <c r="L211" s="27" t="s">
        <v>2068</v>
      </c>
      <c r="M211" s="6" t="s">
        <v>655</v>
      </c>
      <c r="N211" s="5" t="s">
        <v>2645</v>
      </c>
      <c r="O211" s="6" t="s">
        <v>2644</v>
      </c>
      <c r="P211" s="6" t="s">
        <v>2069</v>
      </c>
      <c r="Q211" s="6" t="s">
        <v>2068</v>
      </c>
      <c r="S211" s="5" t="s">
        <v>2242</v>
      </c>
      <c r="T211" s="76">
        <v>10</v>
      </c>
      <c r="U211" s="76">
        <v>1188</v>
      </c>
      <c r="V211" s="76">
        <v>1998</v>
      </c>
      <c r="W211" s="27" t="s">
        <v>396</v>
      </c>
      <c r="X211" s="27">
        <v>10</v>
      </c>
      <c r="Y211" s="53">
        <v>6.9</v>
      </c>
      <c r="Z211" s="55">
        <v>0.25</v>
      </c>
      <c r="AA211" s="27" t="s">
        <v>396</v>
      </c>
      <c r="AE211" s="27" t="s">
        <v>399</v>
      </c>
      <c r="AF211" s="27" t="s">
        <v>399</v>
      </c>
      <c r="AG211" s="27" t="s">
        <v>399</v>
      </c>
      <c r="AK211" s="5" t="s">
        <v>643</v>
      </c>
      <c r="AL211" s="17">
        <v>4002806663829</v>
      </c>
      <c r="AM211" s="15" t="s">
        <v>643</v>
      </c>
      <c r="AN211" s="5">
        <v>68091100</v>
      </c>
      <c r="AO211" s="6"/>
      <c r="AP211" s="6"/>
      <c r="AQ211" s="6"/>
      <c r="AR211" s="6"/>
      <c r="AS211" s="6" t="s">
        <v>366</v>
      </c>
    </row>
    <row r="212" spans="1:45" s="5" customFormat="1" ht="12.75" customHeight="1">
      <c r="A212" s="77" t="s">
        <v>2649</v>
      </c>
      <c r="B212" s="6" t="s">
        <v>396</v>
      </c>
      <c r="C212" s="6" t="s">
        <v>403</v>
      </c>
      <c r="D212" s="6" t="s">
        <v>656</v>
      </c>
      <c r="E212" s="6" t="s">
        <v>656</v>
      </c>
      <c r="F212" s="6" t="s">
        <v>656</v>
      </c>
      <c r="G212" s="6" t="s">
        <v>656</v>
      </c>
      <c r="H212" s="27" t="s">
        <v>396</v>
      </c>
      <c r="I212" s="27" t="s">
        <v>396</v>
      </c>
      <c r="J212" s="77" t="s">
        <v>2648</v>
      </c>
      <c r="K212" s="77" t="s">
        <v>2648</v>
      </c>
      <c r="L212" s="27" t="s">
        <v>2068</v>
      </c>
      <c r="M212" s="6" t="s">
        <v>655</v>
      </c>
      <c r="N212" s="5" t="s">
        <v>2645</v>
      </c>
      <c r="O212" s="6" t="s">
        <v>2644</v>
      </c>
      <c r="P212" s="6" t="s">
        <v>2069</v>
      </c>
      <c r="Q212" s="6" t="s">
        <v>2068</v>
      </c>
      <c r="S212" s="5" t="s">
        <v>2242</v>
      </c>
      <c r="T212" s="76">
        <v>10</v>
      </c>
      <c r="U212" s="76">
        <v>1200</v>
      </c>
      <c r="V212" s="76">
        <v>2000</v>
      </c>
      <c r="W212" s="27" t="s">
        <v>396</v>
      </c>
      <c r="X212" s="27">
        <v>10</v>
      </c>
      <c r="Y212" s="53">
        <v>6.7</v>
      </c>
      <c r="Z212" s="55">
        <v>0.25</v>
      </c>
      <c r="AA212" s="27" t="s">
        <v>396</v>
      </c>
      <c r="AE212" s="27" t="s">
        <v>399</v>
      </c>
      <c r="AF212" s="27" t="s">
        <v>399</v>
      </c>
      <c r="AG212" s="27" t="s">
        <v>399</v>
      </c>
      <c r="AK212" s="5" t="s">
        <v>643</v>
      </c>
      <c r="AL212" s="17"/>
      <c r="AM212" s="15"/>
      <c r="AN212" s="5">
        <v>68091100</v>
      </c>
      <c r="AO212" s="6"/>
      <c r="AP212" s="6"/>
      <c r="AQ212" s="6"/>
      <c r="AR212" s="6"/>
      <c r="AS212" s="6" t="s">
        <v>366</v>
      </c>
    </row>
    <row r="213" spans="1:45" s="5" customFormat="1" ht="12.75" customHeight="1">
      <c r="A213" s="77" t="s">
        <v>2647</v>
      </c>
      <c r="B213" s="6" t="s">
        <v>396</v>
      </c>
      <c r="C213" s="6" t="s">
        <v>403</v>
      </c>
      <c r="D213" s="6" t="s">
        <v>656</v>
      </c>
      <c r="E213" s="6" t="s">
        <v>656</v>
      </c>
      <c r="F213" s="6" t="s">
        <v>656</v>
      </c>
      <c r="G213" s="6" t="s">
        <v>656</v>
      </c>
      <c r="H213" s="27" t="s">
        <v>396</v>
      </c>
      <c r="I213" s="27" t="s">
        <v>396</v>
      </c>
      <c r="J213" s="77" t="s">
        <v>2646</v>
      </c>
      <c r="K213" s="77" t="s">
        <v>2646</v>
      </c>
      <c r="L213" s="27" t="s">
        <v>2068</v>
      </c>
      <c r="M213" s="6" t="s">
        <v>655</v>
      </c>
      <c r="N213" s="5" t="s">
        <v>2645</v>
      </c>
      <c r="O213" s="6" t="s">
        <v>2644</v>
      </c>
      <c r="P213" s="6" t="s">
        <v>2069</v>
      </c>
      <c r="Q213" s="6" t="s">
        <v>2068</v>
      </c>
      <c r="S213" s="5" t="s">
        <v>2242</v>
      </c>
      <c r="T213" s="76">
        <v>10</v>
      </c>
      <c r="U213" s="76">
        <v>1200</v>
      </c>
      <c r="V213" s="76">
        <v>2000</v>
      </c>
      <c r="W213" s="27" t="s">
        <v>396</v>
      </c>
      <c r="X213" s="27">
        <v>10</v>
      </c>
      <c r="Y213" s="53">
        <v>6.9</v>
      </c>
      <c r="Z213" s="55">
        <v>0.25</v>
      </c>
      <c r="AA213" s="27" t="s">
        <v>396</v>
      </c>
      <c r="AE213" s="27" t="s">
        <v>399</v>
      </c>
      <c r="AF213" s="27" t="s">
        <v>399</v>
      </c>
      <c r="AG213" s="27" t="s">
        <v>399</v>
      </c>
      <c r="AK213" s="5" t="s">
        <v>643</v>
      </c>
      <c r="AL213" s="17"/>
      <c r="AM213" s="15"/>
      <c r="AN213" s="5">
        <v>68091100</v>
      </c>
      <c r="AO213" s="6"/>
      <c r="AP213" s="6"/>
      <c r="AQ213" s="6"/>
      <c r="AR213" s="6"/>
      <c r="AS213" s="6" t="s">
        <v>366</v>
      </c>
    </row>
    <row r="214" spans="1:45" s="16" customFormat="1" ht="12.75" customHeight="1">
      <c r="A214" s="89" t="s">
        <v>2643</v>
      </c>
      <c r="B214" s="18" t="s">
        <v>396</v>
      </c>
      <c r="C214" s="18" t="s">
        <v>403</v>
      </c>
      <c r="D214" s="18" t="s">
        <v>2642</v>
      </c>
      <c r="E214" s="83" t="s">
        <v>2642</v>
      </c>
      <c r="F214" s="18" t="s">
        <v>2641</v>
      </c>
      <c r="G214" s="18" t="s">
        <v>2476</v>
      </c>
      <c r="H214" s="19" t="s">
        <v>396</v>
      </c>
      <c r="I214" s="19" t="s">
        <v>396</v>
      </c>
      <c r="J214" s="83" t="s">
        <v>2640</v>
      </c>
      <c r="K214" s="83" t="s">
        <v>2640</v>
      </c>
      <c r="L214" s="19" t="s">
        <v>2474</v>
      </c>
      <c r="M214" s="18" t="s">
        <v>2100</v>
      </c>
      <c r="N214" s="16" t="s">
        <v>2473</v>
      </c>
      <c r="O214" s="16" t="s">
        <v>2472</v>
      </c>
      <c r="P214" s="18"/>
      <c r="Q214" s="18"/>
      <c r="S214" s="16" t="s">
        <v>2639</v>
      </c>
      <c r="T214" s="45">
        <v>12.5</v>
      </c>
      <c r="U214" s="45">
        <v>600</v>
      </c>
      <c r="V214" s="45">
        <v>2500</v>
      </c>
      <c r="W214" s="16">
        <v>80</v>
      </c>
      <c r="X214" s="19">
        <v>92.5</v>
      </c>
      <c r="Y214" s="53">
        <v>12</v>
      </c>
      <c r="Z214" s="41">
        <v>0.25</v>
      </c>
      <c r="AA214" s="90">
        <v>3.2000000000000001E-2</v>
      </c>
      <c r="AE214" s="16">
        <v>10</v>
      </c>
      <c r="AF214" s="36">
        <v>250</v>
      </c>
      <c r="AG214" s="74">
        <f>AE214*T214/1000+AF214*W214/1000</f>
        <v>20.125</v>
      </c>
      <c r="AK214" s="16" t="s">
        <v>643</v>
      </c>
      <c r="AL214" s="17">
        <v>5413218573726</v>
      </c>
      <c r="AM214" s="15" t="s">
        <v>643</v>
      </c>
      <c r="AN214" s="5">
        <v>68091100</v>
      </c>
      <c r="AO214" s="6"/>
      <c r="AP214" s="6"/>
      <c r="AQ214" s="6" t="s">
        <v>2638</v>
      </c>
      <c r="AR214" s="6" t="s">
        <v>2637</v>
      </c>
      <c r="AS214" s="6" t="s">
        <v>2636</v>
      </c>
    </row>
    <row r="215" spans="1:45" s="16" customFormat="1" ht="12.75" customHeight="1">
      <c r="A215" s="89" t="s">
        <v>2635</v>
      </c>
      <c r="B215" s="18" t="s">
        <v>396</v>
      </c>
      <c r="C215" s="18" t="s">
        <v>403</v>
      </c>
      <c r="D215" s="18" t="s">
        <v>2628</v>
      </c>
      <c r="E215" s="83" t="s">
        <v>2628</v>
      </c>
      <c r="F215" s="16" t="s">
        <v>2630</v>
      </c>
      <c r="G215" s="16" t="s">
        <v>2629</v>
      </c>
      <c r="H215" s="19" t="s">
        <v>396</v>
      </c>
      <c r="I215" s="19" t="s">
        <v>396</v>
      </c>
      <c r="J215" s="83" t="s">
        <v>2628</v>
      </c>
      <c r="K215" s="83" t="s">
        <v>2628</v>
      </c>
      <c r="L215" s="19" t="s">
        <v>478</v>
      </c>
      <c r="M215" s="18" t="s">
        <v>396</v>
      </c>
      <c r="N215" s="18" t="s">
        <v>396</v>
      </c>
      <c r="O215" s="18" t="s">
        <v>396</v>
      </c>
      <c r="P215" s="18" t="s">
        <v>479</v>
      </c>
      <c r="Q215" s="18"/>
      <c r="S215" s="18" t="s">
        <v>396</v>
      </c>
      <c r="T215" s="45"/>
      <c r="U215" s="45"/>
      <c r="V215" s="45"/>
      <c r="W215" s="19" t="s">
        <v>396</v>
      </c>
      <c r="X215" s="19" t="s">
        <v>396</v>
      </c>
      <c r="Y215" s="19" t="s">
        <v>396</v>
      </c>
      <c r="Z215" s="41">
        <v>50</v>
      </c>
      <c r="AA215" s="19" t="s">
        <v>396</v>
      </c>
      <c r="AB215" s="19" t="s">
        <v>396</v>
      </c>
      <c r="AC215" s="19" t="s">
        <v>396</v>
      </c>
      <c r="AD215" s="19" t="s">
        <v>396</v>
      </c>
      <c r="AE215" s="19" t="s">
        <v>396</v>
      </c>
      <c r="AF215" s="19" t="s">
        <v>396</v>
      </c>
      <c r="AG215" s="19" t="s">
        <v>396</v>
      </c>
      <c r="AH215" s="18" t="s">
        <v>396</v>
      </c>
      <c r="AI215" s="18" t="s">
        <v>396</v>
      </c>
      <c r="AJ215" s="18" t="s">
        <v>396</v>
      </c>
      <c r="AK215" s="16" t="s">
        <v>735</v>
      </c>
      <c r="AL215" s="17">
        <v>5413218576369</v>
      </c>
      <c r="AM215" s="15" t="s">
        <v>735</v>
      </c>
      <c r="AN215" s="5">
        <v>73269091</v>
      </c>
      <c r="AO215" s="6"/>
      <c r="AP215" s="6"/>
      <c r="AQ215" s="6" t="s">
        <v>2634</v>
      </c>
      <c r="AR215" s="6" t="s">
        <v>2633</v>
      </c>
      <c r="AS215" s="6" t="s">
        <v>2632</v>
      </c>
    </row>
    <row r="216" spans="1:45" s="16" customFormat="1" ht="12.75" customHeight="1">
      <c r="A216" s="89" t="s">
        <v>2631</v>
      </c>
      <c r="B216" s="18" t="s">
        <v>396</v>
      </c>
      <c r="C216" s="18" t="s">
        <v>403</v>
      </c>
      <c r="D216" s="18" t="s">
        <v>2628</v>
      </c>
      <c r="E216" s="83" t="s">
        <v>2628</v>
      </c>
      <c r="F216" s="16" t="s">
        <v>2630</v>
      </c>
      <c r="G216" s="16" t="s">
        <v>2629</v>
      </c>
      <c r="H216" s="19" t="s">
        <v>396</v>
      </c>
      <c r="I216" s="19" t="s">
        <v>396</v>
      </c>
      <c r="J216" s="83" t="s">
        <v>2628</v>
      </c>
      <c r="K216" s="83" t="s">
        <v>2628</v>
      </c>
      <c r="L216" s="19" t="s">
        <v>478</v>
      </c>
      <c r="M216" s="18" t="s">
        <v>396</v>
      </c>
      <c r="N216" s="18" t="s">
        <v>396</v>
      </c>
      <c r="O216" s="18" t="s">
        <v>396</v>
      </c>
      <c r="P216" s="18" t="s">
        <v>479</v>
      </c>
      <c r="Q216" s="18"/>
      <c r="S216" s="18" t="s">
        <v>396</v>
      </c>
      <c r="T216" s="45"/>
      <c r="U216" s="45"/>
      <c r="V216" s="45"/>
      <c r="W216" s="19" t="s">
        <v>396</v>
      </c>
      <c r="X216" s="19" t="s">
        <v>396</v>
      </c>
      <c r="Y216" s="19" t="s">
        <v>396</v>
      </c>
      <c r="Z216" s="41">
        <v>50</v>
      </c>
      <c r="AA216" s="19" t="s">
        <v>396</v>
      </c>
      <c r="AB216" s="19" t="s">
        <v>396</v>
      </c>
      <c r="AC216" s="19" t="s">
        <v>396</v>
      </c>
      <c r="AD216" s="19" t="s">
        <v>396</v>
      </c>
      <c r="AE216" s="19" t="s">
        <v>396</v>
      </c>
      <c r="AF216" s="19" t="s">
        <v>396</v>
      </c>
      <c r="AG216" s="19" t="s">
        <v>396</v>
      </c>
      <c r="AH216" s="18" t="s">
        <v>396</v>
      </c>
      <c r="AI216" s="18" t="s">
        <v>396</v>
      </c>
      <c r="AJ216" s="18" t="s">
        <v>396</v>
      </c>
      <c r="AK216" s="16" t="s">
        <v>591</v>
      </c>
      <c r="AL216" s="17">
        <v>5413218576826</v>
      </c>
      <c r="AM216" s="15" t="s">
        <v>591</v>
      </c>
      <c r="AN216" s="5">
        <v>73269091</v>
      </c>
      <c r="AO216" s="6"/>
      <c r="AP216" s="6"/>
      <c r="AQ216" s="6" t="s">
        <v>2627</v>
      </c>
      <c r="AR216" s="6" t="s">
        <v>2626</v>
      </c>
      <c r="AS216" s="6" t="s">
        <v>2625</v>
      </c>
    </row>
    <row r="217" spans="1:45" s="16" customFormat="1" ht="12.75" customHeight="1">
      <c r="A217" s="89" t="s">
        <v>2624</v>
      </c>
      <c r="B217" s="18" t="s">
        <v>396</v>
      </c>
      <c r="C217" s="18" t="s">
        <v>403</v>
      </c>
      <c r="D217" s="18" t="s">
        <v>2617</v>
      </c>
      <c r="E217" s="83" t="s">
        <v>2617</v>
      </c>
      <c r="F217" s="16" t="s">
        <v>2619</v>
      </c>
      <c r="G217" s="16" t="s">
        <v>2618</v>
      </c>
      <c r="H217" s="19" t="s">
        <v>396</v>
      </c>
      <c r="I217" s="19" t="s">
        <v>396</v>
      </c>
      <c r="J217" s="83" t="s">
        <v>2617</v>
      </c>
      <c r="K217" s="83" t="s">
        <v>2617</v>
      </c>
      <c r="L217" s="19" t="s">
        <v>478</v>
      </c>
      <c r="M217" s="18" t="s">
        <v>396</v>
      </c>
      <c r="N217" s="18" t="s">
        <v>396</v>
      </c>
      <c r="O217" s="18" t="s">
        <v>396</v>
      </c>
      <c r="P217" s="18" t="s">
        <v>479</v>
      </c>
      <c r="Q217" s="18"/>
      <c r="S217" s="18" t="s">
        <v>396</v>
      </c>
      <c r="T217" s="45"/>
      <c r="U217" s="45"/>
      <c r="V217" s="45"/>
      <c r="W217" s="19" t="s">
        <v>396</v>
      </c>
      <c r="X217" s="19" t="s">
        <v>396</v>
      </c>
      <c r="Y217" s="19" t="s">
        <v>396</v>
      </c>
      <c r="Z217" s="41">
        <v>50</v>
      </c>
      <c r="AA217" s="19" t="s">
        <v>396</v>
      </c>
      <c r="AB217" s="19" t="s">
        <v>396</v>
      </c>
      <c r="AC217" s="19" t="s">
        <v>396</v>
      </c>
      <c r="AD217" s="19" t="s">
        <v>396</v>
      </c>
      <c r="AE217" s="19" t="s">
        <v>396</v>
      </c>
      <c r="AF217" s="19" t="s">
        <v>396</v>
      </c>
      <c r="AG217" s="19" t="s">
        <v>396</v>
      </c>
      <c r="AH217" s="18" t="s">
        <v>396</v>
      </c>
      <c r="AI217" s="18" t="s">
        <v>396</v>
      </c>
      <c r="AJ217" s="18" t="s">
        <v>396</v>
      </c>
      <c r="AK217" s="16" t="s">
        <v>735</v>
      </c>
      <c r="AL217" s="17">
        <v>5413218576376</v>
      </c>
      <c r="AM217" s="15" t="s">
        <v>735</v>
      </c>
      <c r="AN217" s="5">
        <v>73269091</v>
      </c>
      <c r="AO217" s="6"/>
      <c r="AP217" s="6"/>
      <c r="AQ217" s="6" t="s">
        <v>2623</v>
      </c>
      <c r="AR217" s="6" t="s">
        <v>2622</v>
      </c>
      <c r="AS217" s="6" t="s">
        <v>2621</v>
      </c>
    </row>
    <row r="218" spans="1:45" s="16" customFormat="1" ht="12.75" customHeight="1">
      <c r="A218" s="89" t="s">
        <v>2620</v>
      </c>
      <c r="B218" s="18" t="s">
        <v>396</v>
      </c>
      <c r="C218" s="18" t="s">
        <v>403</v>
      </c>
      <c r="D218" s="18" t="s">
        <v>2617</v>
      </c>
      <c r="E218" s="83" t="s">
        <v>2617</v>
      </c>
      <c r="F218" s="16" t="s">
        <v>2619</v>
      </c>
      <c r="G218" s="16" t="s">
        <v>2618</v>
      </c>
      <c r="H218" s="19" t="s">
        <v>396</v>
      </c>
      <c r="I218" s="19" t="s">
        <v>396</v>
      </c>
      <c r="J218" s="83" t="s">
        <v>2617</v>
      </c>
      <c r="K218" s="83" t="s">
        <v>2617</v>
      </c>
      <c r="L218" s="19" t="s">
        <v>478</v>
      </c>
      <c r="M218" s="18" t="s">
        <v>396</v>
      </c>
      <c r="N218" s="18" t="s">
        <v>396</v>
      </c>
      <c r="O218" s="18" t="s">
        <v>396</v>
      </c>
      <c r="P218" s="18" t="s">
        <v>479</v>
      </c>
      <c r="Q218" s="18"/>
      <c r="S218" s="18" t="s">
        <v>396</v>
      </c>
      <c r="T218" s="45"/>
      <c r="U218" s="45"/>
      <c r="V218" s="45"/>
      <c r="W218" s="19" t="s">
        <v>396</v>
      </c>
      <c r="X218" s="19" t="s">
        <v>396</v>
      </c>
      <c r="Y218" s="19" t="s">
        <v>396</v>
      </c>
      <c r="Z218" s="41">
        <v>50</v>
      </c>
      <c r="AA218" s="19" t="s">
        <v>396</v>
      </c>
      <c r="AB218" s="19" t="s">
        <v>396</v>
      </c>
      <c r="AC218" s="19" t="s">
        <v>396</v>
      </c>
      <c r="AD218" s="19" t="s">
        <v>396</v>
      </c>
      <c r="AE218" s="19" t="s">
        <v>396</v>
      </c>
      <c r="AF218" s="19" t="s">
        <v>396</v>
      </c>
      <c r="AG218" s="19" t="s">
        <v>396</v>
      </c>
      <c r="AH218" s="18" t="s">
        <v>396</v>
      </c>
      <c r="AI218" s="18" t="s">
        <v>396</v>
      </c>
      <c r="AJ218" s="18" t="s">
        <v>396</v>
      </c>
      <c r="AK218" s="16" t="s">
        <v>591</v>
      </c>
      <c r="AL218" s="17">
        <v>5413218576833</v>
      </c>
      <c r="AM218" s="15" t="s">
        <v>591</v>
      </c>
      <c r="AN218" s="5">
        <v>73269091</v>
      </c>
      <c r="AO218" s="6"/>
      <c r="AP218" s="6"/>
      <c r="AQ218" s="6" t="s">
        <v>2616</v>
      </c>
      <c r="AR218" s="6" t="s">
        <v>2615</v>
      </c>
      <c r="AS218" s="6" t="s">
        <v>2614</v>
      </c>
    </row>
    <row r="219" spans="1:45" s="16" customFormat="1" ht="12.75" customHeight="1">
      <c r="A219" s="89" t="s">
        <v>2613</v>
      </c>
      <c r="B219" s="18" t="s">
        <v>396</v>
      </c>
      <c r="C219" s="18" t="s">
        <v>403</v>
      </c>
      <c r="D219" s="18" t="s">
        <v>2610</v>
      </c>
      <c r="E219" s="83" t="s">
        <v>2610</v>
      </c>
      <c r="F219" s="16" t="s">
        <v>2612</v>
      </c>
      <c r="G219" s="16" t="s">
        <v>2611</v>
      </c>
      <c r="H219" s="19" t="s">
        <v>396</v>
      </c>
      <c r="I219" s="19" t="s">
        <v>396</v>
      </c>
      <c r="J219" s="83" t="s">
        <v>2610</v>
      </c>
      <c r="K219" s="83" t="s">
        <v>2610</v>
      </c>
      <c r="L219" s="19" t="s">
        <v>478</v>
      </c>
      <c r="M219" s="18" t="s">
        <v>396</v>
      </c>
      <c r="N219" s="18" t="s">
        <v>396</v>
      </c>
      <c r="O219" s="18" t="s">
        <v>396</v>
      </c>
      <c r="P219" s="18" t="s">
        <v>479</v>
      </c>
      <c r="Q219" s="18"/>
      <c r="S219" s="18" t="s">
        <v>396</v>
      </c>
      <c r="T219" s="45"/>
      <c r="U219" s="45"/>
      <c r="V219" s="45"/>
      <c r="W219" s="19" t="s">
        <v>396</v>
      </c>
      <c r="X219" s="19" t="s">
        <v>396</v>
      </c>
      <c r="Y219" s="19" t="s">
        <v>396</v>
      </c>
      <c r="Z219" s="41">
        <v>50</v>
      </c>
      <c r="AA219" s="19" t="s">
        <v>396</v>
      </c>
      <c r="AB219" s="19" t="s">
        <v>396</v>
      </c>
      <c r="AC219" s="19" t="s">
        <v>396</v>
      </c>
      <c r="AD219" s="19" t="s">
        <v>396</v>
      </c>
      <c r="AE219" s="19" t="s">
        <v>396</v>
      </c>
      <c r="AF219" s="19" t="s">
        <v>396</v>
      </c>
      <c r="AG219" s="19" t="s">
        <v>396</v>
      </c>
      <c r="AH219" s="18" t="s">
        <v>396</v>
      </c>
      <c r="AI219" s="18" t="s">
        <v>396</v>
      </c>
      <c r="AJ219" s="18" t="s">
        <v>396</v>
      </c>
      <c r="AK219" s="16" t="s">
        <v>591</v>
      </c>
      <c r="AL219" s="17">
        <v>5413218576840</v>
      </c>
      <c r="AM219" s="15" t="s">
        <v>591</v>
      </c>
      <c r="AN219" s="5">
        <v>73269091</v>
      </c>
      <c r="AO219" s="6"/>
      <c r="AP219" s="6"/>
      <c r="AQ219" s="6" t="s">
        <v>2609</v>
      </c>
      <c r="AR219" s="6" t="s">
        <v>2608</v>
      </c>
      <c r="AS219" s="6" t="s">
        <v>2607</v>
      </c>
    </row>
    <row r="220" spans="1:45" ht="12.75" customHeight="1">
      <c r="A220" s="77" t="s">
        <v>2606</v>
      </c>
      <c r="B220" s="6" t="s">
        <v>396</v>
      </c>
      <c r="C220" s="31" t="s">
        <v>403</v>
      </c>
      <c r="D220" s="6" t="s">
        <v>2573</v>
      </c>
      <c r="E220" s="6" t="s">
        <v>2573</v>
      </c>
      <c r="F220" s="31" t="s">
        <v>2515</v>
      </c>
      <c r="G220" s="31" t="s">
        <v>2514</v>
      </c>
      <c r="H220" s="67" t="s">
        <v>396</v>
      </c>
      <c r="I220" s="67" t="s">
        <v>396</v>
      </c>
      <c r="J220" s="77" t="s">
        <v>2605</v>
      </c>
      <c r="K220" s="77" t="s">
        <v>2605</v>
      </c>
      <c r="L220" s="31" t="s">
        <v>2474</v>
      </c>
      <c r="M220" s="10" t="s">
        <v>655</v>
      </c>
      <c r="N220" s="10" t="s">
        <v>2571</v>
      </c>
      <c r="O220" s="10" t="s">
        <v>2570</v>
      </c>
      <c r="P220" s="56" t="s">
        <v>2471</v>
      </c>
      <c r="Q220" s="56"/>
      <c r="R220" s="56" t="s">
        <v>2604</v>
      </c>
      <c r="S220" s="5" t="s">
        <v>650</v>
      </c>
      <c r="T220" s="76">
        <v>9.5</v>
      </c>
      <c r="U220" s="76">
        <v>1200</v>
      </c>
      <c r="V220" s="76">
        <v>2600</v>
      </c>
      <c r="W220" s="10">
        <v>20</v>
      </c>
      <c r="X220" s="10">
        <v>30</v>
      </c>
      <c r="Y220" s="53">
        <v>9.1999999999999993</v>
      </c>
      <c r="Z220" s="75">
        <v>0.25</v>
      </c>
      <c r="AA220" s="84">
        <v>3.5000000000000003E-2</v>
      </c>
      <c r="AB220" s="56"/>
      <c r="AC220" s="56"/>
      <c r="AD220" s="56"/>
      <c r="AE220" s="10">
        <v>10</v>
      </c>
      <c r="AF220" s="31">
        <v>150</v>
      </c>
      <c r="AG220" s="74">
        <f>AE220*T220/1000+AF220*W220/1000</f>
        <v>3.0950000000000002</v>
      </c>
      <c r="AH220" s="56"/>
      <c r="AI220" s="56"/>
      <c r="AJ220" s="56"/>
      <c r="AK220" s="10" t="s">
        <v>643</v>
      </c>
      <c r="AL220" s="17">
        <v>5413218565363</v>
      </c>
      <c r="AM220" s="15" t="s">
        <v>643</v>
      </c>
      <c r="AN220" s="5">
        <v>68091900</v>
      </c>
      <c r="AO220" s="6" t="s">
        <v>2603</v>
      </c>
      <c r="AP220" s="6" t="s">
        <v>2602</v>
      </c>
      <c r="AQ220" s="6" t="s">
        <v>2601</v>
      </c>
      <c r="AR220" s="6" t="s">
        <v>2600</v>
      </c>
      <c r="AS220" s="6" t="s">
        <v>2599</v>
      </c>
    </row>
    <row r="221" spans="1:45" ht="12.75" customHeight="1">
      <c r="A221" s="77" t="s">
        <v>2598</v>
      </c>
      <c r="B221" s="6" t="s">
        <v>396</v>
      </c>
      <c r="C221" s="31" t="s">
        <v>403</v>
      </c>
      <c r="D221" s="6" t="s">
        <v>2573</v>
      </c>
      <c r="E221" s="6" t="s">
        <v>2573</v>
      </c>
      <c r="F221" s="31" t="s">
        <v>2515</v>
      </c>
      <c r="G221" s="31" t="s">
        <v>2514</v>
      </c>
      <c r="H221" s="67" t="s">
        <v>396</v>
      </c>
      <c r="I221" s="67" t="s">
        <v>396</v>
      </c>
      <c r="J221" s="77" t="s">
        <v>2597</v>
      </c>
      <c r="K221" s="77" t="s">
        <v>2597</v>
      </c>
      <c r="L221" s="31" t="s">
        <v>2474</v>
      </c>
      <c r="M221" s="10" t="s">
        <v>655</v>
      </c>
      <c r="N221" s="10" t="s">
        <v>2571</v>
      </c>
      <c r="O221" s="10" t="s">
        <v>2570</v>
      </c>
      <c r="P221" s="56" t="s">
        <v>2471</v>
      </c>
      <c r="Q221" s="56"/>
      <c r="R221" s="56" t="s">
        <v>2596</v>
      </c>
      <c r="S221" s="5" t="s">
        <v>650</v>
      </c>
      <c r="T221" s="76">
        <v>9.5</v>
      </c>
      <c r="U221" s="76">
        <v>1200</v>
      </c>
      <c r="V221" s="76">
        <v>2600</v>
      </c>
      <c r="W221" s="10">
        <v>30</v>
      </c>
      <c r="X221" s="10">
        <v>40</v>
      </c>
      <c r="Y221" s="53">
        <v>9.6999999999999993</v>
      </c>
      <c r="Z221" s="75">
        <v>0.25</v>
      </c>
      <c r="AA221" s="84">
        <v>3.5000000000000003E-2</v>
      </c>
      <c r="AB221" s="56"/>
      <c r="AC221" s="56"/>
      <c r="AD221" s="56"/>
      <c r="AE221" s="10">
        <v>10</v>
      </c>
      <c r="AF221" s="31">
        <v>150</v>
      </c>
      <c r="AG221" s="74">
        <f>AE221*T221/1000+AF221*W221/1000</f>
        <v>4.5949999999999998</v>
      </c>
      <c r="AH221" s="56"/>
      <c r="AI221" s="56"/>
      <c r="AJ221" s="56"/>
      <c r="AK221" s="10" t="s">
        <v>643</v>
      </c>
      <c r="AL221" s="17">
        <v>5413218565387</v>
      </c>
      <c r="AM221" s="15" t="s">
        <v>643</v>
      </c>
      <c r="AN221" s="5">
        <v>68091100</v>
      </c>
      <c r="AO221" s="6" t="s">
        <v>2595</v>
      </c>
      <c r="AP221" s="6" t="s">
        <v>2594</v>
      </c>
      <c r="AQ221" s="6" t="s">
        <v>2593</v>
      </c>
      <c r="AR221" s="6" t="s">
        <v>2592</v>
      </c>
      <c r="AS221" s="6" t="s">
        <v>2591</v>
      </c>
    </row>
    <row r="222" spans="1:45" ht="12.75" customHeight="1">
      <c r="A222" s="77" t="s">
        <v>2590</v>
      </c>
      <c r="B222" s="6" t="s">
        <v>396</v>
      </c>
      <c r="C222" s="31" t="s">
        <v>403</v>
      </c>
      <c r="D222" s="6" t="s">
        <v>2573</v>
      </c>
      <c r="E222" s="6" t="s">
        <v>2573</v>
      </c>
      <c r="F222" s="31" t="s">
        <v>2515</v>
      </c>
      <c r="G222" s="31" t="s">
        <v>2514</v>
      </c>
      <c r="H222" s="67" t="s">
        <v>396</v>
      </c>
      <c r="I222" s="67" t="s">
        <v>396</v>
      </c>
      <c r="J222" s="77" t="s">
        <v>2589</v>
      </c>
      <c r="K222" s="77" t="s">
        <v>2589</v>
      </c>
      <c r="L222" s="31" t="s">
        <v>2474</v>
      </c>
      <c r="M222" s="10" t="s">
        <v>655</v>
      </c>
      <c r="N222" s="10" t="s">
        <v>2571</v>
      </c>
      <c r="O222" s="10" t="s">
        <v>2570</v>
      </c>
      <c r="P222" s="56" t="s">
        <v>2471</v>
      </c>
      <c r="Q222" s="56"/>
      <c r="R222" s="56" t="s">
        <v>2588</v>
      </c>
      <c r="S222" s="5" t="s">
        <v>650</v>
      </c>
      <c r="T222" s="76">
        <v>9.5</v>
      </c>
      <c r="U222" s="76">
        <v>1200</v>
      </c>
      <c r="V222" s="76">
        <v>2600</v>
      </c>
      <c r="W222" s="10">
        <v>40</v>
      </c>
      <c r="X222" s="10">
        <v>50</v>
      </c>
      <c r="Y222" s="53">
        <v>10.1</v>
      </c>
      <c r="Z222" s="75">
        <v>0.25</v>
      </c>
      <c r="AA222" s="84">
        <v>3.5000000000000003E-2</v>
      </c>
      <c r="AB222" s="56"/>
      <c r="AC222" s="56"/>
      <c r="AD222" s="56"/>
      <c r="AE222" s="10">
        <v>10</v>
      </c>
      <c r="AF222" s="31">
        <v>150</v>
      </c>
      <c r="AG222" s="74">
        <f>AE222*T222/1000+AF222*W222/1000</f>
        <v>6.0949999999999998</v>
      </c>
      <c r="AH222" s="56"/>
      <c r="AI222" s="56"/>
      <c r="AJ222" s="56"/>
      <c r="AK222" s="10" t="s">
        <v>643</v>
      </c>
      <c r="AL222" s="17">
        <v>5413218565400</v>
      </c>
      <c r="AM222" s="15" t="s">
        <v>643</v>
      </c>
      <c r="AN222" s="5">
        <v>68091900</v>
      </c>
      <c r="AO222" s="6" t="s">
        <v>2587</v>
      </c>
      <c r="AP222" s="6" t="s">
        <v>2586</v>
      </c>
      <c r="AQ222" s="6" t="s">
        <v>2585</v>
      </c>
      <c r="AR222" s="6" t="s">
        <v>2584</v>
      </c>
      <c r="AS222" s="6" t="s">
        <v>2583</v>
      </c>
    </row>
    <row r="223" spans="1:45" ht="12.75" customHeight="1">
      <c r="A223" s="77" t="s">
        <v>2582</v>
      </c>
      <c r="B223" s="6" t="s">
        <v>396</v>
      </c>
      <c r="C223" s="31" t="s">
        <v>403</v>
      </c>
      <c r="D223" s="6" t="s">
        <v>2573</v>
      </c>
      <c r="E223" s="6" t="s">
        <v>2573</v>
      </c>
      <c r="F223" s="31" t="s">
        <v>2515</v>
      </c>
      <c r="G223" s="31" t="s">
        <v>2514</v>
      </c>
      <c r="H223" s="67" t="s">
        <v>396</v>
      </c>
      <c r="I223" s="67" t="s">
        <v>396</v>
      </c>
      <c r="J223" s="77" t="s">
        <v>2581</v>
      </c>
      <c r="K223" s="77" t="s">
        <v>2581</v>
      </c>
      <c r="L223" s="31" t="s">
        <v>2474</v>
      </c>
      <c r="M223" s="10" t="s">
        <v>655</v>
      </c>
      <c r="N223" s="10" t="s">
        <v>2571</v>
      </c>
      <c r="O223" s="10" t="s">
        <v>2570</v>
      </c>
      <c r="P223" s="56" t="s">
        <v>2471</v>
      </c>
      <c r="Q223" s="56"/>
      <c r="R223" s="56" t="s">
        <v>2580</v>
      </c>
      <c r="S223" s="5" t="s">
        <v>650</v>
      </c>
      <c r="T223" s="76">
        <v>9.5</v>
      </c>
      <c r="U223" s="76">
        <v>1200</v>
      </c>
      <c r="V223" s="76">
        <v>2600</v>
      </c>
      <c r="W223" s="10">
        <v>50</v>
      </c>
      <c r="X223" s="10">
        <v>60</v>
      </c>
      <c r="Y223" s="53">
        <v>10.4</v>
      </c>
      <c r="Z223" s="75">
        <v>0.25</v>
      </c>
      <c r="AA223" s="84">
        <v>3.5000000000000003E-2</v>
      </c>
      <c r="AB223" s="56"/>
      <c r="AC223" s="56"/>
      <c r="AD223" s="56"/>
      <c r="AE223" s="10">
        <v>10</v>
      </c>
      <c r="AF223" s="31">
        <v>150</v>
      </c>
      <c r="AG223" s="74">
        <f>AE223*T223/1000+AF223*W223/1000</f>
        <v>7.5949999999999998</v>
      </c>
      <c r="AH223" s="56"/>
      <c r="AI223" s="56"/>
      <c r="AJ223" s="56"/>
      <c r="AK223" s="10" t="s">
        <v>643</v>
      </c>
      <c r="AL223" s="17">
        <v>5413218565424</v>
      </c>
      <c r="AM223" s="15" t="s">
        <v>643</v>
      </c>
      <c r="AN223" s="5">
        <v>68091900</v>
      </c>
      <c r="AO223" s="6" t="s">
        <v>2579</v>
      </c>
      <c r="AP223" s="6" t="s">
        <v>2578</v>
      </c>
      <c r="AQ223" s="6" t="s">
        <v>2577</v>
      </c>
      <c r="AR223" s="6" t="s">
        <v>2576</v>
      </c>
      <c r="AS223" s="6" t="s">
        <v>2575</v>
      </c>
    </row>
    <row r="224" spans="1:45" ht="12.75" customHeight="1">
      <c r="A224" s="77" t="s">
        <v>2574</v>
      </c>
      <c r="B224" s="6" t="s">
        <v>396</v>
      </c>
      <c r="C224" s="31" t="s">
        <v>403</v>
      </c>
      <c r="D224" s="6" t="s">
        <v>2573</v>
      </c>
      <c r="E224" s="6" t="s">
        <v>2573</v>
      </c>
      <c r="F224" s="31" t="s">
        <v>2515</v>
      </c>
      <c r="G224" s="31" t="s">
        <v>2514</v>
      </c>
      <c r="H224" s="67" t="s">
        <v>396</v>
      </c>
      <c r="I224" s="67" t="s">
        <v>396</v>
      </c>
      <c r="J224" s="77" t="s">
        <v>2572</v>
      </c>
      <c r="K224" s="77" t="s">
        <v>2572</v>
      </c>
      <c r="L224" s="31" t="s">
        <v>2474</v>
      </c>
      <c r="M224" s="10" t="s">
        <v>655</v>
      </c>
      <c r="N224" s="10" t="s">
        <v>2571</v>
      </c>
      <c r="O224" s="10" t="s">
        <v>2570</v>
      </c>
      <c r="P224" s="56" t="s">
        <v>2471</v>
      </c>
      <c r="Q224" s="56"/>
      <c r="R224" s="56" t="s">
        <v>2569</v>
      </c>
      <c r="S224" s="5" t="s">
        <v>650</v>
      </c>
      <c r="T224" s="76">
        <v>9.5</v>
      </c>
      <c r="U224" s="76">
        <v>1200</v>
      </c>
      <c r="V224" s="76">
        <v>2600</v>
      </c>
      <c r="W224" s="10">
        <v>60</v>
      </c>
      <c r="X224" s="10">
        <v>70</v>
      </c>
      <c r="Y224" s="53">
        <v>10.8</v>
      </c>
      <c r="Z224" s="75">
        <v>0.25</v>
      </c>
      <c r="AA224" s="84">
        <v>3.5000000000000003E-2</v>
      </c>
      <c r="AB224" s="56"/>
      <c r="AC224" s="56"/>
      <c r="AD224" s="56"/>
      <c r="AE224" s="10">
        <v>10</v>
      </c>
      <c r="AF224" s="31">
        <v>150</v>
      </c>
      <c r="AG224" s="74">
        <f>AE224*T224/1000+AF224*W224/1000</f>
        <v>9.0950000000000006</v>
      </c>
      <c r="AH224" s="56"/>
      <c r="AI224" s="56"/>
      <c r="AJ224" s="56"/>
      <c r="AK224" s="10" t="s">
        <v>643</v>
      </c>
      <c r="AL224" s="17">
        <v>5413218565448</v>
      </c>
      <c r="AM224" s="15" t="s">
        <v>643</v>
      </c>
      <c r="AN224" s="5">
        <v>68091900</v>
      </c>
      <c r="AO224" s="6" t="s">
        <v>2568</v>
      </c>
      <c r="AP224" s="6" t="s">
        <v>2567</v>
      </c>
      <c r="AQ224" s="6" t="s">
        <v>2566</v>
      </c>
      <c r="AR224" s="6" t="s">
        <v>2565</v>
      </c>
      <c r="AS224" s="6" t="s">
        <v>2564</v>
      </c>
    </row>
    <row r="225" spans="1:45" s="16" customFormat="1" ht="12.75" customHeight="1">
      <c r="A225" s="89" t="s">
        <v>2563</v>
      </c>
      <c r="B225" s="18" t="s">
        <v>2562</v>
      </c>
      <c r="C225" s="18" t="s">
        <v>403</v>
      </c>
      <c r="D225" s="18" t="s">
        <v>2516</v>
      </c>
      <c r="E225" s="18" t="s">
        <v>2516</v>
      </c>
      <c r="F225" s="18" t="s">
        <v>2515</v>
      </c>
      <c r="G225" s="18" t="s">
        <v>2514</v>
      </c>
      <c r="H225" s="19" t="s">
        <v>396</v>
      </c>
      <c r="I225" s="19" t="s">
        <v>396</v>
      </c>
      <c r="J225" s="91" t="s">
        <v>2561</v>
      </c>
      <c r="K225" s="91" t="s">
        <v>2561</v>
      </c>
      <c r="L225" s="18" t="s">
        <v>2474</v>
      </c>
      <c r="M225" s="16" t="s">
        <v>655</v>
      </c>
      <c r="N225" s="16" t="s">
        <v>2512</v>
      </c>
      <c r="O225" s="16" t="s">
        <v>2511</v>
      </c>
      <c r="P225" s="16" t="s">
        <v>2471</v>
      </c>
      <c r="S225" s="16" t="s">
        <v>650</v>
      </c>
      <c r="T225" s="45">
        <v>13</v>
      </c>
      <c r="U225" s="45">
        <v>1200</v>
      </c>
      <c r="V225" s="45">
        <v>2600</v>
      </c>
      <c r="W225" s="16">
        <v>30</v>
      </c>
      <c r="X225" s="16">
        <v>43</v>
      </c>
      <c r="Y225" s="42">
        <v>10.6</v>
      </c>
      <c r="Z225" s="41">
        <v>0.25</v>
      </c>
      <c r="AA225" s="90">
        <v>2.1999999999999999E-2</v>
      </c>
      <c r="AE225" s="16">
        <v>10</v>
      </c>
      <c r="AF225" s="18"/>
      <c r="AG225" s="44"/>
      <c r="AK225" s="16" t="s">
        <v>643</v>
      </c>
      <c r="AL225" s="15">
        <v>3496250243125</v>
      </c>
      <c r="AM225" s="15" t="s">
        <v>643</v>
      </c>
      <c r="AN225" s="5"/>
      <c r="AO225" s="6"/>
      <c r="AP225" s="6"/>
      <c r="AQ225" s="6" t="s">
        <v>2560</v>
      </c>
      <c r="AR225" s="6" t="s">
        <v>2559</v>
      </c>
      <c r="AS225" s="6" t="s">
        <v>2558</v>
      </c>
    </row>
    <row r="226" spans="1:45" s="16" customFormat="1" ht="12.75" customHeight="1">
      <c r="A226" s="89" t="s">
        <v>2557</v>
      </c>
      <c r="B226" s="18" t="s">
        <v>2556</v>
      </c>
      <c r="C226" s="18" t="s">
        <v>403</v>
      </c>
      <c r="D226" s="18" t="s">
        <v>2516</v>
      </c>
      <c r="E226" s="18" t="s">
        <v>2516</v>
      </c>
      <c r="F226" s="18" t="s">
        <v>2515</v>
      </c>
      <c r="G226" s="18" t="s">
        <v>2514</v>
      </c>
      <c r="H226" s="19" t="s">
        <v>396</v>
      </c>
      <c r="I226" s="19" t="s">
        <v>396</v>
      </c>
      <c r="J226" s="91" t="s">
        <v>2555</v>
      </c>
      <c r="K226" s="91" t="s">
        <v>2555</v>
      </c>
      <c r="L226" s="18" t="s">
        <v>2474</v>
      </c>
      <c r="M226" s="16" t="s">
        <v>655</v>
      </c>
      <c r="N226" s="16" t="s">
        <v>2512</v>
      </c>
      <c r="O226" s="16" t="s">
        <v>2511</v>
      </c>
      <c r="P226" s="16" t="s">
        <v>2471</v>
      </c>
      <c r="S226" s="16" t="s">
        <v>650</v>
      </c>
      <c r="T226" s="45">
        <v>13</v>
      </c>
      <c r="U226" s="45">
        <v>1200</v>
      </c>
      <c r="V226" s="45">
        <v>2600</v>
      </c>
      <c r="W226" s="16">
        <v>40</v>
      </c>
      <c r="X226" s="16">
        <v>53</v>
      </c>
      <c r="Y226" s="42">
        <v>10.9</v>
      </c>
      <c r="Z226" s="41">
        <v>0.25</v>
      </c>
      <c r="AA226" s="90">
        <v>2.1999999999999999E-2</v>
      </c>
      <c r="AE226" s="16">
        <v>10</v>
      </c>
      <c r="AF226" s="18"/>
      <c r="AG226" s="44"/>
      <c r="AK226" s="16" t="s">
        <v>643</v>
      </c>
      <c r="AL226" s="15">
        <v>3496250206762</v>
      </c>
      <c r="AM226" s="15" t="s">
        <v>643</v>
      </c>
      <c r="AN226" s="5"/>
      <c r="AO226" s="6"/>
      <c r="AP226" s="6"/>
      <c r="AQ226" s="6" t="s">
        <v>2554</v>
      </c>
      <c r="AR226" s="6" t="s">
        <v>2553</v>
      </c>
      <c r="AS226" s="6" t="s">
        <v>2552</v>
      </c>
    </row>
    <row r="227" spans="1:45" s="16" customFormat="1" ht="12.75" customHeight="1">
      <c r="A227" s="89" t="s">
        <v>2551</v>
      </c>
      <c r="B227" s="18" t="s">
        <v>2550</v>
      </c>
      <c r="C227" s="18" t="s">
        <v>403</v>
      </c>
      <c r="D227" s="18" t="s">
        <v>2516</v>
      </c>
      <c r="E227" s="18" t="s">
        <v>2516</v>
      </c>
      <c r="F227" s="18" t="s">
        <v>2515</v>
      </c>
      <c r="G227" s="18" t="s">
        <v>2514</v>
      </c>
      <c r="H227" s="19" t="s">
        <v>396</v>
      </c>
      <c r="I227" s="19" t="s">
        <v>396</v>
      </c>
      <c r="J227" s="91" t="s">
        <v>2549</v>
      </c>
      <c r="K227" s="91" t="s">
        <v>2549</v>
      </c>
      <c r="L227" s="18" t="s">
        <v>2474</v>
      </c>
      <c r="M227" s="16" t="s">
        <v>655</v>
      </c>
      <c r="N227" s="16" t="s">
        <v>2512</v>
      </c>
      <c r="O227" s="16" t="s">
        <v>2511</v>
      </c>
      <c r="P227" s="16" t="s">
        <v>2471</v>
      </c>
      <c r="S227" s="16" t="s">
        <v>650</v>
      </c>
      <c r="T227" s="45">
        <v>13</v>
      </c>
      <c r="U227" s="45">
        <v>1200</v>
      </c>
      <c r="V227" s="45">
        <v>2600</v>
      </c>
      <c r="W227" s="16">
        <v>50</v>
      </c>
      <c r="X227" s="16">
        <v>63</v>
      </c>
      <c r="Y227" s="42">
        <v>11.3</v>
      </c>
      <c r="Z227" s="41">
        <v>0.25</v>
      </c>
      <c r="AA227" s="90">
        <v>2.1999999999999999E-2</v>
      </c>
      <c r="AE227" s="16">
        <v>10</v>
      </c>
      <c r="AF227" s="18"/>
      <c r="AG227" s="44"/>
      <c r="AK227" s="16" t="s">
        <v>643</v>
      </c>
      <c r="AL227" s="15">
        <v>3496250207455</v>
      </c>
      <c r="AM227" s="15" t="s">
        <v>643</v>
      </c>
      <c r="AN227" s="5"/>
      <c r="AO227" s="6"/>
      <c r="AP227" s="6"/>
      <c r="AQ227" s="6" t="s">
        <v>2548</v>
      </c>
      <c r="AR227" s="6" t="s">
        <v>2547</v>
      </c>
      <c r="AS227" s="6" t="s">
        <v>2546</v>
      </c>
    </row>
    <row r="228" spans="1:45" s="16" customFormat="1" ht="12.75" customHeight="1">
      <c r="A228" s="89" t="s">
        <v>2545</v>
      </c>
      <c r="B228" s="18" t="s">
        <v>2544</v>
      </c>
      <c r="C228" s="18" t="s">
        <v>403</v>
      </c>
      <c r="D228" s="18" t="s">
        <v>2516</v>
      </c>
      <c r="E228" s="18" t="s">
        <v>2516</v>
      </c>
      <c r="F228" s="18" t="s">
        <v>2515</v>
      </c>
      <c r="G228" s="18" t="s">
        <v>2514</v>
      </c>
      <c r="H228" s="19" t="s">
        <v>396</v>
      </c>
      <c r="I228" s="19" t="s">
        <v>396</v>
      </c>
      <c r="J228" s="91" t="s">
        <v>2543</v>
      </c>
      <c r="K228" s="91" t="s">
        <v>2543</v>
      </c>
      <c r="L228" s="18" t="s">
        <v>2474</v>
      </c>
      <c r="M228" s="16" t="s">
        <v>655</v>
      </c>
      <c r="N228" s="16" t="s">
        <v>2512</v>
      </c>
      <c r="O228" s="16" t="s">
        <v>2511</v>
      </c>
      <c r="P228" s="16" t="s">
        <v>2471</v>
      </c>
      <c r="S228" s="16" t="s">
        <v>650</v>
      </c>
      <c r="T228" s="45">
        <v>13</v>
      </c>
      <c r="U228" s="45">
        <v>1200</v>
      </c>
      <c r="V228" s="45">
        <v>2600</v>
      </c>
      <c r="W228" s="16">
        <v>60</v>
      </c>
      <c r="X228" s="16">
        <v>73</v>
      </c>
      <c r="Y228" s="42">
        <v>11.6</v>
      </c>
      <c r="Z228" s="41">
        <v>0.25</v>
      </c>
      <c r="AA228" s="90">
        <v>2.1999999999999999E-2</v>
      </c>
      <c r="AE228" s="16">
        <v>10</v>
      </c>
      <c r="AF228" s="18"/>
      <c r="AG228" s="44"/>
      <c r="AK228" s="16" t="s">
        <v>643</v>
      </c>
      <c r="AL228" s="15">
        <v>3496250114098</v>
      </c>
      <c r="AM228" s="15" t="s">
        <v>643</v>
      </c>
      <c r="AN228" s="5"/>
      <c r="AO228" s="6"/>
      <c r="AP228" s="6"/>
      <c r="AQ228" s="6" t="s">
        <v>2542</v>
      </c>
      <c r="AR228" s="6" t="s">
        <v>2541</v>
      </c>
      <c r="AS228" s="6" t="s">
        <v>2540</v>
      </c>
    </row>
    <row r="229" spans="1:45" s="16" customFormat="1" ht="12.75" customHeight="1">
      <c r="A229" s="89" t="s">
        <v>2539</v>
      </c>
      <c r="B229" s="18" t="s">
        <v>2538</v>
      </c>
      <c r="C229" s="18" t="s">
        <v>403</v>
      </c>
      <c r="D229" s="18" t="s">
        <v>2516</v>
      </c>
      <c r="E229" s="18" t="s">
        <v>2516</v>
      </c>
      <c r="F229" s="18" t="s">
        <v>2515</v>
      </c>
      <c r="G229" s="18" t="s">
        <v>2514</v>
      </c>
      <c r="H229" s="19" t="s">
        <v>396</v>
      </c>
      <c r="I229" s="19" t="s">
        <v>396</v>
      </c>
      <c r="J229" s="91" t="s">
        <v>2537</v>
      </c>
      <c r="K229" s="91" t="s">
        <v>2537</v>
      </c>
      <c r="L229" s="18" t="s">
        <v>2474</v>
      </c>
      <c r="M229" s="16" t="s">
        <v>655</v>
      </c>
      <c r="N229" s="16" t="s">
        <v>2512</v>
      </c>
      <c r="O229" s="16" t="s">
        <v>2511</v>
      </c>
      <c r="P229" s="16" t="s">
        <v>2471</v>
      </c>
      <c r="S229" s="16" t="s">
        <v>650</v>
      </c>
      <c r="T229" s="45">
        <v>13</v>
      </c>
      <c r="U229" s="45">
        <v>1200</v>
      </c>
      <c r="V229" s="45">
        <v>2600</v>
      </c>
      <c r="W229" s="16">
        <v>80</v>
      </c>
      <c r="X229" s="16">
        <v>93</v>
      </c>
      <c r="Y229" s="42">
        <v>12.3</v>
      </c>
      <c r="Z229" s="41">
        <v>0.25</v>
      </c>
      <c r="AA229" s="90">
        <v>2.1999999999999999E-2</v>
      </c>
      <c r="AE229" s="16">
        <v>10</v>
      </c>
      <c r="AF229" s="18"/>
      <c r="AG229" s="44"/>
      <c r="AK229" s="16" t="s">
        <v>643</v>
      </c>
      <c r="AL229" s="15">
        <v>3496250144248</v>
      </c>
      <c r="AM229" s="15" t="s">
        <v>643</v>
      </c>
      <c r="AN229" s="5"/>
      <c r="AO229" s="6"/>
      <c r="AP229" s="6"/>
      <c r="AQ229" s="6" t="s">
        <v>2536</v>
      </c>
      <c r="AR229" s="6" t="s">
        <v>2535</v>
      </c>
      <c r="AS229" s="6" t="s">
        <v>2534</v>
      </c>
    </row>
    <row r="230" spans="1:45" s="16" customFormat="1" ht="12.75" customHeight="1">
      <c r="A230" s="89" t="s">
        <v>2533</v>
      </c>
      <c r="B230" s="18" t="s">
        <v>2532</v>
      </c>
      <c r="C230" s="18" t="s">
        <v>403</v>
      </c>
      <c r="D230" s="18" t="s">
        <v>2516</v>
      </c>
      <c r="E230" s="18" t="s">
        <v>2516</v>
      </c>
      <c r="F230" s="18" t="s">
        <v>2515</v>
      </c>
      <c r="G230" s="18" t="s">
        <v>2514</v>
      </c>
      <c r="H230" s="19" t="s">
        <v>396</v>
      </c>
      <c r="I230" s="19" t="s">
        <v>396</v>
      </c>
      <c r="J230" s="91" t="s">
        <v>2531</v>
      </c>
      <c r="K230" s="91" t="s">
        <v>2531</v>
      </c>
      <c r="L230" s="18" t="s">
        <v>2474</v>
      </c>
      <c r="M230" s="16" t="s">
        <v>655</v>
      </c>
      <c r="N230" s="16" t="s">
        <v>2512</v>
      </c>
      <c r="O230" s="16" t="s">
        <v>2511</v>
      </c>
      <c r="P230" s="16" t="s">
        <v>2471</v>
      </c>
      <c r="S230" s="16" t="s">
        <v>650</v>
      </c>
      <c r="T230" s="45">
        <v>13</v>
      </c>
      <c r="U230" s="45">
        <v>1200</v>
      </c>
      <c r="V230" s="45">
        <v>2600</v>
      </c>
      <c r="W230" s="16">
        <v>100</v>
      </c>
      <c r="X230" s="16">
        <v>113</v>
      </c>
      <c r="Y230" s="42">
        <v>13</v>
      </c>
      <c r="Z230" s="41">
        <v>0.25</v>
      </c>
      <c r="AA230" s="90">
        <v>2.1999999999999999E-2</v>
      </c>
      <c r="AE230" s="16">
        <v>10</v>
      </c>
      <c r="AF230" s="18"/>
      <c r="AG230" s="44"/>
      <c r="AK230" s="16" t="s">
        <v>643</v>
      </c>
      <c r="AL230" s="15">
        <v>3496250161108</v>
      </c>
      <c r="AM230" s="15" t="s">
        <v>643</v>
      </c>
      <c r="AN230" s="5"/>
      <c r="AO230" s="6"/>
      <c r="AP230" s="6"/>
      <c r="AQ230" s="6" t="s">
        <v>2530</v>
      </c>
      <c r="AR230" s="6" t="s">
        <v>2529</v>
      </c>
      <c r="AS230" s="6" t="s">
        <v>2528</v>
      </c>
    </row>
    <row r="231" spans="1:45" s="16" customFormat="1" ht="12.75" customHeight="1">
      <c r="A231" s="89" t="s">
        <v>2527</v>
      </c>
      <c r="B231" s="18" t="s">
        <v>396</v>
      </c>
      <c r="C231" s="18" t="s">
        <v>403</v>
      </c>
      <c r="D231" s="18" t="s">
        <v>2516</v>
      </c>
      <c r="E231" s="18" t="s">
        <v>2516</v>
      </c>
      <c r="F231" s="18" t="s">
        <v>2515</v>
      </c>
      <c r="G231" s="18" t="s">
        <v>2514</v>
      </c>
      <c r="H231" s="19" t="s">
        <v>396</v>
      </c>
      <c r="I231" s="19" t="s">
        <v>396</v>
      </c>
      <c r="J231" s="91" t="s">
        <v>2526</v>
      </c>
      <c r="K231" s="91" t="s">
        <v>2526</v>
      </c>
      <c r="L231" s="18" t="s">
        <v>2474</v>
      </c>
      <c r="M231" s="16" t="s">
        <v>655</v>
      </c>
      <c r="N231" s="16" t="s">
        <v>2512</v>
      </c>
      <c r="O231" s="16" t="s">
        <v>2511</v>
      </c>
      <c r="P231" s="16" t="s">
        <v>2471</v>
      </c>
      <c r="S231" s="16" t="s">
        <v>650</v>
      </c>
      <c r="T231" s="45">
        <v>13</v>
      </c>
      <c r="U231" s="45">
        <v>1200</v>
      </c>
      <c r="V231" s="45">
        <v>2600</v>
      </c>
      <c r="W231" s="16">
        <v>120</v>
      </c>
      <c r="X231" s="16">
        <v>133</v>
      </c>
      <c r="Y231" s="42">
        <v>13.7</v>
      </c>
      <c r="Z231" s="41">
        <v>0.25</v>
      </c>
      <c r="AA231" s="90">
        <v>2.1999999999999999E-2</v>
      </c>
      <c r="AE231" s="16">
        <v>10</v>
      </c>
      <c r="AF231" s="18"/>
      <c r="AG231" s="44"/>
      <c r="AK231" s="16" t="s">
        <v>643</v>
      </c>
      <c r="AL231" s="15">
        <v>3496250240360</v>
      </c>
      <c r="AM231" s="15" t="s">
        <v>643</v>
      </c>
      <c r="AN231" s="5"/>
      <c r="AO231" s="6"/>
      <c r="AP231" s="6"/>
      <c r="AQ231" s="6" t="s">
        <v>2525</v>
      </c>
      <c r="AR231" s="6" t="s">
        <v>2524</v>
      </c>
      <c r="AS231" s="6" t="s">
        <v>2523</v>
      </c>
    </row>
    <row r="232" spans="1:45" s="16" customFormat="1" ht="12.75" customHeight="1">
      <c r="A232" s="89" t="s">
        <v>2522</v>
      </c>
      <c r="B232" s="18" t="s">
        <v>396</v>
      </c>
      <c r="C232" s="18" t="s">
        <v>403</v>
      </c>
      <c r="D232" s="18" t="s">
        <v>2516</v>
      </c>
      <c r="E232" s="18" t="s">
        <v>2516</v>
      </c>
      <c r="F232" s="18" t="s">
        <v>2515</v>
      </c>
      <c r="G232" s="18" t="s">
        <v>2514</v>
      </c>
      <c r="H232" s="19" t="s">
        <v>396</v>
      </c>
      <c r="I232" s="19" t="s">
        <v>396</v>
      </c>
      <c r="J232" s="91" t="s">
        <v>2521</v>
      </c>
      <c r="K232" s="91" t="s">
        <v>2521</v>
      </c>
      <c r="L232" s="18" t="s">
        <v>2474</v>
      </c>
      <c r="M232" s="16" t="s">
        <v>655</v>
      </c>
      <c r="N232" s="16" t="s">
        <v>2512</v>
      </c>
      <c r="O232" s="16" t="s">
        <v>2511</v>
      </c>
      <c r="P232" s="16" t="s">
        <v>2471</v>
      </c>
      <c r="S232" s="16" t="s">
        <v>650</v>
      </c>
      <c r="T232" s="45">
        <v>13</v>
      </c>
      <c r="U232" s="45">
        <v>1200</v>
      </c>
      <c r="V232" s="45">
        <v>2600</v>
      </c>
      <c r="W232" s="16">
        <v>140</v>
      </c>
      <c r="X232" s="16">
        <v>153</v>
      </c>
      <c r="Y232" s="42">
        <v>14.4</v>
      </c>
      <c r="Z232" s="41">
        <v>0.25</v>
      </c>
      <c r="AA232" s="90">
        <v>2.1999999999999999E-2</v>
      </c>
      <c r="AE232" s="16">
        <v>10</v>
      </c>
      <c r="AF232" s="18"/>
      <c r="AG232" s="44"/>
      <c r="AK232" s="16" t="s">
        <v>643</v>
      </c>
      <c r="AL232" s="15">
        <v>3496250310179</v>
      </c>
      <c r="AM232" s="15" t="s">
        <v>643</v>
      </c>
      <c r="AN232" s="5"/>
      <c r="AO232" s="6"/>
      <c r="AP232" s="6"/>
      <c r="AQ232" s="6" t="s">
        <v>2520</v>
      </c>
      <c r="AR232" s="6" t="s">
        <v>2519</v>
      </c>
      <c r="AS232" s="6" t="s">
        <v>2518</v>
      </c>
    </row>
    <row r="233" spans="1:45" s="16" customFormat="1" ht="12.75" customHeight="1">
      <c r="A233" s="89" t="s">
        <v>2517</v>
      </c>
      <c r="B233" s="18" t="s">
        <v>396</v>
      </c>
      <c r="C233" s="18" t="s">
        <v>403</v>
      </c>
      <c r="D233" s="18" t="s">
        <v>2516</v>
      </c>
      <c r="E233" s="18" t="s">
        <v>2516</v>
      </c>
      <c r="F233" s="18" t="s">
        <v>2515</v>
      </c>
      <c r="G233" s="18" t="s">
        <v>2514</v>
      </c>
      <c r="H233" s="19" t="s">
        <v>396</v>
      </c>
      <c r="I233" s="19" t="s">
        <v>396</v>
      </c>
      <c r="J233" s="91" t="s">
        <v>2513</v>
      </c>
      <c r="K233" s="91" t="s">
        <v>2513</v>
      </c>
      <c r="L233" s="18" t="s">
        <v>2474</v>
      </c>
      <c r="M233" s="16" t="s">
        <v>655</v>
      </c>
      <c r="N233" s="16" t="s">
        <v>2512</v>
      </c>
      <c r="O233" s="16" t="s">
        <v>2511</v>
      </c>
      <c r="P233" s="16" t="s">
        <v>2471</v>
      </c>
      <c r="S233" s="16" t="s">
        <v>650</v>
      </c>
      <c r="T233" s="45">
        <v>13</v>
      </c>
      <c r="U233" s="45">
        <v>1200</v>
      </c>
      <c r="V233" s="45">
        <v>2600</v>
      </c>
      <c r="W233" s="16">
        <v>160</v>
      </c>
      <c r="X233" s="16">
        <v>173</v>
      </c>
      <c r="Y233" s="42">
        <v>15.1</v>
      </c>
      <c r="Z233" s="41">
        <v>0.25</v>
      </c>
      <c r="AA233" s="90">
        <v>2.1999999999999999E-2</v>
      </c>
      <c r="AE233" s="16">
        <v>10</v>
      </c>
      <c r="AF233" s="18"/>
      <c r="AG233" s="44"/>
      <c r="AK233" s="16" t="s">
        <v>643</v>
      </c>
      <c r="AL233" s="15">
        <v>3496250313729</v>
      </c>
      <c r="AM233" s="15" t="s">
        <v>643</v>
      </c>
      <c r="AN233" s="5"/>
      <c r="AO233" s="6"/>
      <c r="AP233" s="6"/>
      <c r="AQ233" s="6" t="s">
        <v>2510</v>
      </c>
      <c r="AR233" s="6" t="s">
        <v>2509</v>
      </c>
      <c r="AS233" s="6" t="s">
        <v>2508</v>
      </c>
    </row>
    <row r="234" spans="1:45" ht="12.75" customHeight="1">
      <c r="A234" s="78" t="s">
        <v>2507</v>
      </c>
      <c r="B234" s="6" t="s">
        <v>396</v>
      </c>
      <c r="C234" s="31" t="s">
        <v>403</v>
      </c>
      <c r="D234" s="6" t="s">
        <v>2478</v>
      </c>
      <c r="E234" s="6" t="s">
        <v>2478</v>
      </c>
      <c r="F234" s="31" t="s">
        <v>2477</v>
      </c>
      <c r="G234" s="31" t="s">
        <v>2476</v>
      </c>
      <c r="H234" s="67" t="s">
        <v>396</v>
      </c>
      <c r="I234" s="67" t="s">
        <v>396</v>
      </c>
      <c r="J234" s="77" t="s">
        <v>2506</v>
      </c>
      <c r="K234" s="77" t="s">
        <v>2506</v>
      </c>
      <c r="L234" s="31" t="s">
        <v>2474</v>
      </c>
      <c r="M234" s="10" t="s">
        <v>655</v>
      </c>
      <c r="N234" s="10" t="s">
        <v>2473</v>
      </c>
      <c r="O234" s="10" t="s">
        <v>2472</v>
      </c>
      <c r="P234" s="56" t="s">
        <v>2471</v>
      </c>
      <c r="Q234" s="56"/>
      <c r="R234" s="56" t="s">
        <v>2505</v>
      </c>
      <c r="S234" s="5" t="s">
        <v>650</v>
      </c>
      <c r="T234" s="76">
        <v>13</v>
      </c>
      <c r="U234" s="76">
        <v>1200</v>
      </c>
      <c r="V234" s="76">
        <v>2600</v>
      </c>
      <c r="W234" s="10">
        <v>40</v>
      </c>
      <c r="X234" s="10">
        <v>52.5</v>
      </c>
      <c r="Y234" s="53">
        <v>12.7</v>
      </c>
      <c r="Z234" s="75">
        <v>0.25</v>
      </c>
      <c r="AA234" s="84">
        <v>3.2000000000000001E-2</v>
      </c>
      <c r="AB234" s="56"/>
      <c r="AC234" s="56"/>
      <c r="AD234" s="56"/>
      <c r="AE234" s="10">
        <v>10</v>
      </c>
      <c r="AF234" s="31">
        <v>250</v>
      </c>
      <c r="AG234" s="74">
        <f>AE234*T234/1000+AF234*W234/1000</f>
        <v>10.130000000000001</v>
      </c>
      <c r="AH234" s="56"/>
      <c r="AI234" s="56"/>
      <c r="AJ234" s="56"/>
      <c r="AK234" s="10" t="s">
        <v>643</v>
      </c>
      <c r="AL234" s="17">
        <v>3496250055162</v>
      </c>
      <c r="AM234" s="15" t="s">
        <v>643</v>
      </c>
      <c r="AN234" s="5">
        <v>68091100</v>
      </c>
      <c r="AO234" s="6" t="s">
        <v>2504</v>
      </c>
      <c r="AP234" s="6" t="s">
        <v>2503</v>
      </c>
      <c r="AQ234" s="6" t="s">
        <v>2502</v>
      </c>
      <c r="AR234" s="6" t="s">
        <v>2501</v>
      </c>
      <c r="AS234" s="6" t="s">
        <v>2500</v>
      </c>
    </row>
    <row r="235" spans="1:45" s="16" customFormat="1" ht="12.75" customHeight="1">
      <c r="A235" s="89" t="s">
        <v>2499</v>
      </c>
      <c r="B235" s="18" t="s">
        <v>396</v>
      </c>
      <c r="C235" s="18" t="s">
        <v>403</v>
      </c>
      <c r="D235" s="18" t="s">
        <v>2478</v>
      </c>
      <c r="E235" s="18" t="s">
        <v>2478</v>
      </c>
      <c r="F235" s="18" t="s">
        <v>2477</v>
      </c>
      <c r="G235" s="18" t="s">
        <v>2476</v>
      </c>
      <c r="H235" s="19" t="s">
        <v>396</v>
      </c>
      <c r="I235" s="19" t="s">
        <v>396</v>
      </c>
      <c r="J235" s="91" t="s">
        <v>2498</v>
      </c>
      <c r="K235" s="91" t="s">
        <v>2498</v>
      </c>
      <c r="L235" s="18" t="s">
        <v>2474</v>
      </c>
      <c r="M235" s="16" t="s">
        <v>655</v>
      </c>
      <c r="N235" s="16" t="s">
        <v>2473</v>
      </c>
      <c r="O235" s="16" t="s">
        <v>2472</v>
      </c>
      <c r="P235" s="16" t="s">
        <v>2471</v>
      </c>
      <c r="R235" s="16" t="s">
        <v>2497</v>
      </c>
      <c r="S235" s="16" t="s">
        <v>650</v>
      </c>
      <c r="T235" s="45">
        <v>13</v>
      </c>
      <c r="U235" s="45">
        <v>1200</v>
      </c>
      <c r="V235" s="45">
        <v>2600</v>
      </c>
      <c r="W235" s="16">
        <v>50</v>
      </c>
      <c r="X235" s="16">
        <v>62.5</v>
      </c>
      <c r="Y235" s="42">
        <v>12.8</v>
      </c>
      <c r="Z235" s="41">
        <v>0.25</v>
      </c>
      <c r="AA235" s="90">
        <v>3.2000000000000001E-2</v>
      </c>
      <c r="AE235" s="16">
        <v>10</v>
      </c>
      <c r="AF235" s="18">
        <v>250</v>
      </c>
      <c r="AG235" s="44">
        <f>AE235*T235/1000+AF235*W235/1000</f>
        <v>12.63</v>
      </c>
      <c r="AK235" s="16" t="s">
        <v>643</v>
      </c>
      <c r="AL235" s="17">
        <v>3496250055766</v>
      </c>
      <c r="AM235" s="15" t="s">
        <v>643</v>
      </c>
      <c r="AN235" s="5">
        <v>68091100</v>
      </c>
      <c r="AO235" s="6"/>
      <c r="AP235" s="6"/>
      <c r="AQ235" s="6" t="s">
        <v>2496</v>
      </c>
      <c r="AR235" s="6" t="s">
        <v>2495</v>
      </c>
      <c r="AS235" s="6" t="s">
        <v>2494</v>
      </c>
    </row>
    <row r="236" spans="1:45" ht="12.75" customHeight="1">
      <c r="A236" s="77" t="s">
        <v>2493</v>
      </c>
      <c r="B236" s="6" t="s">
        <v>396</v>
      </c>
      <c r="C236" s="31" t="s">
        <v>403</v>
      </c>
      <c r="D236" s="6" t="s">
        <v>2478</v>
      </c>
      <c r="E236" s="6" t="s">
        <v>2478</v>
      </c>
      <c r="F236" s="31" t="s">
        <v>2477</v>
      </c>
      <c r="G236" s="31" t="s">
        <v>2476</v>
      </c>
      <c r="H236" s="67" t="s">
        <v>396</v>
      </c>
      <c r="I236" s="67" t="s">
        <v>396</v>
      </c>
      <c r="J236" s="77" t="s">
        <v>2492</v>
      </c>
      <c r="K236" s="77" t="s">
        <v>2492</v>
      </c>
      <c r="L236" s="31" t="s">
        <v>2474</v>
      </c>
      <c r="M236" s="10" t="s">
        <v>655</v>
      </c>
      <c r="N236" s="10" t="s">
        <v>2473</v>
      </c>
      <c r="O236" s="10" t="s">
        <v>2472</v>
      </c>
      <c r="P236" s="56" t="s">
        <v>2471</v>
      </c>
      <c r="Q236" s="56"/>
      <c r="R236" s="56" t="s">
        <v>2491</v>
      </c>
      <c r="S236" s="5" t="s">
        <v>650</v>
      </c>
      <c r="T236" s="76">
        <v>13</v>
      </c>
      <c r="U236" s="76">
        <v>1200</v>
      </c>
      <c r="V236" s="76">
        <v>2600</v>
      </c>
      <c r="W236" s="10">
        <v>60</v>
      </c>
      <c r="X236" s="10">
        <v>72.5</v>
      </c>
      <c r="Y236" s="53">
        <v>13</v>
      </c>
      <c r="Z236" s="75">
        <v>0.25</v>
      </c>
      <c r="AA236" s="84">
        <v>3.2000000000000001E-2</v>
      </c>
      <c r="AB236" s="56"/>
      <c r="AC236" s="56"/>
      <c r="AD236" s="56"/>
      <c r="AE236" s="10">
        <v>10</v>
      </c>
      <c r="AF236" s="31">
        <v>250</v>
      </c>
      <c r="AG236" s="74">
        <f>AE236*T236/1000+AF236*W236/1000</f>
        <v>15.13</v>
      </c>
      <c r="AH236" s="56"/>
      <c r="AI236" s="56"/>
      <c r="AJ236" s="56"/>
      <c r="AK236" s="10" t="s">
        <v>643</v>
      </c>
      <c r="AL236" s="17">
        <v>3496250055643</v>
      </c>
      <c r="AM236" s="15" t="s">
        <v>643</v>
      </c>
      <c r="AN236" s="5">
        <v>68091100</v>
      </c>
      <c r="AO236" s="6" t="s">
        <v>2490</v>
      </c>
      <c r="AP236" s="6" t="s">
        <v>2489</v>
      </c>
      <c r="AQ236" s="6" t="s">
        <v>2488</v>
      </c>
      <c r="AR236" s="6" t="s">
        <v>2487</v>
      </c>
      <c r="AS236" s="6" t="s">
        <v>2486</v>
      </c>
    </row>
    <row r="237" spans="1:45" s="16" customFormat="1" ht="12.75" customHeight="1">
      <c r="A237" s="89" t="s">
        <v>2485</v>
      </c>
      <c r="B237" s="18" t="s">
        <v>396</v>
      </c>
      <c r="C237" s="18" t="s">
        <v>403</v>
      </c>
      <c r="D237" s="18" t="s">
        <v>2478</v>
      </c>
      <c r="E237" s="18" t="s">
        <v>2478</v>
      </c>
      <c r="F237" s="18" t="s">
        <v>2477</v>
      </c>
      <c r="G237" s="18" t="s">
        <v>2476</v>
      </c>
      <c r="H237" s="19" t="s">
        <v>396</v>
      </c>
      <c r="I237" s="19" t="s">
        <v>396</v>
      </c>
      <c r="J237" s="91" t="s">
        <v>2484</v>
      </c>
      <c r="K237" s="91" t="s">
        <v>2484</v>
      </c>
      <c r="L237" s="18" t="s">
        <v>2474</v>
      </c>
      <c r="M237" s="16" t="s">
        <v>655</v>
      </c>
      <c r="N237" s="16" t="s">
        <v>2473</v>
      </c>
      <c r="O237" s="16" t="s">
        <v>2472</v>
      </c>
      <c r="P237" s="16" t="s">
        <v>2471</v>
      </c>
      <c r="R237" s="16" t="s">
        <v>2483</v>
      </c>
      <c r="S237" s="16" t="s">
        <v>650</v>
      </c>
      <c r="T237" s="45">
        <v>13</v>
      </c>
      <c r="U237" s="45">
        <v>1200</v>
      </c>
      <c r="V237" s="45">
        <v>2600</v>
      </c>
      <c r="W237" s="16">
        <v>80</v>
      </c>
      <c r="X237" s="16">
        <v>92.5</v>
      </c>
      <c r="Y237" s="42">
        <v>13.3</v>
      </c>
      <c r="Z237" s="41">
        <v>0.25</v>
      </c>
      <c r="AA237" s="90">
        <v>3.2000000000000001E-2</v>
      </c>
      <c r="AE237" s="16">
        <v>10</v>
      </c>
      <c r="AF237" s="18">
        <v>250</v>
      </c>
      <c r="AG237" s="44">
        <f>AE237*T237/1000+AF237*W237/1000</f>
        <v>20.13</v>
      </c>
      <c r="AK237" s="16" t="s">
        <v>643</v>
      </c>
      <c r="AL237" s="15">
        <v>3496250054745</v>
      </c>
      <c r="AM237" s="15" t="s">
        <v>643</v>
      </c>
      <c r="AN237" s="5"/>
      <c r="AO237" s="6"/>
      <c r="AP237" s="6"/>
      <c r="AQ237" s="6" t="s">
        <v>2482</v>
      </c>
      <c r="AR237" s="6" t="s">
        <v>2481</v>
      </c>
      <c r="AS237" s="6" t="s">
        <v>2480</v>
      </c>
    </row>
    <row r="238" spans="1:45" ht="12.75" customHeight="1">
      <c r="A238" s="77" t="s">
        <v>2479</v>
      </c>
      <c r="B238" s="6" t="s">
        <v>396</v>
      </c>
      <c r="C238" s="31" t="s">
        <v>403</v>
      </c>
      <c r="D238" s="6" t="s">
        <v>2478</v>
      </c>
      <c r="E238" s="6" t="s">
        <v>2478</v>
      </c>
      <c r="F238" s="31" t="s">
        <v>2477</v>
      </c>
      <c r="G238" s="31" t="s">
        <v>2476</v>
      </c>
      <c r="H238" s="67" t="s">
        <v>396</v>
      </c>
      <c r="I238" s="67" t="s">
        <v>396</v>
      </c>
      <c r="J238" s="77" t="s">
        <v>2475</v>
      </c>
      <c r="K238" s="77" t="s">
        <v>2475</v>
      </c>
      <c r="L238" s="31" t="s">
        <v>2474</v>
      </c>
      <c r="M238" s="10" t="s">
        <v>655</v>
      </c>
      <c r="N238" s="10" t="s">
        <v>2473</v>
      </c>
      <c r="O238" s="10" t="s">
        <v>2472</v>
      </c>
      <c r="P238" s="56" t="s">
        <v>2471</v>
      </c>
      <c r="Q238" s="56"/>
      <c r="R238" s="56" t="s">
        <v>2470</v>
      </c>
      <c r="S238" s="5" t="s">
        <v>650</v>
      </c>
      <c r="T238" s="76">
        <v>13</v>
      </c>
      <c r="U238" s="76">
        <v>1200</v>
      </c>
      <c r="V238" s="76">
        <v>2600</v>
      </c>
      <c r="W238" s="10">
        <v>100</v>
      </c>
      <c r="X238" s="10">
        <v>112.5</v>
      </c>
      <c r="Y238" s="53">
        <v>13.7</v>
      </c>
      <c r="Z238" s="75">
        <v>0.25</v>
      </c>
      <c r="AA238" s="84">
        <v>3.2000000000000001E-2</v>
      </c>
      <c r="AB238" s="56"/>
      <c r="AC238" s="56"/>
      <c r="AD238" s="56"/>
      <c r="AE238" s="10">
        <v>10</v>
      </c>
      <c r="AF238" s="31">
        <v>250</v>
      </c>
      <c r="AG238" s="74">
        <f>AE238*T238/1000+AF238*W238/1000</f>
        <v>25.13</v>
      </c>
      <c r="AH238" s="56"/>
      <c r="AI238" s="56"/>
      <c r="AJ238" s="56"/>
      <c r="AK238" s="10" t="s">
        <v>643</v>
      </c>
      <c r="AL238" s="17">
        <v>3496250054974</v>
      </c>
      <c r="AM238" s="15" t="s">
        <v>643</v>
      </c>
      <c r="AN238" s="5">
        <v>68091100</v>
      </c>
      <c r="AO238" s="6" t="s">
        <v>2469</v>
      </c>
      <c r="AP238" s="6" t="s">
        <v>2468</v>
      </c>
      <c r="AQ238" s="6" t="s">
        <v>2467</v>
      </c>
      <c r="AR238" s="6" t="s">
        <v>2466</v>
      </c>
      <c r="AS238" s="6" t="s">
        <v>2465</v>
      </c>
    </row>
    <row r="239" spans="1:45" s="5" customFormat="1" ht="12.75" customHeight="1">
      <c r="A239" s="78" t="s">
        <v>2464</v>
      </c>
      <c r="B239" s="6" t="s">
        <v>396</v>
      </c>
      <c r="C239" s="6" t="s">
        <v>403</v>
      </c>
      <c r="D239" s="5" t="s">
        <v>2459</v>
      </c>
      <c r="E239" s="5" t="s">
        <v>2459</v>
      </c>
      <c r="F239" s="6" t="s">
        <v>2461</v>
      </c>
      <c r="G239" s="6" t="s">
        <v>2460</v>
      </c>
      <c r="H239" s="27" t="s">
        <v>396</v>
      </c>
      <c r="I239" s="27" t="s">
        <v>396</v>
      </c>
      <c r="J239" s="5" t="s">
        <v>2459</v>
      </c>
      <c r="K239" s="5" t="s">
        <v>2459</v>
      </c>
      <c r="L239" s="5" t="s">
        <v>2455</v>
      </c>
      <c r="M239" s="5" t="s">
        <v>2458</v>
      </c>
      <c r="N239" s="5" t="s">
        <v>2457</v>
      </c>
      <c r="O239" s="6" t="s">
        <v>2456</v>
      </c>
      <c r="P239" s="6" t="s">
        <v>2229</v>
      </c>
      <c r="Q239" s="6" t="s">
        <v>2455</v>
      </c>
      <c r="S239" s="5" t="s">
        <v>2242</v>
      </c>
      <c r="T239" s="80">
        <v>12.5</v>
      </c>
      <c r="U239" s="80">
        <v>1200</v>
      </c>
      <c r="V239" s="80">
        <v>2500</v>
      </c>
      <c r="W239" s="27" t="s">
        <v>396</v>
      </c>
      <c r="X239" s="27" t="s">
        <v>396</v>
      </c>
      <c r="Y239" s="53">
        <v>12.8</v>
      </c>
      <c r="Z239" s="55">
        <v>0.28199999999999997</v>
      </c>
      <c r="AA239" s="27" t="s">
        <v>396</v>
      </c>
      <c r="AF239" s="27" t="s">
        <v>399</v>
      </c>
      <c r="AK239" s="5" t="s">
        <v>643</v>
      </c>
      <c r="AL239" s="17">
        <v>3496250088139</v>
      </c>
      <c r="AM239" s="15" t="s">
        <v>643</v>
      </c>
      <c r="AN239" s="5">
        <v>68091100</v>
      </c>
      <c r="AO239" s="6" t="s">
        <v>2454</v>
      </c>
      <c r="AP239" s="6" t="s">
        <v>2453</v>
      </c>
      <c r="AQ239" s="6"/>
      <c r="AR239" s="6"/>
      <c r="AS239" s="6" t="s">
        <v>2463</v>
      </c>
    </row>
    <row r="240" spans="1:45" s="5" customFormat="1" ht="12.75" customHeight="1">
      <c r="A240" s="77" t="s">
        <v>2462</v>
      </c>
      <c r="B240" s="6" t="s">
        <v>396</v>
      </c>
      <c r="C240" s="6" t="s">
        <v>403</v>
      </c>
      <c r="D240" s="5" t="s">
        <v>2459</v>
      </c>
      <c r="E240" s="5" t="s">
        <v>2459</v>
      </c>
      <c r="F240" s="6" t="s">
        <v>2461</v>
      </c>
      <c r="G240" s="6" t="s">
        <v>2460</v>
      </c>
      <c r="H240" s="27" t="s">
        <v>396</v>
      </c>
      <c r="I240" s="27" t="s">
        <v>396</v>
      </c>
      <c r="J240" s="5" t="s">
        <v>2459</v>
      </c>
      <c r="K240" s="5" t="s">
        <v>2459</v>
      </c>
      <c r="L240" s="5" t="s">
        <v>2455</v>
      </c>
      <c r="M240" s="5" t="s">
        <v>2458</v>
      </c>
      <c r="N240" s="5" t="s">
        <v>2457</v>
      </c>
      <c r="O240" s="6" t="s">
        <v>2456</v>
      </c>
      <c r="P240" s="6" t="s">
        <v>2229</v>
      </c>
      <c r="Q240" s="6" t="s">
        <v>2455</v>
      </c>
      <c r="S240" s="5" t="s">
        <v>2242</v>
      </c>
      <c r="T240" s="80">
        <v>12.5</v>
      </c>
      <c r="U240" s="80">
        <v>1200</v>
      </c>
      <c r="V240" s="80">
        <v>3000</v>
      </c>
      <c r="W240" s="27" t="s">
        <v>396</v>
      </c>
      <c r="X240" s="27" t="s">
        <v>396</v>
      </c>
      <c r="Y240" s="53">
        <v>12.8</v>
      </c>
      <c r="Z240" s="55">
        <v>0.28199999999999997</v>
      </c>
      <c r="AA240" s="27" t="s">
        <v>396</v>
      </c>
      <c r="AF240" s="27" t="s">
        <v>399</v>
      </c>
      <c r="AK240" s="5" t="s">
        <v>643</v>
      </c>
      <c r="AL240" s="17">
        <v>3496250088153</v>
      </c>
      <c r="AM240" s="15" t="s">
        <v>643</v>
      </c>
      <c r="AN240" s="5">
        <v>68109190</v>
      </c>
      <c r="AO240" s="6" t="s">
        <v>2454</v>
      </c>
      <c r="AP240" s="6" t="s">
        <v>2453</v>
      </c>
      <c r="AQ240" s="6"/>
      <c r="AR240" s="6"/>
      <c r="AS240" s="6" t="s">
        <v>2452</v>
      </c>
    </row>
    <row r="241" spans="1:45" s="16" customFormat="1" ht="12.75" customHeight="1">
      <c r="A241" s="89" t="s">
        <v>2451</v>
      </c>
      <c r="B241" s="18" t="s">
        <v>396</v>
      </c>
      <c r="C241" s="18" t="s">
        <v>403</v>
      </c>
      <c r="D241" s="18" t="s">
        <v>2444</v>
      </c>
      <c r="E241" s="18" t="s">
        <v>2443</v>
      </c>
      <c r="F241" s="18" t="s">
        <v>2446</v>
      </c>
      <c r="G241" s="18" t="s">
        <v>2445</v>
      </c>
      <c r="H241" s="19" t="s">
        <v>396</v>
      </c>
      <c r="I241" s="19" t="s">
        <v>396</v>
      </c>
      <c r="J241" s="18" t="s">
        <v>2444</v>
      </c>
      <c r="K241" s="18" t="s">
        <v>2443</v>
      </c>
      <c r="L241" s="18" t="s">
        <v>478</v>
      </c>
      <c r="N241" s="18" t="s">
        <v>481</v>
      </c>
      <c r="O241" s="18" t="s">
        <v>480</v>
      </c>
      <c r="P241" s="18" t="s">
        <v>479</v>
      </c>
      <c r="Q241" s="18" t="s">
        <v>478</v>
      </c>
      <c r="S241" s="19" t="s">
        <v>396</v>
      </c>
      <c r="T241" s="22"/>
      <c r="U241" s="88" t="s">
        <v>396</v>
      </c>
      <c r="V241" s="22">
        <v>25</v>
      </c>
      <c r="W241" s="19" t="s">
        <v>396</v>
      </c>
      <c r="X241" s="19" t="s">
        <v>396</v>
      </c>
      <c r="Y241" s="19" t="s">
        <v>396</v>
      </c>
      <c r="Z241" s="41">
        <v>50</v>
      </c>
      <c r="AA241" s="19" t="s">
        <v>396</v>
      </c>
      <c r="AF241" s="19" t="s">
        <v>399</v>
      </c>
      <c r="AK241" s="16" t="s">
        <v>756</v>
      </c>
      <c r="AL241" s="15">
        <v>3496250208322</v>
      </c>
      <c r="AM241" s="15" t="s">
        <v>756</v>
      </c>
      <c r="AN241" s="5"/>
      <c r="AO241" s="6"/>
      <c r="AP241" s="6"/>
      <c r="AQ241" s="6" t="s">
        <v>2450</v>
      </c>
      <c r="AR241" s="6" t="s">
        <v>2449</v>
      </c>
      <c r="AS241" s="6" t="s">
        <v>2448</v>
      </c>
    </row>
    <row r="242" spans="1:45" s="16" customFormat="1" ht="12.75" customHeight="1">
      <c r="A242" s="89" t="s">
        <v>2447</v>
      </c>
      <c r="B242" s="18" t="s">
        <v>396</v>
      </c>
      <c r="C242" s="18" t="s">
        <v>403</v>
      </c>
      <c r="D242" s="18" t="s">
        <v>2444</v>
      </c>
      <c r="E242" s="18" t="s">
        <v>2443</v>
      </c>
      <c r="F242" s="18" t="s">
        <v>2446</v>
      </c>
      <c r="G242" s="18" t="s">
        <v>2445</v>
      </c>
      <c r="H242" s="19" t="s">
        <v>396</v>
      </c>
      <c r="I242" s="19" t="s">
        <v>396</v>
      </c>
      <c r="J242" s="18" t="s">
        <v>2444</v>
      </c>
      <c r="K242" s="18" t="s">
        <v>2443</v>
      </c>
      <c r="L242" s="18" t="s">
        <v>478</v>
      </c>
      <c r="N242" s="18" t="s">
        <v>481</v>
      </c>
      <c r="O242" s="18" t="s">
        <v>480</v>
      </c>
      <c r="P242" s="18" t="s">
        <v>479</v>
      </c>
      <c r="Q242" s="18" t="s">
        <v>478</v>
      </c>
      <c r="S242" s="19" t="s">
        <v>396</v>
      </c>
      <c r="T242" s="22"/>
      <c r="U242" s="88" t="s">
        <v>396</v>
      </c>
      <c r="V242" s="22">
        <v>41</v>
      </c>
      <c r="W242" s="19" t="s">
        <v>396</v>
      </c>
      <c r="X242" s="19" t="s">
        <v>396</v>
      </c>
      <c r="Y242" s="19" t="s">
        <v>396</v>
      </c>
      <c r="Z242" s="41">
        <v>50</v>
      </c>
      <c r="AA242" s="19" t="s">
        <v>396</v>
      </c>
      <c r="AF242" s="19" t="s">
        <v>399</v>
      </c>
      <c r="AK242" s="16" t="s">
        <v>756</v>
      </c>
      <c r="AL242" s="15">
        <v>3496250208353</v>
      </c>
      <c r="AM242" s="15" t="s">
        <v>756</v>
      </c>
      <c r="AN242" s="5"/>
      <c r="AO242" s="6"/>
      <c r="AP242" s="6"/>
      <c r="AQ242" s="6" t="s">
        <v>2442</v>
      </c>
      <c r="AR242" s="6" t="s">
        <v>2441</v>
      </c>
      <c r="AS242" s="6" t="s">
        <v>2440</v>
      </c>
    </row>
    <row r="243" spans="1:45" ht="12.75" customHeight="1">
      <c r="A243" s="78" t="s">
        <v>2439</v>
      </c>
      <c r="B243" s="6" t="s">
        <v>396</v>
      </c>
      <c r="C243" s="31" t="s">
        <v>403</v>
      </c>
      <c r="D243" s="5" t="s">
        <v>2422</v>
      </c>
      <c r="E243" s="77" t="s">
        <v>2422</v>
      </c>
      <c r="F243" s="31" t="s">
        <v>2421</v>
      </c>
      <c r="G243" s="31" t="s">
        <v>2420</v>
      </c>
      <c r="H243" s="67" t="s">
        <v>396</v>
      </c>
      <c r="I243" s="67" t="s">
        <v>396</v>
      </c>
      <c r="J243" s="77" t="s">
        <v>2419</v>
      </c>
      <c r="K243" s="77" t="s">
        <v>2419</v>
      </c>
      <c r="L243" s="10" t="s">
        <v>2390</v>
      </c>
      <c r="M243" s="10" t="s">
        <v>2338</v>
      </c>
      <c r="N243" s="10" t="s">
        <v>2389</v>
      </c>
      <c r="O243" s="31" t="s">
        <v>2388</v>
      </c>
      <c r="P243" s="31" t="s">
        <v>2229</v>
      </c>
      <c r="Q243" s="71" t="s">
        <v>1215</v>
      </c>
      <c r="R243" s="56" t="s">
        <v>2407</v>
      </c>
      <c r="S243" s="5" t="s">
        <v>2242</v>
      </c>
      <c r="T243" s="76">
        <v>10</v>
      </c>
      <c r="U243" s="76">
        <v>1000</v>
      </c>
      <c r="V243" s="76">
        <v>1500</v>
      </c>
      <c r="W243" s="67" t="s">
        <v>396</v>
      </c>
      <c r="X243" s="67" t="s">
        <v>396</v>
      </c>
      <c r="Y243" s="53">
        <v>12</v>
      </c>
      <c r="Z243" s="75">
        <v>0.35</v>
      </c>
      <c r="AA243" s="84" t="s">
        <v>396</v>
      </c>
      <c r="AB243" s="31" t="s">
        <v>2222</v>
      </c>
      <c r="AC243" s="67" t="s">
        <v>396</v>
      </c>
      <c r="AD243" s="67" t="s">
        <v>396</v>
      </c>
      <c r="AE243" s="56"/>
      <c r="AF243" s="67" t="s">
        <v>399</v>
      </c>
      <c r="AG243" s="56"/>
      <c r="AH243" s="10">
        <f t="shared" ref="AH243:AH251" si="3">0.045/30</f>
        <v>1.5E-3</v>
      </c>
      <c r="AI243" s="31" t="s">
        <v>645</v>
      </c>
      <c r="AJ243" s="31" t="s">
        <v>644</v>
      </c>
      <c r="AK243" s="10" t="s">
        <v>643</v>
      </c>
      <c r="AL243" s="17">
        <v>5413218566711</v>
      </c>
      <c r="AM243" s="15" t="s">
        <v>643</v>
      </c>
      <c r="AN243" s="5">
        <v>68091100</v>
      </c>
      <c r="AO243" s="6" t="s">
        <v>2406</v>
      </c>
      <c r="AP243" s="6" t="s">
        <v>2405</v>
      </c>
      <c r="AQ243" s="6" t="s">
        <v>2438</v>
      </c>
      <c r="AR243" s="6" t="s">
        <v>2437</v>
      </c>
      <c r="AS243" s="6" t="s">
        <v>2436</v>
      </c>
    </row>
    <row r="244" spans="1:45" ht="12.75" customHeight="1">
      <c r="A244" s="78" t="s">
        <v>2435</v>
      </c>
      <c r="B244" s="6" t="s">
        <v>396</v>
      </c>
      <c r="C244" s="31" t="s">
        <v>403</v>
      </c>
      <c r="D244" s="5" t="s">
        <v>2422</v>
      </c>
      <c r="E244" s="77" t="s">
        <v>2422</v>
      </c>
      <c r="F244" s="31" t="s">
        <v>2421</v>
      </c>
      <c r="G244" s="31" t="s">
        <v>2420</v>
      </c>
      <c r="H244" s="67" t="s">
        <v>396</v>
      </c>
      <c r="I244" s="67" t="s">
        <v>396</v>
      </c>
      <c r="J244" s="77" t="s">
        <v>2419</v>
      </c>
      <c r="K244" s="77" t="s">
        <v>2419</v>
      </c>
      <c r="L244" s="10" t="s">
        <v>2390</v>
      </c>
      <c r="M244" s="10" t="s">
        <v>2338</v>
      </c>
      <c r="N244" s="10" t="s">
        <v>2389</v>
      </c>
      <c r="O244" s="31" t="s">
        <v>2388</v>
      </c>
      <c r="P244" s="31" t="s">
        <v>2229</v>
      </c>
      <c r="Q244" s="71" t="s">
        <v>1215</v>
      </c>
      <c r="R244" s="56" t="s">
        <v>2407</v>
      </c>
      <c r="S244" s="5" t="s">
        <v>2242</v>
      </c>
      <c r="T244" s="76">
        <v>10</v>
      </c>
      <c r="U244" s="76">
        <v>1195</v>
      </c>
      <c r="V244" s="76">
        <v>2600</v>
      </c>
      <c r="W244" s="67" t="s">
        <v>396</v>
      </c>
      <c r="X244" s="67" t="s">
        <v>396</v>
      </c>
      <c r="Y244" s="53">
        <v>12</v>
      </c>
      <c r="Z244" s="75">
        <v>0.35</v>
      </c>
      <c r="AA244" s="84" t="s">
        <v>396</v>
      </c>
      <c r="AB244" s="31" t="s">
        <v>2222</v>
      </c>
      <c r="AC244" s="67" t="s">
        <v>396</v>
      </c>
      <c r="AD244" s="67" t="s">
        <v>396</v>
      </c>
      <c r="AE244" s="56"/>
      <c r="AF244" s="67" t="s">
        <v>399</v>
      </c>
      <c r="AG244" s="56"/>
      <c r="AH244" s="10">
        <f t="shared" si="3"/>
        <v>1.5E-3</v>
      </c>
      <c r="AI244" s="31" t="s">
        <v>645</v>
      </c>
      <c r="AJ244" s="31" t="s">
        <v>644</v>
      </c>
      <c r="AK244" s="10" t="s">
        <v>643</v>
      </c>
      <c r="AL244" s="17">
        <v>5413218566728</v>
      </c>
      <c r="AM244" s="15" t="s">
        <v>643</v>
      </c>
      <c r="AN244" s="5">
        <v>68091100</v>
      </c>
      <c r="AO244" s="6" t="s">
        <v>2406</v>
      </c>
      <c r="AP244" s="6" t="s">
        <v>2405</v>
      </c>
      <c r="AQ244" s="6" t="s">
        <v>2434</v>
      </c>
      <c r="AR244" s="6" t="s">
        <v>2433</v>
      </c>
      <c r="AS244" s="6" t="s">
        <v>2432</v>
      </c>
    </row>
    <row r="245" spans="1:45" ht="12.75" customHeight="1">
      <c r="A245" s="77" t="s">
        <v>2431</v>
      </c>
      <c r="B245" s="6" t="s">
        <v>396</v>
      </c>
      <c r="C245" s="31" t="s">
        <v>403</v>
      </c>
      <c r="D245" s="5" t="s">
        <v>2422</v>
      </c>
      <c r="E245" s="77" t="s">
        <v>2422</v>
      </c>
      <c r="F245" s="31" t="s">
        <v>2421</v>
      </c>
      <c r="G245" s="31" t="s">
        <v>2420</v>
      </c>
      <c r="H245" s="67" t="s">
        <v>396</v>
      </c>
      <c r="I245" s="67" t="s">
        <v>396</v>
      </c>
      <c r="J245" s="77" t="s">
        <v>2419</v>
      </c>
      <c r="K245" s="77" t="s">
        <v>2419</v>
      </c>
      <c r="L245" s="10" t="s">
        <v>2390</v>
      </c>
      <c r="M245" s="10" t="s">
        <v>2338</v>
      </c>
      <c r="N245" s="10" t="s">
        <v>2389</v>
      </c>
      <c r="O245" s="31" t="s">
        <v>2388</v>
      </c>
      <c r="P245" s="31" t="s">
        <v>2229</v>
      </c>
      <c r="Q245" s="71" t="s">
        <v>1215</v>
      </c>
      <c r="R245" s="56" t="s">
        <v>2387</v>
      </c>
      <c r="S245" s="5" t="s">
        <v>2242</v>
      </c>
      <c r="T245" s="76">
        <v>12.5</v>
      </c>
      <c r="U245" s="76">
        <v>1195</v>
      </c>
      <c r="V245" s="76">
        <v>2600</v>
      </c>
      <c r="W245" s="67" t="s">
        <v>396</v>
      </c>
      <c r="X245" s="67" t="s">
        <v>396</v>
      </c>
      <c r="Y245" s="53">
        <v>15</v>
      </c>
      <c r="Z245" s="75">
        <v>0.35</v>
      </c>
      <c r="AA245" s="84" t="s">
        <v>396</v>
      </c>
      <c r="AB245" s="31" t="s">
        <v>2222</v>
      </c>
      <c r="AC245" s="67" t="s">
        <v>396</v>
      </c>
      <c r="AD245" s="67" t="s">
        <v>396</v>
      </c>
      <c r="AE245" s="56"/>
      <c r="AF245" s="67" t="s">
        <v>399</v>
      </c>
      <c r="AG245" s="56"/>
      <c r="AH245" s="10">
        <f t="shared" si="3"/>
        <v>1.5E-3</v>
      </c>
      <c r="AI245" s="31" t="s">
        <v>645</v>
      </c>
      <c r="AJ245" s="31" t="s">
        <v>644</v>
      </c>
      <c r="AK245" s="10" t="s">
        <v>643</v>
      </c>
      <c r="AL245" s="17">
        <v>5413218566735</v>
      </c>
      <c r="AM245" s="15" t="s">
        <v>643</v>
      </c>
      <c r="AN245" s="5">
        <v>68091100</v>
      </c>
      <c r="AO245" s="6" t="s">
        <v>2386</v>
      </c>
      <c r="AP245" s="6" t="s">
        <v>2385</v>
      </c>
      <c r="AQ245" s="6" t="s">
        <v>2430</v>
      </c>
      <c r="AR245" s="6" t="s">
        <v>2429</v>
      </c>
      <c r="AS245" s="6" t="s">
        <v>2428</v>
      </c>
    </row>
    <row r="246" spans="1:45" ht="12.75" customHeight="1">
      <c r="A246" s="77" t="s">
        <v>2427</v>
      </c>
      <c r="B246" s="6" t="s">
        <v>396</v>
      </c>
      <c r="C246" s="31" t="s">
        <v>403</v>
      </c>
      <c r="D246" s="5" t="s">
        <v>2422</v>
      </c>
      <c r="E246" s="77" t="s">
        <v>2422</v>
      </c>
      <c r="F246" s="31" t="s">
        <v>2421</v>
      </c>
      <c r="G246" s="31" t="s">
        <v>2420</v>
      </c>
      <c r="H246" s="67" t="s">
        <v>396</v>
      </c>
      <c r="I246" s="67" t="s">
        <v>396</v>
      </c>
      <c r="J246" s="77" t="s">
        <v>2419</v>
      </c>
      <c r="K246" s="77" t="s">
        <v>2419</v>
      </c>
      <c r="L246" s="10" t="s">
        <v>2390</v>
      </c>
      <c r="M246" s="10" t="s">
        <v>2338</v>
      </c>
      <c r="N246" s="10" t="s">
        <v>2389</v>
      </c>
      <c r="O246" s="31" t="s">
        <v>2388</v>
      </c>
      <c r="P246" s="31" t="s">
        <v>2229</v>
      </c>
      <c r="Q246" s="71" t="s">
        <v>1215</v>
      </c>
      <c r="R246" s="56" t="s">
        <v>2387</v>
      </c>
      <c r="S246" s="5" t="s">
        <v>650</v>
      </c>
      <c r="T246" s="76">
        <v>12.5</v>
      </c>
      <c r="U246" s="76">
        <v>1200</v>
      </c>
      <c r="V246" s="76">
        <v>2600</v>
      </c>
      <c r="W246" s="67" t="s">
        <v>396</v>
      </c>
      <c r="X246" s="67" t="s">
        <v>396</v>
      </c>
      <c r="Y246" s="53">
        <v>15</v>
      </c>
      <c r="Z246" s="75">
        <v>0.35</v>
      </c>
      <c r="AA246" s="84" t="s">
        <v>396</v>
      </c>
      <c r="AB246" s="31" t="s">
        <v>2222</v>
      </c>
      <c r="AC246" s="67" t="s">
        <v>396</v>
      </c>
      <c r="AD246" s="67" t="s">
        <v>396</v>
      </c>
      <c r="AE246" s="56"/>
      <c r="AF246" s="67" t="s">
        <v>399</v>
      </c>
      <c r="AG246" s="56"/>
      <c r="AH246" s="10">
        <f t="shared" si="3"/>
        <v>1.5E-3</v>
      </c>
      <c r="AI246" s="31" t="s">
        <v>645</v>
      </c>
      <c r="AJ246" s="31" t="s">
        <v>644</v>
      </c>
      <c r="AK246" s="10" t="s">
        <v>643</v>
      </c>
      <c r="AL246" s="17">
        <v>5413218566742</v>
      </c>
      <c r="AM246" s="15" t="s">
        <v>643</v>
      </c>
      <c r="AN246" s="5">
        <v>68091100</v>
      </c>
      <c r="AO246" s="6" t="s">
        <v>2386</v>
      </c>
      <c r="AP246" s="6" t="s">
        <v>2385</v>
      </c>
      <c r="AQ246" s="6" t="s">
        <v>2426</v>
      </c>
      <c r="AR246" s="6" t="s">
        <v>2425</v>
      </c>
      <c r="AS246" s="6" t="s">
        <v>2424</v>
      </c>
    </row>
    <row r="247" spans="1:45" ht="12.75" customHeight="1">
      <c r="A247" s="77" t="s">
        <v>2423</v>
      </c>
      <c r="B247" s="6" t="s">
        <v>396</v>
      </c>
      <c r="C247" s="31" t="s">
        <v>403</v>
      </c>
      <c r="D247" s="5" t="s">
        <v>2422</v>
      </c>
      <c r="E247" s="77" t="s">
        <v>2422</v>
      </c>
      <c r="F247" s="31" t="s">
        <v>2421</v>
      </c>
      <c r="G247" s="31" t="s">
        <v>2420</v>
      </c>
      <c r="H247" s="67" t="s">
        <v>396</v>
      </c>
      <c r="I247" s="67" t="s">
        <v>396</v>
      </c>
      <c r="J247" s="77" t="s">
        <v>2419</v>
      </c>
      <c r="K247" s="77" t="s">
        <v>2419</v>
      </c>
      <c r="L247" s="10" t="s">
        <v>2390</v>
      </c>
      <c r="M247" s="10" t="s">
        <v>2338</v>
      </c>
      <c r="N247" s="10" t="s">
        <v>2389</v>
      </c>
      <c r="O247" s="31" t="s">
        <v>2388</v>
      </c>
      <c r="P247" s="31" t="s">
        <v>2229</v>
      </c>
      <c r="Q247" s="71" t="s">
        <v>1215</v>
      </c>
      <c r="R247" s="56" t="s">
        <v>2418</v>
      </c>
      <c r="S247" s="5" t="s">
        <v>650</v>
      </c>
      <c r="T247" s="76">
        <v>15</v>
      </c>
      <c r="U247" s="76">
        <v>1200</v>
      </c>
      <c r="V247" s="76">
        <v>2600</v>
      </c>
      <c r="W247" s="67" t="s">
        <v>396</v>
      </c>
      <c r="X247" s="67" t="s">
        <v>396</v>
      </c>
      <c r="Y247" s="53">
        <v>18</v>
      </c>
      <c r="Z247" s="75">
        <v>0.35</v>
      </c>
      <c r="AA247" s="84" t="s">
        <v>396</v>
      </c>
      <c r="AB247" s="31" t="s">
        <v>2222</v>
      </c>
      <c r="AC247" s="67" t="s">
        <v>396</v>
      </c>
      <c r="AD247" s="67" t="s">
        <v>396</v>
      </c>
      <c r="AE247" s="87"/>
      <c r="AF247" s="67" t="s">
        <v>399</v>
      </c>
      <c r="AG247" s="56"/>
      <c r="AH247" s="10">
        <f t="shared" si="3"/>
        <v>1.5E-3</v>
      </c>
      <c r="AI247" s="31" t="s">
        <v>645</v>
      </c>
      <c r="AJ247" s="31" t="s">
        <v>644</v>
      </c>
      <c r="AK247" s="10" t="s">
        <v>643</v>
      </c>
      <c r="AL247" s="17">
        <v>4002806723882</v>
      </c>
      <c r="AM247" s="15" t="s">
        <v>643</v>
      </c>
      <c r="AN247" s="5">
        <v>68091100</v>
      </c>
      <c r="AO247" s="6" t="s">
        <v>2417</v>
      </c>
      <c r="AP247" s="6" t="s">
        <v>2416</v>
      </c>
      <c r="AQ247" s="6" t="s">
        <v>2415</v>
      </c>
      <c r="AR247" s="6" t="s">
        <v>2414</v>
      </c>
      <c r="AS247" s="6" t="s">
        <v>2413</v>
      </c>
    </row>
    <row r="248" spans="1:45" ht="12.75" customHeight="1">
      <c r="A248" s="77" t="s">
        <v>2412</v>
      </c>
      <c r="B248" s="6" t="s">
        <v>396</v>
      </c>
      <c r="C248" s="31" t="s">
        <v>403</v>
      </c>
      <c r="D248" s="5" t="s">
        <v>2396</v>
      </c>
      <c r="E248" s="77" t="s">
        <v>2395</v>
      </c>
      <c r="F248" s="31" t="s">
        <v>2394</v>
      </c>
      <c r="G248" s="31" t="s">
        <v>2393</v>
      </c>
      <c r="H248" s="67" t="s">
        <v>396</v>
      </c>
      <c r="I248" s="67" t="s">
        <v>396</v>
      </c>
      <c r="J248" s="77" t="s">
        <v>2392</v>
      </c>
      <c r="K248" s="77" t="s">
        <v>2391</v>
      </c>
      <c r="L248" s="10" t="s">
        <v>2390</v>
      </c>
      <c r="M248" s="10" t="s">
        <v>2338</v>
      </c>
      <c r="N248" s="10" t="s">
        <v>2389</v>
      </c>
      <c r="O248" s="31" t="s">
        <v>2388</v>
      </c>
      <c r="P248" s="31" t="s">
        <v>2229</v>
      </c>
      <c r="Q248" s="71" t="s">
        <v>1215</v>
      </c>
      <c r="R248" s="56" t="s">
        <v>2407</v>
      </c>
      <c r="S248" s="5" t="s">
        <v>2242</v>
      </c>
      <c r="T248" s="76">
        <v>10</v>
      </c>
      <c r="U248" s="76">
        <v>1000</v>
      </c>
      <c r="V248" s="76">
        <v>1500</v>
      </c>
      <c r="W248" s="67" t="s">
        <v>396</v>
      </c>
      <c r="X248" s="67" t="s">
        <v>396</v>
      </c>
      <c r="Y248" s="53">
        <v>12</v>
      </c>
      <c r="Z248" s="75">
        <v>0.35</v>
      </c>
      <c r="AA248" s="84" t="s">
        <v>396</v>
      </c>
      <c r="AB248" s="31" t="s">
        <v>2222</v>
      </c>
      <c r="AC248" s="67" t="s">
        <v>396</v>
      </c>
      <c r="AD248" s="67" t="s">
        <v>396</v>
      </c>
      <c r="AE248" s="56"/>
      <c r="AF248" s="67" t="s">
        <v>399</v>
      </c>
      <c r="AG248" s="56"/>
      <c r="AH248" s="10">
        <f t="shared" si="3"/>
        <v>1.5E-3</v>
      </c>
      <c r="AI248" s="31" t="s">
        <v>645</v>
      </c>
      <c r="AJ248" s="31" t="s">
        <v>644</v>
      </c>
      <c r="AK248" s="10" t="s">
        <v>643</v>
      </c>
      <c r="AL248" s="17"/>
      <c r="AM248" s="15"/>
      <c r="AN248" s="5">
        <v>68091100</v>
      </c>
      <c r="AO248" s="6" t="s">
        <v>2406</v>
      </c>
      <c r="AP248" s="6" t="s">
        <v>2405</v>
      </c>
      <c r="AQ248" s="6" t="s">
        <v>2411</v>
      </c>
      <c r="AR248" s="6" t="s">
        <v>2410</v>
      </c>
      <c r="AS248" s="6" t="s">
        <v>2409</v>
      </c>
    </row>
    <row r="249" spans="1:45" ht="12.75" customHeight="1">
      <c r="A249" s="77" t="s">
        <v>2408</v>
      </c>
      <c r="B249" s="6" t="s">
        <v>396</v>
      </c>
      <c r="C249" s="31" t="s">
        <v>403</v>
      </c>
      <c r="D249" s="5" t="s">
        <v>2396</v>
      </c>
      <c r="E249" s="77" t="s">
        <v>2395</v>
      </c>
      <c r="F249" s="31" t="s">
        <v>2394</v>
      </c>
      <c r="G249" s="31" t="s">
        <v>2393</v>
      </c>
      <c r="H249" s="67" t="s">
        <v>396</v>
      </c>
      <c r="I249" s="67" t="s">
        <v>396</v>
      </c>
      <c r="J249" s="77" t="s">
        <v>2392</v>
      </c>
      <c r="K249" s="77" t="s">
        <v>2391</v>
      </c>
      <c r="L249" s="10" t="s">
        <v>2390</v>
      </c>
      <c r="M249" s="10" t="s">
        <v>2338</v>
      </c>
      <c r="N249" s="10" t="s">
        <v>2389</v>
      </c>
      <c r="O249" s="31" t="s">
        <v>2388</v>
      </c>
      <c r="P249" s="31" t="s">
        <v>2229</v>
      </c>
      <c r="Q249" s="71" t="s">
        <v>1215</v>
      </c>
      <c r="R249" s="56" t="s">
        <v>2407</v>
      </c>
      <c r="S249" s="5" t="s">
        <v>2242</v>
      </c>
      <c r="T249" s="76">
        <v>10</v>
      </c>
      <c r="U249" s="76">
        <v>1195</v>
      </c>
      <c r="V249" s="76">
        <v>2600</v>
      </c>
      <c r="W249" s="67" t="s">
        <v>396</v>
      </c>
      <c r="X249" s="67" t="s">
        <v>396</v>
      </c>
      <c r="Y249" s="53">
        <v>12</v>
      </c>
      <c r="Z249" s="75">
        <v>0.35</v>
      </c>
      <c r="AA249" s="84" t="s">
        <v>396</v>
      </c>
      <c r="AB249" s="31" t="s">
        <v>2222</v>
      </c>
      <c r="AC249" s="67" t="s">
        <v>396</v>
      </c>
      <c r="AD249" s="67" t="s">
        <v>396</v>
      </c>
      <c r="AE249" s="56"/>
      <c r="AF249" s="67" t="s">
        <v>399</v>
      </c>
      <c r="AG249" s="56"/>
      <c r="AH249" s="10">
        <f t="shared" si="3"/>
        <v>1.5E-3</v>
      </c>
      <c r="AI249" s="31" t="s">
        <v>645</v>
      </c>
      <c r="AJ249" s="31" t="s">
        <v>644</v>
      </c>
      <c r="AK249" s="10" t="s">
        <v>643</v>
      </c>
      <c r="AL249" s="17"/>
      <c r="AM249" s="15"/>
      <c r="AN249" s="5">
        <v>68091100</v>
      </c>
      <c r="AO249" s="6" t="s">
        <v>2406</v>
      </c>
      <c r="AP249" s="6" t="s">
        <v>2405</v>
      </c>
      <c r="AQ249" s="6" t="s">
        <v>2404</v>
      </c>
      <c r="AR249" s="6" t="s">
        <v>2403</v>
      </c>
      <c r="AS249" s="6" t="s">
        <v>2402</v>
      </c>
    </row>
    <row r="250" spans="1:45" ht="12.75" customHeight="1">
      <c r="A250" s="77" t="s">
        <v>2401</v>
      </c>
      <c r="B250" s="6" t="s">
        <v>396</v>
      </c>
      <c r="C250" s="31" t="s">
        <v>403</v>
      </c>
      <c r="D250" s="5" t="s">
        <v>2396</v>
      </c>
      <c r="E250" s="77" t="s">
        <v>2395</v>
      </c>
      <c r="F250" s="31" t="s">
        <v>2394</v>
      </c>
      <c r="G250" s="31" t="s">
        <v>2393</v>
      </c>
      <c r="H250" s="67" t="s">
        <v>396</v>
      </c>
      <c r="I250" s="67" t="s">
        <v>396</v>
      </c>
      <c r="J250" s="77" t="s">
        <v>2392</v>
      </c>
      <c r="K250" s="77" t="s">
        <v>2391</v>
      </c>
      <c r="L250" s="10" t="s">
        <v>2390</v>
      </c>
      <c r="M250" s="10" t="s">
        <v>2338</v>
      </c>
      <c r="N250" s="10" t="s">
        <v>2389</v>
      </c>
      <c r="O250" s="31" t="s">
        <v>2388</v>
      </c>
      <c r="P250" s="31" t="s">
        <v>2229</v>
      </c>
      <c r="Q250" s="71" t="s">
        <v>1215</v>
      </c>
      <c r="R250" s="56" t="s">
        <v>2387</v>
      </c>
      <c r="S250" s="5" t="s">
        <v>2242</v>
      </c>
      <c r="T250" s="76">
        <v>12.5</v>
      </c>
      <c r="U250" s="76">
        <v>1195</v>
      </c>
      <c r="V250" s="76">
        <v>2600</v>
      </c>
      <c r="W250" s="67" t="s">
        <v>396</v>
      </c>
      <c r="X250" s="67" t="s">
        <v>396</v>
      </c>
      <c r="Y250" s="53">
        <v>15</v>
      </c>
      <c r="Z250" s="75">
        <v>0.35</v>
      </c>
      <c r="AA250" s="84" t="s">
        <v>396</v>
      </c>
      <c r="AB250" s="31" t="s">
        <v>2222</v>
      </c>
      <c r="AC250" s="67" t="s">
        <v>396</v>
      </c>
      <c r="AD250" s="67" t="s">
        <v>396</v>
      </c>
      <c r="AE250" s="54"/>
      <c r="AF250" s="67" t="s">
        <v>399</v>
      </c>
      <c r="AG250" s="56"/>
      <c r="AH250" s="10">
        <f t="shared" si="3"/>
        <v>1.5E-3</v>
      </c>
      <c r="AI250" s="31" t="s">
        <v>645</v>
      </c>
      <c r="AJ250" s="31" t="s">
        <v>644</v>
      </c>
      <c r="AK250" s="10" t="s">
        <v>643</v>
      </c>
      <c r="AL250" s="17"/>
      <c r="AM250" s="15"/>
      <c r="AN250" s="5">
        <v>68091100</v>
      </c>
      <c r="AO250" s="6" t="s">
        <v>2386</v>
      </c>
      <c r="AP250" s="6" t="s">
        <v>2385</v>
      </c>
      <c r="AQ250" s="6" t="s">
        <v>2400</v>
      </c>
      <c r="AR250" s="6" t="s">
        <v>2399</v>
      </c>
      <c r="AS250" s="6" t="s">
        <v>2398</v>
      </c>
    </row>
    <row r="251" spans="1:45" ht="12.75" customHeight="1">
      <c r="A251" s="77" t="s">
        <v>2397</v>
      </c>
      <c r="B251" s="6" t="s">
        <v>396</v>
      </c>
      <c r="C251" s="31" t="s">
        <v>403</v>
      </c>
      <c r="D251" s="5" t="s">
        <v>2396</v>
      </c>
      <c r="E251" s="77" t="s">
        <v>2395</v>
      </c>
      <c r="F251" s="31" t="s">
        <v>2394</v>
      </c>
      <c r="G251" s="31" t="s">
        <v>2393</v>
      </c>
      <c r="H251" s="67" t="s">
        <v>396</v>
      </c>
      <c r="I251" s="67" t="s">
        <v>396</v>
      </c>
      <c r="J251" s="77" t="s">
        <v>2392</v>
      </c>
      <c r="K251" s="77" t="s">
        <v>2391</v>
      </c>
      <c r="L251" s="10" t="s">
        <v>2390</v>
      </c>
      <c r="M251" s="10" t="s">
        <v>2338</v>
      </c>
      <c r="N251" s="10" t="s">
        <v>2389</v>
      </c>
      <c r="O251" s="31" t="s">
        <v>2388</v>
      </c>
      <c r="P251" s="31" t="s">
        <v>2229</v>
      </c>
      <c r="Q251" s="71" t="s">
        <v>1215</v>
      </c>
      <c r="R251" s="56" t="s">
        <v>2387</v>
      </c>
      <c r="S251" s="5" t="s">
        <v>650</v>
      </c>
      <c r="T251" s="76">
        <v>12.5</v>
      </c>
      <c r="U251" s="76">
        <v>1200</v>
      </c>
      <c r="V251" s="76">
        <v>2600</v>
      </c>
      <c r="W251" s="67" t="s">
        <v>396</v>
      </c>
      <c r="X251" s="67" t="s">
        <v>396</v>
      </c>
      <c r="Y251" s="53">
        <v>15</v>
      </c>
      <c r="Z251" s="75">
        <v>0.35</v>
      </c>
      <c r="AA251" s="84" t="s">
        <v>396</v>
      </c>
      <c r="AB251" s="31" t="s">
        <v>2222</v>
      </c>
      <c r="AC251" s="67" t="s">
        <v>396</v>
      </c>
      <c r="AD251" s="67" t="s">
        <v>396</v>
      </c>
      <c r="AE251" s="56"/>
      <c r="AF251" s="67" t="s">
        <v>399</v>
      </c>
      <c r="AG251" s="56"/>
      <c r="AH251" s="10">
        <f t="shared" si="3"/>
        <v>1.5E-3</v>
      </c>
      <c r="AI251" s="31" t="s">
        <v>645</v>
      </c>
      <c r="AJ251" s="31" t="s">
        <v>644</v>
      </c>
      <c r="AK251" s="10" t="s">
        <v>643</v>
      </c>
      <c r="AL251" s="17">
        <v>4002806873501</v>
      </c>
      <c r="AM251" s="15" t="s">
        <v>643</v>
      </c>
      <c r="AN251" s="5">
        <v>68091100</v>
      </c>
      <c r="AO251" s="6" t="s">
        <v>2386</v>
      </c>
      <c r="AP251" s="6" t="s">
        <v>2385</v>
      </c>
      <c r="AQ251" s="6" t="s">
        <v>2384</v>
      </c>
      <c r="AR251" s="6" t="s">
        <v>2383</v>
      </c>
      <c r="AS251" s="6" t="s">
        <v>2382</v>
      </c>
    </row>
    <row r="252" spans="1:45" ht="12.75" customHeight="1">
      <c r="A252" s="77" t="s">
        <v>2381</v>
      </c>
      <c r="B252" s="6" t="s">
        <v>396</v>
      </c>
      <c r="C252" s="31" t="s">
        <v>403</v>
      </c>
      <c r="D252" s="5" t="s">
        <v>2380</v>
      </c>
      <c r="E252" s="77" t="s">
        <v>2380</v>
      </c>
      <c r="F252" s="31" t="s">
        <v>2341</v>
      </c>
      <c r="G252" s="31" t="s">
        <v>2340</v>
      </c>
      <c r="H252" s="67" t="s">
        <v>396</v>
      </c>
      <c r="I252" s="67" t="s">
        <v>396</v>
      </c>
      <c r="J252" s="77" t="s">
        <v>2379</v>
      </c>
      <c r="K252" s="77" t="s">
        <v>2379</v>
      </c>
      <c r="L252" s="27" t="s">
        <v>2068</v>
      </c>
      <c r="M252" s="10" t="s">
        <v>2338</v>
      </c>
      <c r="N252" s="31" t="s">
        <v>2337</v>
      </c>
      <c r="O252" s="31" t="s">
        <v>2336</v>
      </c>
      <c r="P252" s="77" t="s">
        <v>2371</v>
      </c>
      <c r="Q252" s="71" t="s">
        <v>1215</v>
      </c>
      <c r="R252" s="56" t="s">
        <v>2378</v>
      </c>
      <c r="S252" s="5" t="s">
        <v>2242</v>
      </c>
      <c r="T252" s="76">
        <v>10</v>
      </c>
      <c r="U252" s="76">
        <v>500</v>
      </c>
      <c r="V252" s="76">
        <v>1500</v>
      </c>
      <c r="W252" s="67" t="s">
        <v>396</v>
      </c>
      <c r="X252" s="67">
        <v>20</v>
      </c>
      <c r="Y252" s="53">
        <v>24.1</v>
      </c>
      <c r="Z252" s="75">
        <v>0.35</v>
      </c>
      <c r="AA252" s="84" t="s">
        <v>396</v>
      </c>
      <c r="AB252" s="31" t="s">
        <v>2222</v>
      </c>
      <c r="AC252" s="67" t="s">
        <v>396</v>
      </c>
      <c r="AD252" s="67" t="s">
        <v>396</v>
      </c>
      <c r="AE252" s="56"/>
      <c r="AF252" s="67" t="s">
        <v>399</v>
      </c>
      <c r="AG252" s="56"/>
      <c r="AH252" s="10">
        <v>1.5E-3</v>
      </c>
      <c r="AI252" s="31" t="s">
        <v>2334</v>
      </c>
      <c r="AJ252" s="31" t="s">
        <v>2333</v>
      </c>
      <c r="AK252" s="10" t="s">
        <v>643</v>
      </c>
      <c r="AL252" s="17">
        <v>3496250272255</v>
      </c>
      <c r="AM252" s="15" t="s">
        <v>643</v>
      </c>
      <c r="AN252" s="5">
        <v>68091100</v>
      </c>
      <c r="AO252" s="6" t="s">
        <v>2332</v>
      </c>
      <c r="AP252" s="6" t="s">
        <v>2331</v>
      </c>
      <c r="AQ252" s="6" t="s">
        <v>2377</v>
      </c>
      <c r="AR252" s="6" t="s">
        <v>2376</v>
      </c>
      <c r="AS252" s="6" t="s">
        <v>2375</v>
      </c>
    </row>
    <row r="253" spans="1:45" ht="12.75" customHeight="1">
      <c r="A253" s="77" t="s">
        <v>2374</v>
      </c>
      <c r="B253" s="6" t="s">
        <v>396</v>
      </c>
      <c r="C253" s="31" t="s">
        <v>403</v>
      </c>
      <c r="D253" s="6" t="s">
        <v>2373</v>
      </c>
      <c r="E253" s="77" t="s">
        <v>2373</v>
      </c>
      <c r="F253" s="31" t="s">
        <v>2341</v>
      </c>
      <c r="G253" s="31" t="s">
        <v>2340</v>
      </c>
      <c r="H253" s="67" t="s">
        <v>396</v>
      </c>
      <c r="I253" s="67" t="s">
        <v>396</v>
      </c>
      <c r="J253" s="77" t="s">
        <v>2372</v>
      </c>
      <c r="K253" s="77" t="s">
        <v>2372</v>
      </c>
      <c r="L253" s="27" t="s">
        <v>2068</v>
      </c>
      <c r="M253" s="10" t="s">
        <v>2338</v>
      </c>
      <c r="N253" s="31" t="s">
        <v>2337</v>
      </c>
      <c r="O253" s="31" t="s">
        <v>2336</v>
      </c>
      <c r="P253" s="77" t="s">
        <v>2371</v>
      </c>
      <c r="Q253" s="71" t="s">
        <v>1215</v>
      </c>
      <c r="R253" s="56" t="s">
        <v>2370</v>
      </c>
      <c r="S253" s="5" t="s">
        <v>2242</v>
      </c>
      <c r="T253" s="76">
        <v>12.5</v>
      </c>
      <c r="U253" s="76">
        <v>500</v>
      </c>
      <c r="V253" s="76">
        <v>1500</v>
      </c>
      <c r="W253" s="67" t="s">
        <v>396</v>
      </c>
      <c r="X253" s="67">
        <v>25</v>
      </c>
      <c r="Y253" s="53">
        <v>30.1</v>
      </c>
      <c r="Z253" s="75">
        <v>0.35</v>
      </c>
      <c r="AA253" s="84" t="s">
        <v>396</v>
      </c>
      <c r="AB253" s="31" t="s">
        <v>2222</v>
      </c>
      <c r="AC253" s="67" t="s">
        <v>396</v>
      </c>
      <c r="AD253" s="67" t="s">
        <v>396</v>
      </c>
      <c r="AE253" s="56"/>
      <c r="AF253" s="67" t="s">
        <v>399</v>
      </c>
      <c r="AG253" s="56"/>
      <c r="AH253" s="10">
        <v>1.5E-3</v>
      </c>
      <c r="AI253" s="31" t="s">
        <v>2334</v>
      </c>
      <c r="AJ253" s="31" t="s">
        <v>2333</v>
      </c>
      <c r="AK253" s="10" t="s">
        <v>643</v>
      </c>
      <c r="AL253" s="17">
        <v>8711149000388</v>
      </c>
      <c r="AM253" s="15" t="s">
        <v>643</v>
      </c>
      <c r="AN253" s="5">
        <v>68091100</v>
      </c>
      <c r="AO253" s="6" t="s">
        <v>2369</v>
      </c>
      <c r="AP253" s="6" t="s">
        <v>2368</v>
      </c>
      <c r="AQ253" s="6" t="s">
        <v>2367</v>
      </c>
      <c r="AR253" s="6" t="s">
        <v>2366</v>
      </c>
      <c r="AS253" s="6" t="s">
        <v>2365</v>
      </c>
    </row>
    <row r="254" spans="1:45" ht="12.75" customHeight="1">
      <c r="A254" s="77" t="s">
        <v>2364</v>
      </c>
      <c r="B254" s="6" t="s">
        <v>396</v>
      </c>
      <c r="C254" s="31" t="s">
        <v>403</v>
      </c>
      <c r="D254" s="5" t="s">
        <v>2363</v>
      </c>
      <c r="E254" s="77" t="s">
        <v>2363</v>
      </c>
      <c r="F254" s="31" t="s">
        <v>2341</v>
      </c>
      <c r="G254" s="31" t="s">
        <v>2340</v>
      </c>
      <c r="H254" s="67" t="s">
        <v>396</v>
      </c>
      <c r="I254" s="67" t="s">
        <v>396</v>
      </c>
      <c r="J254" s="77" t="s">
        <v>2362</v>
      </c>
      <c r="K254" s="77" t="s">
        <v>2362</v>
      </c>
      <c r="L254" s="27" t="s">
        <v>2068</v>
      </c>
      <c r="M254" s="10" t="s">
        <v>2338</v>
      </c>
      <c r="N254" s="31" t="s">
        <v>2337</v>
      </c>
      <c r="O254" s="31" t="s">
        <v>2336</v>
      </c>
      <c r="P254" s="86" t="s">
        <v>562</v>
      </c>
      <c r="Q254" s="85" t="s">
        <v>2308</v>
      </c>
      <c r="R254" s="56"/>
      <c r="S254" s="5" t="s">
        <v>2242</v>
      </c>
      <c r="T254" s="76">
        <v>10</v>
      </c>
      <c r="U254" s="76">
        <v>500</v>
      </c>
      <c r="V254" s="76">
        <v>1500</v>
      </c>
      <c r="W254" s="10">
        <v>10</v>
      </c>
      <c r="X254" s="10">
        <v>30</v>
      </c>
      <c r="Y254" s="53">
        <v>25.7</v>
      </c>
      <c r="Z254" s="75">
        <v>0.35</v>
      </c>
      <c r="AA254" s="84">
        <v>3.5000000000000003E-2</v>
      </c>
      <c r="AB254" s="31" t="s">
        <v>2222</v>
      </c>
      <c r="AC254" s="67" t="s">
        <v>396</v>
      </c>
      <c r="AD254" s="67" t="s">
        <v>396</v>
      </c>
      <c r="AE254" s="56"/>
      <c r="AF254" s="36"/>
      <c r="AG254" s="56"/>
      <c r="AH254" s="10">
        <v>1.5E-3</v>
      </c>
      <c r="AI254" s="31" t="s">
        <v>2334</v>
      </c>
      <c r="AJ254" s="31" t="s">
        <v>2333</v>
      </c>
      <c r="AK254" s="10" t="s">
        <v>643</v>
      </c>
      <c r="AL254" s="17">
        <v>3496250137677</v>
      </c>
      <c r="AM254" s="15" t="s">
        <v>643</v>
      </c>
      <c r="AN254" s="5">
        <v>68091100</v>
      </c>
      <c r="AO254" s="6" t="s">
        <v>2332</v>
      </c>
      <c r="AP254" s="6" t="s">
        <v>2331</v>
      </c>
      <c r="AQ254" s="6" t="s">
        <v>2361</v>
      </c>
      <c r="AR254" s="6" t="s">
        <v>2360</v>
      </c>
      <c r="AS254" s="6" t="s">
        <v>2359</v>
      </c>
    </row>
    <row r="255" spans="1:45" ht="12.75" customHeight="1">
      <c r="A255" s="77" t="s">
        <v>2358</v>
      </c>
      <c r="B255" s="6" t="s">
        <v>396</v>
      </c>
      <c r="C255" s="31" t="s">
        <v>403</v>
      </c>
      <c r="D255" s="5" t="s">
        <v>2357</v>
      </c>
      <c r="E255" s="77" t="s">
        <v>2357</v>
      </c>
      <c r="F255" s="31" t="s">
        <v>2341</v>
      </c>
      <c r="G255" s="31" t="s">
        <v>2340</v>
      </c>
      <c r="H255" s="67" t="s">
        <v>396</v>
      </c>
      <c r="I255" s="67" t="s">
        <v>396</v>
      </c>
      <c r="J255" s="77" t="s">
        <v>2356</v>
      </c>
      <c r="K255" s="77" t="s">
        <v>2356</v>
      </c>
      <c r="L255" s="27" t="s">
        <v>2068</v>
      </c>
      <c r="M255" s="10" t="s">
        <v>2338</v>
      </c>
      <c r="N255" s="31" t="s">
        <v>2337</v>
      </c>
      <c r="O255" s="31" t="s">
        <v>2336</v>
      </c>
      <c r="P255" s="86" t="s">
        <v>2335</v>
      </c>
      <c r="Q255" s="85" t="s">
        <v>2308</v>
      </c>
      <c r="R255" s="56"/>
      <c r="S255" s="5" t="s">
        <v>2242</v>
      </c>
      <c r="T255" s="76">
        <v>10</v>
      </c>
      <c r="U255" s="76">
        <v>500</v>
      </c>
      <c r="V255" s="76">
        <v>1500</v>
      </c>
      <c r="W255" s="10">
        <v>10</v>
      </c>
      <c r="X255" s="10">
        <v>30</v>
      </c>
      <c r="Y255" s="53">
        <v>26.1</v>
      </c>
      <c r="Z255" s="75">
        <v>0.35</v>
      </c>
      <c r="AA255" s="84">
        <v>0.04</v>
      </c>
      <c r="AB255" s="31" t="s">
        <v>2222</v>
      </c>
      <c r="AC255" s="67" t="s">
        <v>396</v>
      </c>
      <c r="AD255" s="67" t="s">
        <v>396</v>
      </c>
      <c r="AE255" s="56"/>
      <c r="AF255" s="36"/>
      <c r="AG255" s="56"/>
      <c r="AH255" s="10">
        <v>1.5E-3</v>
      </c>
      <c r="AI255" s="31" t="s">
        <v>2334</v>
      </c>
      <c r="AJ255" s="31" t="s">
        <v>2333</v>
      </c>
      <c r="AK255" s="10" t="s">
        <v>643</v>
      </c>
      <c r="AL255" s="17">
        <v>5413218566766</v>
      </c>
      <c r="AM255" s="15" t="s">
        <v>643</v>
      </c>
      <c r="AN255" s="5">
        <v>68091100</v>
      </c>
      <c r="AO255" s="6" t="s">
        <v>2332</v>
      </c>
      <c r="AP255" s="6" t="s">
        <v>2331</v>
      </c>
      <c r="AQ255" s="6" t="s">
        <v>2355</v>
      </c>
      <c r="AR255" s="6" t="s">
        <v>2354</v>
      </c>
      <c r="AS255" s="6" t="s">
        <v>2353</v>
      </c>
    </row>
    <row r="256" spans="1:45" ht="12.75" customHeight="1">
      <c r="A256" s="77" t="s">
        <v>2352</v>
      </c>
      <c r="B256" s="6" t="s">
        <v>396</v>
      </c>
      <c r="C256" s="31" t="s">
        <v>403</v>
      </c>
      <c r="D256" s="6" t="s">
        <v>2351</v>
      </c>
      <c r="E256" s="77" t="s">
        <v>2351</v>
      </c>
      <c r="F256" s="31" t="s">
        <v>2341</v>
      </c>
      <c r="G256" s="31" t="s">
        <v>2340</v>
      </c>
      <c r="H256" s="67" t="s">
        <v>396</v>
      </c>
      <c r="I256" s="67" t="s">
        <v>396</v>
      </c>
      <c r="J256" s="77" t="s">
        <v>2350</v>
      </c>
      <c r="K256" s="77" t="s">
        <v>2350</v>
      </c>
      <c r="L256" s="27" t="s">
        <v>2068</v>
      </c>
      <c r="M256" s="10" t="s">
        <v>2338</v>
      </c>
      <c r="N256" s="31" t="s">
        <v>2337</v>
      </c>
      <c r="O256" s="31" t="s">
        <v>2336</v>
      </c>
      <c r="P256" s="86" t="s">
        <v>562</v>
      </c>
      <c r="Q256" s="85" t="s">
        <v>2308</v>
      </c>
      <c r="R256" s="56" t="s">
        <v>2349</v>
      </c>
      <c r="S256" s="5" t="s">
        <v>2242</v>
      </c>
      <c r="T256" s="76">
        <v>12.5</v>
      </c>
      <c r="U256" s="76">
        <v>500</v>
      </c>
      <c r="V256" s="76">
        <v>1500</v>
      </c>
      <c r="W256" s="10">
        <v>10</v>
      </c>
      <c r="X256" s="10">
        <v>35</v>
      </c>
      <c r="Y256" s="53">
        <v>31.7</v>
      </c>
      <c r="Z256" s="75">
        <v>0.35</v>
      </c>
      <c r="AA256" s="84">
        <v>3.5000000000000003E-2</v>
      </c>
      <c r="AB256" s="31" t="s">
        <v>2222</v>
      </c>
      <c r="AC256" s="67" t="s">
        <v>396</v>
      </c>
      <c r="AD256" s="67" t="s">
        <v>396</v>
      </c>
      <c r="AE256" s="56"/>
      <c r="AF256" s="36"/>
      <c r="AG256" s="56"/>
      <c r="AH256" s="10">
        <v>1.5E-3</v>
      </c>
      <c r="AI256" s="31" t="s">
        <v>2334</v>
      </c>
      <c r="AJ256" s="31" t="s">
        <v>2333</v>
      </c>
      <c r="AK256" s="10" t="s">
        <v>643</v>
      </c>
      <c r="AL256" s="17">
        <v>5413218566773</v>
      </c>
      <c r="AM256" s="15" t="s">
        <v>643</v>
      </c>
      <c r="AN256" s="5">
        <v>68091100</v>
      </c>
      <c r="AO256" s="6" t="s">
        <v>2348</v>
      </c>
      <c r="AP256" s="6" t="s">
        <v>2347</v>
      </c>
      <c r="AQ256" s="6" t="s">
        <v>2346</v>
      </c>
      <c r="AR256" s="6" t="s">
        <v>2345</v>
      </c>
      <c r="AS256" s="6" t="s">
        <v>2344</v>
      </c>
    </row>
    <row r="257" spans="1:45" ht="12.75" customHeight="1">
      <c r="A257" s="77" t="s">
        <v>2343</v>
      </c>
      <c r="B257" s="6" t="s">
        <v>396</v>
      </c>
      <c r="C257" s="31" t="s">
        <v>403</v>
      </c>
      <c r="D257" s="5" t="s">
        <v>2342</v>
      </c>
      <c r="E257" s="77" t="s">
        <v>2342</v>
      </c>
      <c r="F257" s="31" t="s">
        <v>2341</v>
      </c>
      <c r="G257" s="31" t="s">
        <v>2340</v>
      </c>
      <c r="H257" s="67" t="s">
        <v>396</v>
      </c>
      <c r="I257" s="67" t="s">
        <v>396</v>
      </c>
      <c r="J257" s="77" t="s">
        <v>2339</v>
      </c>
      <c r="K257" s="77" t="s">
        <v>2339</v>
      </c>
      <c r="L257" s="27" t="s">
        <v>2068</v>
      </c>
      <c r="M257" s="10" t="s">
        <v>2338</v>
      </c>
      <c r="N257" s="31" t="s">
        <v>2337</v>
      </c>
      <c r="O257" s="31" t="s">
        <v>2336</v>
      </c>
      <c r="P257" s="86" t="s">
        <v>2335</v>
      </c>
      <c r="Q257" s="85" t="s">
        <v>2308</v>
      </c>
      <c r="R257" s="56"/>
      <c r="S257" s="5" t="s">
        <v>2242</v>
      </c>
      <c r="T257" s="76">
        <v>10</v>
      </c>
      <c r="U257" s="76">
        <v>500</v>
      </c>
      <c r="V257" s="76">
        <v>1500</v>
      </c>
      <c r="W257" s="10">
        <v>20</v>
      </c>
      <c r="X257" s="10">
        <v>40</v>
      </c>
      <c r="Y257" s="53">
        <v>24.5</v>
      </c>
      <c r="Z257" s="75">
        <v>0.35</v>
      </c>
      <c r="AA257" s="84">
        <v>0.04</v>
      </c>
      <c r="AB257" s="31" t="s">
        <v>2222</v>
      </c>
      <c r="AC257" s="67" t="s">
        <v>396</v>
      </c>
      <c r="AD257" s="67" t="s">
        <v>396</v>
      </c>
      <c r="AE257" s="56"/>
      <c r="AF257" s="36"/>
      <c r="AG257" s="56"/>
      <c r="AH257" s="10">
        <v>1.5E-3</v>
      </c>
      <c r="AI257" s="31" t="s">
        <v>2334</v>
      </c>
      <c r="AJ257" s="31" t="s">
        <v>2333</v>
      </c>
      <c r="AK257" s="10" t="s">
        <v>643</v>
      </c>
      <c r="AL257" s="17">
        <v>4002806453239</v>
      </c>
      <c r="AM257" s="15" t="s">
        <v>643</v>
      </c>
      <c r="AN257" s="5">
        <v>68091100</v>
      </c>
      <c r="AO257" s="6" t="s">
        <v>2332</v>
      </c>
      <c r="AP257" s="6" t="s">
        <v>2331</v>
      </c>
      <c r="AQ257" s="6" t="s">
        <v>2330</v>
      </c>
      <c r="AR257" s="6" t="s">
        <v>2329</v>
      </c>
      <c r="AS257" s="6" t="s">
        <v>2328</v>
      </c>
    </row>
    <row r="258" spans="1:45" s="5" customFormat="1" ht="12.75" customHeight="1">
      <c r="A258" s="33" t="s">
        <v>2327</v>
      </c>
      <c r="B258" s="6" t="s">
        <v>396</v>
      </c>
      <c r="C258" s="31" t="s">
        <v>403</v>
      </c>
      <c r="D258" s="5" t="s">
        <v>2326</v>
      </c>
      <c r="E258" s="6" t="s">
        <v>2325</v>
      </c>
      <c r="F258" s="6" t="s">
        <v>396</v>
      </c>
      <c r="G258" s="6" t="s">
        <v>396</v>
      </c>
      <c r="H258" s="38"/>
      <c r="I258" s="38"/>
      <c r="J258" s="6" t="s">
        <v>2324</v>
      </c>
      <c r="K258" s="6" t="s">
        <v>2323</v>
      </c>
      <c r="L258" s="27" t="s">
        <v>399</v>
      </c>
      <c r="M258" s="27" t="s">
        <v>396</v>
      </c>
      <c r="N258" s="27" t="s">
        <v>396</v>
      </c>
      <c r="O258" s="27" t="s">
        <v>396</v>
      </c>
      <c r="P258" s="36"/>
      <c r="Q258" s="36"/>
      <c r="R258" s="6"/>
      <c r="S258" s="27" t="s">
        <v>396</v>
      </c>
      <c r="T258" s="27" t="s">
        <v>396</v>
      </c>
      <c r="U258" s="27" t="s">
        <v>396</v>
      </c>
      <c r="V258" s="27" t="s">
        <v>396</v>
      </c>
      <c r="W258" s="27" t="s">
        <v>396</v>
      </c>
      <c r="X258" s="27" t="s">
        <v>396</v>
      </c>
      <c r="Y258" s="27" t="s">
        <v>396</v>
      </c>
      <c r="Z258" s="34"/>
      <c r="AA258" s="27" t="s">
        <v>396</v>
      </c>
      <c r="AB258" s="27" t="s">
        <v>396</v>
      </c>
      <c r="AC258" s="27" t="s">
        <v>396</v>
      </c>
      <c r="AD258" s="27" t="s">
        <v>396</v>
      </c>
      <c r="AE258" s="27" t="s">
        <v>396</v>
      </c>
      <c r="AF258" s="27" t="s">
        <v>396</v>
      </c>
      <c r="AG258" s="27" t="s">
        <v>396</v>
      </c>
      <c r="AH258" s="27" t="s">
        <v>396</v>
      </c>
      <c r="AI258" s="27" t="s">
        <v>396</v>
      </c>
      <c r="AJ258" s="27" t="s">
        <v>396</v>
      </c>
      <c r="AK258" s="6" t="s">
        <v>395</v>
      </c>
      <c r="AL258" s="17">
        <v>5413218566780</v>
      </c>
      <c r="AM258" s="15" t="s">
        <v>395</v>
      </c>
      <c r="AN258" s="5">
        <v>39051900</v>
      </c>
      <c r="AO258" s="6"/>
      <c r="AP258" s="6"/>
      <c r="AQ258" s="6" t="s">
        <v>2322</v>
      </c>
      <c r="AR258" s="6" t="s">
        <v>2321</v>
      </c>
      <c r="AS258" s="6" t="s">
        <v>2320</v>
      </c>
    </row>
    <row r="259" spans="1:45" s="5" customFormat="1" ht="12.75" customHeight="1">
      <c r="A259" s="32" t="s">
        <v>2319</v>
      </c>
      <c r="B259" s="6" t="s">
        <v>396</v>
      </c>
      <c r="C259" s="31" t="s">
        <v>403</v>
      </c>
      <c r="D259" s="5" t="s">
        <v>2318</v>
      </c>
      <c r="E259" s="6" t="s">
        <v>2317</v>
      </c>
      <c r="F259" s="6" t="s">
        <v>396</v>
      </c>
      <c r="G259" s="6" t="s">
        <v>396</v>
      </c>
      <c r="H259" s="38"/>
      <c r="I259" s="38"/>
      <c r="J259" s="6" t="s">
        <v>2316</v>
      </c>
      <c r="K259" s="6" t="s">
        <v>2315</v>
      </c>
      <c r="L259" s="27" t="s">
        <v>399</v>
      </c>
      <c r="M259" s="27" t="s">
        <v>396</v>
      </c>
      <c r="N259" s="27" t="s">
        <v>396</v>
      </c>
      <c r="O259" s="27" t="s">
        <v>396</v>
      </c>
      <c r="P259" s="36"/>
      <c r="Q259" s="36"/>
      <c r="R259" s="6"/>
      <c r="S259" s="27" t="s">
        <v>396</v>
      </c>
      <c r="T259" s="27" t="s">
        <v>396</v>
      </c>
      <c r="U259" s="27" t="s">
        <v>396</v>
      </c>
      <c r="V259" s="27" t="s">
        <v>396</v>
      </c>
      <c r="W259" s="27" t="s">
        <v>396</v>
      </c>
      <c r="X259" s="27" t="s">
        <v>396</v>
      </c>
      <c r="Y259" s="27" t="s">
        <v>396</v>
      </c>
      <c r="Z259" s="34"/>
      <c r="AA259" s="27" t="s">
        <v>396</v>
      </c>
      <c r="AB259" s="27" t="s">
        <v>396</v>
      </c>
      <c r="AC259" s="27" t="s">
        <v>396</v>
      </c>
      <c r="AD259" s="27" t="s">
        <v>396</v>
      </c>
      <c r="AE259" s="27" t="s">
        <v>396</v>
      </c>
      <c r="AF259" s="27" t="s">
        <v>396</v>
      </c>
      <c r="AG259" s="27" t="s">
        <v>396</v>
      </c>
      <c r="AH259" s="27" t="s">
        <v>396</v>
      </c>
      <c r="AI259" s="27" t="s">
        <v>396</v>
      </c>
      <c r="AJ259" s="27" t="s">
        <v>396</v>
      </c>
      <c r="AK259" s="6" t="s">
        <v>395</v>
      </c>
      <c r="AL259" s="17">
        <v>5413218566797</v>
      </c>
      <c r="AM259" s="15" t="s">
        <v>395</v>
      </c>
      <c r="AN259" s="5">
        <v>35069100</v>
      </c>
      <c r="AO259" s="6"/>
      <c r="AP259" s="6"/>
      <c r="AQ259" s="6"/>
      <c r="AR259" s="6"/>
      <c r="AS259" s="6" t="s">
        <v>2314</v>
      </c>
    </row>
    <row r="260" spans="1:45" s="5" customFormat="1" ht="12.75" customHeight="1">
      <c r="A260" s="32" t="s">
        <v>2313</v>
      </c>
      <c r="B260" s="6" t="s">
        <v>396</v>
      </c>
      <c r="C260" s="31" t="s">
        <v>403</v>
      </c>
      <c r="D260" s="5" t="s">
        <v>2312</v>
      </c>
      <c r="E260" s="6" t="s">
        <v>2311</v>
      </c>
      <c r="F260" s="6" t="s">
        <v>396</v>
      </c>
      <c r="G260" s="6" t="s">
        <v>396</v>
      </c>
      <c r="H260" s="27" t="s">
        <v>396</v>
      </c>
      <c r="I260" s="27" t="s">
        <v>396</v>
      </c>
      <c r="J260" s="6" t="s">
        <v>2310</v>
      </c>
      <c r="K260" s="6" t="s">
        <v>2309</v>
      </c>
      <c r="L260" s="27" t="s">
        <v>399</v>
      </c>
      <c r="M260" s="27" t="s">
        <v>396</v>
      </c>
      <c r="N260" s="27" t="s">
        <v>396</v>
      </c>
      <c r="O260" s="27" t="s">
        <v>396</v>
      </c>
      <c r="P260" s="38" t="s">
        <v>479</v>
      </c>
      <c r="Q260" s="38" t="s">
        <v>2308</v>
      </c>
      <c r="R260" s="6"/>
      <c r="S260" s="27" t="s">
        <v>396</v>
      </c>
      <c r="T260" s="30" t="s">
        <v>396</v>
      </c>
      <c r="U260" s="27" t="s">
        <v>396</v>
      </c>
      <c r="V260" s="29" t="s">
        <v>396</v>
      </c>
      <c r="W260" s="27" t="s">
        <v>396</v>
      </c>
      <c r="X260" s="27" t="s">
        <v>396</v>
      </c>
      <c r="Y260" s="27" t="s">
        <v>396</v>
      </c>
      <c r="Z260" s="39">
        <v>0.16</v>
      </c>
      <c r="AA260" s="27" t="s">
        <v>396</v>
      </c>
      <c r="AB260" s="27" t="s">
        <v>396</v>
      </c>
      <c r="AC260" s="27" t="s">
        <v>396</v>
      </c>
      <c r="AD260" s="27" t="s">
        <v>396</v>
      </c>
      <c r="AE260" s="27" t="s">
        <v>396</v>
      </c>
      <c r="AF260" s="27" t="s">
        <v>396</v>
      </c>
      <c r="AG260" s="27" t="s">
        <v>396</v>
      </c>
      <c r="AH260" s="27" t="s">
        <v>396</v>
      </c>
      <c r="AI260" s="27" t="s">
        <v>396</v>
      </c>
      <c r="AJ260" s="27" t="s">
        <v>396</v>
      </c>
      <c r="AK260" s="6" t="s">
        <v>395</v>
      </c>
      <c r="AL260" s="17">
        <v>5413218575416</v>
      </c>
      <c r="AM260" s="15" t="s">
        <v>395</v>
      </c>
      <c r="AN260" s="5">
        <v>68159990</v>
      </c>
      <c r="AO260" s="6"/>
      <c r="AP260" s="6"/>
      <c r="AQ260" s="6" t="s">
        <v>2307</v>
      </c>
      <c r="AR260" s="6" t="s">
        <v>2306</v>
      </c>
      <c r="AS260" s="6" t="s">
        <v>2305</v>
      </c>
    </row>
    <row r="261" spans="1:45" s="16" customFormat="1" ht="12.75" customHeight="1">
      <c r="A261" s="46" t="s">
        <v>2304</v>
      </c>
      <c r="B261" s="18" t="s">
        <v>396</v>
      </c>
      <c r="C261" s="18" t="s">
        <v>403</v>
      </c>
      <c r="D261" s="16" t="s">
        <v>2301</v>
      </c>
      <c r="E261" s="18" t="s">
        <v>2300</v>
      </c>
      <c r="F261" s="18" t="s">
        <v>396</v>
      </c>
      <c r="G261" s="18" t="s">
        <v>396</v>
      </c>
      <c r="H261" s="19" t="s">
        <v>396</v>
      </c>
      <c r="I261" s="19" t="s">
        <v>396</v>
      </c>
      <c r="J261" s="18" t="s">
        <v>2299</v>
      </c>
      <c r="K261" s="18" t="s">
        <v>2298</v>
      </c>
      <c r="L261" s="16" t="s">
        <v>2297</v>
      </c>
      <c r="M261" s="19"/>
      <c r="N261" s="19"/>
      <c r="O261" s="19"/>
      <c r="P261" s="19" t="s">
        <v>479</v>
      </c>
      <c r="Q261" s="83" t="s">
        <v>1215</v>
      </c>
      <c r="R261" s="18"/>
      <c r="S261" s="19" t="s">
        <v>396</v>
      </c>
      <c r="T261" s="82">
        <v>10</v>
      </c>
      <c r="U261" s="82">
        <v>100</v>
      </c>
      <c r="V261" s="82">
        <v>1000</v>
      </c>
      <c r="W261" s="19" t="s">
        <v>396</v>
      </c>
      <c r="X261" s="19" t="s">
        <v>396</v>
      </c>
      <c r="Y261" s="19" t="s">
        <v>396</v>
      </c>
      <c r="Z261" s="81">
        <v>3.6999999999999998E-2</v>
      </c>
      <c r="AA261" s="16" t="s">
        <v>396</v>
      </c>
      <c r="AB261" s="19" t="s">
        <v>396</v>
      </c>
      <c r="AC261" s="19" t="s">
        <v>396</v>
      </c>
      <c r="AD261" s="19" t="s">
        <v>396</v>
      </c>
      <c r="AE261" s="19" t="s">
        <v>396</v>
      </c>
      <c r="AF261" s="19" t="s">
        <v>396</v>
      </c>
      <c r="AG261" s="19" t="s">
        <v>396</v>
      </c>
      <c r="AH261" s="19" t="s">
        <v>396</v>
      </c>
      <c r="AI261" s="19" t="s">
        <v>396</v>
      </c>
      <c r="AJ261" s="19" t="s">
        <v>396</v>
      </c>
      <c r="AK261" s="18" t="s">
        <v>395</v>
      </c>
      <c r="AL261" s="15">
        <v>5413218566834</v>
      </c>
      <c r="AM261" s="15" t="s">
        <v>395</v>
      </c>
      <c r="AN261" s="5"/>
      <c r="AO261" s="6"/>
      <c r="AP261" s="6"/>
      <c r="AQ261" s="6"/>
      <c r="AR261" s="6"/>
      <c r="AS261" s="6" t="s">
        <v>2303</v>
      </c>
    </row>
    <row r="262" spans="1:45" s="16" customFormat="1" ht="12.75" customHeight="1">
      <c r="A262" s="46" t="s">
        <v>2302</v>
      </c>
      <c r="B262" s="18" t="s">
        <v>396</v>
      </c>
      <c r="C262" s="18" t="s">
        <v>403</v>
      </c>
      <c r="D262" s="16" t="s">
        <v>2301</v>
      </c>
      <c r="E262" s="18" t="s">
        <v>2300</v>
      </c>
      <c r="F262" s="18" t="s">
        <v>396</v>
      </c>
      <c r="G262" s="18" t="s">
        <v>396</v>
      </c>
      <c r="H262" s="19" t="s">
        <v>396</v>
      </c>
      <c r="I262" s="19" t="s">
        <v>396</v>
      </c>
      <c r="J262" s="18" t="s">
        <v>2299</v>
      </c>
      <c r="K262" s="18" t="s">
        <v>2298</v>
      </c>
      <c r="L262" s="16" t="s">
        <v>2297</v>
      </c>
      <c r="M262" s="19"/>
      <c r="N262" s="19"/>
      <c r="O262" s="19"/>
      <c r="P262" s="19" t="s">
        <v>479</v>
      </c>
      <c r="Q262" s="83" t="s">
        <v>1215</v>
      </c>
      <c r="R262" s="18"/>
      <c r="S262" s="19" t="s">
        <v>396</v>
      </c>
      <c r="T262" s="82">
        <v>10</v>
      </c>
      <c r="U262" s="82">
        <v>30</v>
      </c>
      <c r="V262" s="82">
        <v>500</v>
      </c>
      <c r="W262" s="19" t="s">
        <v>396</v>
      </c>
      <c r="X262" s="19" t="s">
        <v>396</v>
      </c>
      <c r="Y262" s="19" t="s">
        <v>396</v>
      </c>
      <c r="Z262" s="81">
        <v>3.6999999999999998E-2</v>
      </c>
      <c r="AA262" s="16" t="s">
        <v>396</v>
      </c>
      <c r="AB262" s="19" t="s">
        <v>396</v>
      </c>
      <c r="AC262" s="19" t="s">
        <v>396</v>
      </c>
      <c r="AD262" s="19" t="s">
        <v>396</v>
      </c>
      <c r="AE262" s="19" t="s">
        <v>396</v>
      </c>
      <c r="AF262" s="19" t="s">
        <v>396</v>
      </c>
      <c r="AG262" s="19" t="s">
        <v>396</v>
      </c>
      <c r="AH262" s="19" t="s">
        <v>396</v>
      </c>
      <c r="AI262" s="19" t="s">
        <v>396</v>
      </c>
      <c r="AJ262" s="19" t="s">
        <v>396</v>
      </c>
      <c r="AK262" s="18" t="s">
        <v>395</v>
      </c>
      <c r="AL262" s="15">
        <v>5413218566834</v>
      </c>
      <c r="AM262" s="15" t="s">
        <v>395</v>
      </c>
      <c r="AN262" s="5"/>
      <c r="AO262" s="6"/>
      <c r="AP262" s="6"/>
      <c r="AQ262" s="6"/>
      <c r="AR262" s="6"/>
      <c r="AS262" s="6" t="s">
        <v>2296</v>
      </c>
    </row>
    <row r="263" spans="1:45" s="5" customFormat="1" ht="12.75" customHeight="1">
      <c r="A263" s="6" t="s">
        <v>2295</v>
      </c>
      <c r="B263" s="6" t="s">
        <v>396</v>
      </c>
      <c r="C263" s="6" t="s">
        <v>403</v>
      </c>
      <c r="D263" s="5" t="s">
        <v>2290</v>
      </c>
      <c r="E263" s="5" t="s">
        <v>2290</v>
      </c>
      <c r="F263" s="6" t="s">
        <v>2292</v>
      </c>
      <c r="G263" s="6" t="s">
        <v>2291</v>
      </c>
      <c r="H263" s="27" t="s">
        <v>396</v>
      </c>
      <c r="I263" s="27" t="s">
        <v>396</v>
      </c>
      <c r="J263" s="5" t="s">
        <v>2290</v>
      </c>
      <c r="K263" s="5" t="s">
        <v>2290</v>
      </c>
      <c r="L263" s="5" t="s">
        <v>2247</v>
      </c>
      <c r="M263" s="5" t="s">
        <v>2246</v>
      </c>
      <c r="N263" s="5" t="s">
        <v>2245</v>
      </c>
      <c r="O263" s="5" t="s">
        <v>2244</v>
      </c>
      <c r="P263" s="78" t="s">
        <v>479</v>
      </c>
      <c r="Q263" s="78" t="s">
        <v>1215</v>
      </c>
      <c r="S263" s="5" t="s">
        <v>650</v>
      </c>
      <c r="T263" s="80">
        <v>12.5</v>
      </c>
      <c r="U263" s="80">
        <v>1200</v>
      </c>
      <c r="V263" s="80">
        <v>2600</v>
      </c>
      <c r="W263" s="27" t="s">
        <v>396</v>
      </c>
      <c r="X263" s="27" t="s">
        <v>396</v>
      </c>
      <c r="Y263" s="53">
        <v>10.5</v>
      </c>
      <c r="Z263" s="55">
        <v>0.1865</v>
      </c>
      <c r="AA263" s="27" t="s">
        <v>396</v>
      </c>
      <c r="AE263" s="5">
        <v>18.2</v>
      </c>
      <c r="AF263" s="27" t="s">
        <v>399</v>
      </c>
      <c r="AG263" s="79">
        <f t="shared" ref="AG263:AG273" si="4">AE263*T263/1000</f>
        <v>0.22750000000000001</v>
      </c>
      <c r="AK263" s="5" t="s">
        <v>643</v>
      </c>
      <c r="AL263" s="17">
        <v>5413218571784</v>
      </c>
      <c r="AM263" s="15" t="s">
        <v>643</v>
      </c>
      <c r="AN263" s="5">
        <v>68091100</v>
      </c>
      <c r="AO263" s="6" t="s">
        <v>2289</v>
      </c>
      <c r="AP263" s="6" t="s">
        <v>2288</v>
      </c>
      <c r="AQ263" s="6"/>
      <c r="AR263" s="6"/>
      <c r="AS263" s="6" t="s">
        <v>2294</v>
      </c>
    </row>
    <row r="264" spans="1:45" s="5" customFormat="1" ht="12.75" customHeight="1">
      <c r="A264" s="5" t="s">
        <v>2293</v>
      </c>
      <c r="B264" s="6" t="s">
        <v>396</v>
      </c>
      <c r="C264" s="6" t="s">
        <v>403</v>
      </c>
      <c r="D264" s="5" t="s">
        <v>2290</v>
      </c>
      <c r="E264" s="5" t="s">
        <v>2290</v>
      </c>
      <c r="F264" s="6" t="s">
        <v>2292</v>
      </c>
      <c r="G264" s="6" t="s">
        <v>2291</v>
      </c>
      <c r="H264" s="27" t="s">
        <v>396</v>
      </c>
      <c r="I264" s="27" t="s">
        <v>396</v>
      </c>
      <c r="J264" s="5" t="s">
        <v>2290</v>
      </c>
      <c r="K264" s="5" t="s">
        <v>2290</v>
      </c>
      <c r="L264" s="5" t="s">
        <v>2247</v>
      </c>
      <c r="M264" s="5" t="s">
        <v>2246</v>
      </c>
      <c r="N264" s="5" t="s">
        <v>2245</v>
      </c>
      <c r="O264" s="5" t="s">
        <v>2244</v>
      </c>
      <c r="P264" s="78" t="s">
        <v>479</v>
      </c>
      <c r="Q264" s="78" t="s">
        <v>1215</v>
      </c>
      <c r="S264" s="5" t="s">
        <v>650</v>
      </c>
      <c r="T264" s="80">
        <v>12.5</v>
      </c>
      <c r="U264" s="80">
        <v>1200</v>
      </c>
      <c r="V264" s="80">
        <v>3000</v>
      </c>
      <c r="W264" s="27" t="s">
        <v>396</v>
      </c>
      <c r="X264" s="27" t="s">
        <v>396</v>
      </c>
      <c r="Y264" s="53">
        <v>10.5</v>
      </c>
      <c r="Z264" s="55">
        <v>0.1865</v>
      </c>
      <c r="AA264" s="27" t="s">
        <v>396</v>
      </c>
      <c r="AE264" s="5">
        <v>18.2</v>
      </c>
      <c r="AF264" s="27" t="s">
        <v>399</v>
      </c>
      <c r="AG264" s="79">
        <f t="shared" si="4"/>
        <v>0.22750000000000001</v>
      </c>
      <c r="AK264" s="5" t="s">
        <v>643</v>
      </c>
      <c r="AL264" s="17">
        <v>5413218571807</v>
      </c>
      <c r="AM264" s="15" t="s">
        <v>643</v>
      </c>
      <c r="AN264" s="5">
        <v>68091100</v>
      </c>
      <c r="AO264" s="6" t="s">
        <v>2289</v>
      </c>
      <c r="AP264" s="6" t="s">
        <v>2288</v>
      </c>
      <c r="AQ264" s="6"/>
      <c r="AR264" s="6"/>
      <c r="AS264" s="6" t="s">
        <v>2287</v>
      </c>
    </row>
    <row r="265" spans="1:45" ht="12.75" customHeight="1">
      <c r="A265" s="78" t="s">
        <v>2286</v>
      </c>
      <c r="B265" s="6" t="s">
        <v>396</v>
      </c>
      <c r="C265" s="31" t="s">
        <v>403</v>
      </c>
      <c r="D265" s="5" t="s">
        <v>2248</v>
      </c>
      <c r="E265" s="77" t="s">
        <v>2248</v>
      </c>
      <c r="F265" s="31" t="s">
        <v>2264</v>
      </c>
      <c r="G265" s="31" t="s">
        <v>2263</v>
      </c>
      <c r="H265" s="67" t="s">
        <v>396</v>
      </c>
      <c r="I265" s="67" t="s">
        <v>396</v>
      </c>
      <c r="J265" s="77" t="s">
        <v>2248</v>
      </c>
      <c r="K265" s="77" t="s">
        <v>2248</v>
      </c>
      <c r="L265" s="10" t="s">
        <v>2247</v>
      </c>
      <c r="M265" s="10" t="s">
        <v>2246</v>
      </c>
      <c r="N265" s="10" t="s">
        <v>2245</v>
      </c>
      <c r="O265" s="10" t="s">
        <v>2244</v>
      </c>
      <c r="P265" s="31" t="s">
        <v>479</v>
      </c>
      <c r="Q265" s="71" t="s">
        <v>1215</v>
      </c>
      <c r="R265" s="56" t="s">
        <v>2243</v>
      </c>
      <c r="S265" s="5" t="s">
        <v>2242</v>
      </c>
      <c r="T265" s="76">
        <v>15</v>
      </c>
      <c r="U265" s="76">
        <v>1200</v>
      </c>
      <c r="V265" s="76">
        <v>2400</v>
      </c>
      <c r="W265" s="67" t="s">
        <v>396</v>
      </c>
      <c r="X265" s="67" t="s">
        <v>396</v>
      </c>
      <c r="Y265" s="53">
        <v>12.8</v>
      </c>
      <c r="Z265" s="75">
        <v>0.3</v>
      </c>
      <c r="AA265" s="67" t="s">
        <v>396</v>
      </c>
      <c r="AB265" s="31" t="s">
        <v>2222</v>
      </c>
      <c r="AC265" s="67" t="s">
        <v>396</v>
      </c>
      <c r="AD265" s="67" t="s">
        <v>396</v>
      </c>
      <c r="AE265" s="10">
        <v>10</v>
      </c>
      <c r="AF265" s="67" t="s">
        <v>399</v>
      </c>
      <c r="AG265" s="74">
        <f t="shared" si="4"/>
        <v>0.15</v>
      </c>
      <c r="AH265" s="56"/>
      <c r="AI265" s="56"/>
      <c r="AJ265" s="56"/>
      <c r="AK265" s="10" t="s">
        <v>643</v>
      </c>
      <c r="AL265" s="17">
        <v>5413218566841</v>
      </c>
      <c r="AM265" s="15" t="s">
        <v>643</v>
      </c>
      <c r="AN265" s="5">
        <v>68091100</v>
      </c>
      <c r="AO265" s="6" t="s">
        <v>2241</v>
      </c>
      <c r="AP265" s="6" t="s">
        <v>2240</v>
      </c>
      <c r="AQ265" s="6" t="s">
        <v>2285</v>
      </c>
      <c r="AR265" s="6" t="s">
        <v>2284</v>
      </c>
      <c r="AS265" s="6" t="s">
        <v>366</v>
      </c>
    </row>
    <row r="266" spans="1:45" ht="12.75" customHeight="1">
      <c r="A266" s="77" t="s">
        <v>2283</v>
      </c>
      <c r="B266" s="6" t="s">
        <v>396</v>
      </c>
      <c r="C266" s="31" t="s">
        <v>403</v>
      </c>
      <c r="D266" s="5" t="s">
        <v>2248</v>
      </c>
      <c r="E266" s="77" t="s">
        <v>2248</v>
      </c>
      <c r="F266" s="31" t="s">
        <v>2264</v>
      </c>
      <c r="G266" s="31" t="s">
        <v>2263</v>
      </c>
      <c r="H266" s="67" t="s">
        <v>396</v>
      </c>
      <c r="I266" s="67" t="s">
        <v>396</v>
      </c>
      <c r="J266" s="77" t="s">
        <v>2248</v>
      </c>
      <c r="K266" s="77" t="s">
        <v>2248</v>
      </c>
      <c r="L266" s="10" t="s">
        <v>2247</v>
      </c>
      <c r="M266" s="10" t="s">
        <v>2246</v>
      </c>
      <c r="N266" s="10" t="s">
        <v>2245</v>
      </c>
      <c r="O266" s="10" t="s">
        <v>2244</v>
      </c>
      <c r="P266" s="31" t="s">
        <v>479</v>
      </c>
      <c r="Q266" s="71" t="s">
        <v>1215</v>
      </c>
      <c r="R266" s="56" t="s">
        <v>2243</v>
      </c>
      <c r="S266" s="5" t="s">
        <v>2242</v>
      </c>
      <c r="T266" s="76">
        <v>15</v>
      </c>
      <c r="U266" s="76">
        <v>1200</v>
      </c>
      <c r="V266" s="76">
        <v>3000</v>
      </c>
      <c r="W266" s="67" t="s">
        <v>396</v>
      </c>
      <c r="X266" s="67" t="s">
        <v>396</v>
      </c>
      <c r="Y266" s="53">
        <v>12.8</v>
      </c>
      <c r="Z266" s="75">
        <v>0.3</v>
      </c>
      <c r="AA266" s="67" t="s">
        <v>396</v>
      </c>
      <c r="AB266" s="31" t="s">
        <v>2222</v>
      </c>
      <c r="AC266" s="67" t="s">
        <v>396</v>
      </c>
      <c r="AD266" s="67" t="s">
        <v>396</v>
      </c>
      <c r="AE266" s="10">
        <v>10</v>
      </c>
      <c r="AF266" s="67" t="s">
        <v>399</v>
      </c>
      <c r="AG266" s="74">
        <f t="shared" si="4"/>
        <v>0.15</v>
      </c>
      <c r="AH266" s="56"/>
      <c r="AI266" s="56"/>
      <c r="AJ266" s="56"/>
      <c r="AK266" s="10" t="s">
        <v>643</v>
      </c>
      <c r="AL266" s="17">
        <v>5413218566858</v>
      </c>
      <c r="AM266" s="15" t="s">
        <v>643</v>
      </c>
      <c r="AN266" s="5">
        <v>68091100</v>
      </c>
      <c r="AO266" s="6" t="s">
        <v>2241</v>
      </c>
      <c r="AP266" s="6" t="s">
        <v>2240</v>
      </c>
      <c r="AQ266" s="6" t="s">
        <v>2282</v>
      </c>
      <c r="AR266" s="6" t="s">
        <v>2281</v>
      </c>
      <c r="AS266" s="6" t="s">
        <v>366</v>
      </c>
    </row>
    <row r="267" spans="1:45" ht="12.75" customHeight="1">
      <c r="A267" s="77" t="s">
        <v>2280</v>
      </c>
      <c r="B267" s="6" t="s">
        <v>396</v>
      </c>
      <c r="C267" s="31" t="s">
        <v>403</v>
      </c>
      <c r="D267" s="5" t="s">
        <v>2248</v>
      </c>
      <c r="E267" s="77" t="s">
        <v>2248</v>
      </c>
      <c r="F267" s="31" t="s">
        <v>2264</v>
      </c>
      <c r="G267" s="31" t="s">
        <v>2263</v>
      </c>
      <c r="H267" s="67" t="s">
        <v>396</v>
      </c>
      <c r="I267" s="67" t="s">
        <v>396</v>
      </c>
      <c r="J267" s="77" t="s">
        <v>2248</v>
      </c>
      <c r="K267" s="77" t="s">
        <v>2248</v>
      </c>
      <c r="L267" s="10" t="s">
        <v>2247</v>
      </c>
      <c r="M267" s="10" t="s">
        <v>2246</v>
      </c>
      <c r="N267" s="10" t="s">
        <v>2245</v>
      </c>
      <c r="O267" s="10" t="s">
        <v>2244</v>
      </c>
      <c r="P267" s="31" t="s">
        <v>479</v>
      </c>
      <c r="Q267" s="71" t="s">
        <v>1215</v>
      </c>
      <c r="R267" s="56" t="s">
        <v>2276</v>
      </c>
      <c r="S267" s="5" t="s">
        <v>2242</v>
      </c>
      <c r="T267" s="76">
        <v>20</v>
      </c>
      <c r="U267" s="76">
        <v>1200</v>
      </c>
      <c r="V267" s="76">
        <v>2000</v>
      </c>
      <c r="W267" s="67" t="s">
        <v>396</v>
      </c>
      <c r="X267" s="67" t="s">
        <v>396</v>
      </c>
      <c r="Y267" s="53">
        <v>17.100000000000001</v>
      </c>
      <c r="Z267" s="75">
        <v>0.3</v>
      </c>
      <c r="AA267" s="67" t="s">
        <v>396</v>
      </c>
      <c r="AB267" s="31" t="s">
        <v>2222</v>
      </c>
      <c r="AC267" s="67" t="s">
        <v>396</v>
      </c>
      <c r="AD267" s="67" t="s">
        <v>396</v>
      </c>
      <c r="AE267" s="10">
        <v>10</v>
      </c>
      <c r="AF267" s="67" t="s">
        <v>399</v>
      </c>
      <c r="AG267" s="74">
        <f t="shared" si="4"/>
        <v>0.2</v>
      </c>
      <c r="AH267" s="56"/>
      <c r="AI267" s="56"/>
      <c r="AJ267" s="56"/>
      <c r="AK267" s="10" t="s">
        <v>643</v>
      </c>
      <c r="AL267" s="17">
        <v>5413218566865</v>
      </c>
      <c r="AM267" s="15" t="s">
        <v>643</v>
      </c>
      <c r="AN267" s="5">
        <v>68091100</v>
      </c>
      <c r="AO267" s="6" t="s">
        <v>2275</v>
      </c>
      <c r="AP267" s="6" t="s">
        <v>2274</v>
      </c>
      <c r="AQ267" s="6" t="s">
        <v>2279</v>
      </c>
      <c r="AR267" s="6" t="s">
        <v>2278</v>
      </c>
      <c r="AS267" s="6" t="s">
        <v>366</v>
      </c>
    </row>
    <row r="268" spans="1:45" ht="12.75" customHeight="1">
      <c r="A268" s="77" t="s">
        <v>2277</v>
      </c>
      <c r="B268" s="6" t="s">
        <v>396</v>
      </c>
      <c r="C268" s="31" t="s">
        <v>403</v>
      </c>
      <c r="D268" s="5" t="s">
        <v>2248</v>
      </c>
      <c r="E268" s="77" t="s">
        <v>2248</v>
      </c>
      <c r="F268" s="31" t="s">
        <v>2264</v>
      </c>
      <c r="G268" s="31" t="s">
        <v>2263</v>
      </c>
      <c r="H268" s="67" t="s">
        <v>396</v>
      </c>
      <c r="I268" s="67" t="s">
        <v>396</v>
      </c>
      <c r="J268" s="77" t="s">
        <v>2248</v>
      </c>
      <c r="K268" s="77" t="s">
        <v>2248</v>
      </c>
      <c r="L268" s="10" t="s">
        <v>2247</v>
      </c>
      <c r="M268" s="10" t="s">
        <v>2246</v>
      </c>
      <c r="N268" s="10" t="s">
        <v>2245</v>
      </c>
      <c r="O268" s="10" t="s">
        <v>2244</v>
      </c>
      <c r="P268" s="31" t="s">
        <v>479</v>
      </c>
      <c r="Q268" s="71" t="s">
        <v>1215</v>
      </c>
      <c r="R268" s="56" t="s">
        <v>2276</v>
      </c>
      <c r="S268" s="5" t="s">
        <v>2242</v>
      </c>
      <c r="T268" s="76">
        <v>20</v>
      </c>
      <c r="U268" s="76">
        <v>1200</v>
      </c>
      <c r="V268" s="76">
        <v>3000</v>
      </c>
      <c r="W268" s="67" t="s">
        <v>396</v>
      </c>
      <c r="X268" s="67" t="s">
        <v>396</v>
      </c>
      <c r="Y268" s="53">
        <v>17.100000000000001</v>
      </c>
      <c r="Z268" s="75">
        <v>0.3</v>
      </c>
      <c r="AA268" s="67" t="s">
        <v>396</v>
      </c>
      <c r="AB268" s="31" t="s">
        <v>2222</v>
      </c>
      <c r="AC268" s="67" t="s">
        <v>396</v>
      </c>
      <c r="AD268" s="67" t="s">
        <v>396</v>
      </c>
      <c r="AE268" s="10">
        <v>10</v>
      </c>
      <c r="AF268" s="67" t="s">
        <v>399</v>
      </c>
      <c r="AG268" s="74">
        <f t="shared" si="4"/>
        <v>0.2</v>
      </c>
      <c r="AH268" s="56"/>
      <c r="AI268" s="56"/>
      <c r="AJ268" s="56"/>
      <c r="AK268" s="10" t="s">
        <v>643</v>
      </c>
      <c r="AL268" s="17">
        <v>5413218566872</v>
      </c>
      <c r="AM268" s="15" t="s">
        <v>643</v>
      </c>
      <c r="AN268" s="5">
        <v>68091100</v>
      </c>
      <c r="AO268" s="6" t="s">
        <v>2275</v>
      </c>
      <c r="AP268" s="6" t="s">
        <v>2274</v>
      </c>
      <c r="AQ268" s="6" t="s">
        <v>2273</v>
      </c>
      <c r="AR268" s="6" t="s">
        <v>2272</v>
      </c>
      <c r="AS268" s="6" t="s">
        <v>366</v>
      </c>
    </row>
    <row r="269" spans="1:45" ht="12.75" customHeight="1">
      <c r="A269" s="77" t="s">
        <v>2271</v>
      </c>
      <c r="B269" s="6" t="s">
        <v>396</v>
      </c>
      <c r="C269" s="31" t="s">
        <v>403</v>
      </c>
      <c r="D269" s="5" t="s">
        <v>2248</v>
      </c>
      <c r="E269" s="77" t="s">
        <v>2248</v>
      </c>
      <c r="F269" s="31" t="s">
        <v>2264</v>
      </c>
      <c r="G269" s="31" t="s">
        <v>2263</v>
      </c>
      <c r="H269" s="67" t="s">
        <v>396</v>
      </c>
      <c r="I269" s="67" t="s">
        <v>396</v>
      </c>
      <c r="J269" s="77" t="s">
        <v>2248</v>
      </c>
      <c r="K269" s="77" t="s">
        <v>2248</v>
      </c>
      <c r="L269" s="10" t="s">
        <v>2247</v>
      </c>
      <c r="M269" s="10" t="s">
        <v>2246</v>
      </c>
      <c r="N269" s="10" t="s">
        <v>2245</v>
      </c>
      <c r="O269" s="10" t="s">
        <v>2244</v>
      </c>
      <c r="P269" s="31" t="s">
        <v>479</v>
      </c>
      <c r="Q269" s="71" t="s">
        <v>1215</v>
      </c>
      <c r="R269" s="56" t="s">
        <v>2270</v>
      </c>
      <c r="S269" s="5" t="s">
        <v>2242</v>
      </c>
      <c r="T269" s="76">
        <v>25</v>
      </c>
      <c r="U269" s="76">
        <v>1200</v>
      </c>
      <c r="V269" s="76">
        <v>2000</v>
      </c>
      <c r="W269" s="67" t="s">
        <v>396</v>
      </c>
      <c r="X269" s="67" t="s">
        <v>396</v>
      </c>
      <c r="Y269" s="53">
        <v>21.3</v>
      </c>
      <c r="Z269" s="75">
        <v>0.3</v>
      </c>
      <c r="AA269" s="67" t="s">
        <v>396</v>
      </c>
      <c r="AB269" s="31" t="s">
        <v>2222</v>
      </c>
      <c r="AC269" s="67" t="s">
        <v>396</v>
      </c>
      <c r="AD269" s="67" t="s">
        <v>396</v>
      </c>
      <c r="AE269" s="10">
        <v>10</v>
      </c>
      <c r="AF269" s="67" t="s">
        <v>399</v>
      </c>
      <c r="AG269" s="74">
        <f t="shared" si="4"/>
        <v>0.25</v>
      </c>
      <c r="AH269" s="56"/>
      <c r="AI269" s="56"/>
      <c r="AJ269" s="56"/>
      <c r="AK269" s="10" t="s">
        <v>643</v>
      </c>
      <c r="AL269" s="17">
        <v>5413218566889</v>
      </c>
      <c r="AM269" s="15" t="s">
        <v>643</v>
      </c>
      <c r="AN269" s="5">
        <v>68091100</v>
      </c>
      <c r="AO269" s="6" t="s">
        <v>2269</v>
      </c>
      <c r="AP269" s="6" t="s">
        <v>2268</v>
      </c>
      <c r="AQ269" s="6" t="s">
        <v>2267</v>
      </c>
      <c r="AR269" s="6" t="s">
        <v>2266</v>
      </c>
      <c r="AS269" s="6" t="s">
        <v>366</v>
      </c>
    </row>
    <row r="270" spans="1:45" ht="12.75" customHeight="1">
      <c r="A270" s="77" t="s">
        <v>2265</v>
      </c>
      <c r="B270" s="6" t="s">
        <v>396</v>
      </c>
      <c r="C270" s="31" t="s">
        <v>403</v>
      </c>
      <c r="D270" s="5" t="s">
        <v>2248</v>
      </c>
      <c r="E270" s="10" t="s">
        <v>2248</v>
      </c>
      <c r="F270" s="31" t="s">
        <v>2264</v>
      </c>
      <c r="G270" s="31" t="s">
        <v>2263</v>
      </c>
      <c r="H270" s="67" t="s">
        <v>396</v>
      </c>
      <c r="I270" s="67" t="s">
        <v>396</v>
      </c>
      <c r="J270" s="10" t="s">
        <v>2248</v>
      </c>
      <c r="K270" s="10" t="s">
        <v>2248</v>
      </c>
      <c r="L270" s="10" t="s">
        <v>2247</v>
      </c>
      <c r="M270" s="10" t="s">
        <v>2246</v>
      </c>
      <c r="N270" s="10" t="s">
        <v>2245</v>
      </c>
      <c r="O270" s="10" t="s">
        <v>2244</v>
      </c>
      <c r="P270" s="31" t="s">
        <v>479</v>
      </c>
      <c r="Q270" s="71" t="s">
        <v>1215</v>
      </c>
      <c r="R270" s="56" t="s">
        <v>2262</v>
      </c>
      <c r="S270" s="5" t="s">
        <v>2242</v>
      </c>
      <c r="T270" s="76">
        <v>30</v>
      </c>
      <c r="U270" s="76">
        <v>1200</v>
      </c>
      <c r="V270" s="76">
        <v>2000</v>
      </c>
      <c r="W270" s="67" t="s">
        <v>396</v>
      </c>
      <c r="X270" s="67" t="s">
        <v>396</v>
      </c>
      <c r="Y270" s="53">
        <v>25.4</v>
      </c>
      <c r="Z270" s="75">
        <v>0.3</v>
      </c>
      <c r="AA270" s="67" t="s">
        <v>396</v>
      </c>
      <c r="AB270" s="31" t="s">
        <v>2222</v>
      </c>
      <c r="AC270" s="67" t="s">
        <v>396</v>
      </c>
      <c r="AD270" s="67" t="s">
        <v>396</v>
      </c>
      <c r="AE270" s="10">
        <v>10</v>
      </c>
      <c r="AF270" s="67" t="s">
        <v>399</v>
      </c>
      <c r="AG270" s="74">
        <f t="shared" si="4"/>
        <v>0.3</v>
      </c>
      <c r="AH270" s="56"/>
      <c r="AI270" s="56"/>
      <c r="AJ270" s="56"/>
      <c r="AK270" s="10" t="s">
        <v>643</v>
      </c>
      <c r="AL270" s="17">
        <v>5413218566896</v>
      </c>
      <c r="AM270" s="15" t="s">
        <v>643</v>
      </c>
      <c r="AN270" s="5">
        <v>68091100</v>
      </c>
      <c r="AO270" s="6" t="s">
        <v>2261</v>
      </c>
      <c r="AP270" s="6" t="s">
        <v>2260</v>
      </c>
      <c r="AQ270" s="6" t="s">
        <v>2259</v>
      </c>
      <c r="AR270" s="6" t="s">
        <v>2258</v>
      </c>
      <c r="AS270" s="6" t="s">
        <v>366</v>
      </c>
    </row>
    <row r="271" spans="1:45" ht="12.75" customHeight="1">
      <c r="A271" s="77" t="s">
        <v>2257</v>
      </c>
      <c r="B271" s="6" t="s">
        <v>396</v>
      </c>
      <c r="C271" s="31" t="s">
        <v>403</v>
      </c>
      <c r="D271" s="5" t="s">
        <v>2248</v>
      </c>
      <c r="E271" s="10" t="s">
        <v>2248</v>
      </c>
      <c r="F271" s="31" t="s">
        <v>2250</v>
      </c>
      <c r="G271" s="31" t="s">
        <v>2249</v>
      </c>
      <c r="H271" s="67" t="s">
        <v>396</v>
      </c>
      <c r="I271" s="67" t="s">
        <v>396</v>
      </c>
      <c r="J271" s="10" t="s">
        <v>2248</v>
      </c>
      <c r="K271" s="10" t="s">
        <v>2248</v>
      </c>
      <c r="L271" s="10" t="s">
        <v>2247</v>
      </c>
      <c r="M271" s="10" t="s">
        <v>2246</v>
      </c>
      <c r="N271" s="10" t="s">
        <v>2245</v>
      </c>
      <c r="O271" s="10" t="s">
        <v>2244</v>
      </c>
      <c r="P271" s="31" t="s">
        <v>479</v>
      </c>
      <c r="Q271" s="71" t="s">
        <v>1215</v>
      </c>
      <c r="R271" s="56" t="s">
        <v>2243</v>
      </c>
      <c r="S271" s="5" t="s">
        <v>2242</v>
      </c>
      <c r="T271" s="76">
        <v>15</v>
      </c>
      <c r="U271" s="76">
        <v>65</v>
      </c>
      <c r="V271" s="76">
        <v>2400</v>
      </c>
      <c r="W271" s="67" t="s">
        <v>396</v>
      </c>
      <c r="X271" s="67" t="s">
        <v>396</v>
      </c>
      <c r="Y271" s="53">
        <v>12.8</v>
      </c>
      <c r="Z271" s="75">
        <v>0.3</v>
      </c>
      <c r="AA271" s="67" t="s">
        <v>396</v>
      </c>
      <c r="AB271" s="31" t="s">
        <v>2222</v>
      </c>
      <c r="AC271" s="67" t="s">
        <v>396</v>
      </c>
      <c r="AD271" s="67" t="s">
        <v>396</v>
      </c>
      <c r="AE271" s="10">
        <v>10</v>
      </c>
      <c r="AF271" s="67" t="s">
        <v>399</v>
      </c>
      <c r="AG271" s="74">
        <f t="shared" si="4"/>
        <v>0.15</v>
      </c>
      <c r="AH271" s="56"/>
      <c r="AI271" s="56"/>
      <c r="AJ271" s="56"/>
      <c r="AK271" s="10" t="s">
        <v>643</v>
      </c>
      <c r="AL271" s="17">
        <v>5413218566902</v>
      </c>
      <c r="AM271" s="15" t="s">
        <v>643</v>
      </c>
      <c r="AN271" s="5">
        <v>68091100</v>
      </c>
      <c r="AO271" s="6" t="s">
        <v>2241</v>
      </c>
      <c r="AP271" s="6" t="s">
        <v>2240</v>
      </c>
      <c r="AQ271" s="6" t="s">
        <v>2256</v>
      </c>
      <c r="AR271" s="6" t="s">
        <v>2255</v>
      </c>
      <c r="AS271" s="6" t="s">
        <v>366</v>
      </c>
    </row>
    <row r="272" spans="1:45" ht="12.75" customHeight="1">
      <c r="A272" s="77" t="s">
        <v>2254</v>
      </c>
      <c r="B272" s="6" t="s">
        <v>396</v>
      </c>
      <c r="C272" s="31" t="s">
        <v>403</v>
      </c>
      <c r="D272" s="5" t="s">
        <v>2248</v>
      </c>
      <c r="E272" s="10" t="s">
        <v>2248</v>
      </c>
      <c r="F272" s="31" t="s">
        <v>2250</v>
      </c>
      <c r="G272" s="31" t="s">
        <v>2249</v>
      </c>
      <c r="H272" s="67" t="s">
        <v>396</v>
      </c>
      <c r="I272" s="67" t="s">
        <v>396</v>
      </c>
      <c r="J272" s="10" t="s">
        <v>2248</v>
      </c>
      <c r="K272" s="10" t="s">
        <v>2248</v>
      </c>
      <c r="L272" s="10" t="s">
        <v>2247</v>
      </c>
      <c r="M272" s="10" t="s">
        <v>2246</v>
      </c>
      <c r="N272" s="10" t="s">
        <v>2245</v>
      </c>
      <c r="O272" s="10" t="s">
        <v>2244</v>
      </c>
      <c r="P272" s="31" t="s">
        <v>479</v>
      </c>
      <c r="Q272" s="71" t="s">
        <v>1215</v>
      </c>
      <c r="R272" s="56" t="s">
        <v>2243</v>
      </c>
      <c r="S272" s="5" t="s">
        <v>2242</v>
      </c>
      <c r="T272" s="76">
        <v>15</v>
      </c>
      <c r="U272" s="76">
        <v>100</v>
      </c>
      <c r="V272" s="76">
        <v>2400</v>
      </c>
      <c r="W272" s="67" t="s">
        <v>396</v>
      </c>
      <c r="X272" s="67" t="s">
        <v>396</v>
      </c>
      <c r="Y272" s="53">
        <v>12.8</v>
      </c>
      <c r="Z272" s="75">
        <v>0.3</v>
      </c>
      <c r="AA272" s="67" t="s">
        <v>396</v>
      </c>
      <c r="AB272" s="31" t="s">
        <v>2222</v>
      </c>
      <c r="AC272" s="67" t="s">
        <v>396</v>
      </c>
      <c r="AD272" s="67" t="s">
        <v>396</v>
      </c>
      <c r="AE272" s="10">
        <v>10</v>
      </c>
      <c r="AF272" s="67" t="s">
        <v>399</v>
      </c>
      <c r="AG272" s="74">
        <f t="shared" si="4"/>
        <v>0.15</v>
      </c>
      <c r="AH272" s="56"/>
      <c r="AI272" s="56"/>
      <c r="AJ272" s="56"/>
      <c r="AK272" s="10" t="s">
        <v>643</v>
      </c>
      <c r="AL272" s="17">
        <v>5413218566919</v>
      </c>
      <c r="AM272" s="15" t="s">
        <v>643</v>
      </c>
      <c r="AN272" s="5">
        <v>68091100</v>
      </c>
      <c r="AO272" s="6" t="s">
        <v>2241</v>
      </c>
      <c r="AP272" s="6" t="s">
        <v>2240</v>
      </c>
      <c r="AQ272" s="6" t="s">
        <v>2253</v>
      </c>
      <c r="AR272" s="6" t="s">
        <v>2252</v>
      </c>
      <c r="AS272" s="6" t="s">
        <v>366</v>
      </c>
    </row>
    <row r="273" spans="1:45" ht="12.75" customHeight="1">
      <c r="A273" s="77" t="s">
        <v>2251</v>
      </c>
      <c r="B273" s="6" t="s">
        <v>396</v>
      </c>
      <c r="C273" s="31" t="s">
        <v>403</v>
      </c>
      <c r="D273" s="5" t="s">
        <v>2248</v>
      </c>
      <c r="E273" s="10" t="s">
        <v>2248</v>
      </c>
      <c r="F273" s="31" t="s">
        <v>2250</v>
      </c>
      <c r="G273" s="31" t="s">
        <v>2249</v>
      </c>
      <c r="H273" s="67" t="s">
        <v>396</v>
      </c>
      <c r="I273" s="67" t="s">
        <v>396</v>
      </c>
      <c r="J273" s="10" t="s">
        <v>2248</v>
      </c>
      <c r="K273" s="10" t="s">
        <v>2248</v>
      </c>
      <c r="L273" s="10" t="s">
        <v>2247</v>
      </c>
      <c r="M273" s="10" t="s">
        <v>2246</v>
      </c>
      <c r="N273" s="10" t="s">
        <v>2245</v>
      </c>
      <c r="O273" s="10" t="s">
        <v>2244</v>
      </c>
      <c r="P273" s="31" t="s">
        <v>479</v>
      </c>
      <c r="Q273" s="71" t="s">
        <v>1215</v>
      </c>
      <c r="R273" s="56" t="s">
        <v>2243</v>
      </c>
      <c r="S273" s="5" t="s">
        <v>2242</v>
      </c>
      <c r="T273" s="76">
        <v>15</v>
      </c>
      <c r="U273" s="76">
        <v>135</v>
      </c>
      <c r="V273" s="76">
        <v>2400</v>
      </c>
      <c r="W273" s="67" t="s">
        <v>396</v>
      </c>
      <c r="X273" s="67" t="s">
        <v>396</v>
      </c>
      <c r="Y273" s="53">
        <v>12.8</v>
      </c>
      <c r="Z273" s="75">
        <v>0.3</v>
      </c>
      <c r="AA273" s="67" t="s">
        <v>396</v>
      </c>
      <c r="AB273" s="31" t="s">
        <v>2222</v>
      </c>
      <c r="AC273" s="67" t="s">
        <v>396</v>
      </c>
      <c r="AD273" s="67" t="s">
        <v>396</v>
      </c>
      <c r="AE273" s="10">
        <v>10</v>
      </c>
      <c r="AF273" s="67" t="s">
        <v>399</v>
      </c>
      <c r="AG273" s="74">
        <f t="shared" si="4"/>
        <v>0.15</v>
      </c>
      <c r="AH273" s="56"/>
      <c r="AI273" s="56"/>
      <c r="AJ273" s="56"/>
      <c r="AK273" s="10" t="s">
        <v>643</v>
      </c>
      <c r="AL273" s="17">
        <v>5413218566926</v>
      </c>
      <c r="AM273" s="15" t="s">
        <v>643</v>
      </c>
      <c r="AN273" s="5">
        <v>68091100</v>
      </c>
      <c r="AO273" s="6" t="s">
        <v>2241</v>
      </c>
      <c r="AP273" s="6" t="s">
        <v>2240</v>
      </c>
      <c r="AQ273" s="6" t="s">
        <v>2239</v>
      </c>
      <c r="AR273" s="6" t="s">
        <v>2238</v>
      </c>
      <c r="AS273" s="6" t="s">
        <v>366</v>
      </c>
    </row>
    <row r="274" spans="1:45" ht="12.75" customHeight="1">
      <c r="A274" s="32" t="s">
        <v>2237</v>
      </c>
      <c r="B274" s="6" t="s">
        <v>396</v>
      </c>
      <c r="C274" s="31" t="s">
        <v>403</v>
      </c>
      <c r="D274" s="6" t="s">
        <v>2234</v>
      </c>
      <c r="E274" s="73" t="s">
        <v>2233</v>
      </c>
      <c r="F274" s="6" t="s">
        <v>2232</v>
      </c>
      <c r="G274" s="31" t="s">
        <v>2231</v>
      </c>
      <c r="H274" s="67" t="s">
        <v>396</v>
      </c>
      <c r="I274" s="67" t="s">
        <v>396</v>
      </c>
      <c r="J274" s="73" t="s">
        <v>2236</v>
      </c>
      <c r="K274" s="73" t="s">
        <v>2236</v>
      </c>
      <c r="L274" s="67" t="s">
        <v>400</v>
      </c>
      <c r="M274" s="67" t="s">
        <v>399</v>
      </c>
      <c r="N274" s="72" t="s">
        <v>398</v>
      </c>
      <c r="O274" s="72" t="s">
        <v>397</v>
      </c>
      <c r="P274" s="31" t="s">
        <v>2229</v>
      </c>
      <c r="Q274" s="71" t="s">
        <v>1215</v>
      </c>
      <c r="R274" s="56"/>
      <c r="S274" s="27" t="s">
        <v>396</v>
      </c>
      <c r="T274" s="69" t="s">
        <v>396</v>
      </c>
      <c r="U274" s="14">
        <v>67</v>
      </c>
      <c r="V274" s="14">
        <v>3000</v>
      </c>
      <c r="W274" s="67" t="s">
        <v>396</v>
      </c>
      <c r="X274" s="67" t="s">
        <v>396</v>
      </c>
      <c r="Y274" s="30" t="s">
        <v>396</v>
      </c>
      <c r="Z274" s="70">
        <v>0.25</v>
      </c>
      <c r="AA274" s="67" t="s">
        <v>396</v>
      </c>
      <c r="AB274" s="67" t="s">
        <v>396</v>
      </c>
      <c r="AC274" s="67" t="s">
        <v>396</v>
      </c>
      <c r="AD274" s="67" t="s">
        <v>396</v>
      </c>
      <c r="AE274" s="67" t="s">
        <v>396</v>
      </c>
      <c r="AF274" s="67" t="s">
        <v>396</v>
      </c>
      <c r="AG274" s="67" t="s">
        <v>396</v>
      </c>
      <c r="AH274" s="67" t="s">
        <v>396</v>
      </c>
      <c r="AI274" s="67" t="s">
        <v>396</v>
      </c>
      <c r="AJ274" s="67" t="s">
        <v>396</v>
      </c>
      <c r="AK274" s="31" t="s">
        <v>395</v>
      </c>
      <c r="AL274" s="17">
        <v>5413218565714</v>
      </c>
      <c r="AM274" s="15" t="s">
        <v>395</v>
      </c>
      <c r="AN274" s="5">
        <v>68099000</v>
      </c>
      <c r="AO274" s="6" t="s">
        <v>394</v>
      </c>
      <c r="AP274" s="6" t="s">
        <v>393</v>
      </c>
      <c r="AQ274" s="6"/>
      <c r="AR274" s="6"/>
      <c r="AS274" s="6" t="s">
        <v>366</v>
      </c>
    </row>
    <row r="275" spans="1:45" ht="12.75" customHeight="1">
      <c r="A275" s="32" t="s">
        <v>2235</v>
      </c>
      <c r="B275" s="6" t="s">
        <v>396</v>
      </c>
      <c r="C275" s="31" t="s">
        <v>403</v>
      </c>
      <c r="D275" s="6" t="s">
        <v>2234</v>
      </c>
      <c r="E275" s="73" t="s">
        <v>2233</v>
      </c>
      <c r="F275" s="31" t="s">
        <v>2232</v>
      </c>
      <c r="G275" s="31" t="s">
        <v>2231</v>
      </c>
      <c r="H275" s="67" t="s">
        <v>396</v>
      </c>
      <c r="I275" s="67" t="s">
        <v>396</v>
      </c>
      <c r="J275" s="73" t="s">
        <v>2230</v>
      </c>
      <c r="K275" s="73" t="s">
        <v>2230</v>
      </c>
      <c r="L275" s="67" t="s">
        <v>400</v>
      </c>
      <c r="M275" s="67" t="s">
        <v>399</v>
      </c>
      <c r="N275" s="72" t="s">
        <v>398</v>
      </c>
      <c r="O275" s="72" t="s">
        <v>397</v>
      </c>
      <c r="P275" s="31" t="s">
        <v>2229</v>
      </c>
      <c r="Q275" s="71" t="s">
        <v>1215</v>
      </c>
      <c r="R275" s="56"/>
      <c r="S275" s="27" t="s">
        <v>396</v>
      </c>
      <c r="T275" s="69" t="s">
        <v>396</v>
      </c>
      <c r="U275" s="14">
        <v>85</v>
      </c>
      <c r="V275" s="14">
        <v>3000</v>
      </c>
      <c r="W275" s="67" t="s">
        <v>396</v>
      </c>
      <c r="X275" s="67" t="s">
        <v>396</v>
      </c>
      <c r="Y275" s="30" t="s">
        <v>396</v>
      </c>
      <c r="Z275" s="70">
        <v>0.25</v>
      </c>
      <c r="AA275" s="67" t="s">
        <v>396</v>
      </c>
      <c r="AB275" s="67" t="s">
        <v>396</v>
      </c>
      <c r="AC275" s="67" t="s">
        <v>396</v>
      </c>
      <c r="AD275" s="67" t="s">
        <v>396</v>
      </c>
      <c r="AE275" s="67" t="s">
        <v>396</v>
      </c>
      <c r="AF275" s="67" t="s">
        <v>396</v>
      </c>
      <c r="AG275" s="67" t="s">
        <v>396</v>
      </c>
      <c r="AH275" s="67" t="s">
        <v>396</v>
      </c>
      <c r="AI275" s="67" t="s">
        <v>396</v>
      </c>
      <c r="AJ275" s="67" t="s">
        <v>396</v>
      </c>
      <c r="AK275" s="31" t="s">
        <v>395</v>
      </c>
      <c r="AL275" s="17">
        <v>5413218565721</v>
      </c>
      <c r="AM275" s="15" t="s">
        <v>395</v>
      </c>
      <c r="AN275" s="5">
        <v>68099000</v>
      </c>
      <c r="AO275" s="6" t="s">
        <v>394</v>
      </c>
      <c r="AP275" s="6" t="s">
        <v>393</v>
      </c>
      <c r="AQ275" s="6"/>
      <c r="AR275" s="6"/>
      <c r="AS275" s="6" t="s">
        <v>366</v>
      </c>
    </row>
    <row r="276" spans="1:45" ht="12.75" customHeight="1">
      <c r="A276" s="33" t="s">
        <v>2228</v>
      </c>
      <c r="B276" s="6" t="s">
        <v>396</v>
      </c>
      <c r="C276" s="31" t="s">
        <v>403</v>
      </c>
      <c r="D276" s="5" t="s">
        <v>2227</v>
      </c>
      <c r="E276" s="31" t="s">
        <v>2227</v>
      </c>
      <c r="F276" s="7" t="s">
        <v>2226</v>
      </c>
      <c r="G276" s="7" t="s">
        <v>2225</v>
      </c>
      <c r="H276" s="67" t="s">
        <v>2224</v>
      </c>
      <c r="I276" s="67" t="s">
        <v>2223</v>
      </c>
      <c r="J276" s="31" t="s">
        <v>383</v>
      </c>
      <c r="K276" s="31" t="s">
        <v>383</v>
      </c>
      <c r="L276" s="67" t="s">
        <v>399</v>
      </c>
      <c r="M276" s="67" t="s">
        <v>396</v>
      </c>
      <c r="N276" s="67" t="s">
        <v>396</v>
      </c>
      <c r="O276" s="67" t="s">
        <v>396</v>
      </c>
      <c r="P276" s="66"/>
      <c r="Q276" s="66"/>
      <c r="R276" s="56"/>
      <c r="S276" s="27" t="s">
        <v>396</v>
      </c>
      <c r="T276" s="69">
        <v>5</v>
      </c>
      <c r="U276" s="69" t="s">
        <v>396</v>
      </c>
      <c r="V276" s="69" t="s">
        <v>396</v>
      </c>
      <c r="W276" s="67" t="s">
        <v>396</v>
      </c>
      <c r="X276" s="67" t="s">
        <v>396</v>
      </c>
      <c r="Y276" s="30">
        <v>7</v>
      </c>
      <c r="Z276" s="70">
        <v>0.375</v>
      </c>
      <c r="AA276" s="67" t="s">
        <v>396</v>
      </c>
      <c r="AB276" s="31" t="s">
        <v>2222</v>
      </c>
      <c r="AC276" s="27" t="s">
        <v>396</v>
      </c>
      <c r="AD276" s="27" t="s">
        <v>396</v>
      </c>
      <c r="AE276" s="66"/>
      <c r="AF276" s="67" t="s">
        <v>399</v>
      </c>
      <c r="AG276" s="66"/>
      <c r="AH276" s="66"/>
      <c r="AI276" s="66"/>
      <c r="AJ276" s="66"/>
      <c r="AK276" s="31" t="s">
        <v>395</v>
      </c>
      <c r="AL276" s="65" t="s">
        <v>399</v>
      </c>
      <c r="AM276" s="64" t="s">
        <v>399</v>
      </c>
      <c r="AN276" s="9" t="s">
        <v>399</v>
      </c>
      <c r="AO276" s="6"/>
      <c r="AP276" s="6"/>
      <c r="AQ276" s="6"/>
      <c r="AR276" s="6"/>
      <c r="AS276" s="6"/>
    </row>
    <row r="277" spans="1:45" ht="12.75" customHeight="1">
      <c r="A277" s="33" t="s">
        <v>2221</v>
      </c>
      <c r="B277" s="33" t="s">
        <v>396</v>
      </c>
      <c r="C277" s="31" t="s">
        <v>403</v>
      </c>
      <c r="D277" s="6" t="s">
        <v>382</v>
      </c>
      <c r="E277" s="31" t="s">
        <v>382</v>
      </c>
      <c r="F277" s="31" t="s">
        <v>2103</v>
      </c>
      <c r="G277" s="31" t="s">
        <v>2102</v>
      </c>
      <c r="H277" s="67" t="s">
        <v>396</v>
      </c>
      <c r="I277" s="67" t="s">
        <v>396</v>
      </c>
      <c r="J277" s="31" t="s">
        <v>2116</v>
      </c>
      <c r="K277" s="31" t="s">
        <v>2116</v>
      </c>
      <c r="L277" s="67" t="s">
        <v>2068</v>
      </c>
      <c r="M277" s="67" t="s">
        <v>655</v>
      </c>
      <c r="N277" s="67" t="s">
        <v>2099</v>
      </c>
      <c r="O277" s="67" t="s">
        <v>2098</v>
      </c>
      <c r="P277" s="66"/>
      <c r="Q277" s="66"/>
      <c r="R277" s="56"/>
      <c r="S277" s="27" t="s">
        <v>399</v>
      </c>
      <c r="T277" s="69">
        <v>12.5</v>
      </c>
      <c r="U277" s="69" t="s">
        <v>399</v>
      </c>
      <c r="V277" s="69" t="s">
        <v>399</v>
      </c>
      <c r="W277" s="67" t="s">
        <v>396</v>
      </c>
      <c r="X277" s="69">
        <v>12.5</v>
      </c>
      <c r="Y277" s="30" t="s">
        <v>396</v>
      </c>
      <c r="Z277" s="68">
        <v>0.25</v>
      </c>
      <c r="AA277" s="67" t="s">
        <v>396</v>
      </c>
      <c r="AB277" s="66"/>
      <c r="AC277" s="66"/>
      <c r="AD277" s="66"/>
      <c r="AE277" s="66"/>
      <c r="AF277" s="67" t="s">
        <v>399</v>
      </c>
      <c r="AG277" s="66"/>
      <c r="AH277" s="66"/>
      <c r="AI277" s="66"/>
      <c r="AJ277" s="66"/>
      <c r="AK277" s="31" t="s">
        <v>2097</v>
      </c>
      <c r="AL277" s="65" t="s">
        <v>399</v>
      </c>
      <c r="AM277" s="64" t="s">
        <v>399</v>
      </c>
      <c r="AN277" s="9" t="s">
        <v>399</v>
      </c>
      <c r="AO277" s="6"/>
      <c r="AP277" s="6"/>
      <c r="AQ277" s="6" t="s">
        <v>2220</v>
      </c>
      <c r="AR277" s="6" t="s">
        <v>2219</v>
      </c>
      <c r="AS277" s="6" t="s">
        <v>2218</v>
      </c>
    </row>
    <row r="278" spans="1:45" ht="12.75" customHeight="1">
      <c r="A278" s="33" t="s">
        <v>2217</v>
      </c>
      <c r="B278" s="33" t="s">
        <v>396</v>
      </c>
      <c r="C278" s="31" t="s">
        <v>403</v>
      </c>
      <c r="D278" s="6" t="s">
        <v>382</v>
      </c>
      <c r="E278" s="31" t="s">
        <v>382</v>
      </c>
      <c r="F278" s="31" t="s">
        <v>2103</v>
      </c>
      <c r="G278" s="31" t="s">
        <v>2102</v>
      </c>
      <c r="H278" s="67" t="s">
        <v>396</v>
      </c>
      <c r="I278" s="67" t="s">
        <v>396</v>
      </c>
      <c r="J278" s="31" t="s">
        <v>2116</v>
      </c>
      <c r="K278" s="31" t="s">
        <v>2116</v>
      </c>
      <c r="L278" s="67" t="s">
        <v>2068</v>
      </c>
      <c r="M278" s="67" t="s">
        <v>655</v>
      </c>
      <c r="N278" s="67" t="s">
        <v>2099</v>
      </c>
      <c r="O278" s="67" t="s">
        <v>2098</v>
      </c>
      <c r="P278" s="66"/>
      <c r="Q278" s="66"/>
      <c r="R278" s="56"/>
      <c r="S278" s="27" t="s">
        <v>399</v>
      </c>
      <c r="T278" s="69">
        <v>12.5</v>
      </c>
      <c r="U278" s="69" t="s">
        <v>399</v>
      </c>
      <c r="V278" s="69" t="s">
        <v>399</v>
      </c>
      <c r="W278" s="67" t="s">
        <v>396</v>
      </c>
      <c r="X278" s="69">
        <v>12.5</v>
      </c>
      <c r="Y278" s="30" t="s">
        <v>396</v>
      </c>
      <c r="Z278" s="68">
        <v>0.25</v>
      </c>
      <c r="AA278" s="67" t="s">
        <v>396</v>
      </c>
      <c r="AB278" s="66"/>
      <c r="AC278" s="66"/>
      <c r="AD278" s="66"/>
      <c r="AE278" s="66"/>
      <c r="AF278" s="67" t="s">
        <v>399</v>
      </c>
      <c r="AG278" s="66"/>
      <c r="AH278" s="66"/>
      <c r="AI278" s="66"/>
      <c r="AJ278" s="66"/>
      <c r="AK278" s="31" t="s">
        <v>2097</v>
      </c>
      <c r="AL278" s="65" t="s">
        <v>399</v>
      </c>
      <c r="AM278" s="64" t="s">
        <v>399</v>
      </c>
      <c r="AN278" s="9" t="s">
        <v>399</v>
      </c>
      <c r="AO278" s="6"/>
      <c r="AP278" s="6"/>
      <c r="AQ278" s="6" t="s">
        <v>2216</v>
      </c>
      <c r="AR278" s="6" t="s">
        <v>2215</v>
      </c>
      <c r="AS278" s="6" t="s">
        <v>2214</v>
      </c>
    </row>
    <row r="279" spans="1:45" ht="12.75" customHeight="1">
      <c r="A279" s="33" t="s">
        <v>2213</v>
      </c>
      <c r="B279" s="33" t="s">
        <v>396</v>
      </c>
      <c r="C279" s="31" t="s">
        <v>403</v>
      </c>
      <c r="D279" s="6" t="s">
        <v>382</v>
      </c>
      <c r="E279" s="31" t="s">
        <v>382</v>
      </c>
      <c r="F279" s="31" t="s">
        <v>2103</v>
      </c>
      <c r="G279" s="31" t="s">
        <v>2102</v>
      </c>
      <c r="H279" s="67" t="s">
        <v>396</v>
      </c>
      <c r="I279" s="67" t="s">
        <v>396</v>
      </c>
      <c r="J279" s="31" t="s">
        <v>2116</v>
      </c>
      <c r="K279" s="31" t="s">
        <v>2116</v>
      </c>
      <c r="L279" s="67" t="s">
        <v>2068</v>
      </c>
      <c r="M279" s="67" t="s">
        <v>655</v>
      </c>
      <c r="N279" s="67" t="s">
        <v>2099</v>
      </c>
      <c r="O279" s="67" t="s">
        <v>2098</v>
      </c>
      <c r="P279" s="66"/>
      <c r="Q279" s="66"/>
      <c r="R279" s="56"/>
      <c r="S279" s="27" t="s">
        <v>399</v>
      </c>
      <c r="T279" s="69">
        <v>12.5</v>
      </c>
      <c r="U279" s="69" t="s">
        <v>399</v>
      </c>
      <c r="V279" s="69" t="s">
        <v>399</v>
      </c>
      <c r="W279" s="67" t="s">
        <v>396</v>
      </c>
      <c r="X279" s="69">
        <v>12.5</v>
      </c>
      <c r="Y279" s="30" t="s">
        <v>396</v>
      </c>
      <c r="Z279" s="68">
        <v>0.25</v>
      </c>
      <c r="AA279" s="67" t="s">
        <v>396</v>
      </c>
      <c r="AB279" s="66"/>
      <c r="AC279" s="66"/>
      <c r="AD279" s="66"/>
      <c r="AE279" s="66"/>
      <c r="AF279" s="67" t="s">
        <v>399</v>
      </c>
      <c r="AG279" s="66"/>
      <c r="AH279" s="66"/>
      <c r="AI279" s="66"/>
      <c r="AJ279" s="66"/>
      <c r="AK279" s="31" t="s">
        <v>2097</v>
      </c>
      <c r="AL279" s="65" t="s">
        <v>399</v>
      </c>
      <c r="AM279" s="64" t="s">
        <v>399</v>
      </c>
      <c r="AN279" s="9" t="s">
        <v>399</v>
      </c>
      <c r="AO279" s="6"/>
      <c r="AP279" s="6"/>
      <c r="AQ279" s="6" t="s">
        <v>2212</v>
      </c>
      <c r="AR279" s="6" t="s">
        <v>2211</v>
      </c>
      <c r="AS279" s="6" t="s">
        <v>2210</v>
      </c>
    </row>
    <row r="280" spans="1:45" ht="12.75" customHeight="1">
      <c r="A280" s="33" t="s">
        <v>2209</v>
      </c>
      <c r="B280" s="33" t="s">
        <v>396</v>
      </c>
      <c r="C280" s="31" t="s">
        <v>403</v>
      </c>
      <c r="D280" s="6" t="s">
        <v>382</v>
      </c>
      <c r="E280" s="31" t="s">
        <v>382</v>
      </c>
      <c r="F280" s="31" t="s">
        <v>2103</v>
      </c>
      <c r="G280" s="31" t="s">
        <v>2102</v>
      </c>
      <c r="H280" s="67" t="s">
        <v>396</v>
      </c>
      <c r="I280" s="67" t="s">
        <v>396</v>
      </c>
      <c r="J280" s="31" t="s">
        <v>2101</v>
      </c>
      <c r="K280" s="31" t="s">
        <v>2101</v>
      </c>
      <c r="L280" s="67" t="s">
        <v>2068</v>
      </c>
      <c r="M280" s="67" t="s">
        <v>2100</v>
      </c>
      <c r="N280" s="67" t="s">
        <v>2099</v>
      </c>
      <c r="O280" s="67" t="s">
        <v>2098</v>
      </c>
      <c r="P280" s="66"/>
      <c r="Q280" s="66"/>
      <c r="R280" s="56"/>
      <c r="S280" s="27" t="s">
        <v>399</v>
      </c>
      <c r="T280" s="69">
        <v>15</v>
      </c>
      <c r="U280" s="69" t="s">
        <v>399</v>
      </c>
      <c r="V280" s="69" t="s">
        <v>399</v>
      </c>
      <c r="W280" s="67" t="s">
        <v>396</v>
      </c>
      <c r="X280" s="69">
        <v>15</v>
      </c>
      <c r="Y280" s="30" t="s">
        <v>396</v>
      </c>
      <c r="Z280" s="68">
        <v>0.25</v>
      </c>
      <c r="AA280" s="67" t="s">
        <v>396</v>
      </c>
      <c r="AB280" s="66"/>
      <c r="AC280" s="66"/>
      <c r="AD280" s="66"/>
      <c r="AE280" s="66"/>
      <c r="AF280" s="67" t="s">
        <v>399</v>
      </c>
      <c r="AG280" s="66"/>
      <c r="AH280" s="66"/>
      <c r="AI280" s="66"/>
      <c r="AJ280" s="66"/>
      <c r="AK280" s="31" t="s">
        <v>2097</v>
      </c>
      <c r="AL280" s="65" t="s">
        <v>399</v>
      </c>
      <c r="AM280" s="64" t="s">
        <v>399</v>
      </c>
      <c r="AN280" s="9" t="s">
        <v>399</v>
      </c>
      <c r="AO280" s="6"/>
      <c r="AP280" s="6"/>
      <c r="AQ280" s="6" t="s">
        <v>2208</v>
      </c>
      <c r="AR280" s="6" t="s">
        <v>2207</v>
      </c>
      <c r="AS280" s="6" t="s">
        <v>2206</v>
      </c>
    </row>
    <row r="281" spans="1:45" ht="12.75" customHeight="1">
      <c r="A281" s="33" t="s">
        <v>2205</v>
      </c>
      <c r="B281" s="33" t="s">
        <v>396</v>
      </c>
      <c r="C281" s="31" t="s">
        <v>403</v>
      </c>
      <c r="D281" s="6" t="s">
        <v>382</v>
      </c>
      <c r="E281" s="31" t="s">
        <v>382</v>
      </c>
      <c r="F281" s="31" t="s">
        <v>2103</v>
      </c>
      <c r="G281" s="31" t="s">
        <v>2102</v>
      </c>
      <c r="H281" s="67" t="s">
        <v>396</v>
      </c>
      <c r="I281" s="67" t="s">
        <v>396</v>
      </c>
      <c r="J281" s="31" t="s">
        <v>2101</v>
      </c>
      <c r="K281" s="31" t="s">
        <v>2101</v>
      </c>
      <c r="L281" s="67" t="s">
        <v>2068</v>
      </c>
      <c r="M281" s="67" t="s">
        <v>2100</v>
      </c>
      <c r="N281" s="67" t="s">
        <v>2099</v>
      </c>
      <c r="O281" s="67" t="s">
        <v>2098</v>
      </c>
      <c r="P281" s="66"/>
      <c r="Q281" s="66"/>
      <c r="R281" s="56"/>
      <c r="S281" s="27" t="s">
        <v>399</v>
      </c>
      <c r="T281" s="69">
        <v>15</v>
      </c>
      <c r="U281" s="69" t="s">
        <v>399</v>
      </c>
      <c r="V281" s="69" t="s">
        <v>399</v>
      </c>
      <c r="W281" s="67" t="s">
        <v>396</v>
      </c>
      <c r="X281" s="69">
        <v>15</v>
      </c>
      <c r="Y281" s="30" t="s">
        <v>396</v>
      </c>
      <c r="Z281" s="68">
        <v>0.25</v>
      </c>
      <c r="AA281" s="67" t="s">
        <v>396</v>
      </c>
      <c r="AB281" s="66"/>
      <c r="AC281" s="66"/>
      <c r="AD281" s="66"/>
      <c r="AE281" s="66"/>
      <c r="AF281" s="67" t="s">
        <v>399</v>
      </c>
      <c r="AG281" s="66"/>
      <c r="AH281" s="66"/>
      <c r="AI281" s="66"/>
      <c r="AJ281" s="66"/>
      <c r="AK281" s="31" t="s">
        <v>2097</v>
      </c>
      <c r="AL281" s="65" t="s">
        <v>399</v>
      </c>
      <c r="AM281" s="64" t="s">
        <v>399</v>
      </c>
      <c r="AN281" s="9" t="s">
        <v>399</v>
      </c>
      <c r="AO281" s="6"/>
      <c r="AP281" s="6"/>
      <c r="AQ281" s="6" t="s">
        <v>2204</v>
      </c>
      <c r="AR281" s="6" t="s">
        <v>2203</v>
      </c>
      <c r="AS281" s="6" t="s">
        <v>2202</v>
      </c>
    </row>
    <row r="282" spans="1:45" ht="12.75" customHeight="1">
      <c r="A282" s="33" t="s">
        <v>2201</v>
      </c>
      <c r="B282" s="33" t="s">
        <v>396</v>
      </c>
      <c r="C282" s="31" t="s">
        <v>403</v>
      </c>
      <c r="D282" s="6" t="s">
        <v>382</v>
      </c>
      <c r="E282" s="31" t="s">
        <v>382</v>
      </c>
      <c r="F282" s="31" t="s">
        <v>2103</v>
      </c>
      <c r="G282" s="31" t="s">
        <v>2102</v>
      </c>
      <c r="H282" s="67" t="s">
        <v>396</v>
      </c>
      <c r="I282" s="67" t="s">
        <v>396</v>
      </c>
      <c r="J282" s="31" t="s">
        <v>2101</v>
      </c>
      <c r="K282" s="31" t="s">
        <v>2101</v>
      </c>
      <c r="L282" s="67" t="s">
        <v>2068</v>
      </c>
      <c r="M282" s="67" t="s">
        <v>2100</v>
      </c>
      <c r="N282" s="67" t="s">
        <v>2099</v>
      </c>
      <c r="O282" s="67" t="s">
        <v>2098</v>
      </c>
      <c r="P282" s="66"/>
      <c r="Q282" s="66"/>
      <c r="R282" s="56"/>
      <c r="S282" s="27" t="s">
        <v>399</v>
      </c>
      <c r="T282" s="69">
        <v>15</v>
      </c>
      <c r="U282" s="69" t="s">
        <v>399</v>
      </c>
      <c r="V282" s="69" t="s">
        <v>399</v>
      </c>
      <c r="W282" s="67" t="s">
        <v>396</v>
      </c>
      <c r="X282" s="69">
        <v>15</v>
      </c>
      <c r="Y282" s="30" t="s">
        <v>396</v>
      </c>
      <c r="Z282" s="68">
        <v>0.25</v>
      </c>
      <c r="AA282" s="67" t="s">
        <v>396</v>
      </c>
      <c r="AB282" s="66"/>
      <c r="AC282" s="66"/>
      <c r="AD282" s="66"/>
      <c r="AE282" s="66"/>
      <c r="AF282" s="67" t="s">
        <v>399</v>
      </c>
      <c r="AG282" s="66"/>
      <c r="AH282" s="66"/>
      <c r="AI282" s="66"/>
      <c r="AJ282" s="66"/>
      <c r="AK282" s="31" t="s">
        <v>2097</v>
      </c>
      <c r="AL282" s="65" t="s">
        <v>399</v>
      </c>
      <c r="AM282" s="64" t="s">
        <v>399</v>
      </c>
      <c r="AN282" s="9" t="s">
        <v>399</v>
      </c>
      <c r="AO282" s="6"/>
      <c r="AP282" s="6"/>
      <c r="AQ282" s="6" t="s">
        <v>2200</v>
      </c>
      <c r="AR282" s="6" t="s">
        <v>2199</v>
      </c>
      <c r="AS282" s="6" t="s">
        <v>2198</v>
      </c>
    </row>
    <row r="283" spans="1:45" ht="12.75" customHeight="1">
      <c r="A283" s="33" t="s">
        <v>2197</v>
      </c>
      <c r="B283" s="33" t="s">
        <v>396</v>
      </c>
      <c r="C283" s="31" t="s">
        <v>403</v>
      </c>
      <c r="D283" s="6" t="s">
        <v>382</v>
      </c>
      <c r="E283" s="31" t="s">
        <v>382</v>
      </c>
      <c r="F283" s="31" t="s">
        <v>2103</v>
      </c>
      <c r="G283" s="31" t="s">
        <v>2102</v>
      </c>
      <c r="H283" s="67" t="s">
        <v>396</v>
      </c>
      <c r="I283" s="67" t="s">
        <v>396</v>
      </c>
      <c r="J283" s="31" t="s">
        <v>2116</v>
      </c>
      <c r="K283" s="31" t="s">
        <v>2116</v>
      </c>
      <c r="L283" s="67" t="s">
        <v>2068</v>
      </c>
      <c r="M283" s="67" t="s">
        <v>655</v>
      </c>
      <c r="N283" s="67" t="s">
        <v>2099</v>
      </c>
      <c r="O283" s="67" t="s">
        <v>2098</v>
      </c>
      <c r="P283" s="66"/>
      <c r="Q283" s="66"/>
      <c r="R283" s="56"/>
      <c r="S283" s="27" t="s">
        <v>399</v>
      </c>
      <c r="T283" s="69">
        <v>12.5</v>
      </c>
      <c r="U283" s="69" t="s">
        <v>399</v>
      </c>
      <c r="V283" s="69" t="s">
        <v>399</v>
      </c>
      <c r="W283" s="67" t="s">
        <v>396</v>
      </c>
      <c r="X283" s="69">
        <v>12.5</v>
      </c>
      <c r="Y283" s="30" t="s">
        <v>396</v>
      </c>
      <c r="Z283" s="68">
        <v>0.25</v>
      </c>
      <c r="AA283" s="67" t="s">
        <v>396</v>
      </c>
      <c r="AB283" s="66"/>
      <c r="AC283" s="66"/>
      <c r="AD283" s="66"/>
      <c r="AE283" s="66"/>
      <c r="AF283" s="67" t="s">
        <v>399</v>
      </c>
      <c r="AG283" s="66"/>
      <c r="AH283" s="66"/>
      <c r="AI283" s="66"/>
      <c r="AJ283" s="66"/>
      <c r="AK283" s="31" t="s">
        <v>2097</v>
      </c>
      <c r="AL283" s="65" t="s">
        <v>399</v>
      </c>
      <c r="AM283" s="64" t="s">
        <v>399</v>
      </c>
      <c r="AN283" s="9" t="s">
        <v>399</v>
      </c>
      <c r="AO283" s="6"/>
      <c r="AP283" s="6"/>
      <c r="AQ283" s="6" t="s">
        <v>2196</v>
      </c>
      <c r="AR283" s="6" t="s">
        <v>2195</v>
      </c>
      <c r="AS283" s="6" t="s">
        <v>2194</v>
      </c>
    </row>
    <row r="284" spans="1:45" ht="12.75" customHeight="1">
      <c r="A284" s="33" t="s">
        <v>2193</v>
      </c>
      <c r="B284" s="33" t="s">
        <v>396</v>
      </c>
      <c r="C284" s="31" t="s">
        <v>403</v>
      </c>
      <c r="D284" s="6" t="s">
        <v>382</v>
      </c>
      <c r="E284" s="31" t="s">
        <v>382</v>
      </c>
      <c r="F284" s="31" t="s">
        <v>2103</v>
      </c>
      <c r="G284" s="31" t="s">
        <v>2102</v>
      </c>
      <c r="H284" s="67" t="s">
        <v>396</v>
      </c>
      <c r="I284" s="67" t="s">
        <v>396</v>
      </c>
      <c r="J284" s="31" t="s">
        <v>2116</v>
      </c>
      <c r="K284" s="31" t="s">
        <v>2116</v>
      </c>
      <c r="L284" s="67" t="s">
        <v>2068</v>
      </c>
      <c r="M284" s="67" t="s">
        <v>655</v>
      </c>
      <c r="N284" s="67" t="s">
        <v>2099</v>
      </c>
      <c r="O284" s="67" t="s">
        <v>2098</v>
      </c>
      <c r="P284" s="66"/>
      <c r="Q284" s="66"/>
      <c r="R284" s="56"/>
      <c r="S284" s="27" t="s">
        <v>399</v>
      </c>
      <c r="T284" s="69">
        <v>12.5</v>
      </c>
      <c r="U284" s="69" t="s">
        <v>399</v>
      </c>
      <c r="V284" s="69" t="s">
        <v>399</v>
      </c>
      <c r="W284" s="67" t="s">
        <v>396</v>
      </c>
      <c r="X284" s="69">
        <v>12.5</v>
      </c>
      <c r="Y284" s="30" t="s">
        <v>396</v>
      </c>
      <c r="Z284" s="68">
        <v>0.25</v>
      </c>
      <c r="AA284" s="67" t="s">
        <v>396</v>
      </c>
      <c r="AB284" s="66"/>
      <c r="AC284" s="66"/>
      <c r="AD284" s="66"/>
      <c r="AE284" s="66"/>
      <c r="AF284" s="67" t="s">
        <v>399</v>
      </c>
      <c r="AG284" s="66"/>
      <c r="AH284" s="66"/>
      <c r="AI284" s="66"/>
      <c r="AJ284" s="66"/>
      <c r="AK284" s="31" t="s">
        <v>2097</v>
      </c>
      <c r="AL284" s="65" t="s">
        <v>399</v>
      </c>
      <c r="AM284" s="64" t="s">
        <v>399</v>
      </c>
      <c r="AN284" s="9" t="s">
        <v>399</v>
      </c>
      <c r="AO284" s="6"/>
      <c r="AP284" s="6"/>
      <c r="AQ284" s="6" t="s">
        <v>2192</v>
      </c>
      <c r="AR284" s="6" t="s">
        <v>2191</v>
      </c>
      <c r="AS284" s="6" t="s">
        <v>2190</v>
      </c>
    </row>
    <row r="285" spans="1:45" ht="12.75" customHeight="1">
      <c r="A285" s="33" t="s">
        <v>2189</v>
      </c>
      <c r="B285" s="33" t="s">
        <v>396</v>
      </c>
      <c r="C285" s="31" t="s">
        <v>403</v>
      </c>
      <c r="D285" s="6" t="s">
        <v>382</v>
      </c>
      <c r="E285" s="31" t="s">
        <v>382</v>
      </c>
      <c r="F285" s="31" t="s">
        <v>2103</v>
      </c>
      <c r="G285" s="31" t="s">
        <v>2102</v>
      </c>
      <c r="H285" s="67" t="s">
        <v>396</v>
      </c>
      <c r="I285" s="67" t="s">
        <v>396</v>
      </c>
      <c r="J285" s="31" t="s">
        <v>2116</v>
      </c>
      <c r="K285" s="31" t="s">
        <v>2116</v>
      </c>
      <c r="L285" s="67" t="s">
        <v>2068</v>
      </c>
      <c r="M285" s="67" t="s">
        <v>655</v>
      </c>
      <c r="N285" s="67" t="s">
        <v>2099</v>
      </c>
      <c r="O285" s="67" t="s">
        <v>2098</v>
      </c>
      <c r="P285" s="66"/>
      <c r="Q285" s="66"/>
      <c r="R285" s="56"/>
      <c r="S285" s="27" t="s">
        <v>399</v>
      </c>
      <c r="T285" s="69">
        <v>12.5</v>
      </c>
      <c r="U285" s="69" t="s">
        <v>399</v>
      </c>
      <c r="V285" s="69" t="s">
        <v>399</v>
      </c>
      <c r="W285" s="67" t="s">
        <v>396</v>
      </c>
      <c r="X285" s="69">
        <v>12.5</v>
      </c>
      <c r="Y285" s="30" t="s">
        <v>396</v>
      </c>
      <c r="Z285" s="68">
        <v>0.25</v>
      </c>
      <c r="AA285" s="67" t="s">
        <v>396</v>
      </c>
      <c r="AB285" s="66"/>
      <c r="AC285" s="66"/>
      <c r="AD285" s="66"/>
      <c r="AE285" s="66"/>
      <c r="AF285" s="67" t="s">
        <v>399</v>
      </c>
      <c r="AG285" s="66"/>
      <c r="AH285" s="66"/>
      <c r="AI285" s="66"/>
      <c r="AJ285" s="66"/>
      <c r="AK285" s="31" t="s">
        <v>2097</v>
      </c>
      <c r="AL285" s="65" t="s">
        <v>399</v>
      </c>
      <c r="AM285" s="64" t="s">
        <v>399</v>
      </c>
      <c r="AN285" s="9" t="s">
        <v>399</v>
      </c>
      <c r="AO285" s="6"/>
      <c r="AP285" s="6"/>
      <c r="AQ285" s="6" t="s">
        <v>2188</v>
      </c>
      <c r="AR285" s="6" t="s">
        <v>2187</v>
      </c>
      <c r="AS285" s="6" t="s">
        <v>2186</v>
      </c>
    </row>
    <row r="286" spans="1:45" ht="12.75" customHeight="1">
      <c r="A286" s="33" t="s">
        <v>2185</v>
      </c>
      <c r="B286" s="33" t="s">
        <v>396</v>
      </c>
      <c r="C286" s="31" t="s">
        <v>403</v>
      </c>
      <c r="D286" s="6" t="s">
        <v>382</v>
      </c>
      <c r="E286" s="31" t="s">
        <v>382</v>
      </c>
      <c r="F286" s="31" t="s">
        <v>2103</v>
      </c>
      <c r="G286" s="31" t="s">
        <v>2102</v>
      </c>
      <c r="H286" s="67" t="s">
        <v>396</v>
      </c>
      <c r="I286" s="67" t="s">
        <v>396</v>
      </c>
      <c r="J286" s="31" t="s">
        <v>2101</v>
      </c>
      <c r="K286" s="31" t="s">
        <v>2101</v>
      </c>
      <c r="L286" s="67" t="s">
        <v>2068</v>
      </c>
      <c r="M286" s="67" t="s">
        <v>2100</v>
      </c>
      <c r="N286" s="67" t="s">
        <v>2099</v>
      </c>
      <c r="O286" s="67" t="s">
        <v>2098</v>
      </c>
      <c r="P286" s="66"/>
      <c r="Q286" s="66"/>
      <c r="R286" s="56"/>
      <c r="S286" s="27" t="s">
        <v>399</v>
      </c>
      <c r="T286" s="69">
        <v>15</v>
      </c>
      <c r="U286" s="69" t="s">
        <v>399</v>
      </c>
      <c r="V286" s="69" t="s">
        <v>399</v>
      </c>
      <c r="W286" s="67" t="s">
        <v>396</v>
      </c>
      <c r="X286" s="69">
        <v>15</v>
      </c>
      <c r="Y286" s="30" t="s">
        <v>396</v>
      </c>
      <c r="Z286" s="68">
        <v>0.25</v>
      </c>
      <c r="AA286" s="67" t="s">
        <v>396</v>
      </c>
      <c r="AB286" s="66"/>
      <c r="AC286" s="66"/>
      <c r="AD286" s="66"/>
      <c r="AE286" s="66"/>
      <c r="AF286" s="67" t="s">
        <v>399</v>
      </c>
      <c r="AG286" s="66"/>
      <c r="AH286" s="66"/>
      <c r="AI286" s="66"/>
      <c r="AJ286" s="66"/>
      <c r="AK286" s="31" t="s">
        <v>2097</v>
      </c>
      <c r="AL286" s="65" t="s">
        <v>399</v>
      </c>
      <c r="AM286" s="64" t="s">
        <v>399</v>
      </c>
      <c r="AN286" s="9" t="s">
        <v>399</v>
      </c>
      <c r="AO286" s="6"/>
      <c r="AP286" s="6"/>
      <c r="AQ286" s="6" t="s">
        <v>2184</v>
      </c>
      <c r="AR286" s="6" t="s">
        <v>2183</v>
      </c>
      <c r="AS286" s="6" t="s">
        <v>2182</v>
      </c>
    </row>
    <row r="287" spans="1:45" ht="12.75" customHeight="1">
      <c r="A287" s="33" t="s">
        <v>2181</v>
      </c>
      <c r="B287" s="33" t="s">
        <v>396</v>
      </c>
      <c r="C287" s="31" t="s">
        <v>403</v>
      </c>
      <c r="D287" s="6" t="s">
        <v>382</v>
      </c>
      <c r="E287" s="31" t="s">
        <v>382</v>
      </c>
      <c r="F287" s="31" t="s">
        <v>2103</v>
      </c>
      <c r="G287" s="31" t="s">
        <v>2102</v>
      </c>
      <c r="H287" s="67" t="s">
        <v>396</v>
      </c>
      <c r="I287" s="67" t="s">
        <v>396</v>
      </c>
      <c r="J287" s="31" t="s">
        <v>2101</v>
      </c>
      <c r="K287" s="31" t="s">
        <v>2101</v>
      </c>
      <c r="L287" s="67" t="s">
        <v>2068</v>
      </c>
      <c r="M287" s="67" t="s">
        <v>2100</v>
      </c>
      <c r="N287" s="67" t="s">
        <v>2099</v>
      </c>
      <c r="O287" s="67" t="s">
        <v>2098</v>
      </c>
      <c r="P287" s="66"/>
      <c r="Q287" s="66"/>
      <c r="R287" s="56"/>
      <c r="S287" s="27" t="s">
        <v>399</v>
      </c>
      <c r="T287" s="69">
        <v>15</v>
      </c>
      <c r="U287" s="69" t="s">
        <v>399</v>
      </c>
      <c r="V287" s="69" t="s">
        <v>399</v>
      </c>
      <c r="W287" s="67" t="s">
        <v>396</v>
      </c>
      <c r="X287" s="69">
        <v>15</v>
      </c>
      <c r="Y287" s="30" t="s">
        <v>396</v>
      </c>
      <c r="Z287" s="68">
        <v>0.25</v>
      </c>
      <c r="AA287" s="67" t="s">
        <v>396</v>
      </c>
      <c r="AB287" s="66"/>
      <c r="AC287" s="66"/>
      <c r="AD287" s="66"/>
      <c r="AE287" s="66"/>
      <c r="AF287" s="67" t="s">
        <v>399</v>
      </c>
      <c r="AG287" s="66"/>
      <c r="AH287" s="66"/>
      <c r="AI287" s="66"/>
      <c r="AJ287" s="66"/>
      <c r="AK287" s="31" t="s">
        <v>2097</v>
      </c>
      <c r="AL287" s="65" t="s">
        <v>399</v>
      </c>
      <c r="AM287" s="64" t="s">
        <v>399</v>
      </c>
      <c r="AN287" s="9" t="s">
        <v>399</v>
      </c>
      <c r="AO287" s="6"/>
      <c r="AP287" s="6"/>
      <c r="AQ287" s="6" t="s">
        <v>2180</v>
      </c>
      <c r="AR287" s="6" t="s">
        <v>2179</v>
      </c>
      <c r="AS287" s="6" t="s">
        <v>2178</v>
      </c>
    </row>
    <row r="288" spans="1:45" ht="12.75" customHeight="1">
      <c r="A288" s="33" t="s">
        <v>2177</v>
      </c>
      <c r="B288" s="33" t="s">
        <v>396</v>
      </c>
      <c r="C288" s="31" t="s">
        <v>403</v>
      </c>
      <c r="D288" s="6" t="s">
        <v>382</v>
      </c>
      <c r="E288" s="31" t="s">
        <v>382</v>
      </c>
      <c r="F288" s="31" t="s">
        <v>2103</v>
      </c>
      <c r="G288" s="31" t="s">
        <v>2102</v>
      </c>
      <c r="H288" s="67" t="s">
        <v>396</v>
      </c>
      <c r="I288" s="67" t="s">
        <v>396</v>
      </c>
      <c r="J288" s="31" t="s">
        <v>2101</v>
      </c>
      <c r="K288" s="31" t="s">
        <v>2101</v>
      </c>
      <c r="L288" s="67" t="s">
        <v>2068</v>
      </c>
      <c r="M288" s="67" t="s">
        <v>2100</v>
      </c>
      <c r="N288" s="67" t="s">
        <v>2099</v>
      </c>
      <c r="O288" s="67" t="s">
        <v>2098</v>
      </c>
      <c r="P288" s="66"/>
      <c r="Q288" s="66"/>
      <c r="R288" s="56"/>
      <c r="S288" s="27" t="s">
        <v>399</v>
      </c>
      <c r="T288" s="69">
        <v>15</v>
      </c>
      <c r="U288" s="69" t="s">
        <v>399</v>
      </c>
      <c r="V288" s="69" t="s">
        <v>399</v>
      </c>
      <c r="W288" s="67" t="s">
        <v>396</v>
      </c>
      <c r="X288" s="69">
        <v>15</v>
      </c>
      <c r="Y288" s="30" t="s">
        <v>396</v>
      </c>
      <c r="Z288" s="68">
        <v>0.25</v>
      </c>
      <c r="AA288" s="67" t="s">
        <v>396</v>
      </c>
      <c r="AB288" s="66"/>
      <c r="AC288" s="66"/>
      <c r="AD288" s="66"/>
      <c r="AE288" s="66"/>
      <c r="AF288" s="67" t="s">
        <v>399</v>
      </c>
      <c r="AG288" s="66"/>
      <c r="AH288" s="66"/>
      <c r="AI288" s="66"/>
      <c r="AJ288" s="66"/>
      <c r="AK288" s="31" t="s">
        <v>2097</v>
      </c>
      <c r="AL288" s="65" t="s">
        <v>399</v>
      </c>
      <c r="AM288" s="64" t="s">
        <v>399</v>
      </c>
      <c r="AN288" s="9" t="s">
        <v>399</v>
      </c>
      <c r="AO288" s="6"/>
      <c r="AP288" s="6"/>
      <c r="AQ288" s="6" t="s">
        <v>2176</v>
      </c>
      <c r="AR288" s="6" t="s">
        <v>2175</v>
      </c>
      <c r="AS288" s="6" t="s">
        <v>2174</v>
      </c>
    </row>
    <row r="289" spans="1:45" ht="12.75" customHeight="1">
      <c r="A289" s="33" t="s">
        <v>2173</v>
      </c>
      <c r="B289" s="33" t="s">
        <v>396</v>
      </c>
      <c r="C289" s="31" t="s">
        <v>403</v>
      </c>
      <c r="D289" s="6" t="s">
        <v>382</v>
      </c>
      <c r="E289" s="31" t="s">
        <v>382</v>
      </c>
      <c r="F289" s="31" t="s">
        <v>2103</v>
      </c>
      <c r="G289" s="31" t="s">
        <v>2102</v>
      </c>
      <c r="H289" s="67" t="s">
        <v>396</v>
      </c>
      <c r="I289" s="67" t="s">
        <v>396</v>
      </c>
      <c r="J289" s="31" t="s">
        <v>2116</v>
      </c>
      <c r="K289" s="31" t="s">
        <v>2116</v>
      </c>
      <c r="L289" s="67" t="s">
        <v>2068</v>
      </c>
      <c r="M289" s="67" t="s">
        <v>655</v>
      </c>
      <c r="N289" s="67" t="s">
        <v>2099</v>
      </c>
      <c r="O289" s="67" t="s">
        <v>2098</v>
      </c>
      <c r="P289" s="66"/>
      <c r="Q289" s="66"/>
      <c r="R289" s="56"/>
      <c r="S289" s="27" t="s">
        <v>399</v>
      </c>
      <c r="T289" s="69">
        <v>12.5</v>
      </c>
      <c r="U289" s="69" t="s">
        <v>399</v>
      </c>
      <c r="V289" s="69" t="s">
        <v>399</v>
      </c>
      <c r="W289" s="67" t="s">
        <v>396</v>
      </c>
      <c r="X289" s="69">
        <v>12.5</v>
      </c>
      <c r="Y289" s="30" t="s">
        <v>396</v>
      </c>
      <c r="Z289" s="68">
        <v>0.25</v>
      </c>
      <c r="AA289" s="67" t="s">
        <v>396</v>
      </c>
      <c r="AB289" s="66"/>
      <c r="AC289" s="66"/>
      <c r="AD289" s="66"/>
      <c r="AE289" s="66"/>
      <c r="AF289" s="67" t="s">
        <v>399</v>
      </c>
      <c r="AG289" s="66"/>
      <c r="AH289" s="66"/>
      <c r="AI289" s="66"/>
      <c r="AJ289" s="66"/>
      <c r="AK289" s="31" t="s">
        <v>2097</v>
      </c>
      <c r="AL289" s="65" t="s">
        <v>399</v>
      </c>
      <c r="AM289" s="64" t="s">
        <v>399</v>
      </c>
      <c r="AN289" s="9" t="s">
        <v>399</v>
      </c>
      <c r="AO289" s="6"/>
      <c r="AP289" s="6"/>
      <c r="AQ289" s="6" t="s">
        <v>2172</v>
      </c>
      <c r="AR289" s="6" t="s">
        <v>2171</v>
      </c>
      <c r="AS289" s="6" t="s">
        <v>2170</v>
      </c>
    </row>
    <row r="290" spans="1:45" ht="12.75" customHeight="1">
      <c r="A290" s="33" t="s">
        <v>2169</v>
      </c>
      <c r="B290" s="33" t="s">
        <v>396</v>
      </c>
      <c r="C290" s="31" t="s">
        <v>403</v>
      </c>
      <c r="D290" s="6" t="s">
        <v>382</v>
      </c>
      <c r="E290" s="31" t="s">
        <v>382</v>
      </c>
      <c r="F290" s="31" t="s">
        <v>2103</v>
      </c>
      <c r="G290" s="31" t="s">
        <v>2102</v>
      </c>
      <c r="H290" s="67" t="s">
        <v>396</v>
      </c>
      <c r="I290" s="67" t="s">
        <v>396</v>
      </c>
      <c r="J290" s="31" t="s">
        <v>2116</v>
      </c>
      <c r="K290" s="31" t="s">
        <v>2116</v>
      </c>
      <c r="L290" s="67" t="s">
        <v>2068</v>
      </c>
      <c r="M290" s="67" t="s">
        <v>655</v>
      </c>
      <c r="N290" s="67" t="s">
        <v>2099</v>
      </c>
      <c r="O290" s="67" t="s">
        <v>2098</v>
      </c>
      <c r="P290" s="66"/>
      <c r="Q290" s="66"/>
      <c r="R290" s="56"/>
      <c r="S290" s="27" t="s">
        <v>399</v>
      </c>
      <c r="T290" s="69">
        <v>12.5</v>
      </c>
      <c r="U290" s="69" t="s">
        <v>399</v>
      </c>
      <c r="V290" s="69" t="s">
        <v>399</v>
      </c>
      <c r="W290" s="67" t="s">
        <v>396</v>
      </c>
      <c r="X290" s="69">
        <v>12.5</v>
      </c>
      <c r="Y290" s="30" t="s">
        <v>396</v>
      </c>
      <c r="Z290" s="68">
        <v>0.25</v>
      </c>
      <c r="AA290" s="67" t="s">
        <v>396</v>
      </c>
      <c r="AB290" s="66"/>
      <c r="AC290" s="66"/>
      <c r="AD290" s="66"/>
      <c r="AE290" s="66"/>
      <c r="AF290" s="67" t="s">
        <v>399</v>
      </c>
      <c r="AG290" s="66"/>
      <c r="AH290" s="66"/>
      <c r="AI290" s="66"/>
      <c r="AJ290" s="66"/>
      <c r="AK290" s="31" t="s">
        <v>2097</v>
      </c>
      <c r="AL290" s="65" t="s">
        <v>399</v>
      </c>
      <c r="AM290" s="64" t="s">
        <v>399</v>
      </c>
      <c r="AN290" s="9" t="s">
        <v>399</v>
      </c>
      <c r="AO290" s="6"/>
      <c r="AP290" s="6"/>
      <c r="AQ290" s="6" t="s">
        <v>2168</v>
      </c>
      <c r="AR290" s="6" t="s">
        <v>2167</v>
      </c>
      <c r="AS290" s="6" t="s">
        <v>2166</v>
      </c>
    </row>
    <row r="291" spans="1:45" ht="12.75" customHeight="1">
      <c r="A291" s="33" t="s">
        <v>2165</v>
      </c>
      <c r="B291" s="33" t="s">
        <v>396</v>
      </c>
      <c r="C291" s="31" t="s">
        <v>403</v>
      </c>
      <c r="D291" s="6" t="s">
        <v>382</v>
      </c>
      <c r="E291" s="31" t="s">
        <v>382</v>
      </c>
      <c r="F291" s="31" t="s">
        <v>2103</v>
      </c>
      <c r="G291" s="31" t="s">
        <v>2102</v>
      </c>
      <c r="H291" s="67" t="s">
        <v>396</v>
      </c>
      <c r="I291" s="67" t="s">
        <v>396</v>
      </c>
      <c r="J291" s="31" t="s">
        <v>2116</v>
      </c>
      <c r="K291" s="31" t="s">
        <v>2116</v>
      </c>
      <c r="L291" s="67" t="s">
        <v>2068</v>
      </c>
      <c r="M291" s="67" t="s">
        <v>655</v>
      </c>
      <c r="N291" s="67" t="s">
        <v>2099</v>
      </c>
      <c r="O291" s="67" t="s">
        <v>2098</v>
      </c>
      <c r="P291" s="66"/>
      <c r="Q291" s="66"/>
      <c r="R291" s="56"/>
      <c r="S291" s="27" t="s">
        <v>399</v>
      </c>
      <c r="T291" s="69">
        <v>12.5</v>
      </c>
      <c r="U291" s="69" t="s">
        <v>399</v>
      </c>
      <c r="V291" s="69" t="s">
        <v>399</v>
      </c>
      <c r="W291" s="67" t="s">
        <v>396</v>
      </c>
      <c r="X291" s="69">
        <v>12.5</v>
      </c>
      <c r="Y291" s="30" t="s">
        <v>396</v>
      </c>
      <c r="Z291" s="68">
        <v>0.25</v>
      </c>
      <c r="AA291" s="67" t="s">
        <v>396</v>
      </c>
      <c r="AB291" s="66"/>
      <c r="AC291" s="66"/>
      <c r="AD291" s="66"/>
      <c r="AE291" s="66"/>
      <c r="AF291" s="67" t="s">
        <v>399</v>
      </c>
      <c r="AG291" s="66"/>
      <c r="AH291" s="66"/>
      <c r="AI291" s="66"/>
      <c r="AJ291" s="66"/>
      <c r="AK291" s="31" t="s">
        <v>2097</v>
      </c>
      <c r="AL291" s="65" t="s">
        <v>399</v>
      </c>
      <c r="AM291" s="64" t="s">
        <v>399</v>
      </c>
      <c r="AN291" s="9" t="s">
        <v>399</v>
      </c>
      <c r="AO291" s="6"/>
      <c r="AP291" s="6"/>
      <c r="AQ291" s="6" t="s">
        <v>2164</v>
      </c>
      <c r="AR291" s="6" t="s">
        <v>2163</v>
      </c>
      <c r="AS291" s="6" t="s">
        <v>2162</v>
      </c>
    </row>
    <row r="292" spans="1:45" ht="12.75" customHeight="1">
      <c r="A292" s="33" t="s">
        <v>2161</v>
      </c>
      <c r="B292" s="33" t="s">
        <v>396</v>
      </c>
      <c r="C292" s="31" t="s">
        <v>403</v>
      </c>
      <c r="D292" s="6" t="s">
        <v>382</v>
      </c>
      <c r="E292" s="31" t="s">
        <v>382</v>
      </c>
      <c r="F292" s="31" t="s">
        <v>2103</v>
      </c>
      <c r="G292" s="31" t="s">
        <v>2102</v>
      </c>
      <c r="H292" s="67" t="s">
        <v>396</v>
      </c>
      <c r="I292" s="67" t="s">
        <v>396</v>
      </c>
      <c r="J292" s="31" t="s">
        <v>2101</v>
      </c>
      <c r="K292" s="31" t="s">
        <v>2101</v>
      </c>
      <c r="L292" s="67" t="s">
        <v>2068</v>
      </c>
      <c r="M292" s="67" t="s">
        <v>2100</v>
      </c>
      <c r="N292" s="67" t="s">
        <v>2099</v>
      </c>
      <c r="O292" s="67" t="s">
        <v>2098</v>
      </c>
      <c r="P292" s="66"/>
      <c r="Q292" s="66"/>
      <c r="R292" s="56"/>
      <c r="S292" s="27" t="s">
        <v>399</v>
      </c>
      <c r="T292" s="69">
        <v>15</v>
      </c>
      <c r="U292" s="69" t="s">
        <v>399</v>
      </c>
      <c r="V292" s="69" t="s">
        <v>399</v>
      </c>
      <c r="W292" s="67" t="s">
        <v>396</v>
      </c>
      <c r="X292" s="69">
        <v>15</v>
      </c>
      <c r="Y292" s="30" t="s">
        <v>396</v>
      </c>
      <c r="Z292" s="68">
        <v>0.25</v>
      </c>
      <c r="AA292" s="67" t="s">
        <v>396</v>
      </c>
      <c r="AB292" s="66"/>
      <c r="AC292" s="66"/>
      <c r="AD292" s="66"/>
      <c r="AE292" s="66"/>
      <c r="AF292" s="67" t="s">
        <v>399</v>
      </c>
      <c r="AG292" s="66"/>
      <c r="AH292" s="66"/>
      <c r="AI292" s="66"/>
      <c r="AJ292" s="66"/>
      <c r="AK292" s="31" t="s">
        <v>2097</v>
      </c>
      <c r="AL292" s="65" t="s">
        <v>399</v>
      </c>
      <c r="AM292" s="64" t="s">
        <v>399</v>
      </c>
      <c r="AN292" s="9" t="s">
        <v>399</v>
      </c>
      <c r="AO292" s="6"/>
      <c r="AP292" s="6"/>
      <c r="AQ292" s="6" t="s">
        <v>2160</v>
      </c>
      <c r="AR292" s="6" t="s">
        <v>2159</v>
      </c>
      <c r="AS292" s="6" t="s">
        <v>2158</v>
      </c>
    </row>
    <row r="293" spans="1:45" ht="12.75" customHeight="1">
      <c r="A293" s="33" t="s">
        <v>2157</v>
      </c>
      <c r="B293" s="33" t="s">
        <v>396</v>
      </c>
      <c r="C293" s="31" t="s">
        <v>403</v>
      </c>
      <c r="D293" s="6" t="s">
        <v>382</v>
      </c>
      <c r="E293" s="31" t="s">
        <v>382</v>
      </c>
      <c r="F293" s="31" t="s">
        <v>2103</v>
      </c>
      <c r="G293" s="31" t="s">
        <v>2102</v>
      </c>
      <c r="H293" s="67" t="s">
        <v>396</v>
      </c>
      <c r="I293" s="67" t="s">
        <v>396</v>
      </c>
      <c r="J293" s="31" t="s">
        <v>2101</v>
      </c>
      <c r="K293" s="31" t="s">
        <v>2101</v>
      </c>
      <c r="L293" s="67" t="s">
        <v>2068</v>
      </c>
      <c r="M293" s="67" t="s">
        <v>2100</v>
      </c>
      <c r="N293" s="67" t="s">
        <v>2099</v>
      </c>
      <c r="O293" s="67" t="s">
        <v>2098</v>
      </c>
      <c r="P293" s="66"/>
      <c r="Q293" s="66"/>
      <c r="R293" s="56"/>
      <c r="S293" s="27" t="s">
        <v>399</v>
      </c>
      <c r="T293" s="69">
        <v>15</v>
      </c>
      <c r="U293" s="69" t="s">
        <v>399</v>
      </c>
      <c r="V293" s="69" t="s">
        <v>399</v>
      </c>
      <c r="W293" s="67" t="s">
        <v>396</v>
      </c>
      <c r="X293" s="69">
        <v>15</v>
      </c>
      <c r="Y293" s="30" t="s">
        <v>396</v>
      </c>
      <c r="Z293" s="68">
        <v>0.25</v>
      </c>
      <c r="AA293" s="67" t="s">
        <v>396</v>
      </c>
      <c r="AB293" s="66"/>
      <c r="AC293" s="66"/>
      <c r="AD293" s="66"/>
      <c r="AE293" s="66"/>
      <c r="AF293" s="67" t="s">
        <v>399</v>
      </c>
      <c r="AG293" s="66"/>
      <c r="AH293" s="66"/>
      <c r="AI293" s="66"/>
      <c r="AJ293" s="66"/>
      <c r="AK293" s="31" t="s">
        <v>2097</v>
      </c>
      <c r="AL293" s="65" t="s">
        <v>399</v>
      </c>
      <c r="AM293" s="64" t="s">
        <v>399</v>
      </c>
      <c r="AN293" s="9" t="s">
        <v>399</v>
      </c>
      <c r="AO293" s="6"/>
      <c r="AP293" s="6"/>
      <c r="AQ293" s="6" t="s">
        <v>2156</v>
      </c>
      <c r="AR293" s="6" t="s">
        <v>2155</v>
      </c>
      <c r="AS293" s="6" t="s">
        <v>2154</v>
      </c>
    </row>
    <row r="294" spans="1:45" ht="12.75" customHeight="1">
      <c r="A294" s="33" t="s">
        <v>2153</v>
      </c>
      <c r="B294" s="33" t="s">
        <v>396</v>
      </c>
      <c r="C294" s="31" t="s">
        <v>403</v>
      </c>
      <c r="D294" s="6" t="s">
        <v>382</v>
      </c>
      <c r="E294" s="31" t="s">
        <v>382</v>
      </c>
      <c r="F294" s="31" t="s">
        <v>2103</v>
      </c>
      <c r="G294" s="31" t="s">
        <v>2102</v>
      </c>
      <c r="H294" s="67" t="s">
        <v>396</v>
      </c>
      <c r="I294" s="67" t="s">
        <v>396</v>
      </c>
      <c r="J294" s="31" t="s">
        <v>2101</v>
      </c>
      <c r="K294" s="31" t="s">
        <v>2101</v>
      </c>
      <c r="L294" s="67" t="s">
        <v>2068</v>
      </c>
      <c r="M294" s="67" t="s">
        <v>2100</v>
      </c>
      <c r="N294" s="67" t="s">
        <v>2099</v>
      </c>
      <c r="O294" s="67" t="s">
        <v>2098</v>
      </c>
      <c r="P294" s="66"/>
      <c r="Q294" s="66"/>
      <c r="R294" s="56"/>
      <c r="S294" s="27" t="s">
        <v>399</v>
      </c>
      <c r="T294" s="69">
        <v>15</v>
      </c>
      <c r="U294" s="69" t="s">
        <v>399</v>
      </c>
      <c r="V294" s="69" t="s">
        <v>399</v>
      </c>
      <c r="W294" s="67" t="s">
        <v>396</v>
      </c>
      <c r="X294" s="69">
        <v>15</v>
      </c>
      <c r="Y294" s="30" t="s">
        <v>396</v>
      </c>
      <c r="Z294" s="68">
        <v>0.25</v>
      </c>
      <c r="AA294" s="67" t="s">
        <v>396</v>
      </c>
      <c r="AB294" s="66"/>
      <c r="AC294" s="66"/>
      <c r="AD294" s="66"/>
      <c r="AE294" s="66"/>
      <c r="AF294" s="67" t="s">
        <v>399</v>
      </c>
      <c r="AG294" s="66"/>
      <c r="AH294" s="66"/>
      <c r="AI294" s="66"/>
      <c r="AJ294" s="66"/>
      <c r="AK294" s="31" t="s">
        <v>2097</v>
      </c>
      <c r="AL294" s="65" t="s">
        <v>399</v>
      </c>
      <c r="AM294" s="64" t="s">
        <v>399</v>
      </c>
      <c r="AN294" s="9" t="s">
        <v>399</v>
      </c>
      <c r="AO294" s="6"/>
      <c r="AP294" s="6"/>
      <c r="AQ294" s="6" t="s">
        <v>2152</v>
      </c>
      <c r="AR294" s="6" t="s">
        <v>2151</v>
      </c>
      <c r="AS294" s="6" t="s">
        <v>2150</v>
      </c>
    </row>
    <row r="295" spans="1:45" ht="12.75" customHeight="1">
      <c r="A295" s="33" t="s">
        <v>2149</v>
      </c>
      <c r="B295" s="33" t="s">
        <v>396</v>
      </c>
      <c r="C295" s="31" t="s">
        <v>403</v>
      </c>
      <c r="D295" s="6" t="s">
        <v>382</v>
      </c>
      <c r="E295" s="31" t="s">
        <v>382</v>
      </c>
      <c r="F295" s="31" t="s">
        <v>2103</v>
      </c>
      <c r="G295" s="31" t="s">
        <v>2102</v>
      </c>
      <c r="H295" s="67" t="s">
        <v>396</v>
      </c>
      <c r="I295" s="67" t="s">
        <v>396</v>
      </c>
      <c r="J295" s="31" t="s">
        <v>2116</v>
      </c>
      <c r="K295" s="31" t="s">
        <v>2116</v>
      </c>
      <c r="L295" s="67" t="s">
        <v>2068</v>
      </c>
      <c r="M295" s="67" t="s">
        <v>655</v>
      </c>
      <c r="N295" s="67" t="s">
        <v>2099</v>
      </c>
      <c r="O295" s="67" t="s">
        <v>2098</v>
      </c>
      <c r="P295" s="66"/>
      <c r="Q295" s="66"/>
      <c r="R295" s="56"/>
      <c r="S295" s="27" t="s">
        <v>399</v>
      </c>
      <c r="T295" s="69">
        <v>12.5</v>
      </c>
      <c r="U295" s="69" t="s">
        <v>399</v>
      </c>
      <c r="V295" s="69" t="s">
        <v>399</v>
      </c>
      <c r="W295" s="67" t="s">
        <v>396</v>
      </c>
      <c r="X295" s="69">
        <v>12.5</v>
      </c>
      <c r="Y295" s="30" t="s">
        <v>396</v>
      </c>
      <c r="Z295" s="68">
        <v>0.25</v>
      </c>
      <c r="AA295" s="67" t="s">
        <v>396</v>
      </c>
      <c r="AB295" s="66"/>
      <c r="AC295" s="66"/>
      <c r="AD295" s="66"/>
      <c r="AE295" s="66"/>
      <c r="AF295" s="67" t="s">
        <v>399</v>
      </c>
      <c r="AG295" s="66"/>
      <c r="AH295" s="66"/>
      <c r="AI295" s="66"/>
      <c r="AJ295" s="66"/>
      <c r="AK295" s="31" t="s">
        <v>2097</v>
      </c>
      <c r="AL295" s="65" t="s">
        <v>399</v>
      </c>
      <c r="AM295" s="64" t="s">
        <v>399</v>
      </c>
      <c r="AN295" s="9" t="s">
        <v>399</v>
      </c>
      <c r="AO295" s="6"/>
      <c r="AP295" s="6"/>
      <c r="AQ295" s="6" t="s">
        <v>2148</v>
      </c>
      <c r="AR295" s="6" t="s">
        <v>2147</v>
      </c>
      <c r="AS295" s="6" t="s">
        <v>2146</v>
      </c>
    </row>
    <row r="296" spans="1:45" ht="12.75" customHeight="1">
      <c r="A296" s="33" t="s">
        <v>2145</v>
      </c>
      <c r="B296" s="33" t="s">
        <v>396</v>
      </c>
      <c r="C296" s="31" t="s">
        <v>403</v>
      </c>
      <c r="D296" s="6" t="s">
        <v>382</v>
      </c>
      <c r="E296" s="31" t="s">
        <v>382</v>
      </c>
      <c r="F296" s="31" t="s">
        <v>2103</v>
      </c>
      <c r="G296" s="31" t="s">
        <v>2102</v>
      </c>
      <c r="H296" s="67" t="s">
        <v>396</v>
      </c>
      <c r="I296" s="67" t="s">
        <v>396</v>
      </c>
      <c r="J296" s="31" t="s">
        <v>2116</v>
      </c>
      <c r="K296" s="31" t="s">
        <v>2116</v>
      </c>
      <c r="L296" s="67" t="s">
        <v>2068</v>
      </c>
      <c r="M296" s="67" t="s">
        <v>655</v>
      </c>
      <c r="N296" s="67" t="s">
        <v>2099</v>
      </c>
      <c r="O296" s="67" t="s">
        <v>2098</v>
      </c>
      <c r="P296" s="66"/>
      <c r="Q296" s="66"/>
      <c r="R296" s="56"/>
      <c r="S296" s="27" t="s">
        <v>399</v>
      </c>
      <c r="T296" s="69">
        <v>12.5</v>
      </c>
      <c r="U296" s="69" t="s">
        <v>399</v>
      </c>
      <c r="V296" s="69" t="s">
        <v>399</v>
      </c>
      <c r="W296" s="67" t="s">
        <v>396</v>
      </c>
      <c r="X296" s="69">
        <v>12.5</v>
      </c>
      <c r="Y296" s="30" t="s">
        <v>396</v>
      </c>
      <c r="Z296" s="68">
        <v>0.25</v>
      </c>
      <c r="AA296" s="67" t="s">
        <v>396</v>
      </c>
      <c r="AB296" s="66"/>
      <c r="AC296" s="66"/>
      <c r="AD296" s="66"/>
      <c r="AE296" s="66"/>
      <c r="AF296" s="67" t="s">
        <v>399</v>
      </c>
      <c r="AG296" s="66"/>
      <c r="AH296" s="66"/>
      <c r="AI296" s="66"/>
      <c r="AJ296" s="66"/>
      <c r="AK296" s="31" t="s">
        <v>2097</v>
      </c>
      <c r="AL296" s="65" t="s">
        <v>399</v>
      </c>
      <c r="AM296" s="64" t="s">
        <v>399</v>
      </c>
      <c r="AN296" s="9" t="s">
        <v>399</v>
      </c>
      <c r="AO296" s="6"/>
      <c r="AP296" s="6"/>
      <c r="AQ296" s="6" t="s">
        <v>2144</v>
      </c>
      <c r="AR296" s="6" t="s">
        <v>2143</v>
      </c>
      <c r="AS296" s="6" t="s">
        <v>2142</v>
      </c>
    </row>
    <row r="297" spans="1:45" ht="12.75" customHeight="1">
      <c r="A297" s="33" t="s">
        <v>2141</v>
      </c>
      <c r="B297" s="33" t="s">
        <v>396</v>
      </c>
      <c r="C297" s="31" t="s">
        <v>403</v>
      </c>
      <c r="D297" s="6" t="s">
        <v>382</v>
      </c>
      <c r="E297" s="31" t="s">
        <v>382</v>
      </c>
      <c r="F297" s="31" t="s">
        <v>2103</v>
      </c>
      <c r="G297" s="31" t="s">
        <v>2102</v>
      </c>
      <c r="H297" s="67" t="s">
        <v>396</v>
      </c>
      <c r="I297" s="67" t="s">
        <v>396</v>
      </c>
      <c r="J297" s="31" t="s">
        <v>2116</v>
      </c>
      <c r="K297" s="31" t="s">
        <v>2116</v>
      </c>
      <c r="L297" s="67" t="s">
        <v>2068</v>
      </c>
      <c r="M297" s="67" t="s">
        <v>655</v>
      </c>
      <c r="N297" s="67" t="s">
        <v>2099</v>
      </c>
      <c r="O297" s="67" t="s">
        <v>2098</v>
      </c>
      <c r="P297" s="66"/>
      <c r="Q297" s="66"/>
      <c r="R297" s="56"/>
      <c r="S297" s="27" t="s">
        <v>399</v>
      </c>
      <c r="T297" s="69">
        <v>12.5</v>
      </c>
      <c r="U297" s="69" t="s">
        <v>399</v>
      </c>
      <c r="V297" s="69" t="s">
        <v>399</v>
      </c>
      <c r="W297" s="67" t="s">
        <v>396</v>
      </c>
      <c r="X297" s="69">
        <v>12.5</v>
      </c>
      <c r="Y297" s="30" t="s">
        <v>396</v>
      </c>
      <c r="Z297" s="68">
        <v>0.25</v>
      </c>
      <c r="AA297" s="67" t="s">
        <v>396</v>
      </c>
      <c r="AB297" s="66"/>
      <c r="AC297" s="66"/>
      <c r="AD297" s="66"/>
      <c r="AE297" s="66"/>
      <c r="AF297" s="67" t="s">
        <v>399</v>
      </c>
      <c r="AG297" s="66"/>
      <c r="AH297" s="66"/>
      <c r="AI297" s="66"/>
      <c r="AJ297" s="66"/>
      <c r="AK297" s="31" t="s">
        <v>2097</v>
      </c>
      <c r="AL297" s="65" t="s">
        <v>399</v>
      </c>
      <c r="AM297" s="64" t="s">
        <v>399</v>
      </c>
      <c r="AN297" s="9" t="s">
        <v>399</v>
      </c>
      <c r="AO297" s="6"/>
      <c r="AP297" s="6"/>
      <c r="AQ297" s="6" t="s">
        <v>2140</v>
      </c>
      <c r="AR297" s="6" t="s">
        <v>2139</v>
      </c>
      <c r="AS297" s="6" t="s">
        <v>2138</v>
      </c>
    </row>
    <row r="298" spans="1:45" ht="12.75" customHeight="1">
      <c r="A298" s="33" t="s">
        <v>2137</v>
      </c>
      <c r="B298" s="33" t="s">
        <v>396</v>
      </c>
      <c r="C298" s="31" t="s">
        <v>403</v>
      </c>
      <c r="D298" s="6" t="s">
        <v>382</v>
      </c>
      <c r="E298" s="31" t="s">
        <v>382</v>
      </c>
      <c r="F298" s="31" t="s">
        <v>2103</v>
      </c>
      <c r="G298" s="31" t="s">
        <v>2102</v>
      </c>
      <c r="H298" s="67" t="s">
        <v>396</v>
      </c>
      <c r="I298" s="67" t="s">
        <v>396</v>
      </c>
      <c r="J298" s="31" t="s">
        <v>2101</v>
      </c>
      <c r="K298" s="31" t="s">
        <v>2101</v>
      </c>
      <c r="L298" s="67" t="s">
        <v>2068</v>
      </c>
      <c r="M298" s="67" t="s">
        <v>2100</v>
      </c>
      <c r="N298" s="67" t="s">
        <v>2099</v>
      </c>
      <c r="O298" s="67" t="s">
        <v>2098</v>
      </c>
      <c r="P298" s="66"/>
      <c r="Q298" s="66"/>
      <c r="R298" s="56"/>
      <c r="S298" s="27" t="s">
        <v>399</v>
      </c>
      <c r="T298" s="69">
        <v>15</v>
      </c>
      <c r="U298" s="69" t="s">
        <v>399</v>
      </c>
      <c r="V298" s="69" t="s">
        <v>399</v>
      </c>
      <c r="W298" s="67" t="s">
        <v>396</v>
      </c>
      <c r="X298" s="69">
        <v>15</v>
      </c>
      <c r="Y298" s="30" t="s">
        <v>396</v>
      </c>
      <c r="Z298" s="68">
        <v>0.25</v>
      </c>
      <c r="AA298" s="67" t="s">
        <v>396</v>
      </c>
      <c r="AB298" s="66"/>
      <c r="AC298" s="66"/>
      <c r="AD298" s="66"/>
      <c r="AE298" s="66"/>
      <c r="AF298" s="67" t="s">
        <v>399</v>
      </c>
      <c r="AG298" s="66"/>
      <c r="AH298" s="66"/>
      <c r="AI298" s="66"/>
      <c r="AJ298" s="66"/>
      <c r="AK298" s="31" t="s">
        <v>2097</v>
      </c>
      <c r="AL298" s="65" t="s">
        <v>399</v>
      </c>
      <c r="AM298" s="64" t="s">
        <v>399</v>
      </c>
      <c r="AN298" s="9" t="s">
        <v>399</v>
      </c>
      <c r="AO298" s="6"/>
      <c r="AP298" s="6"/>
      <c r="AQ298" s="6" t="s">
        <v>2136</v>
      </c>
      <c r="AR298" s="6" t="s">
        <v>2135</v>
      </c>
      <c r="AS298" s="6" t="s">
        <v>2134</v>
      </c>
    </row>
    <row r="299" spans="1:45" ht="12.75" customHeight="1">
      <c r="A299" s="33" t="s">
        <v>2133</v>
      </c>
      <c r="B299" s="33" t="s">
        <v>396</v>
      </c>
      <c r="C299" s="31" t="s">
        <v>403</v>
      </c>
      <c r="D299" s="6" t="s">
        <v>382</v>
      </c>
      <c r="E299" s="31" t="s">
        <v>382</v>
      </c>
      <c r="F299" s="31" t="s">
        <v>2103</v>
      </c>
      <c r="G299" s="31" t="s">
        <v>2102</v>
      </c>
      <c r="H299" s="67" t="s">
        <v>396</v>
      </c>
      <c r="I299" s="67" t="s">
        <v>396</v>
      </c>
      <c r="J299" s="31" t="s">
        <v>2101</v>
      </c>
      <c r="K299" s="31" t="s">
        <v>2101</v>
      </c>
      <c r="L299" s="67" t="s">
        <v>2068</v>
      </c>
      <c r="M299" s="67" t="s">
        <v>2100</v>
      </c>
      <c r="N299" s="67" t="s">
        <v>2099</v>
      </c>
      <c r="O299" s="67" t="s">
        <v>2098</v>
      </c>
      <c r="P299" s="66"/>
      <c r="Q299" s="66"/>
      <c r="R299" s="56"/>
      <c r="S299" s="27" t="s">
        <v>399</v>
      </c>
      <c r="T299" s="69">
        <v>15</v>
      </c>
      <c r="U299" s="69" t="s">
        <v>399</v>
      </c>
      <c r="V299" s="69" t="s">
        <v>399</v>
      </c>
      <c r="W299" s="67" t="s">
        <v>396</v>
      </c>
      <c r="X299" s="69">
        <v>15</v>
      </c>
      <c r="Y299" s="30" t="s">
        <v>396</v>
      </c>
      <c r="Z299" s="68">
        <v>0.25</v>
      </c>
      <c r="AA299" s="67" t="s">
        <v>396</v>
      </c>
      <c r="AB299" s="66"/>
      <c r="AC299" s="66"/>
      <c r="AD299" s="66"/>
      <c r="AE299" s="66"/>
      <c r="AF299" s="67" t="s">
        <v>399</v>
      </c>
      <c r="AG299" s="66"/>
      <c r="AH299" s="66"/>
      <c r="AI299" s="66"/>
      <c r="AJ299" s="66"/>
      <c r="AK299" s="31" t="s">
        <v>2097</v>
      </c>
      <c r="AL299" s="65" t="s">
        <v>399</v>
      </c>
      <c r="AM299" s="64" t="s">
        <v>399</v>
      </c>
      <c r="AN299" s="9" t="s">
        <v>399</v>
      </c>
      <c r="AO299" s="6"/>
      <c r="AP299" s="6"/>
      <c r="AQ299" s="6" t="s">
        <v>2132</v>
      </c>
      <c r="AR299" s="6" t="s">
        <v>2131</v>
      </c>
      <c r="AS299" s="6" t="s">
        <v>2130</v>
      </c>
    </row>
    <row r="300" spans="1:45" ht="12.75" customHeight="1">
      <c r="A300" s="33" t="s">
        <v>2129</v>
      </c>
      <c r="B300" s="33" t="s">
        <v>396</v>
      </c>
      <c r="C300" s="31" t="s">
        <v>403</v>
      </c>
      <c r="D300" s="6" t="s">
        <v>382</v>
      </c>
      <c r="E300" s="31" t="s">
        <v>382</v>
      </c>
      <c r="F300" s="31" t="s">
        <v>2103</v>
      </c>
      <c r="G300" s="31" t="s">
        <v>2102</v>
      </c>
      <c r="H300" s="67" t="s">
        <v>396</v>
      </c>
      <c r="I300" s="67" t="s">
        <v>396</v>
      </c>
      <c r="J300" s="31" t="s">
        <v>2101</v>
      </c>
      <c r="K300" s="31" t="s">
        <v>2101</v>
      </c>
      <c r="L300" s="67" t="s">
        <v>2068</v>
      </c>
      <c r="M300" s="67" t="s">
        <v>2100</v>
      </c>
      <c r="N300" s="67" t="s">
        <v>2099</v>
      </c>
      <c r="O300" s="67" t="s">
        <v>2098</v>
      </c>
      <c r="P300" s="66"/>
      <c r="Q300" s="66"/>
      <c r="R300" s="56"/>
      <c r="S300" s="27" t="s">
        <v>399</v>
      </c>
      <c r="T300" s="69">
        <v>15</v>
      </c>
      <c r="U300" s="69" t="s">
        <v>399</v>
      </c>
      <c r="V300" s="69" t="s">
        <v>399</v>
      </c>
      <c r="W300" s="67" t="s">
        <v>396</v>
      </c>
      <c r="X300" s="69">
        <v>15</v>
      </c>
      <c r="Y300" s="30" t="s">
        <v>396</v>
      </c>
      <c r="Z300" s="68">
        <v>0.25</v>
      </c>
      <c r="AA300" s="67" t="s">
        <v>396</v>
      </c>
      <c r="AB300" s="66"/>
      <c r="AC300" s="66"/>
      <c r="AD300" s="66"/>
      <c r="AE300" s="66"/>
      <c r="AF300" s="67" t="s">
        <v>399</v>
      </c>
      <c r="AG300" s="66"/>
      <c r="AH300" s="66"/>
      <c r="AI300" s="66"/>
      <c r="AJ300" s="66"/>
      <c r="AK300" s="31" t="s">
        <v>2097</v>
      </c>
      <c r="AL300" s="65" t="s">
        <v>399</v>
      </c>
      <c r="AM300" s="64" t="s">
        <v>399</v>
      </c>
      <c r="AN300" s="9" t="s">
        <v>399</v>
      </c>
      <c r="AO300" s="6"/>
      <c r="AP300" s="6"/>
      <c r="AQ300" s="6" t="s">
        <v>2128</v>
      </c>
      <c r="AR300" s="6" t="s">
        <v>2127</v>
      </c>
      <c r="AS300" s="6" t="s">
        <v>2126</v>
      </c>
    </row>
    <row r="301" spans="1:45" ht="12.75" customHeight="1">
      <c r="A301" s="33" t="s">
        <v>2125</v>
      </c>
      <c r="B301" s="33" t="s">
        <v>396</v>
      </c>
      <c r="C301" s="31" t="s">
        <v>403</v>
      </c>
      <c r="D301" s="6" t="s">
        <v>382</v>
      </c>
      <c r="E301" s="31" t="s">
        <v>382</v>
      </c>
      <c r="F301" s="31" t="s">
        <v>2103</v>
      </c>
      <c r="G301" s="31" t="s">
        <v>2102</v>
      </c>
      <c r="H301" s="67" t="s">
        <v>396</v>
      </c>
      <c r="I301" s="67" t="s">
        <v>396</v>
      </c>
      <c r="J301" s="31" t="s">
        <v>2116</v>
      </c>
      <c r="K301" s="31" t="s">
        <v>2116</v>
      </c>
      <c r="L301" s="67" t="s">
        <v>2068</v>
      </c>
      <c r="M301" s="67" t="s">
        <v>655</v>
      </c>
      <c r="N301" s="67" t="s">
        <v>2099</v>
      </c>
      <c r="O301" s="67" t="s">
        <v>2098</v>
      </c>
      <c r="P301" s="66"/>
      <c r="Q301" s="66"/>
      <c r="R301" s="56"/>
      <c r="S301" s="27" t="s">
        <v>399</v>
      </c>
      <c r="T301" s="69">
        <v>12.5</v>
      </c>
      <c r="U301" s="69" t="s">
        <v>399</v>
      </c>
      <c r="V301" s="69" t="s">
        <v>399</v>
      </c>
      <c r="W301" s="67" t="s">
        <v>396</v>
      </c>
      <c r="X301" s="69">
        <v>12.5</v>
      </c>
      <c r="Y301" s="30" t="s">
        <v>396</v>
      </c>
      <c r="Z301" s="68">
        <v>0.25</v>
      </c>
      <c r="AA301" s="67" t="s">
        <v>396</v>
      </c>
      <c r="AB301" s="66"/>
      <c r="AC301" s="66"/>
      <c r="AD301" s="66"/>
      <c r="AE301" s="66"/>
      <c r="AF301" s="67" t="s">
        <v>399</v>
      </c>
      <c r="AG301" s="66"/>
      <c r="AH301" s="66"/>
      <c r="AI301" s="66"/>
      <c r="AJ301" s="66"/>
      <c r="AK301" s="31" t="s">
        <v>2097</v>
      </c>
      <c r="AL301" s="65" t="s">
        <v>399</v>
      </c>
      <c r="AM301" s="64" t="s">
        <v>399</v>
      </c>
      <c r="AN301" s="9" t="s">
        <v>399</v>
      </c>
      <c r="AO301" s="6"/>
      <c r="AP301" s="6"/>
      <c r="AQ301" s="6" t="s">
        <v>2124</v>
      </c>
      <c r="AR301" s="6" t="s">
        <v>2123</v>
      </c>
      <c r="AS301" s="6" t="s">
        <v>2122</v>
      </c>
    </row>
    <row r="302" spans="1:45" ht="12.75" customHeight="1">
      <c r="A302" s="33" t="s">
        <v>2121</v>
      </c>
      <c r="B302" s="33" t="s">
        <v>396</v>
      </c>
      <c r="C302" s="31" t="s">
        <v>403</v>
      </c>
      <c r="D302" s="6" t="s">
        <v>382</v>
      </c>
      <c r="E302" s="31" t="s">
        <v>382</v>
      </c>
      <c r="F302" s="31" t="s">
        <v>2103</v>
      </c>
      <c r="G302" s="31" t="s">
        <v>2102</v>
      </c>
      <c r="H302" s="67" t="s">
        <v>396</v>
      </c>
      <c r="I302" s="67" t="s">
        <v>396</v>
      </c>
      <c r="J302" s="31" t="s">
        <v>2116</v>
      </c>
      <c r="K302" s="31" t="s">
        <v>2116</v>
      </c>
      <c r="L302" s="67" t="s">
        <v>2068</v>
      </c>
      <c r="M302" s="67" t="s">
        <v>655</v>
      </c>
      <c r="N302" s="67" t="s">
        <v>2099</v>
      </c>
      <c r="O302" s="67" t="s">
        <v>2098</v>
      </c>
      <c r="P302" s="66"/>
      <c r="Q302" s="66"/>
      <c r="R302" s="56"/>
      <c r="S302" s="27" t="s">
        <v>399</v>
      </c>
      <c r="T302" s="69">
        <v>12.5</v>
      </c>
      <c r="U302" s="69" t="s">
        <v>399</v>
      </c>
      <c r="V302" s="69" t="s">
        <v>399</v>
      </c>
      <c r="W302" s="67" t="s">
        <v>396</v>
      </c>
      <c r="X302" s="69">
        <v>12.5</v>
      </c>
      <c r="Y302" s="30" t="s">
        <v>396</v>
      </c>
      <c r="Z302" s="68">
        <v>0.25</v>
      </c>
      <c r="AA302" s="67" t="s">
        <v>396</v>
      </c>
      <c r="AB302" s="66"/>
      <c r="AC302" s="66"/>
      <c r="AD302" s="66"/>
      <c r="AE302" s="66"/>
      <c r="AF302" s="67" t="s">
        <v>399</v>
      </c>
      <c r="AG302" s="66"/>
      <c r="AH302" s="66"/>
      <c r="AI302" s="66"/>
      <c r="AJ302" s="66"/>
      <c r="AK302" s="31" t="s">
        <v>2097</v>
      </c>
      <c r="AL302" s="65" t="s">
        <v>399</v>
      </c>
      <c r="AM302" s="64" t="s">
        <v>399</v>
      </c>
      <c r="AN302" s="9" t="s">
        <v>399</v>
      </c>
      <c r="AO302" s="6"/>
      <c r="AP302" s="6"/>
      <c r="AQ302" s="6" t="s">
        <v>2120</v>
      </c>
      <c r="AR302" s="6" t="s">
        <v>2119</v>
      </c>
      <c r="AS302" s="6" t="s">
        <v>2118</v>
      </c>
    </row>
    <row r="303" spans="1:45" ht="12.75" customHeight="1">
      <c r="A303" s="33" t="s">
        <v>2117</v>
      </c>
      <c r="B303" s="33" t="s">
        <v>396</v>
      </c>
      <c r="C303" s="31" t="s">
        <v>403</v>
      </c>
      <c r="D303" s="6" t="s">
        <v>382</v>
      </c>
      <c r="E303" s="31" t="s">
        <v>382</v>
      </c>
      <c r="F303" s="31" t="s">
        <v>2103</v>
      </c>
      <c r="G303" s="31" t="s">
        <v>2102</v>
      </c>
      <c r="H303" s="67" t="s">
        <v>396</v>
      </c>
      <c r="I303" s="67" t="s">
        <v>396</v>
      </c>
      <c r="J303" s="31" t="s">
        <v>2116</v>
      </c>
      <c r="K303" s="31" t="s">
        <v>2116</v>
      </c>
      <c r="L303" s="67" t="s">
        <v>2068</v>
      </c>
      <c r="M303" s="67" t="s">
        <v>655</v>
      </c>
      <c r="N303" s="67" t="s">
        <v>2099</v>
      </c>
      <c r="O303" s="67" t="s">
        <v>2098</v>
      </c>
      <c r="P303" s="66"/>
      <c r="Q303" s="66"/>
      <c r="R303" s="56"/>
      <c r="S303" s="27" t="s">
        <v>399</v>
      </c>
      <c r="T303" s="69">
        <v>12.5</v>
      </c>
      <c r="U303" s="69" t="s">
        <v>399</v>
      </c>
      <c r="V303" s="69" t="s">
        <v>399</v>
      </c>
      <c r="W303" s="67" t="s">
        <v>396</v>
      </c>
      <c r="X303" s="69">
        <v>12.5</v>
      </c>
      <c r="Y303" s="30" t="s">
        <v>396</v>
      </c>
      <c r="Z303" s="68">
        <v>0.25</v>
      </c>
      <c r="AA303" s="67" t="s">
        <v>396</v>
      </c>
      <c r="AB303" s="66"/>
      <c r="AC303" s="66"/>
      <c r="AD303" s="66"/>
      <c r="AE303" s="66"/>
      <c r="AF303" s="67" t="s">
        <v>399</v>
      </c>
      <c r="AG303" s="66"/>
      <c r="AH303" s="66"/>
      <c r="AI303" s="66"/>
      <c r="AJ303" s="66"/>
      <c r="AK303" s="31" t="s">
        <v>2097</v>
      </c>
      <c r="AL303" s="65" t="s">
        <v>399</v>
      </c>
      <c r="AM303" s="64" t="s">
        <v>399</v>
      </c>
      <c r="AN303" s="9" t="s">
        <v>399</v>
      </c>
      <c r="AO303" s="6"/>
      <c r="AP303" s="6"/>
      <c r="AQ303" s="6" t="s">
        <v>2115</v>
      </c>
      <c r="AR303" s="6" t="s">
        <v>2114</v>
      </c>
      <c r="AS303" s="6" t="s">
        <v>2113</v>
      </c>
    </row>
    <row r="304" spans="1:45" ht="12.75" customHeight="1">
      <c r="A304" s="33" t="s">
        <v>2112</v>
      </c>
      <c r="B304" s="33" t="s">
        <v>396</v>
      </c>
      <c r="C304" s="31" t="s">
        <v>403</v>
      </c>
      <c r="D304" s="6" t="s">
        <v>382</v>
      </c>
      <c r="E304" s="31" t="s">
        <v>382</v>
      </c>
      <c r="F304" s="31" t="s">
        <v>2103</v>
      </c>
      <c r="G304" s="31" t="s">
        <v>2102</v>
      </c>
      <c r="H304" s="67" t="s">
        <v>396</v>
      </c>
      <c r="I304" s="67" t="s">
        <v>396</v>
      </c>
      <c r="J304" s="31" t="s">
        <v>2101</v>
      </c>
      <c r="K304" s="31" t="s">
        <v>2101</v>
      </c>
      <c r="L304" s="67" t="s">
        <v>2068</v>
      </c>
      <c r="M304" s="67" t="s">
        <v>2100</v>
      </c>
      <c r="N304" s="67" t="s">
        <v>2099</v>
      </c>
      <c r="O304" s="67" t="s">
        <v>2098</v>
      </c>
      <c r="P304" s="66"/>
      <c r="Q304" s="66"/>
      <c r="R304" s="56"/>
      <c r="S304" s="27" t="s">
        <v>399</v>
      </c>
      <c r="T304" s="69">
        <v>15</v>
      </c>
      <c r="U304" s="69" t="s">
        <v>399</v>
      </c>
      <c r="V304" s="69" t="s">
        <v>399</v>
      </c>
      <c r="W304" s="67" t="s">
        <v>396</v>
      </c>
      <c r="X304" s="69">
        <v>15</v>
      </c>
      <c r="Y304" s="30" t="s">
        <v>396</v>
      </c>
      <c r="Z304" s="68">
        <v>0.25</v>
      </c>
      <c r="AA304" s="67" t="s">
        <v>396</v>
      </c>
      <c r="AB304" s="66"/>
      <c r="AC304" s="66"/>
      <c r="AD304" s="66"/>
      <c r="AE304" s="66"/>
      <c r="AF304" s="67" t="s">
        <v>399</v>
      </c>
      <c r="AG304" s="66"/>
      <c r="AH304" s="66"/>
      <c r="AI304" s="66"/>
      <c r="AJ304" s="66"/>
      <c r="AK304" s="31" t="s">
        <v>2097</v>
      </c>
      <c r="AL304" s="65" t="s">
        <v>399</v>
      </c>
      <c r="AM304" s="64" t="s">
        <v>399</v>
      </c>
      <c r="AN304" s="9" t="s">
        <v>399</v>
      </c>
      <c r="AO304" s="6"/>
      <c r="AP304" s="6"/>
      <c r="AQ304" s="6" t="s">
        <v>2111</v>
      </c>
      <c r="AR304" s="6" t="s">
        <v>2110</v>
      </c>
      <c r="AS304" s="6" t="s">
        <v>2109</v>
      </c>
    </row>
    <row r="305" spans="1:45" ht="12.75" customHeight="1">
      <c r="A305" s="33" t="s">
        <v>2108</v>
      </c>
      <c r="B305" s="33" t="s">
        <v>396</v>
      </c>
      <c r="C305" s="31" t="s">
        <v>403</v>
      </c>
      <c r="D305" s="6" t="s">
        <v>382</v>
      </c>
      <c r="E305" s="31" t="s">
        <v>382</v>
      </c>
      <c r="F305" s="31" t="s">
        <v>2103</v>
      </c>
      <c r="G305" s="31" t="s">
        <v>2102</v>
      </c>
      <c r="H305" s="67" t="s">
        <v>396</v>
      </c>
      <c r="I305" s="67" t="s">
        <v>396</v>
      </c>
      <c r="J305" s="31" t="s">
        <v>2101</v>
      </c>
      <c r="K305" s="31" t="s">
        <v>2101</v>
      </c>
      <c r="L305" s="67" t="s">
        <v>2068</v>
      </c>
      <c r="M305" s="67" t="s">
        <v>2100</v>
      </c>
      <c r="N305" s="67" t="s">
        <v>2099</v>
      </c>
      <c r="O305" s="67" t="s">
        <v>2098</v>
      </c>
      <c r="P305" s="66"/>
      <c r="Q305" s="66"/>
      <c r="R305" s="56"/>
      <c r="S305" s="27" t="s">
        <v>399</v>
      </c>
      <c r="T305" s="69">
        <v>15</v>
      </c>
      <c r="U305" s="69" t="s">
        <v>399</v>
      </c>
      <c r="V305" s="69" t="s">
        <v>399</v>
      </c>
      <c r="W305" s="67" t="s">
        <v>396</v>
      </c>
      <c r="X305" s="69">
        <v>15</v>
      </c>
      <c r="Y305" s="30" t="s">
        <v>396</v>
      </c>
      <c r="Z305" s="68">
        <v>0.25</v>
      </c>
      <c r="AA305" s="67" t="s">
        <v>396</v>
      </c>
      <c r="AB305" s="66"/>
      <c r="AC305" s="66"/>
      <c r="AD305" s="66"/>
      <c r="AE305" s="66"/>
      <c r="AF305" s="67" t="s">
        <v>399</v>
      </c>
      <c r="AG305" s="66"/>
      <c r="AH305" s="66"/>
      <c r="AI305" s="66"/>
      <c r="AJ305" s="66"/>
      <c r="AK305" s="31" t="s">
        <v>2097</v>
      </c>
      <c r="AL305" s="65" t="s">
        <v>399</v>
      </c>
      <c r="AM305" s="64" t="s">
        <v>399</v>
      </c>
      <c r="AN305" s="9" t="s">
        <v>399</v>
      </c>
      <c r="AO305" s="6"/>
      <c r="AP305" s="6"/>
      <c r="AQ305" s="6" t="s">
        <v>2107</v>
      </c>
      <c r="AR305" s="6" t="s">
        <v>2106</v>
      </c>
      <c r="AS305" s="6" t="s">
        <v>2105</v>
      </c>
    </row>
    <row r="306" spans="1:45" ht="12.75" customHeight="1">
      <c r="A306" s="33" t="s">
        <v>2104</v>
      </c>
      <c r="B306" s="33" t="s">
        <v>396</v>
      </c>
      <c r="C306" s="31" t="s">
        <v>403</v>
      </c>
      <c r="D306" s="6" t="s">
        <v>382</v>
      </c>
      <c r="E306" s="31" t="s">
        <v>382</v>
      </c>
      <c r="F306" s="31" t="s">
        <v>2103</v>
      </c>
      <c r="G306" s="31" t="s">
        <v>2102</v>
      </c>
      <c r="H306" s="67" t="s">
        <v>396</v>
      </c>
      <c r="I306" s="67" t="s">
        <v>396</v>
      </c>
      <c r="J306" s="31" t="s">
        <v>2101</v>
      </c>
      <c r="K306" s="31" t="s">
        <v>2101</v>
      </c>
      <c r="L306" s="67" t="s">
        <v>2068</v>
      </c>
      <c r="M306" s="67" t="s">
        <v>2100</v>
      </c>
      <c r="N306" s="67" t="s">
        <v>2099</v>
      </c>
      <c r="O306" s="67" t="s">
        <v>2098</v>
      </c>
      <c r="P306" s="66"/>
      <c r="Q306" s="66"/>
      <c r="R306" s="56"/>
      <c r="S306" s="27" t="s">
        <v>399</v>
      </c>
      <c r="T306" s="69">
        <v>15</v>
      </c>
      <c r="U306" s="69" t="s">
        <v>399</v>
      </c>
      <c r="V306" s="69" t="s">
        <v>399</v>
      </c>
      <c r="W306" s="67" t="s">
        <v>396</v>
      </c>
      <c r="X306" s="69">
        <v>15</v>
      </c>
      <c r="Y306" s="30" t="s">
        <v>396</v>
      </c>
      <c r="Z306" s="68">
        <v>0.25</v>
      </c>
      <c r="AA306" s="67" t="s">
        <v>396</v>
      </c>
      <c r="AB306" s="66"/>
      <c r="AC306" s="66"/>
      <c r="AD306" s="66"/>
      <c r="AE306" s="66"/>
      <c r="AF306" s="67" t="s">
        <v>399</v>
      </c>
      <c r="AG306" s="66"/>
      <c r="AH306" s="66"/>
      <c r="AI306" s="66"/>
      <c r="AJ306" s="66"/>
      <c r="AK306" s="31" t="s">
        <v>2097</v>
      </c>
      <c r="AL306" s="65" t="s">
        <v>399</v>
      </c>
      <c r="AM306" s="64" t="s">
        <v>399</v>
      </c>
      <c r="AN306" s="9" t="s">
        <v>399</v>
      </c>
      <c r="AO306" s="6"/>
      <c r="AP306" s="6"/>
      <c r="AQ306" s="6" t="s">
        <v>2096</v>
      </c>
      <c r="AR306" s="6" t="s">
        <v>2095</v>
      </c>
      <c r="AS306" s="6" t="s">
        <v>2094</v>
      </c>
    </row>
    <row r="307" spans="1:45" s="16" customFormat="1" ht="12.75" customHeight="1">
      <c r="A307" s="63" t="s">
        <v>2093</v>
      </c>
      <c r="B307" s="18" t="s">
        <v>2092</v>
      </c>
      <c r="C307" s="18" t="s">
        <v>403</v>
      </c>
      <c r="D307" s="18" t="s">
        <v>2073</v>
      </c>
      <c r="E307" s="25" t="s">
        <v>2073</v>
      </c>
      <c r="F307" s="18" t="s">
        <v>2072</v>
      </c>
      <c r="G307" s="18" t="s">
        <v>2071</v>
      </c>
      <c r="H307" s="27" t="s">
        <v>937</v>
      </c>
      <c r="I307" s="27" t="s">
        <v>937</v>
      </c>
      <c r="J307" s="25" t="s">
        <v>2091</v>
      </c>
      <c r="K307" s="25" t="s">
        <v>2091</v>
      </c>
      <c r="L307" s="19" t="s">
        <v>399</v>
      </c>
      <c r="M307" s="19" t="s">
        <v>396</v>
      </c>
      <c r="N307" s="19" t="s">
        <v>396</v>
      </c>
      <c r="O307" s="19" t="s">
        <v>396</v>
      </c>
      <c r="P307" s="18" t="s">
        <v>2069</v>
      </c>
      <c r="Q307" s="18" t="s">
        <v>2068</v>
      </c>
      <c r="S307" s="18" t="s">
        <v>2067</v>
      </c>
      <c r="T307" s="22">
        <v>12.5</v>
      </c>
      <c r="U307" s="22">
        <v>600</v>
      </c>
      <c r="V307" s="22">
        <v>2400</v>
      </c>
      <c r="W307" s="16">
        <v>45</v>
      </c>
      <c r="X307" s="16">
        <v>60</v>
      </c>
      <c r="Y307" s="42">
        <v>6</v>
      </c>
      <c r="Z307" s="47" t="s">
        <v>396</v>
      </c>
      <c r="AA307" s="19" t="s">
        <v>396</v>
      </c>
      <c r="AB307" s="19" t="s">
        <v>396</v>
      </c>
      <c r="AC307" s="19" t="s">
        <v>396</v>
      </c>
      <c r="AD307" s="19" t="s">
        <v>396</v>
      </c>
      <c r="AE307" s="19" t="s">
        <v>396</v>
      </c>
      <c r="AF307" s="19" t="s">
        <v>396</v>
      </c>
      <c r="AG307" s="19" t="s">
        <v>396</v>
      </c>
      <c r="AH307" s="19" t="s">
        <v>396</v>
      </c>
      <c r="AI307" s="19" t="s">
        <v>396</v>
      </c>
      <c r="AJ307" s="19" t="s">
        <v>396</v>
      </c>
      <c r="AK307" s="18" t="s">
        <v>395</v>
      </c>
      <c r="AL307" s="17">
        <v>5413218577458</v>
      </c>
      <c r="AM307" s="15" t="s">
        <v>395</v>
      </c>
      <c r="AN307" s="5">
        <v>68091900</v>
      </c>
      <c r="AO307" s="6"/>
      <c r="AP307" s="6"/>
      <c r="AQ307" s="6" t="s">
        <v>2090</v>
      </c>
      <c r="AR307" s="6" t="s">
        <v>2089</v>
      </c>
      <c r="AS307" s="6" t="s">
        <v>2088</v>
      </c>
    </row>
    <row r="308" spans="1:45" s="16" customFormat="1" ht="12.75" customHeight="1">
      <c r="A308" s="63" t="s">
        <v>2087</v>
      </c>
      <c r="B308" s="18" t="s">
        <v>2086</v>
      </c>
      <c r="C308" s="18" t="s">
        <v>403</v>
      </c>
      <c r="D308" s="18" t="s">
        <v>2073</v>
      </c>
      <c r="E308" s="25" t="s">
        <v>2073</v>
      </c>
      <c r="F308" s="18" t="s">
        <v>2072</v>
      </c>
      <c r="G308" s="18" t="s">
        <v>2071</v>
      </c>
      <c r="H308" s="27" t="s">
        <v>937</v>
      </c>
      <c r="I308" s="27" t="s">
        <v>937</v>
      </c>
      <c r="J308" s="25" t="s">
        <v>2085</v>
      </c>
      <c r="K308" s="25" t="s">
        <v>2085</v>
      </c>
      <c r="L308" s="19" t="s">
        <v>399</v>
      </c>
      <c r="M308" s="19" t="s">
        <v>396</v>
      </c>
      <c r="N308" s="19" t="s">
        <v>396</v>
      </c>
      <c r="O308" s="19" t="s">
        <v>396</v>
      </c>
      <c r="P308" s="18" t="s">
        <v>2069</v>
      </c>
      <c r="Q308" s="18" t="s">
        <v>2068</v>
      </c>
      <c r="S308" s="18" t="s">
        <v>2067</v>
      </c>
      <c r="T308" s="22">
        <v>12.5</v>
      </c>
      <c r="U308" s="22">
        <v>600</v>
      </c>
      <c r="V308" s="22">
        <v>2400</v>
      </c>
      <c r="W308" s="16">
        <v>45</v>
      </c>
      <c r="X308" s="16">
        <v>60</v>
      </c>
      <c r="Y308" s="42">
        <v>6</v>
      </c>
      <c r="Z308" s="47" t="s">
        <v>396</v>
      </c>
      <c r="AA308" s="19" t="s">
        <v>396</v>
      </c>
      <c r="AB308" s="19" t="s">
        <v>396</v>
      </c>
      <c r="AC308" s="19" t="s">
        <v>396</v>
      </c>
      <c r="AD308" s="19" t="s">
        <v>396</v>
      </c>
      <c r="AE308" s="19" t="s">
        <v>396</v>
      </c>
      <c r="AF308" s="19" t="s">
        <v>396</v>
      </c>
      <c r="AG308" s="19" t="s">
        <v>396</v>
      </c>
      <c r="AH308" s="19" t="s">
        <v>396</v>
      </c>
      <c r="AI308" s="19" t="s">
        <v>396</v>
      </c>
      <c r="AJ308" s="19" t="s">
        <v>396</v>
      </c>
      <c r="AK308" s="18" t="s">
        <v>395</v>
      </c>
      <c r="AL308" s="17">
        <v>5413218577472</v>
      </c>
      <c r="AM308" s="15" t="s">
        <v>395</v>
      </c>
      <c r="AN308" s="5">
        <v>68091900</v>
      </c>
      <c r="AO308" s="6"/>
      <c r="AP308" s="6"/>
      <c r="AQ308" s="6" t="s">
        <v>2084</v>
      </c>
      <c r="AR308" s="6" t="s">
        <v>2083</v>
      </c>
      <c r="AS308" s="6" t="s">
        <v>2082</v>
      </c>
    </row>
    <row r="309" spans="1:45" s="16" customFormat="1" ht="12.75" customHeight="1">
      <c r="A309" s="63" t="s">
        <v>2081</v>
      </c>
      <c r="B309" s="18" t="s">
        <v>2080</v>
      </c>
      <c r="C309" s="18" t="s">
        <v>403</v>
      </c>
      <c r="D309" s="18" t="s">
        <v>2073</v>
      </c>
      <c r="E309" s="25" t="s">
        <v>2073</v>
      </c>
      <c r="F309" s="18" t="s">
        <v>2072</v>
      </c>
      <c r="G309" s="18" t="s">
        <v>2071</v>
      </c>
      <c r="H309" s="27" t="s">
        <v>937</v>
      </c>
      <c r="I309" s="27" t="s">
        <v>937</v>
      </c>
      <c r="J309" s="25" t="s">
        <v>2079</v>
      </c>
      <c r="K309" s="25" t="s">
        <v>2079</v>
      </c>
      <c r="L309" s="19" t="s">
        <v>399</v>
      </c>
      <c r="M309" s="19" t="s">
        <v>396</v>
      </c>
      <c r="N309" s="19" t="s">
        <v>396</v>
      </c>
      <c r="O309" s="19" t="s">
        <v>396</v>
      </c>
      <c r="P309" s="18" t="s">
        <v>2069</v>
      </c>
      <c r="Q309" s="18" t="s">
        <v>2068</v>
      </c>
      <c r="S309" s="18" t="s">
        <v>2067</v>
      </c>
      <c r="T309" s="22">
        <v>12.5</v>
      </c>
      <c r="U309" s="22">
        <v>600</v>
      </c>
      <c r="V309" s="22">
        <v>2400</v>
      </c>
      <c r="W309" s="16">
        <v>45</v>
      </c>
      <c r="X309" s="16">
        <v>60</v>
      </c>
      <c r="Y309" s="42">
        <v>6</v>
      </c>
      <c r="Z309" s="47" t="s">
        <v>396</v>
      </c>
      <c r="AA309" s="19" t="s">
        <v>396</v>
      </c>
      <c r="AB309" s="19" t="s">
        <v>396</v>
      </c>
      <c r="AC309" s="19" t="s">
        <v>396</v>
      </c>
      <c r="AD309" s="19" t="s">
        <v>396</v>
      </c>
      <c r="AE309" s="19" t="s">
        <v>396</v>
      </c>
      <c r="AF309" s="19" t="s">
        <v>396</v>
      </c>
      <c r="AG309" s="19" t="s">
        <v>396</v>
      </c>
      <c r="AH309" s="19" t="s">
        <v>396</v>
      </c>
      <c r="AI309" s="19" t="s">
        <v>396</v>
      </c>
      <c r="AJ309" s="19" t="s">
        <v>396</v>
      </c>
      <c r="AK309" s="18" t="s">
        <v>395</v>
      </c>
      <c r="AL309" s="17">
        <v>5413218577496</v>
      </c>
      <c r="AM309" s="15" t="s">
        <v>395</v>
      </c>
      <c r="AN309" s="5">
        <v>68091900</v>
      </c>
      <c r="AO309" s="6"/>
      <c r="AP309" s="6"/>
      <c r="AQ309" s="6" t="s">
        <v>2078</v>
      </c>
      <c r="AR309" s="6" t="s">
        <v>2077</v>
      </c>
      <c r="AS309" s="6" t="s">
        <v>2076</v>
      </c>
    </row>
    <row r="310" spans="1:45" s="16" customFormat="1" ht="12.75" customHeight="1">
      <c r="A310" s="63" t="s">
        <v>2075</v>
      </c>
      <c r="B310" s="18" t="s">
        <v>2074</v>
      </c>
      <c r="C310" s="18" t="s">
        <v>403</v>
      </c>
      <c r="D310" s="18" t="s">
        <v>2073</v>
      </c>
      <c r="E310" s="25" t="s">
        <v>2073</v>
      </c>
      <c r="F310" s="18" t="s">
        <v>2072</v>
      </c>
      <c r="G310" s="18" t="s">
        <v>2071</v>
      </c>
      <c r="H310" s="27" t="s">
        <v>937</v>
      </c>
      <c r="I310" s="27" t="s">
        <v>937</v>
      </c>
      <c r="J310" s="25" t="s">
        <v>2070</v>
      </c>
      <c r="K310" s="25" t="s">
        <v>2070</v>
      </c>
      <c r="L310" s="19" t="s">
        <v>399</v>
      </c>
      <c r="M310" s="19" t="s">
        <v>396</v>
      </c>
      <c r="N310" s="19" t="s">
        <v>396</v>
      </c>
      <c r="O310" s="19" t="s">
        <v>396</v>
      </c>
      <c r="P310" s="18" t="s">
        <v>2069</v>
      </c>
      <c r="Q310" s="18" t="s">
        <v>2068</v>
      </c>
      <c r="S310" s="18" t="s">
        <v>2067</v>
      </c>
      <c r="T310" s="22">
        <v>12.5</v>
      </c>
      <c r="U310" s="22">
        <v>600</v>
      </c>
      <c r="V310" s="22">
        <v>2400</v>
      </c>
      <c r="W310" s="16">
        <v>45</v>
      </c>
      <c r="X310" s="16">
        <v>60</v>
      </c>
      <c r="Y310" s="42">
        <v>6</v>
      </c>
      <c r="Z310" s="47" t="s">
        <v>396</v>
      </c>
      <c r="AA310" s="19" t="s">
        <v>396</v>
      </c>
      <c r="AB310" s="19" t="s">
        <v>396</v>
      </c>
      <c r="AC310" s="19" t="s">
        <v>396</v>
      </c>
      <c r="AD310" s="19" t="s">
        <v>396</v>
      </c>
      <c r="AE310" s="19" t="s">
        <v>396</v>
      </c>
      <c r="AF310" s="19" t="s">
        <v>396</v>
      </c>
      <c r="AG310" s="19" t="s">
        <v>396</v>
      </c>
      <c r="AH310" s="19" t="s">
        <v>396</v>
      </c>
      <c r="AI310" s="19" t="s">
        <v>396</v>
      </c>
      <c r="AJ310" s="19" t="s">
        <v>396</v>
      </c>
      <c r="AK310" s="18" t="s">
        <v>395</v>
      </c>
      <c r="AL310" s="17">
        <v>5413218577519</v>
      </c>
      <c r="AM310" s="15" t="s">
        <v>395</v>
      </c>
      <c r="AN310" s="5">
        <v>68091900</v>
      </c>
      <c r="AO310" s="6"/>
      <c r="AP310" s="6"/>
      <c r="AQ310" s="6" t="s">
        <v>2066</v>
      </c>
      <c r="AR310" s="6" t="s">
        <v>2065</v>
      </c>
      <c r="AS310" s="6" t="s">
        <v>2064</v>
      </c>
    </row>
    <row r="311" spans="1:45" s="5" customFormat="1" ht="12.75" customHeight="1">
      <c r="A311" s="32" t="s">
        <v>2063</v>
      </c>
      <c r="B311" s="6" t="s">
        <v>396</v>
      </c>
      <c r="C311" s="31" t="s">
        <v>403</v>
      </c>
      <c r="D311" s="6" t="s">
        <v>2062</v>
      </c>
      <c r="E311" s="6" t="s">
        <v>2062</v>
      </c>
      <c r="F311" s="6" t="s">
        <v>2058</v>
      </c>
      <c r="G311" s="6" t="s">
        <v>2057</v>
      </c>
      <c r="H311" s="6" t="s">
        <v>2056</v>
      </c>
      <c r="I311" s="6" t="s">
        <v>2055</v>
      </c>
      <c r="J311" s="6" t="s">
        <v>2062</v>
      </c>
      <c r="K311" s="6" t="s">
        <v>2062</v>
      </c>
      <c r="L311" s="27" t="s">
        <v>434</v>
      </c>
      <c r="M311" s="6" t="s">
        <v>522</v>
      </c>
      <c r="N311" s="6" t="s">
        <v>507</v>
      </c>
      <c r="O311" s="6" t="s">
        <v>506</v>
      </c>
      <c r="P311" s="6" t="s">
        <v>479</v>
      </c>
      <c r="Q311" s="6" t="s">
        <v>434</v>
      </c>
      <c r="R311" s="6"/>
      <c r="S311" s="27" t="s">
        <v>396</v>
      </c>
      <c r="T311" s="30" t="s">
        <v>396</v>
      </c>
      <c r="U311" s="27" t="s">
        <v>396</v>
      </c>
      <c r="V311" s="29" t="s">
        <v>396</v>
      </c>
      <c r="W311" s="27" t="s">
        <v>396</v>
      </c>
      <c r="X311" s="27" t="s">
        <v>396</v>
      </c>
      <c r="Y311" s="27" t="s">
        <v>396</v>
      </c>
      <c r="Z311" s="34">
        <v>0.25</v>
      </c>
      <c r="AA311" s="27" t="s">
        <v>396</v>
      </c>
      <c r="AB311" s="27" t="s">
        <v>396</v>
      </c>
      <c r="AC311" s="27" t="s">
        <v>396</v>
      </c>
      <c r="AD311" s="27" t="s">
        <v>396</v>
      </c>
      <c r="AE311" s="38"/>
      <c r="AF311" s="27" t="s">
        <v>399</v>
      </c>
      <c r="AG311" s="38"/>
      <c r="AH311" s="38"/>
      <c r="AI311" s="38"/>
      <c r="AJ311" s="38"/>
      <c r="AK311" s="6" t="s">
        <v>927</v>
      </c>
      <c r="AL311" s="17">
        <v>8711149900619</v>
      </c>
      <c r="AM311" s="15" t="s">
        <v>927</v>
      </c>
      <c r="AN311" s="5">
        <v>25202000</v>
      </c>
      <c r="AO311" s="6"/>
      <c r="AP311" s="6"/>
      <c r="AQ311" s="6" t="s">
        <v>2061</v>
      </c>
      <c r="AR311" s="6" t="s">
        <v>2060</v>
      </c>
      <c r="AS311" s="6" t="s">
        <v>366</v>
      </c>
    </row>
    <row r="312" spans="1:45" s="5" customFormat="1" ht="12.75" customHeight="1">
      <c r="A312" s="33" t="s">
        <v>2059</v>
      </c>
      <c r="B312" s="6" t="s">
        <v>396</v>
      </c>
      <c r="C312" s="31" t="s">
        <v>403</v>
      </c>
      <c r="D312" s="6" t="s">
        <v>2054</v>
      </c>
      <c r="E312" s="6" t="s">
        <v>2054</v>
      </c>
      <c r="F312" s="6" t="s">
        <v>2058</v>
      </c>
      <c r="G312" s="6" t="s">
        <v>2057</v>
      </c>
      <c r="H312" s="6" t="s">
        <v>2056</v>
      </c>
      <c r="I312" s="6" t="s">
        <v>2055</v>
      </c>
      <c r="J312" s="6" t="s">
        <v>2054</v>
      </c>
      <c r="K312" s="6" t="s">
        <v>2054</v>
      </c>
      <c r="L312" s="27" t="s">
        <v>434</v>
      </c>
      <c r="M312" s="6" t="s">
        <v>522</v>
      </c>
      <c r="N312" s="6" t="s">
        <v>507</v>
      </c>
      <c r="O312" s="6" t="s">
        <v>506</v>
      </c>
      <c r="P312" s="6" t="s">
        <v>479</v>
      </c>
      <c r="Q312" s="6" t="s">
        <v>434</v>
      </c>
      <c r="R312" s="6"/>
      <c r="S312" s="27" t="s">
        <v>396</v>
      </c>
      <c r="T312" s="30" t="s">
        <v>396</v>
      </c>
      <c r="U312" s="27" t="s">
        <v>396</v>
      </c>
      <c r="V312" s="29" t="s">
        <v>396</v>
      </c>
      <c r="W312" s="27" t="s">
        <v>396</v>
      </c>
      <c r="X312" s="27" t="s">
        <v>396</v>
      </c>
      <c r="Y312" s="27" t="s">
        <v>396</v>
      </c>
      <c r="Z312" s="34">
        <v>0.25</v>
      </c>
      <c r="AA312" s="27" t="s">
        <v>396</v>
      </c>
      <c r="AB312" s="27" t="s">
        <v>396</v>
      </c>
      <c r="AC312" s="27" t="s">
        <v>396</v>
      </c>
      <c r="AD312" s="27" t="s">
        <v>396</v>
      </c>
      <c r="AE312" s="38"/>
      <c r="AF312" s="27" t="s">
        <v>399</v>
      </c>
      <c r="AG312" s="38"/>
      <c r="AH312" s="38"/>
      <c r="AI312" s="38"/>
      <c r="AJ312" s="38"/>
      <c r="AK312" s="6" t="s">
        <v>927</v>
      </c>
      <c r="AL312" s="17">
        <v>8711149001583</v>
      </c>
      <c r="AM312" s="15" t="s">
        <v>927</v>
      </c>
      <c r="AN312" s="5">
        <v>25202000</v>
      </c>
      <c r="AO312" s="6"/>
      <c r="AP312" s="6"/>
      <c r="AQ312" s="6"/>
      <c r="AR312" s="6"/>
      <c r="AS312" s="6"/>
    </row>
    <row r="313" spans="1:45" s="5" customFormat="1" ht="12.75" customHeight="1">
      <c r="A313" s="32" t="s">
        <v>2053</v>
      </c>
      <c r="B313" s="6" t="s">
        <v>396</v>
      </c>
      <c r="C313" s="31" t="s">
        <v>403</v>
      </c>
      <c r="D313" s="5" t="s">
        <v>2050</v>
      </c>
      <c r="E313" s="6" t="s">
        <v>2050</v>
      </c>
      <c r="F313" s="5" t="s">
        <v>2052</v>
      </c>
      <c r="G313" s="5" t="s">
        <v>2051</v>
      </c>
      <c r="H313" s="36"/>
      <c r="I313" s="36"/>
      <c r="J313" s="6" t="s">
        <v>2050</v>
      </c>
      <c r="K313" s="6" t="s">
        <v>2050</v>
      </c>
      <c r="L313" s="27" t="s">
        <v>434</v>
      </c>
      <c r="M313" s="6" t="s">
        <v>522</v>
      </c>
      <c r="N313" s="6" t="s">
        <v>507</v>
      </c>
      <c r="O313" s="6" t="s">
        <v>506</v>
      </c>
      <c r="P313" s="6" t="s">
        <v>479</v>
      </c>
      <c r="Q313" s="6" t="s">
        <v>434</v>
      </c>
      <c r="R313" s="6"/>
      <c r="S313" s="27" t="s">
        <v>396</v>
      </c>
      <c r="T313" s="30" t="s">
        <v>396</v>
      </c>
      <c r="U313" s="27" t="s">
        <v>396</v>
      </c>
      <c r="V313" s="29" t="s">
        <v>396</v>
      </c>
      <c r="W313" s="27" t="s">
        <v>396</v>
      </c>
      <c r="X313" s="27" t="s">
        <v>396</v>
      </c>
      <c r="Y313" s="27" t="s">
        <v>396</v>
      </c>
      <c r="Z313" s="34">
        <v>0.25</v>
      </c>
      <c r="AA313" s="27" t="s">
        <v>396</v>
      </c>
      <c r="AB313" s="27" t="s">
        <v>396</v>
      </c>
      <c r="AC313" s="27" t="s">
        <v>396</v>
      </c>
      <c r="AD313" s="27" t="s">
        <v>396</v>
      </c>
      <c r="AE313" s="38"/>
      <c r="AF313" s="27" t="s">
        <v>399</v>
      </c>
      <c r="AG313" s="38"/>
      <c r="AH313" s="38"/>
      <c r="AI313" s="38"/>
      <c r="AJ313" s="38"/>
      <c r="AK313" s="6" t="s">
        <v>927</v>
      </c>
      <c r="AL313" s="17">
        <v>8711149900664</v>
      </c>
      <c r="AM313" s="15" t="s">
        <v>927</v>
      </c>
      <c r="AN313" s="5">
        <v>25202000</v>
      </c>
      <c r="AO313" s="6" t="s">
        <v>521</v>
      </c>
      <c r="AP313" s="6" t="s">
        <v>520</v>
      </c>
      <c r="AQ313" s="6" t="s">
        <v>2049</v>
      </c>
      <c r="AR313" s="6" t="s">
        <v>2048</v>
      </c>
      <c r="AS313" s="6"/>
    </row>
    <row r="314" spans="1:45" s="5" customFormat="1" ht="12.75" customHeight="1">
      <c r="A314" s="32" t="s">
        <v>2047</v>
      </c>
      <c r="B314" s="6" t="s">
        <v>396</v>
      </c>
      <c r="C314" s="31" t="s">
        <v>403</v>
      </c>
      <c r="D314" s="5" t="s">
        <v>2044</v>
      </c>
      <c r="E314" s="6" t="s">
        <v>2044</v>
      </c>
      <c r="F314" s="5" t="s">
        <v>2046</v>
      </c>
      <c r="G314" s="6" t="s">
        <v>2045</v>
      </c>
      <c r="H314" s="36"/>
      <c r="I314" s="36"/>
      <c r="J314" s="6" t="s">
        <v>2044</v>
      </c>
      <c r="K314" s="6" t="s">
        <v>2044</v>
      </c>
      <c r="L314" s="27" t="s">
        <v>434</v>
      </c>
      <c r="M314" s="6" t="s">
        <v>2035</v>
      </c>
      <c r="N314" s="6" t="s">
        <v>507</v>
      </c>
      <c r="O314" s="6" t="s">
        <v>506</v>
      </c>
      <c r="P314" s="6" t="s">
        <v>479</v>
      </c>
      <c r="Q314" s="6" t="s">
        <v>434</v>
      </c>
      <c r="R314" s="6"/>
      <c r="S314" s="27" t="s">
        <v>396</v>
      </c>
      <c r="T314" s="30" t="s">
        <v>396</v>
      </c>
      <c r="U314" s="27" t="s">
        <v>396</v>
      </c>
      <c r="V314" s="29" t="s">
        <v>396</v>
      </c>
      <c r="W314" s="27" t="s">
        <v>396</v>
      </c>
      <c r="X314" s="27" t="s">
        <v>396</v>
      </c>
      <c r="Y314" s="27" t="s">
        <v>396</v>
      </c>
      <c r="Z314" s="34">
        <v>0.25</v>
      </c>
      <c r="AA314" s="27" t="s">
        <v>396</v>
      </c>
      <c r="AB314" s="27" t="s">
        <v>396</v>
      </c>
      <c r="AC314" s="27" t="s">
        <v>396</v>
      </c>
      <c r="AD314" s="27" t="s">
        <v>396</v>
      </c>
      <c r="AE314" s="38"/>
      <c r="AF314" s="27" t="s">
        <v>399</v>
      </c>
      <c r="AG314" s="38"/>
      <c r="AH314" s="38"/>
      <c r="AI314" s="38"/>
      <c r="AJ314" s="38"/>
      <c r="AK314" s="6" t="s">
        <v>927</v>
      </c>
      <c r="AL314" s="17">
        <v>8711149901067</v>
      </c>
      <c r="AM314" s="15" t="s">
        <v>927</v>
      </c>
      <c r="AN314" s="5">
        <v>25202000</v>
      </c>
      <c r="AO314" s="6" t="s">
        <v>2043</v>
      </c>
      <c r="AP314" s="6" t="s">
        <v>2042</v>
      </c>
      <c r="AQ314" s="6" t="s">
        <v>2041</v>
      </c>
      <c r="AR314" s="6" t="s">
        <v>2040</v>
      </c>
      <c r="AS314" s="6" t="s">
        <v>366</v>
      </c>
    </row>
    <row r="315" spans="1:45" s="16" customFormat="1" ht="12.75" customHeight="1">
      <c r="A315" s="46" t="s">
        <v>2039</v>
      </c>
      <c r="B315" s="18" t="s">
        <v>396</v>
      </c>
      <c r="C315" s="18" t="s">
        <v>403</v>
      </c>
      <c r="D315" s="6" t="s">
        <v>2036</v>
      </c>
      <c r="E315" s="6" t="s">
        <v>2036</v>
      </c>
      <c r="F315" s="18" t="s">
        <v>2038</v>
      </c>
      <c r="G315" s="18" t="s">
        <v>2037</v>
      </c>
      <c r="H315" s="18"/>
      <c r="I315" s="18"/>
      <c r="J315" s="6" t="s">
        <v>2036</v>
      </c>
      <c r="K315" s="6" t="s">
        <v>2036</v>
      </c>
      <c r="L315" s="19" t="s">
        <v>434</v>
      </c>
      <c r="M315" s="18" t="s">
        <v>2035</v>
      </c>
      <c r="N315" s="18" t="s">
        <v>507</v>
      </c>
      <c r="O315" s="18" t="s">
        <v>506</v>
      </c>
      <c r="P315" s="18" t="s">
        <v>479</v>
      </c>
      <c r="Q315" s="18" t="s">
        <v>434</v>
      </c>
      <c r="R315" s="18"/>
      <c r="S315" s="19" t="s">
        <v>396</v>
      </c>
      <c r="T315" s="21" t="s">
        <v>396</v>
      </c>
      <c r="U315" s="19" t="s">
        <v>396</v>
      </c>
      <c r="V315" s="48" t="s">
        <v>396</v>
      </c>
      <c r="W315" s="19" t="s">
        <v>396</v>
      </c>
      <c r="X315" s="19" t="s">
        <v>396</v>
      </c>
      <c r="Y315" s="19" t="s">
        <v>396</v>
      </c>
      <c r="Z315" s="49">
        <v>0.25</v>
      </c>
      <c r="AA315" s="19" t="s">
        <v>396</v>
      </c>
      <c r="AB315" s="19" t="s">
        <v>396</v>
      </c>
      <c r="AC315" s="19" t="s">
        <v>396</v>
      </c>
      <c r="AD315" s="19" t="s">
        <v>396</v>
      </c>
      <c r="AE315" s="19"/>
      <c r="AF315" s="19" t="s">
        <v>399</v>
      </c>
      <c r="AG315" s="19"/>
      <c r="AH315" s="19"/>
      <c r="AI315" s="19"/>
      <c r="AJ315" s="19"/>
      <c r="AK315" s="18" t="s">
        <v>927</v>
      </c>
      <c r="AL315" s="15">
        <v>4002806881056</v>
      </c>
      <c r="AM315" s="15" t="s">
        <v>927</v>
      </c>
      <c r="AN315" s="5"/>
      <c r="AO315" s="6"/>
      <c r="AP315" s="6"/>
      <c r="AQ315" s="6" t="s">
        <v>2034</v>
      </c>
      <c r="AR315" s="6" t="s">
        <v>2033</v>
      </c>
      <c r="AS315" s="6" t="s">
        <v>2032</v>
      </c>
    </row>
    <row r="316" spans="1:45" s="5" customFormat="1" ht="12.75" customHeight="1">
      <c r="A316" s="32" t="s">
        <v>2031</v>
      </c>
      <c r="B316" s="6" t="s">
        <v>396</v>
      </c>
      <c r="C316" s="31" t="s">
        <v>403</v>
      </c>
      <c r="D316" s="5" t="s">
        <v>2028</v>
      </c>
      <c r="E316" s="6" t="s">
        <v>2028</v>
      </c>
      <c r="F316" s="5" t="s">
        <v>2030</v>
      </c>
      <c r="G316" s="5" t="s">
        <v>2029</v>
      </c>
      <c r="H316" s="36"/>
      <c r="I316" s="36"/>
      <c r="J316" s="6" t="s">
        <v>2028</v>
      </c>
      <c r="K316" s="6" t="s">
        <v>2028</v>
      </c>
      <c r="L316" s="27" t="s">
        <v>434</v>
      </c>
      <c r="M316" s="6" t="s">
        <v>522</v>
      </c>
      <c r="N316" s="6" t="s">
        <v>507</v>
      </c>
      <c r="O316" s="6" t="s">
        <v>506</v>
      </c>
      <c r="P316" s="6" t="s">
        <v>479</v>
      </c>
      <c r="Q316" s="6" t="s">
        <v>434</v>
      </c>
      <c r="R316" s="6"/>
      <c r="S316" s="27" t="s">
        <v>396</v>
      </c>
      <c r="T316" s="30" t="s">
        <v>396</v>
      </c>
      <c r="U316" s="27" t="s">
        <v>396</v>
      </c>
      <c r="V316" s="29" t="s">
        <v>396</v>
      </c>
      <c r="W316" s="27" t="s">
        <v>396</v>
      </c>
      <c r="X316" s="27" t="s">
        <v>396</v>
      </c>
      <c r="Y316" s="27" t="s">
        <v>396</v>
      </c>
      <c r="Z316" s="34">
        <v>0.25</v>
      </c>
      <c r="AA316" s="27" t="s">
        <v>396</v>
      </c>
      <c r="AB316" s="27" t="s">
        <v>396</v>
      </c>
      <c r="AC316" s="27" t="s">
        <v>396</v>
      </c>
      <c r="AD316" s="27" t="s">
        <v>396</v>
      </c>
      <c r="AE316" s="38"/>
      <c r="AF316" s="27" t="s">
        <v>399</v>
      </c>
      <c r="AG316" s="38"/>
      <c r="AH316" s="38"/>
      <c r="AI316" s="38"/>
      <c r="AJ316" s="38"/>
      <c r="AK316" s="6" t="s">
        <v>395</v>
      </c>
      <c r="AL316" s="17">
        <v>5413218563598</v>
      </c>
      <c r="AM316" s="15" t="s">
        <v>395</v>
      </c>
      <c r="AN316" s="5">
        <v>25202000</v>
      </c>
      <c r="AO316" s="6" t="s">
        <v>2027</v>
      </c>
      <c r="AP316" s="6" t="s">
        <v>2026</v>
      </c>
      <c r="AQ316" s="6" t="s">
        <v>2025</v>
      </c>
      <c r="AR316" s="6" t="s">
        <v>2024</v>
      </c>
      <c r="AS316" s="6" t="s">
        <v>2023</v>
      </c>
    </row>
    <row r="317" spans="1:45" s="5" customFormat="1" ht="12.75" customHeight="1">
      <c r="A317" s="33" t="s">
        <v>2022</v>
      </c>
      <c r="B317" s="6" t="s">
        <v>396</v>
      </c>
      <c r="C317" s="31" t="s">
        <v>403</v>
      </c>
      <c r="D317" s="5" t="s">
        <v>580</v>
      </c>
      <c r="E317" s="6" t="s">
        <v>580</v>
      </c>
      <c r="F317" s="6" t="s">
        <v>2021</v>
      </c>
      <c r="G317" s="5" t="s">
        <v>2020</v>
      </c>
      <c r="H317" s="36"/>
      <c r="I317" s="36"/>
      <c r="J317" s="6" t="s">
        <v>580</v>
      </c>
      <c r="K317" s="6" t="s">
        <v>580</v>
      </c>
      <c r="L317" s="27" t="s">
        <v>434</v>
      </c>
      <c r="M317" s="6" t="s">
        <v>508</v>
      </c>
      <c r="N317" s="6" t="s">
        <v>507</v>
      </c>
      <c r="O317" s="6" t="s">
        <v>506</v>
      </c>
      <c r="P317" s="6" t="s">
        <v>479</v>
      </c>
      <c r="Q317" s="6" t="s">
        <v>434</v>
      </c>
      <c r="R317" s="6"/>
      <c r="S317" s="27" t="s">
        <v>396</v>
      </c>
      <c r="T317" s="30" t="s">
        <v>396</v>
      </c>
      <c r="U317" s="27" t="s">
        <v>396</v>
      </c>
      <c r="V317" s="29" t="s">
        <v>396</v>
      </c>
      <c r="W317" s="27" t="s">
        <v>396</v>
      </c>
      <c r="X317" s="27" t="s">
        <v>396</v>
      </c>
      <c r="Y317" s="27" t="s">
        <v>396</v>
      </c>
      <c r="Z317" s="34">
        <v>0.25</v>
      </c>
      <c r="AA317" s="27" t="s">
        <v>396</v>
      </c>
      <c r="AB317" s="27" t="s">
        <v>396</v>
      </c>
      <c r="AC317" s="27" t="s">
        <v>396</v>
      </c>
      <c r="AD317" s="27" t="s">
        <v>396</v>
      </c>
      <c r="AE317" s="38"/>
      <c r="AF317" s="27" t="s">
        <v>399</v>
      </c>
      <c r="AG317" s="38"/>
      <c r="AH317" s="38"/>
      <c r="AI317" s="38"/>
      <c r="AJ317" s="38"/>
      <c r="AK317" s="5" t="s">
        <v>579</v>
      </c>
      <c r="AL317" s="17">
        <v>3496250112193</v>
      </c>
      <c r="AM317" s="15" t="s">
        <v>579</v>
      </c>
      <c r="AN317" s="5">
        <v>32149000</v>
      </c>
      <c r="AO317" s="6" t="s">
        <v>504</v>
      </c>
      <c r="AP317" s="6" t="s">
        <v>503</v>
      </c>
      <c r="AQ317" s="6" t="s">
        <v>2019</v>
      </c>
      <c r="AR317" s="6" t="s">
        <v>2018</v>
      </c>
      <c r="AS317" s="6" t="s">
        <v>2017</v>
      </c>
    </row>
    <row r="318" spans="1:45" s="16" customFormat="1" ht="12.75" customHeight="1">
      <c r="A318" s="51" t="s">
        <v>2016</v>
      </c>
      <c r="B318" s="18" t="s">
        <v>396</v>
      </c>
      <c r="C318" s="18" t="s">
        <v>403</v>
      </c>
      <c r="D318" s="16" t="s">
        <v>2013</v>
      </c>
      <c r="E318" s="18" t="s">
        <v>2013</v>
      </c>
      <c r="F318" s="18" t="s">
        <v>2015</v>
      </c>
      <c r="G318" s="18" t="s">
        <v>2014</v>
      </c>
      <c r="H318" s="18"/>
      <c r="I318" s="18"/>
      <c r="J318" s="18" t="s">
        <v>2013</v>
      </c>
      <c r="K318" s="18" t="s">
        <v>2013</v>
      </c>
      <c r="L318" s="19" t="s">
        <v>434</v>
      </c>
      <c r="M318" s="18" t="s">
        <v>508</v>
      </c>
      <c r="N318" s="18" t="s">
        <v>507</v>
      </c>
      <c r="O318" s="18" t="s">
        <v>506</v>
      </c>
      <c r="P318" s="18" t="s">
        <v>479</v>
      </c>
      <c r="Q318" s="18" t="s">
        <v>434</v>
      </c>
      <c r="S318" s="18" t="s">
        <v>396</v>
      </c>
      <c r="T318" s="21" t="s">
        <v>396</v>
      </c>
      <c r="U318" s="19" t="s">
        <v>396</v>
      </c>
      <c r="V318" s="48" t="s">
        <v>396</v>
      </c>
      <c r="W318" s="19" t="s">
        <v>396</v>
      </c>
      <c r="X318" s="19" t="s">
        <v>396</v>
      </c>
      <c r="Y318" s="19" t="s">
        <v>396</v>
      </c>
      <c r="Z318" s="49">
        <v>0.25</v>
      </c>
      <c r="AA318" s="19" t="s">
        <v>396</v>
      </c>
      <c r="AB318" s="19" t="s">
        <v>396</v>
      </c>
      <c r="AC318" s="19" t="s">
        <v>396</v>
      </c>
      <c r="AD318" s="19" t="s">
        <v>396</v>
      </c>
      <c r="AE318" s="19"/>
      <c r="AF318" s="19" t="s">
        <v>399</v>
      </c>
      <c r="AG318" s="19"/>
      <c r="AH318" s="19"/>
      <c r="AI318" s="19"/>
      <c r="AJ318" s="19"/>
      <c r="AK318" s="16" t="s">
        <v>579</v>
      </c>
      <c r="AL318" s="17">
        <v>8711149001552</v>
      </c>
      <c r="AM318" s="15" t="s">
        <v>579</v>
      </c>
      <c r="AN318" s="5">
        <v>68099000</v>
      </c>
      <c r="AO318" s="6"/>
      <c r="AP318" s="6"/>
      <c r="AQ318" s="6" t="s">
        <v>2012</v>
      </c>
      <c r="AR318" s="6" t="s">
        <v>2011</v>
      </c>
      <c r="AS318" s="6" t="s">
        <v>2010</v>
      </c>
    </row>
    <row r="319" spans="1:45" s="16" customFormat="1" ht="12.75" customHeight="1">
      <c r="A319" s="46" t="s">
        <v>2009</v>
      </c>
      <c r="B319" s="18" t="s">
        <v>396</v>
      </c>
      <c r="C319" s="18" t="s">
        <v>403</v>
      </c>
      <c r="D319" s="16" t="s">
        <v>2006</v>
      </c>
      <c r="E319" s="18" t="s">
        <v>2006</v>
      </c>
      <c r="F319" s="18" t="s">
        <v>2008</v>
      </c>
      <c r="G319" s="18" t="s">
        <v>2007</v>
      </c>
      <c r="H319" s="18"/>
      <c r="I319" s="18"/>
      <c r="J319" s="18" t="s">
        <v>2006</v>
      </c>
      <c r="K319" s="18" t="s">
        <v>2006</v>
      </c>
      <c r="L319" s="19" t="s">
        <v>434</v>
      </c>
      <c r="M319" s="18" t="s">
        <v>508</v>
      </c>
      <c r="N319" s="18" t="s">
        <v>507</v>
      </c>
      <c r="O319" s="18" t="s">
        <v>506</v>
      </c>
      <c r="P319" s="18" t="s">
        <v>479</v>
      </c>
      <c r="Q319" s="18" t="s">
        <v>434</v>
      </c>
      <c r="R319" s="18"/>
      <c r="S319" s="19" t="s">
        <v>396</v>
      </c>
      <c r="T319" s="21" t="s">
        <v>396</v>
      </c>
      <c r="U319" s="19" t="s">
        <v>396</v>
      </c>
      <c r="V319" s="48" t="s">
        <v>396</v>
      </c>
      <c r="W319" s="19" t="s">
        <v>396</v>
      </c>
      <c r="X319" s="19" t="s">
        <v>396</v>
      </c>
      <c r="Y319" s="19" t="s">
        <v>396</v>
      </c>
      <c r="Z319" s="49">
        <v>0.25</v>
      </c>
      <c r="AA319" s="19" t="s">
        <v>396</v>
      </c>
      <c r="AB319" s="19" t="s">
        <v>396</v>
      </c>
      <c r="AC319" s="19" t="s">
        <v>396</v>
      </c>
      <c r="AD319" s="19" t="s">
        <v>396</v>
      </c>
      <c r="AE319" s="19"/>
      <c r="AF319" s="19" t="s">
        <v>399</v>
      </c>
      <c r="AG319" s="19"/>
      <c r="AH319" s="19"/>
      <c r="AI319" s="19"/>
      <c r="AJ319" s="19"/>
      <c r="AK319" s="16" t="s">
        <v>579</v>
      </c>
      <c r="AL319" s="17">
        <v>5413218572200</v>
      </c>
      <c r="AM319" s="15" t="s">
        <v>579</v>
      </c>
      <c r="AN319" s="5">
        <v>32149000</v>
      </c>
      <c r="AO319" s="6"/>
      <c r="AP319" s="6"/>
      <c r="AQ319" s="6" t="s">
        <v>2005</v>
      </c>
      <c r="AR319" s="6" t="s">
        <v>2004</v>
      </c>
      <c r="AS319" s="6" t="s">
        <v>2003</v>
      </c>
    </row>
    <row r="320" spans="1:45" s="5" customFormat="1" ht="12.75" customHeight="1">
      <c r="A320" s="32" t="s">
        <v>2002</v>
      </c>
      <c r="B320" s="6" t="s">
        <v>396</v>
      </c>
      <c r="C320" s="31" t="s">
        <v>403</v>
      </c>
      <c r="D320" s="5" t="s">
        <v>1999</v>
      </c>
      <c r="E320" s="6" t="s">
        <v>1999</v>
      </c>
      <c r="F320" s="7" t="s">
        <v>2001</v>
      </c>
      <c r="G320" s="7" t="s">
        <v>2000</v>
      </c>
      <c r="H320" s="36"/>
      <c r="I320" s="36"/>
      <c r="J320" s="6" t="s">
        <v>1999</v>
      </c>
      <c r="K320" s="6" t="s">
        <v>1999</v>
      </c>
      <c r="L320" s="27" t="s">
        <v>434</v>
      </c>
      <c r="M320" s="6" t="s">
        <v>508</v>
      </c>
      <c r="N320" s="6" t="s">
        <v>507</v>
      </c>
      <c r="O320" s="6" t="s">
        <v>506</v>
      </c>
      <c r="P320" s="6" t="s">
        <v>479</v>
      </c>
      <c r="Q320" s="6" t="s">
        <v>434</v>
      </c>
      <c r="R320" s="6"/>
      <c r="S320" s="27" t="s">
        <v>396</v>
      </c>
      <c r="T320" s="30" t="s">
        <v>396</v>
      </c>
      <c r="U320" s="27" t="s">
        <v>396</v>
      </c>
      <c r="V320" s="29" t="s">
        <v>396</v>
      </c>
      <c r="W320" s="27" t="s">
        <v>396</v>
      </c>
      <c r="X320" s="27" t="s">
        <v>396</v>
      </c>
      <c r="Y320" s="27" t="s">
        <v>396</v>
      </c>
      <c r="Z320" s="34">
        <v>0.25</v>
      </c>
      <c r="AA320" s="27" t="s">
        <v>396</v>
      </c>
      <c r="AB320" s="27" t="s">
        <v>396</v>
      </c>
      <c r="AC320" s="27" t="s">
        <v>396</v>
      </c>
      <c r="AD320" s="27" t="s">
        <v>396</v>
      </c>
      <c r="AE320" s="38"/>
      <c r="AF320" s="27" t="s">
        <v>399</v>
      </c>
      <c r="AG320" s="38"/>
      <c r="AH320" s="38"/>
      <c r="AI320" s="38"/>
      <c r="AJ320" s="38"/>
      <c r="AK320" s="5" t="s">
        <v>579</v>
      </c>
      <c r="AL320" s="17">
        <v>5413218563925</v>
      </c>
      <c r="AM320" s="15" t="s">
        <v>579</v>
      </c>
      <c r="AN320" s="5">
        <v>32141090</v>
      </c>
      <c r="AO320" s="6" t="s">
        <v>504</v>
      </c>
      <c r="AP320" s="6" t="s">
        <v>503</v>
      </c>
      <c r="AQ320" s="6" t="s">
        <v>1998</v>
      </c>
      <c r="AR320" s="6" t="s">
        <v>1997</v>
      </c>
      <c r="AS320" s="6" t="s">
        <v>1996</v>
      </c>
    </row>
    <row r="321" spans="1:45" s="16" customFormat="1" ht="12.75" customHeight="1">
      <c r="A321" s="26" t="s">
        <v>1995</v>
      </c>
      <c r="B321" s="18" t="s">
        <v>396</v>
      </c>
      <c r="C321" s="18" t="s">
        <v>403</v>
      </c>
      <c r="D321" s="16" t="s">
        <v>1992</v>
      </c>
      <c r="E321" s="18" t="s">
        <v>1992</v>
      </c>
      <c r="F321" s="18" t="s">
        <v>1994</v>
      </c>
      <c r="G321" s="18" t="s">
        <v>1993</v>
      </c>
      <c r="H321" s="18"/>
      <c r="I321" s="18"/>
      <c r="J321" s="18" t="s">
        <v>1992</v>
      </c>
      <c r="K321" s="18" t="s">
        <v>1992</v>
      </c>
      <c r="L321" s="19" t="s">
        <v>434</v>
      </c>
      <c r="M321" s="18" t="s">
        <v>1991</v>
      </c>
      <c r="N321" s="18" t="s">
        <v>507</v>
      </c>
      <c r="O321" s="18" t="s">
        <v>506</v>
      </c>
      <c r="P321" s="18" t="s">
        <v>479</v>
      </c>
      <c r="Q321" s="18" t="s">
        <v>434</v>
      </c>
      <c r="R321" s="18"/>
      <c r="S321" s="19" t="s">
        <v>396</v>
      </c>
      <c r="T321" s="21" t="s">
        <v>396</v>
      </c>
      <c r="U321" s="19" t="s">
        <v>396</v>
      </c>
      <c r="V321" s="48" t="s">
        <v>396</v>
      </c>
      <c r="W321" s="19" t="s">
        <v>396</v>
      </c>
      <c r="X321" s="19" t="s">
        <v>396</v>
      </c>
      <c r="Y321" s="19" t="s">
        <v>396</v>
      </c>
      <c r="Z321" s="49">
        <v>0.25</v>
      </c>
      <c r="AA321" s="19" t="s">
        <v>396</v>
      </c>
      <c r="AB321" s="19" t="s">
        <v>396</v>
      </c>
      <c r="AC321" s="19" t="s">
        <v>396</v>
      </c>
      <c r="AD321" s="19" t="s">
        <v>396</v>
      </c>
      <c r="AE321" s="19"/>
      <c r="AF321" s="19" t="s">
        <v>399</v>
      </c>
      <c r="AG321" s="19"/>
      <c r="AH321" s="19"/>
      <c r="AI321" s="19"/>
      <c r="AJ321" s="19"/>
      <c r="AK321" s="16" t="s">
        <v>927</v>
      </c>
      <c r="AL321" s="17">
        <v>5413218573290</v>
      </c>
      <c r="AM321" s="15" t="s">
        <v>927</v>
      </c>
      <c r="AN321" s="5">
        <v>32141090</v>
      </c>
      <c r="AO321" s="6"/>
      <c r="AP321" s="6"/>
      <c r="AQ321" s="6" t="s">
        <v>1990</v>
      </c>
      <c r="AR321" s="6" t="s">
        <v>1989</v>
      </c>
      <c r="AS321" s="6" t="s">
        <v>1988</v>
      </c>
    </row>
    <row r="322" spans="1:45" s="5" customFormat="1" ht="12.75" customHeight="1">
      <c r="A322" s="32" t="s">
        <v>1987</v>
      </c>
      <c r="B322" s="6" t="s">
        <v>396</v>
      </c>
      <c r="C322" s="31" t="s">
        <v>403</v>
      </c>
      <c r="D322" s="5" t="s">
        <v>1984</v>
      </c>
      <c r="E322" s="6" t="s">
        <v>1984</v>
      </c>
      <c r="F322" s="7" t="s">
        <v>1986</v>
      </c>
      <c r="G322" s="5" t="s">
        <v>1985</v>
      </c>
      <c r="H322" s="36"/>
      <c r="I322" s="36"/>
      <c r="J322" s="6" t="s">
        <v>1984</v>
      </c>
      <c r="K322" s="6" t="s">
        <v>1984</v>
      </c>
      <c r="L322" s="27" t="s">
        <v>434</v>
      </c>
      <c r="M322" s="6" t="s">
        <v>508</v>
      </c>
      <c r="N322" s="6" t="s">
        <v>507</v>
      </c>
      <c r="O322" s="6" t="s">
        <v>506</v>
      </c>
      <c r="P322" s="6" t="s">
        <v>479</v>
      </c>
      <c r="Q322" s="6" t="s">
        <v>434</v>
      </c>
      <c r="R322" s="6"/>
      <c r="S322" s="27" t="s">
        <v>396</v>
      </c>
      <c r="T322" s="30" t="s">
        <v>396</v>
      </c>
      <c r="U322" s="27" t="s">
        <v>396</v>
      </c>
      <c r="V322" s="29" t="s">
        <v>396</v>
      </c>
      <c r="W322" s="27" t="s">
        <v>396</v>
      </c>
      <c r="X322" s="27" t="s">
        <v>396</v>
      </c>
      <c r="Y322" s="27" t="s">
        <v>396</v>
      </c>
      <c r="Z322" s="34">
        <v>0.25</v>
      </c>
      <c r="AA322" s="27" t="s">
        <v>396</v>
      </c>
      <c r="AB322" s="27" t="s">
        <v>396</v>
      </c>
      <c r="AC322" s="27" t="s">
        <v>396</v>
      </c>
      <c r="AD322" s="27" t="s">
        <v>396</v>
      </c>
      <c r="AE322" s="38"/>
      <c r="AF322" s="27" t="s">
        <v>399</v>
      </c>
      <c r="AG322" s="38"/>
      <c r="AH322" s="38"/>
      <c r="AI322" s="38"/>
      <c r="AJ322" s="38"/>
      <c r="AK322" s="6" t="s">
        <v>927</v>
      </c>
      <c r="AL322" s="17">
        <v>8711149990382</v>
      </c>
      <c r="AM322" s="15" t="s">
        <v>927</v>
      </c>
      <c r="AN322" s="5">
        <v>25202000</v>
      </c>
      <c r="AO322" s="6" t="s">
        <v>1983</v>
      </c>
      <c r="AP322" s="6" t="s">
        <v>1982</v>
      </c>
      <c r="AQ322" s="6" t="s">
        <v>1981</v>
      </c>
      <c r="AR322" s="6" t="s">
        <v>1980</v>
      </c>
      <c r="AS322" s="6" t="s">
        <v>366</v>
      </c>
    </row>
    <row r="323" spans="1:45" s="5" customFormat="1" ht="12.75" customHeight="1">
      <c r="A323" s="33" t="s">
        <v>1979</v>
      </c>
      <c r="B323" s="6" t="s">
        <v>396</v>
      </c>
      <c r="C323" s="31" t="s">
        <v>403</v>
      </c>
      <c r="D323" s="5" t="s">
        <v>1976</v>
      </c>
      <c r="E323" s="6" t="s">
        <v>1975</v>
      </c>
      <c r="F323" s="6" t="s">
        <v>1978</v>
      </c>
      <c r="G323" s="5" t="s">
        <v>1977</v>
      </c>
      <c r="H323" s="6" t="s">
        <v>396</v>
      </c>
      <c r="I323" s="6" t="s">
        <v>396</v>
      </c>
      <c r="J323" s="6" t="s">
        <v>1976</v>
      </c>
      <c r="K323" s="6" t="s">
        <v>1975</v>
      </c>
      <c r="L323" s="27" t="s">
        <v>434</v>
      </c>
      <c r="M323" s="27" t="s">
        <v>399</v>
      </c>
      <c r="N323" s="27" t="s">
        <v>433</v>
      </c>
      <c r="O323" s="27" t="s">
        <v>432</v>
      </c>
      <c r="P323" s="38"/>
      <c r="Q323" s="38"/>
      <c r="R323" s="6"/>
      <c r="S323" s="27" t="s">
        <v>396</v>
      </c>
      <c r="T323" s="37"/>
      <c r="U323" s="6">
        <v>48</v>
      </c>
      <c r="V323" s="35">
        <v>76000</v>
      </c>
      <c r="W323" s="27" t="s">
        <v>396</v>
      </c>
      <c r="X323" s="27" t="s">
        <v>396</v>
      </c>
      <c r="Y323" s="27" t="s">
        <v>396</v>
      </c>
      <c r="Z323" s="34"/>
      <c r="AA323" s="27" t="s">
        <v>396</v>
      </c>
      <c r="AB323" s="27" t="s">
        <v>396</v>
      </c>
      <c r="AC323" s="27" t="s">
        <v>396</v>
      </c>
      <c r="AD323" s="27" t="s">
        <v>396</v>
      </c>
      <c r="AE323" s="27" t="s">
        <v>396</v>
      </c>
      <c r="AF323" s="27" t="s">
        <v>396</v>
      </c>
      <c r="AG323" s="27" t="s">
        <v>396</v>
      </c>
      <c r="AH323" s="27" t="s">
        <v>396</v>
      </c>
      <c r="AI323" s="27" t="s">
        <v>396</v>
      </c>
      <c r="AJ323" s="27" t="s">
        <v>396</v>
      </c>
      <c r="AK323" s="6" t="s">
        <v>431</v>
      </c>
      <c r="AL323" s="17">
        <v>5413218601993</v>
      </c>
      <c r="AM323" s="15" t="s">
        <v>431</v>
      </c>
      <c r="AN323" s="5">
        <v>48051990</v>
      </c>
      <c r="AO323" s="6" t="s">
        <v>430</v>
      </c>
      <c r="AP323" s="6" t="s">
        <v>429</v>
      </c>
      <c r="AQ323" s="6" t="s">
        <v>1974</v>
      </c>
      <c r="AR323" s="6" t="s">
        <v>1973</v>
      </c>
      <c r="AS323" s="6" t="s">
        <v>1972</v>
      </c>
    </row>
    <row r="324" spans="1:45" s="5" customFormat="1" ht="12.75" customHeight="1">
      <c r="A324" s="32" t="s">
        <v>1971</v>
      </c>
      <c r="B324" s="6" t="s">
        <v>396</v>
      </c>
      <c r="C324" s="31" t="s">
        <v>403</v>
      </c>
      <c r="D324" s="5" t="s">
        <v>1968</v>
      </c>
      <c r="E324" s="6" t="s">
        <v>1967</v>
      </c>
      <c r="F324" s="5" t="s">
        <v>1970</v>
      </c>
      <c r="G324" s="5" t="s">
        <v>1969</v>
      </c>
      <c r="H324" s="6" t="s">
        <v>396</v>
      </c>
      <c r="I324" s="6" t="s">
        <v>396</v>
      </c>
      <c r="J324" s="6" t="s">
        <v>1968</v>
      </c>
      <c r="K324" s="6" t="s">
        <v>1967</v>
      </c>
      <c r="L324" s="27" t="s">
        <v>434</v>
      </c>
      <c r="M324" s="27" t="s">
        <v>399</v>
      </c>
      <c r="N324" s="27" t="s">
        <v>433</v>
      </c>
      <c r="O324" s="27" t="s">
        <v>432</v>
      </c>
      <c r="P324" s="38"/>
      <c r="Q324" s="38"/>
      <c r="R324" s="6"/>
      <c r="S324" s="27" t="s">
        <v>396</v>
      </c>
      <c r="T324" s="37"/>
      <c r="U324" s="6">
        <v>50</v>
      </c>
      <c r="V324" s="35">
        <v>90000</v>
      </c>
      <c r="W324" s="27" t="s">
        <v>396</v>
      </c>
      <c r="X324" s="27" t="s">
        <v>396</v>
      </c>
      <c r="Y324" s="27" t="s">
        <v>396</v>
      </c>
      <c r="Z324" s="62"/>
      <c r="AA324" s="27" t="s">
        <v>396</v>
      </c>
      <c r="AB324" s="27" t="s">
        <v>396</v>
      </c>
      <c r="AC324" s="27" t="s">
        <v>396</v>
      </c>
      <c r="AD324" s="27" t="s">
        <v>396</v>
      </c>
      <c r="AE324" s="27" t="s">
        <v>396</v>
      </c>
      <c r="AF324" s="27" t="s">
        <v>396</v>
      </c>
      <c r="AG324" s="27" t="s">
        <v>396</v>
      </c>
      <c r="AH324" s="27" t="s">
        <v>396</v>
      </c>
      <c r="AI324" s="27" t="s">
        <v>396</v>
      </c>
      <c r="AJ324" s="27" t="s">
        <v>396</v>
      </c>
      <c r="AK324" s="6" t="s">
        <v>431</v>
      </c>
      <c r="AL324" s="17">
        <v>5413218563512</v>
      </c>
      <c r="AM324" s="15" t="s">
        <v>431</v>
      </c>
      <c r="AN324" s="5">
        <v>70191910</v>
      </c>
      <c r="AO324" s="6" t="s">
        <v>430</v>
      </c>
      <c r="AP324" s="6" t="s">
        <v>429</v>
      </c>
      <c r="AQ324" s="6" t="s">
        <v>1966</v>
      </c>
      <c r="AR324" s="6" t="s">
        <v>1965</v>
      </c>
      <c r="AS324" s="6" t="s">
        <v>1964</v>
      </c>
    </row>
    <row r="325" spans="1:45" s="16" customFormat="1" ht="12.75" customHeight="1">
      <c r="A325" s="46" t="s">
        <v>1963</v>
      </c>
      <c r="B325" s="18" t="s">
        <v>396</v>
      </c>
      <c r="C325" s="18" t="s">
        <v>403</v>
      </c>
      <c r="D325" s="6" t="s">
        <v>1962</v>
      </c>
      <c r="E325" s="6" t="s">
        <v>1961</v>
      </c>
      <c r="F325" s="18" t="s">
        <v>1960</v>
      </c>
      <c r="G325" s="6" t="s">
        <v>1959</v>
      </c>
      <c r="H325" s="18" t="s">
        <v>396</v>
      </c>
      <c r="I325" s="18" t="s">
        <v>396</v>
      </c>
      <c r="J325" s="18" t="s">
        <v>1958</v>
      </c>
      <c r="K325" s="18" t="s">
        <v>1957</v>
      </c>
      <c r="L325" s="19" t="s">
        <v>434</v>
      </c>
      <c r="M325" s="19" t="s">
        <v>399</v>
      </c>
      <c r="N325" s="19" t="s">
        <v>433</v>
      </c>
      <c r="O325" s="19" t="s">
        <v>432</v>
      </c>
      <c r="P325" s="19"/>
      <c r="Q325" s="19"/>
      <c r="R325" s="18"/>
      <c r="S325" s="19" t="s">
        <v>396</v>
      </c>
      <c r="T325" s="37"/>
      <c r="U325" s="18">
        <v>50</v>
      </c>
      <c r="V325" s="60">
        <v>25000</v>
      </c>
      <c r="W325" s="19" t="s">
        <v>396</v>
      </c>
      <c r="X325" s="19" t="s">
        <v>396</v>
      </c>
      <c r="Y325" s="19" t="s">
        <v>396</v>
      </c>
      <c r="Z325" s="47"/>
      <c r="AA325" s="19" t="s">
        <v>396</v>
      </c>
      <c r="AB325" s="19"/>
      <c r="AC325" s="19"/>
      <c r="AD325" s="19"/>
      <c r="AE325" s="19" t="s">
        <v>396</v>
      </c>
      <c r="AF325" s="19" t="s">
        <v>396</v>
      </c>
      <c r="AG325" s="19" t="s">
        <v>396</v>
      </c>
      <c r="AH325" s="19" t="s">
        <v>396</v>
      </c>
      <c r="AI325" s="19" t="s">
        <v>396</v>
      </c>
      <c r="AJ325" s="19" t="s">
        <v>396</v>
      </c>
      <c r="AK325" s="18" t="s">
        <v>431</v>
      </c>
      <c r="AL325" s="15">
        <v>8711149901807</v>
      </c>
      <c r="AM325" s="15" t="s">
        <v>431</v>
      </c>
      <c r="AN325" s="5"/>
      <c r="AO325" s="6"/>
      <c r="AP325" s="6"/>
      <c r="AQ325" s="6" t="s">
        <v>1956</v>
      </c>
      <c r="AR325" s="6" t="s">
        <v>1955</v>
      </c>
      <c r="AS325" s="6" t="s">
        <v>1954</v>
      </c>
    </row>
    <row r="326" spans="1:45" s="5" customFormat="1" ht="12.75" customHeight="1">
      <c r="A326" s="32" t="s">
        <v>1953</v>
      </c>
      <c r="B326" s="6" t="s">
        <v>396</v>
      </c>
      <c r="C326" s="31" t="s">
        <v>403</v>
      </c>
      <c r="D326" s="5" t="s">
        <v>1950</v>
      </c>
      <c r="E326" s="6" t="s">
        <v>1950</v>
      </c>
      <c r="F326" s="5" t="s">
        <v>1952</v>
      </c>
      <c r="G326" s="5" t="s">
        <v>1951</v>
      </c>
      <c r="H326" s="27" t="s">
        <v>396</v>
      </c>
      <c r="I326" s="27" t="s">
        <v>396</v>
      </c>
      <c r="J326" s="6" t="s">
        <v>1950</v>
      </c>
      <c r="K326" s="6" t="s">
        <v>1950</v>
      </c>
      <c r="L326" s="27" t="s">
        <v>1866</v>
      </c>
      <c r="M326" s="27" t="s">
        <v>1949</v>
      </c>
      <c r="N326" s="6" t="s">
        <v>1948</v>
      </c>
      <c r="O326" s="6" t="s">
        <v>1947</v>
      </c>
      <c r="P326" s="36"/>
      <c r="Q326" s="36"/>
      <c r="R326" s="6"/>
      <c r="S326" s="27" t="s">
        <v>396</v>
      </c>
      <c r="T326" s="37"/>
      <c r="U326" s="6">
        <v>32</v>
      </c>
      <c r="V326" s="35">
        <v>3000</v>
      </c>
      <c r="W326" s="27" t="s">
        <v>396</v>
      </c>
      <c r="X326" s="27" t="s">
        <v>396</v>
      </c>
      <c r="Y326" s="27" t="s">
        <v>396</v>
      </c>
      <c r="Z326" s="34">
        <v>50</v>
      </c>
      <c r="AA326" s="27" t="s">
        <v>396</v>
      </c>
      <c r="AB326" s="27" t="s">
        <v>396</v>
      </c>
      <c r="AC326" s="27" t="s">
        <v>396</v>
      </c>
      <c r="AD326" s="27" t="s">
        <v>396</v>
      </c>
      <c r="AE326" s="27" t="s">
        <v>396</v>
      </c>
      <c r="AF326" s="27" t="s">
        <v>396</v>
      </c>
      <c r="AG326" s="27" t="s">
        <v>396</v>
      </c>
      <c r="AH326" s="27" t="s">
        <v>396</v>
      </c>
      <c r="AI326" s="27" t="s">
        <v>396</v>
      </c>
      <c r="AJ326" s="27" t="s">
        <v>396</v>
      </c>
      <c r="AK326" s="6" t="s">
        <v>395</v>
      </c>
      <c r="AL326" s="17">
        <v>5413218566940</v>
      </c>
      <c r="AM326" s="15" t="s">
        <v>395</v>
      </c>
      <c r="AN326" s="5">
        <v>73269091</v>
      </c>
      <c r="AO326" s="6"/>
      <c r="AP326" s="6"/>
      <c r="AQ326" s="6" t="s">
        <v>1946</v>
      </c>
      <c r="AR326" s="6" t="s">
        <v>1945</v>
      </c>
      <c r="AS326" s="6" t="s">
        <v>1944</v>
      </c>
    </row>
    <row r="327" spans="1:45" s="5" customFormat="1" ht="12.75" customHeight="1">
      <c r="A327" s="32" t="s">
        <v>1943</v>
      </c>
      <c r="B327" s="6" t="s">
        <v>396</v>
      </c>
      <c r="C327" s="31" t="s">
        <v>403</v>
      </c>
      <c r="D327" s="5" t="s">
        <v>1940</v>
      </c>
      <c r="E327" s="6" t="s">
        <v>1940</v>
      </c>
      <c r="F327" s="5" t="s">
        <v>1942</v>
      </c>
      <c r="G327" s="5" t="s">
        <v>1941</v>
      </c>
      <c r="H327" s="27" t="s">
        <v>396</v>
      </c>
      <c r="I327" s="27" t="s">
        <v>396</v>
      </c>
      <c r="J327" s="6" t="s">
        <v>1940</v>
      </c>
      <c r="K327" s="6" t="s">
        <v>1940</v>
      </c>
      <c r="L327" s="27" t="s">
        <v>434</v>
      </c>
      <c r="M327" s="27" t="s">
        <v>396</v>
      </c>
      <c r="N327" s="27" t="s">
        <v>396</v>
      </c>
      <c r="O327" s="27" t="s">
        <v>396</v>
      </c>
      <c r="P327" s="38"/>
      <c r="Q327" s="38"/>
      <c r="R327" s="6"/>
      <c r="S327" s="27" t="s">
        <v>396</v>
      </c>
      <c r="T327" s="37"/>
      <c r="U327" s="6">
        <v>53</v>
      </c>
      <c r="V327" s="35">
        <v>30000</v>
      </c>
      <c r="W327" s="27" t="s">
        <v>396</v>
      </c>
      <c r="X327" s="27" t="s">
        <v>396</v>
      </c>
      <c r="Y327" s="27" t="s">
        <v>396</v>
      </c>
      <c r="Z327" s="34"/>
      <c r="AA327" s="27" t="s">
        <v>396</v>
      </c>
      <c r="AB327" s="27" t="s">
        <v>396</v>
      </c>
      <c r="AC327" s="27" t="s">
        <v>396</v>
      </c>
      <c r="AD327" s="27" t="s">
        <v>396</v>
      </c>
      <c r="AE327" s="27" t="s">
        <v>396</v>
      </c>
      <c r="AF327" s="27" t="s">
        <v>396</v>
      </c>
      <c r="AG327" s="27" t="s">
        <v>396</v>
      </c>
      <c r="AH327" s="27" t="s">
        <v>396</v>
      </c>
      <c r="AI327" s="27" t="s">
        <v>396</v>
      </c>
      <c r="AJ327" s="27" t="s">
        <v>396</v>
      </c>
      <c r="AK327" s="6" t="s">
        <v>431</v>
      </c>
      <c r="AL327" s="17">
        <v>5413218565622</v>
      </c>
      <c r="AM327" s="15" t="s">
        <v>431</v>
      </c>
      <c r="AN327" s="5">
        <v>68091100</v>
      </c>
      <c r="AO327" s="6"/>
      <c r="AP327" s="6"/>
      <c r="AQ327" s="6" t="s">
        <v>1939</v>
      </c>
      <c r="AR327" s="6" t="s">
        <v>1938</v>
      </c>
      <c r="AS327" s="6" t="s">
        <v>366</v>
      </c>
    </row>
    <row r="328" spans="1:45" s="5" customFormat="1" ht="12.75" customHeight="1">
      <c r="A328" s="32" t="s">
        <v>1937</v>
      </c>
      <c r="B328" s="6" t="s">
        <v>396</v>
      </c>
      <c r="C328" s="31" t="s">
        <v>403</v>
      </c>
      <c r="D328" s="5" t="s">
        <v>1934</v>
      </c>
      <c r="E328" s="6" t="s">
        <v>1934</v>
      </c>
      <c r="F328" s="5" t="s">
        <v>1936</v>
      </c>
      <c r="G328" s="5" t="s">
        <v>1935</v>
      </c>
      <c r="H328" s="27" t="s">
        <v>396</v>
      </c>
      <c r="I328" s="27" t="s">
        <v>396</v>
      </c>
      <c r="J328" s="6" t="s">
        <v>1934</v>
      </c>
      <c r="K328" s="6" t="s">
        <v>1934</v>
      </c>
      <c r="L328" s="27" t="s">
        <v>1866</v>
      </c>
      <c r="M328" s="27" t="s">
        <v>1865</v>
      </c>
      <c r="N328" s="6" t="s">
        <v>1864</v>
      </c>
      <c r="O328" s="6" t="s">
        <v>1863</v>
      </c>
      <c r="P328" s="36"/>
      <c r="Q328" s="36"/>
      <c r="R328" s="6"/>
      <c r="S328" s="27" t="s">
        <v>396</v>
      </c>
      <c r="T328" s="37"/>
      <c r="U328" s="6">
        <v>32</v>
      </c>
      <c r="V328" s="35">
        <v>3050</v>
      </c>
      <c r="W328" s="27" t="s">
        <v>396</v>
      </c>
      <c r="X328" s="27" t="s">
        <v>396</v>
      </c>
      <c r="Y328" s="27" t="s">
        <v>396</v>
      </c>
      <c r="Z328" s="34">
        <v>50</v>
      </c>
      <c r="AA328" s="27" t="s">
        <v>396</v>
      </c>
      <c r="AB328" s="27" t="s">
        <v>396</v>
      </c>
      <c r="AC328" s="27" t="s">
        <v>396</v>
      </c>
      <c r="AD328" s="27" t="s">
        <v>396</v>
      </c>
      <c r="AE328" s="27" t="s">
        <v>396</v>
      </c>
      <c r="AF328" s="27" t="s">
        <v>396</v>
      </c>
      <c r="AG328" s="27" t="s">
        <v>396</v>
      </c>
      <c r="AH328" s="27" t="s">
        <v>396</v>
      </c>
      <c r="AI328" s="27" t="s">
        <v>396</v>
      </c>
      <c r="AJ328" s="27" t="s">
        <v>396</v>
      </c>
      <c r="AK328" s="6" t="s">
        <v>395</v>
      </c>
      <c r="AL328" s="17">
        <v>5413218602419</v>
      </c>
      <c r="AM328" s="15" t="s">
        <v>395</v>
      </c>
      <c r="AN328" s="5">
        <v>72166110</v>
      </c>
      <c r="AO328" s="6"/>
      <c r="AP328" s="6"/>
      <c r="AQ328" s="6" t="s">
        <v>1933</v>
      </c>
      <c r="AR328" s="6" t="s">
        <v>1932</v>
      </c>
      <c r="AS328" s="6" t="s">
        <v>366</v>
      </c>
    </row>
    <row r="329" spans="1:45" s="5" customFormat="1" ht="12.75" customHeight="1">
      <c r="A329" s="32" t="s">
        <v>1931</v>
      </c>
      <c r="B329" s="6" t="s">
        <v>396</v>
      </c>
      <c r="C329" s="31" t="s">
        <v>403</v>
      </c>
      <c r="D329" s="6" t="s">
        <v>1926</v>
      </c>
      <c r="E329" s="6" t="s">
        <v>1930</v>
      </c>
      <c r="F329" s="6" t="s">
        <v>1925</v>
      </c>
      <c r="G329" s="6" t="s">
        <v>1924</v>
      </c>
      <c r="H329" s="27" t="s">
        <v>396</v>
      </c>
      <c r="I329" s="27" t="s">
        <v>396</v>
      </c>
      <c r="J329" s="6" t="s">
        <v>1930</v>
      </c>
      <c r="K329" s="6" t="s">
        <v>1930</v>
      </c>
      <c r="L329" s="27" t="s">
        <v>399</v>
      </c>
      <c r="M329" s="27" t="s">
        <v>396</v>
      </c>
      <c r="N329" s="27" t="s">
        <v>396</v>
      </c>
      <c r="O329" s="27" t="s">
        <v>396</v>
      </c>
      <c r="P329" s="38"/>
      <c r="Q329" s="38"/>
      <c r="R329" s="6"/>
      <c r="S329" s="27" t="s">
        <v>396</v>
      </c>
      <c r="T329" s="59">
        <v>1</v>
      </c>
      <c r="U329" s="6">
        <v>30</v>
      </c>
      <c r="V329" s="35">
        <v>3000</v>
      </c>
      <c r="W329" s="27" t="s">
        <v>396</v>
      </c>
      <c r="X329" s="27" t="s">
        <v>396</v>
      </c>
      <c r="Y329" s="27" t="s">
        <v>396</v>
      </c>
      <c r="Z329" s="34">
        <v>50</v>
      </c>
      <c r="AA329" s="27" t="s">
        <v>396</v>
      </c>
      <c r="AB329" s="27" t="s">
        <v>396</v>
      </c>
      <c r="AC329" s="27" t="s">
        <v>396</v>
      </c>
      <c r="AD329" s="27" t="s">
        <v>396</v>
      </c>
      <c r="AE329" s="27" t="s">
        <v>396</v>
      </c>
      <c r="AF329" s="27" t="s">
        <v>396</v>
      </c>
      <c r="AG329" s="27" t="s">
        <v>396</v>
      </c>
      <c r="AH329" s="27" t="s">
        <v>396</v>
      </c>
      <c r="AI329" s="27" t="s">
        <v>396</v>
      </c>
      <c r="AJ329" s="27" t="s">
        <v>396</v>
      </c>
      <c r="AK329" s="6" t="s">
        <v>395</v>
      </c>
      <c r="AL329" s="17">
        <v>5413218562836</v>
      </c>
      <c r="AM329" s="15" t="s">
        <v>395</v>
      </c>
      <c r="AN329" s="5">
        <v>68091100</v>
      </c>
      <c r="AO329" s="6"/>
      <c r="AP329" s="6"/>
      <c r="AQ329" s="6" t="s">
        <v>1929</v>
      </c>
      <c r="AR329" s="6" t="s">
        <v>1928</v>
      </c>
      <c r="AS329" s="6" t="s">
        <v>366</v>
      </c>
    </row>
    <row r="330" spans="1:45" s="5" customFormat="1" ht="12.75" customHeight="1">
      <c r="A330" s="32" t="s">
        <v>1927</v>
      </c>
      <c r="B330" s="6" t="s">
        <v>396</v>
      </c>
      <c r="C330" s="31" t="s">
        <v>403</v>
      </c>
      <c r="D330" s="6" t="s">
        <v>1926</v>
      </c>
      <c r="E330" s="6" t="s">
        <v>1923</v>
      </c>
      <c r="F330" s="6" t="s">
        <v>1925</v>
      </c>
      <c r="G330" s="6" t="s">
        <v>1924</v>
      </c>
      <c r="H330" s="27" t="s">
        <v>396</v>
      </c>
      <c r="I330" s="27" t="s">
        <v>396</v>
      </c>
      <c r="J330" s="6" t="s">
        <v>1923</v>
      </c>
      <c r="K330" s="6" t="s">
        <v>1923</v>
      </c>
      <c r="L330" s="27" t="s">
        <v>399</v>
      </c>
      <c r="M330" s="27" t="s">
        <v>396</v>
      </c>
      <c r="N330" s="27" t="s">
        <v>396</v>
      </c>
      <c r="O330" s="27" t="s">
        <v>396</v>
      </c>
      <c r="P330" s="38"/>
      <c r="Q330" s="38"/>
      <c r="R330" s="6"/>
      <c r="S330" s="27" t="s">
        <v>396</v>
      </c>
      <c r="T330" s="59">
        <v>1</v>
      </c>
      <c r="U330" s="6">
        <v>30</v>
      </c>
      <c r="V330" s="35">
        <v>3000</v>
      </c>
      <c r="W330" s="27" t="s">
        <v>396</v>
      </c>
      <c r="X330" s="27" t="s">
        <v>396</v>
      </c>
      <c r="Y330" s="27" t="s">
        <v>396</v>
      </c>
      <c r="Z330" s="34">
        <v>50</v>
      </c>
      <c r="AA330" s="27" t="s">
        <v>396</v>
      </c>
      <c r="AB330" s="27" t="s">
        <v>396</v>
      </c>
      <c r="AC330" s="27" t="s">
        <v>396</v>
      </c>
      <c r="AD330" s="27" t="s">
        <v>396</v>
      </c>
      <c r="AE330" s="27" t="s">
        <v>396</v>
      </c>
      <c r="AF330" s="27" t="s">
        <v>396</v>
      </c>
      <c r="AG330" s="27" t="s">
        <v>396</v>
      </c>
      <c r="AH330" s="27" t="s">
        <v>396</v>
      </c>
      <c r="AI330" s="27" t="s">
        <v>396</v>
      </c>
      <c r="AJ330" s="27" t="s">
        <v>396</v>
      </c>
      <c r="AK330" s="6" t="s">
        <v>395</v>
      </c>
      <c r="AL330" s="17">
        <v>5413218566964</v>
      </c>
      <c r="AM330" s="15" t="s">
        <v>395</v>
      </c>
      <c r="AN330" s="5">
        <v>72166110</v>
      </c>
      <c r="AO330" s="6"/>
      <c r="AP330" s="6"/>
      <c r="AQ330" s="6" t="s">
        <v>1922</v>
      </c>
      <c r="AR330" s="6" t="s">
        <v>1921</v>
      </c>
      <c r="AS330" s="6" t="s">
        <v>366</v>
      </c>
    </row>
    <row r="331" spans="1:45" s="16" customFormat="1" ht="12.75" customHeight="1">
      <c r="A331" s="46" t="s">
        <v>1920</v>
      </c>
      <c r="B331" s="16" t="s">
        <v>1919</v>
      </c>
      <c r="C331" s="18" t="s">
        <v>403</v>
      </c>
      <c r="D331" s="16" t="s">
        <v>1916</v>
      </c>
      <c r="E331" s="18" t="s">
        <v>1916</v>
      </c>
      <c r="F331" s="18" t="s">
        <v>1918</v>
      </c>
      <c r="G331" s="18" t="s">
        <v>1917</v>
      </c>
      <c r="H331" s="19" t="s">
        <v>396</v>
      </c>
      <c r="I331" s="19" t="s">
        <v>396</v>
      </c>
      <c r="J331" s="18" t="s">
        <v>1916</v>
      </c>
      <c r="K331" s="18" t="s">
        <v>1916</v>
      </c>
      <c r="L331" s="19" t="s">
        <v>399</v>
      </c>
      <c r="M331" s="19" t="s">
        <v>396</v>
      </c>
      <c r="N331" s="19" t="s">
        <v>396</v>
      </c>
      <c r="O331" s="19" t="s">
        <v>396</v>
      </c>
      <c r="P331" s="19"/>
      <c r="Q331" s="19"/>
      <c r="R331" s="18"/>
      <c r="S331" s="19" t="s">
        <v>396</v>
      </c>
      <c r="T331" s="61">
        <v>1.18</v>
      </c>
      <c r="U331" s="18">
        <v>79.400000000000006</v>
      </c>
      <c r="V331" s="60">
        <v>30000</v>
      </c>
      <c r="W331" s="19" t="s">
        <v>396</v>
      </c>
      <c r="X331" s="19" t="s">
        <v>396</v>
      </c>
      <c r="Y331" s="19" t="s">
        <v>396</v>
      </c>
      <c r="Z331" s="49"/>
      <c r="AA331" s="19" t="s">
        <v>396</v>
      </c>
      <c r="AB331" s="19" t="s">
        <v>396</v>
      </c>
      <c r="AC331" s="19" t="s">
        <v>396</v>
      </c>
      <c r="AD331" s="19" t="s">
        <v>396</v>
      </c>
      <c r="AE331" s="19" t="s">
        <v>396</v>
      </c>
      <c r="AF331" s="19" t="s">
        <v>396</v>
      </c>
      <c r="AG331" s="19" t="s">
        <v>396</v>
      </c>
      <c r="AH331" s="19" t="s">
        <v>396</v>
      </c>
      <c r="AI331" s="19" t="s">
        <v>396</v>
      </c>
      <c r="AJ331" s="19" t="s">
        <v>396</v>
      </c>
      <c r="AK331" s="18" t="s">
        <v>431</v>
      </c>
      <c r="AL331" s="17">
        <v>9002869603805</v>
      </c>
      <c r="AM331" s="15" t="s">
        <v>431</v>
      </c>
      <c r="AN331" s="5">
        <v>73269091</v>
      </c>
      <c r="AO331" s="6"/>
      <c r="AP331" s="6"/>
      <c r="AQ331" s="6" t="s">
        <v>1915</v>
      </c>
      <c r="AR331" s="6" t="s">
        <v>1914</v>
      </c>
      <c r="AS331" s="6" t="s">
        <v>1913</v>
      </c>
    </row>
    <row r="332" spans="1:45" s="16" customFormat="1" ht="12.75" customHeight="1">
      <c r="A332" s="46" t="s">
        <v>1912</v>
      </c>
      <c r="B332" s="16" t="s">
        <v>1911</v>
      </c>
      <c r="C332" s="18" t="s">
        <v>403</v>
      </c>
      <c r="D332" s="16" t="s">
        <v>1908</v>
      </c>
      <c r="E332" s="18" t="s">
        <v>1908</v>
      </c>
      <c r="F332" s="18" t="s">
        <v>1910</v>
      </c>
      <c r="G332" s="18" t="s">
        <v>1909</v>
      </c>
      <c r="H332" s="19" t="s">
        <v>396</v>
      </c>
      <c r="I332" s="19" t="s">
        <v>396</v>
      </c>
      <c r="J332" s="18" t="s">
        <v>1908</v>
      </c>
      <c r="K332" s="18" t="s">
        <v>1908</v>
      </c>
      <c r="L332" s="19" t="s">
        <v>399</v>
      </c>
      <c r="M332" s="19" t="s">
        <v>396</v>
      </c>
      <c r="N332" s="19" t="s">
        <v>396</v>
      </c>
      <c r="O332" s="19" t="s">
        <v>396</v>
      </c>
      <c r="P332" s="19"/>
      <c r="Q332" s="19"/>
      <c r="R332" s="18"/>
      <c r="S332" s="19" t="s">
        <v>396</v>
      </c>
      <c r="T332" s="61">
        <v>1.52</v>
      </c>
      <c r="U332" s="18">
        <v>47</v>
      </c>
      <c r="V332" s="60">
        <v>3000</v>
      </c>
      <c r="W332" s="19" t="s">
        <v>396</v>
      </c>
      <c r="X332" s="19" t="s">
        <v>396</v>
      </c>
      <c r="Y332" s="19" t="s">
        <v>396</v>
      </c>
      <c r="Z332" s="49"/>
      <c r="AA332" s="19" t="s">
        <v>396</v>
      </c>
      <c r="AB332" s="19" t="s">
        <v>396</v>
      </c>
      <c r="AC332" s="19" t="s">
        <v>396</v>
      </c>
      <c r="AD332" s="19" t="s">
        <v>396</v>
      </c>
      <c r="AE332" s="19" t="s">
        <v>396</v>
      </c>
      <c r="AF332" s="19" t="s">
        <v>396</v>
      </c>
      <c r="AG332" s="19" t="s">
        <v>396</v>
      </c>
      <c r="AH332" s="19" t="s">
        <v>396</v>
      </c>
      <c r="AI332" s="19" t="s">
        <v>396</v>
      </c>
      <c r="AJ332" s="19" t="s">
        <v>396</v>
      </c>
      <c r="AK332" s="18" t="s">
        <v>395</v>
      </c>
      <c r="AL332" s="17">
        <v>9002869603973</v>
      </c>
      <c r="AM332" s="15" t="s">
        <v>395</v>
      </c>
      <c r="AN332" s="5">
        <v>73269091</v>
      </c>
      <c r="AO332" s="6"/>
      <c r="AP332" s="6"/>
      <c r="AQ332" s="6" t="s">
        <v>1907</v>
      </c>
      <c r="AR332" s="6" t="s">
        <v>1906</v>
      </c>
      <c r="AS332" s="6" t="s">
        <v>1905</v>
      </c>
    </row>
    <row r="333" spans="1:45" s="16" customFormat="1" ht="12.75" customHeight="1">
      <c r="A333" s="46" t="s">
        <v>1904</v>
      </c>
      <c r="B333" s="16" t="s">
        <v>1903</v>
      </c>
      <c r="C333" s="18" t="s">
        <v>403</v>
      </c>
      <c r="D333" s="16" t="s">
        <v>1900</v>
      </c>
      <c r="E333" s="18" t="s">
        <v>1900</v>
      </c>
      <c r="F333" s="18" t="s">
        <v>1902</v>
      </c>
      <c r="G333" s="18" t="s">
        <v>1901</v>
      </c>
      <c r="H333" s="19" t="s">
        <v>396</v>
      </c>
      <c r="I333" s="19" t="s">
        <v>396</v>
      </c>
      <c r="J333" s="18" t="s">
        <v>1900</v>
      </c>
      <c r="K333" s="18" t="s">
        <v>1900</v>
      </c>
      <c r="L333" s="19" t="s">
        <v>399</v>
      </c>
      <c r="M333" s="19" t="s">
        <v>396</v>
      </c>
      <c r="N333" s="19" t="s">
        <v>396</v>
      </c>
      <c r="O333" s="19" t="s">
        <v>396</v>
      </c>
      <c r="P333" s="19"/>
      <c r="Q333" s="19"/>
      <c r="R333" s="18"/>
      <c r="S333" s="19" t="s">
        <v>396</v>
      </c>
      <c r="T333" s="61"/>
      <c r="U333" s="18">
        <v>83</v>
      </c>
      <c r="V333" s="60">
        <v>3000</v>
      </c>
      <c r="W333" s="19" t="s">
        <v>396</v>
      </c>
      <c r="X333" s="19" t="s">
        <v>396</v>
      </c>
      <c r="Y333" s="19" t="s">
        <v>396</v>
      </c>
      <c r="Z333" s="49"/>
      <c r="AA333" s="19" t="s">
        <v>396</v>
      </c>
      <c r="AB333" s="19" t="s">
        <v>396</v>
      </c>
      <c r="AC333" s="19" t="s">
        <v>396</v>
      </c>
      <c r="AD333" s="19" t="s">
        <v>396</v>
      </c>
      <c r="AE333" s="19" t="s">
        <v>396</v>
      </c>
      <c r="AF333" s="19" t="s">
        <v>396</v>
      </c>
      <c r="AG333" s="19" t="s">
        <v>396</v>
      </c>
      <c r="AH333" s="19" t="s">
        <v>396</v>
      </c>
      <c r="AI333" s="19" t="s">
        <v>396</v>
      </c>
      <c r="AJ333" s="19" t="s">
        <v>396</v>
      </c>
      <c r="AK333" s="18" t="s">
        <v>395</v>
      </c>
      <c r="AL333" s="17">
        <v>9002869603997</v>
      </c>
      <c r="AM333" s="15" t="s">
        <v>395</v>
      </c>
      <c r="AN333" s="5">
        <v>39029010</v>
      </c>
      <c r="AO333" s="6"/>
      <c r="AP333" s="6"/>
      <c r="AQ333" s="6" t="s">
        <v>1899</v>
      </c>
      <c r="AR333" s="6" t="s">
        <v>1898</v>
      </c>
      <c r="AS333" s="6" t="s">
        <v>1897</v>
      </c>
    </row>
    <row r="334" spans="1:45" s="16" customFormat="1" ht="12.75" customHeight="1">
      <c r="A334" s="46" t="s">
        <v>1896</v>
      </c>
      <c r="B334" s="18" t="s">
        <v>396</v>
      </c>
      <c r="C334" s="18" t="s">
        <v>403</v>
      </c>
      <c r="D334" s="16" t="s">
        <v>1893</v>
      </c>
      <c r="E334" s="18" t="s">
        <v>1893</v>
      </c>
      <c r="F334" s="18" t="s">
        <v>1895</v>
      </c>
      <c r="G334" s="18" t="s">
        <v>1894</v>
      </c>
      <c r="H334" s="19" t="s">
        <v>396</v>
      </c>
      <c r="I334" s="19" t="s">
        <v>396</v>
      </c>
      <c r="J334" s="18" t="s">
        <v>1893</v>
      </c>
      <c r="K334" s="18" t="s">
        <v>1893</v>
      </c>
      <c r="L334" s="19" t="s">
        <v>399</v>
      </c>
      <c r="M334" s="19" t="s">
        <v>396</v>
      </c>
      <c r="N334" s="19" t="s">
        <v>396</v>
      </c>
      <c r="O334" s="19" t="s">
        <v>396</v>
      </c>
      <c r="P334" s="19"/>
      <c r="Q334" s="19"/>
      <c r="R334" s="18"/>
      <c r="S334" s="19" t="s">
        <v>396</v>
      </c>
      <c r="T334" s="61">
        <v>1.52</v>
      </c>
      <c r="U334" s="18">
        <v>47</v>
      </c>
      <c r="V334" s="60">
        <v>3000</v>
      </c>
      <c r="W334" s="19" t="s">
        <v>396</v>
      </c>
      <c r="X334" s="19" t="s">
        <v>396</v>
      </c>
      <c r="Y334" s="19" t="s">
        <v>396</v>
      </c>
      <c r="Z334" s="49"/>
      <c r="AA334" s="19" t="s">
        <v>396</v>
      </c>
      <c r="AB334" s="19" t="s">
        <v>396</v>
      </c>
      <c r="AC334" s="19" t="s">
        <v>396</v>
      </c>
      <c r="AD334" s="19" t="s">
        <v>396</v>
      </c>
      <c r="AE334" s="19" t="s">
        <v>396</v>
      </c>
      <c r="AF334" s="19" t="s">
        <v>396</v>
      </c>
      <c r="AG334" s="19" t="s">
        <v>396</v>
      </c>
      <c r="AH334" s="19" t="s">
        <v>396</v>
      </c>
      <c r="AI334" s="19" t="s">
        <v>396</v>
      </c>
      <c r="AJ334" s="19" t="s">
        <v>396</v>
      </c>
      <c r="AK334" s="18" t="s">
        <v>395</v>
      </c>
      <c r="AL334" s="17">
        <v>9002869595575</v>
      </c>
      <c r="AM334" s="15" t="s">
        <v>395</v>
      </c>
      <c r="AN334" s="5">
        <v>73269091</v>
      </c>
      <c r="AO334" s="6"/>
      <c r="AP334" s="6"/>
      <c r="AQ334" s="6" t="s">
        <v>1892</v>
      </c>
      <c r="AR334" s="6" t="s">
        <v>1891</v>
      </c>
      <c r="AS334" s="6" t="s">
        <v>1890</v>
      </c>
    </row>
    <row r="335" spans="1:45" s="16" customFormat="1" ht="12.75" customHeight="1">
      <c r="A335" s="46" t="s">
        <v>1889</v>
      </c>
      <c r="B335" s="18" t="s">
        <v>396</v>
      </c>
      <c r="C335" s="18" t="s">
        <v>403</v>
      </c>
      <c r="D335" s="16" t="s">
        <v>1882</v>
      </c>
      <c r="E335" s="18" t="s">
        <v>1881</v>
      </c>
      <c r="F335" s="18" t="s">
        <v>1884</v>
      </c>
      <c r="G335" s="18" t="s">
        <v>1883</v>
      </c>
      <c r="H335" s="19" t="s">
        <v>396</v>
      </c>
      <c r="I335" s="19" t="s">
        <v>396</v>
      </c>
      <c r="J335" s="18" t="s">
        <v>1882</v>
      </c>
      <c r="K335" s="18" t="s">
        <v>1881</v>
      </c>
      <c r="L335" s="19" t="s">
        <v>399</v>
      </c>
      <c r="M335" s="19" t="s">
        <v>396</v>
      </c>
      <c r="N335" s="19" t="s">
        <v>396</v>
      </c>
      <c r="O335" s="19" t="s">
        <v>396</v>
      </c>
      <c r="P335" s="19"/>
      <c r="Q335" s="19"/>
      <c r="R335" s="18"/>
      <c r="S335" s="19" t="s">
        <v>396</v>
      </c>
      <c r="T335" s="61">
        <v>1.4</v>
      </c>
      <c r="U335" s="18">
        <v>83</v>
      </c>
      <c r="V335" s="60">
        <v>3000</v>
      </c>
      <c r="W335" s="19" t="s">
        <v>396</v>
      </c>
      <c r="X335" s="19" t="s">
        <v>396</v>
      </c>
      <c r="Y335" s="19" t="s">
        <v>396</v>
      </c>
      <c r="Z335" s="49"/>
      <c r="AA335" s="19" t="s">
        <v>396</v>
      </c>
      <c r="AB335" s="19" t="s">
        <v>396</v>
      </c>
      <c r="AC335" s="19" t="s">
        <v>396</v>
      </c>
      <c r="AD335" s="19" t="s">
        <v>396</v>
      </c>
      <c r="AE335" s="19" t="s">
        <v>396</v>
      </c>
      <c r="AF335" s="19" t="s">
        <v>396</v>
      </c>
      <c r="AG335" s="19" t="s">
        <v>396</v>
      </c>
      <c r="AH335" s="19" t="s">
        <v>396</v>
      </c>
      <c r="AI335" s="19" t="s">
        <v>396</v>
      </c>
      <c r="AJ335" s="19" t="s">
        <v>396</v>
      </c>
      <c r="AK335" s="18" t="s">
        <v>395</v>
      </c>
      <c r="AL335" s="17">
        <v>9002869578486</v>
      </c>
      <c r="AM335" s="15" t="s">
        <v>395</v>
      </c>
      <c r="AN335" s="5">
        <v>39029010</v>
      </c>
      <c r="AO335" s="6"/>
      <c r="AP335" s="6"/>
      <c r="AQ335" s="6" t="s">
        <v>1888</v>
      </c>
      <c r="AR335" s="6" t="s">
        <v>1887</v>
      </c>
      <c r="AS335" s="6" t="s">
        <v>1886</v>
      </c>
    </row>
    <row r="336" spans="1:45" s="16" customFormat="1" ht="12.75" customHeight="1">
      <c r="A336" s="46" t="s">
        <v>1885</v>
      </c>
      <c r="B336" s="18" t="s">
        <v>396</v>
      </c>
      <c r="C336" s="18" t="s">
        <v>403</v>
      </c>
      <c r="D336" s="16" t="s">
        <v>1882</v>
      </c>
      <c r="E336" s="18" t="s">
        <v>1881</v>
      </c>
      <c r="F336" s="18" t="s">
        <v>1884</v>
      </c>
      <c r="G336" s="18" t="s">
        <v>1883</v>
      </c>
      <c r="H336" s="19" t="s">
        <v>396</v>
      </c>
      <c r="I336" s="19" t="s">
        <v>396</v>
      </c>
      <c r="J336" s="18" t="s">
        <v>1882</v>
      </c>
      <c r="K336" s="18" t="s">
        <v>1881</v>
      </c>
      <c r="L336" s="19" t="s">
        <v>399</v>
      </c>
      <c r="M336" s="19" t="s">
        <v>396</v>
      </c>
      <c r="N336" s="19" t="s">
        <v>396</v>
      </c>
      <c r="O336" s="19" t="s">
        <v>396</v>
      </c>
      <c r="P336" s="19"/>
      <c r="Q336" s="19"/>
      <c r="R336" s="18"/>
      <c r="S336" s="19" t="s">
        <v>396</v>
      </c>
      <c r="T336" s="61">
        <v>1.4</v>
      </c>
      <c r="U336" s="18">
        <v>83</v>
      </c>
      <c r="V336" s="60">
        <v>3000</v>
      </c>
      <c r="W336" s="19" t="s">
        <v>396</v>
      </c>
      <c r="X336" s="19" t="s">
        <v>396</v>
      </c>
      <c r="Y336" s="19" t="s">
        <v>396</v>
      </c>
      <c r="Z336" s="49"/>
      <c r="AA336" s="19" t="s">
        <v>396</v>
      </c>
      <c r="AB336" s="19" t="s">
        <v>396</v>
      </c>
      <c r="AC336" s="19" t="s">
        <v>396</v>
      </c>
      <c r="AD336" s="19" t="s">
        <v>396</v>
      </c>
      <c r="AE336" s="19" t="s">
        <v>396</v>
      </c>
      <c r="AF336" s="19" t="s">
        <v>396</v>
      </c>
      <c r="AG336" s="19" t="s">
        <v>396</v>
      </c>
      <c r="AH336" s="19" t="s">
        <v>396</v>
      </c>
      <c r="AI336" s="19" t="s">
        <v>396</v>
      </c>
      <c r="AJ336" s="19" t="s">
        <v>396</v>
      </c>
      <c r="AK336" s="18" t="s">
        <v>395</v>
      </c>
      <c r="AL336" s="17">
        <v>9002869578493</v>
      </c>
      <c r="AM336" s="15" t="s">
        <v>395</v>
      </c>
      <c r="AN336" s="5">
        <v>39169090</v>
      </c>
      <c r="AO336" s="6"/>
      <c r="AP336" s="6"/>
      <c r="AQ336" s="6" t="s">
        <v>1880</v>
      </c>
      <c r="AR336" s="6" t="s">
        <v>1879</v>
      </c>
      <c r="AS336" s="6" t="s">
        <v>1878</v>
      </c>
    </row>
    <row r="337" spans="1:45" s="16" customFormat="1" ht="12.75" customHeight="1">
      <c r="A337" s="46" t="s">
        <v>1877</v>
      </c>
      <c r="B337" s="18" t="s">
        <v>396</v>
      </c>
      <c r="C337" s="18" t="s">
        <v>403</v>
      </c>
      <c r="D337" s="18" t="s">
        <v>1874</v>
      </c>
      <c r="E337" s="18" t="s">
        <v>1874</v>
      </c>
      <c r="F337" s="18" t="s">
        <v>1876</v>
      </c>
      <c r="G337" s="18" t="s">
        <v>1875</v>
      </c>
      <c r="H337" s="19" t="s">
        <v>396</v>
      </c>
      <c r="I337" s="19" t="s">
        <v>396</v>
      </c>
      <c r="J337" s="18" t="s">
        <v>1874</v>
      </c>
      <c r="K337" s="18" t="s">
        <v>1874</v>
      </c>
      <c r="L337" s="19" t="s">
        <v>399</v>
      </c>
      <c r="M337" s="19" t="s">
        <v>396</v>
      </c>
      <c r="N337" s="19" t="s">
        <v>396</v>
      </c>
      <c r="O337" s="19" t="s">
        <v>396</v>
      </c>
      <c r="P337" s="19"/>
      <c r="Q337" s="19"/>
      <c r="R337" s="18"/>
      <c r="S337" s="19" t="s">
        <v>396</v>
      </c>
      <c r="T337" s="61"/>
      <c r="U337" s="18"/>
      <c r="V337" s="60">
        <v>25000</v>
      </c>
      <c r="W337" s="19" t="s">
        <v>396</v>
      </c>
      <c r="X337" s="19" t="s">
        <v>396</v>
      </c>
      <c r="Y337" s="19" t="s">
        <v>396</v>
      </c>
      <c r="Z337" s="49"/>
      <c r="AA337" s="19" t="s">
        <v>396</v>
      </c>
      <c r="AB337" s="19"/>
      <c r="AC337" s="19"/>
      <c r="AD337" s="19"/>
      <c r="AE337" s="19" t="s">
        <v>396</v>
      </c>
      <c r="AF337" s="19" t="s">
        <v>396</v>
      </c>
      <c r="AG337" s="19" t="s">
        <v>396</v>
      </c>
      <c r="AH337" s="19" t="s">
        <v>396</v>
      </c>
      <c r="AI337" s="19" t="s">
        <v>396</v>
      </c>
      <c r="AJ337" s="19" t="s">
        <v>396</v>
      </c>
      <c r="AK337" s="18" t="s">
        <v>431</v>
      </c>
      <c r="AL337" s="15">
        <v>9002869611930</v>
      </c>
      <c r="AM337" s="15" t="s">
        <v>431</v>
      </c>
      <c r="AN337" s="5"/>
      <c r="AO337" s="6"/>
      <c r="AP337" s="6"/>
      <c r="AQ337" s="6" t="s">
        <v>1873</v>
      </c>
      <c r="AR337" s="6" t="s">
        <v>1872</v>
      </c>
      <c r="AS337" s="6" t="s">
        <v>1871</v>
      </c>
    </row>
    <row r="338" spans="1:45" s="5" customFormat="1" ht="12.75" customHeight="1">
      <c r="A338" s="32" t="s">
        <v>1870</v>
      </c>
      <c r="B338" s="6" t="s">
        <v>396</v>
      </c>
      <c r="C338" s="31" t="s">
        <v>403</v>
      </c>
      <c r="D338" s="5" t="s">
        <v>1867</v>
      </c>
      <c r="E338" s="6" t="s">
        <v>1867</v>
      </c>
      <c r="F338" s="5" t="s">
        <v>1869</v>
      </c>
      <c r="G338" s="5" t="s">
        <v>1868</v>
      </c>
      <c r="H338" s="27" t="s">
        <v>396</v>
      </c>
      <c r="I338" s="27" t="s">
        <v>396</v>
      </c>
      <c r="J338" s="6" t="s">
        <v>1867</v>
      </c>
      <c r="K338" s="6" t="s">
        <v>1867</v>
      </c>
      <c r="L338" s="27" t="s">
        <v>1866</v>
      </c>
      <c r="M338" s="27" t="s">
        <v>1865</v>
      </c>
      <c r="N338" s="6" t="s">
        <v>1864</v>
      </c>
      <c r="O338" s="6" t="s">
        <v>1863</v>
      </c>
      <c r="P338" s="36"/>
      <c r="Q338" s="36"/>
      <c r="R338" s="6"/>
      <c r="S338" s="27" t="s">
        <v>396</v>
      </c>
      <c r="T338" s="59">
        <v>0.35</v>
      </c>
      <c r="U338" s="6">
        <v>48</v>
      </c>
      <c r="V338" s="35">
        <v>3050</v>
      </c>
      <c r="W338" s="27" t="s">
        <v>396</v>
      </c>
      <c r="X338" s="27" t="s">
        <v>396</v>
      </c>
      <c r="Y338" s="27" t="s">
        <v>396</v>
      </c>
      <c r="Z338" s="34">
        <v>50</v>
      </c>
      <c r="AA338" s="27" t="s">
        <v>396</v>
      </c>
      <c r="AB338" s="27" t="s">
        <v>396</v>
      </c>
      <c r="AC338" s="27" t="s">
        <v>396</v>
      </c>
      <c r="AD338" s="27" t="s">
        <v>396</v>
      </c>
      <c r="AE338" s="27" t="s">
        <v>396</v>
      </c>
      <c r="AF338" s="27" t="s">
        <v>396</v>
      </c>
      <c r="AG338" s="27" t="s">
        <v>396</v>
      </c>
      <c r="AH338" s="27" t="s">
        <v>396</v>
      </c>
      <c r="AI338" s="27" t="s">
        <v>396</v>
      </c>
      <c r="AJ338" s="27" t="s">
        <v>396</v>
      </c>
      <c r="AK338" s="6" t="s">
        <v>395</v>
      </c>
      <c r="AL338" s="17">
        <v>5413218566995</v>
      </c>
      <c r="AM338" s="15" t="s">
        <v>395</v>
      </c>
      <c r="AN338" s="5">
        <v>79040000</v>
      </c>
      <c r="AO338" s="6"/>
      <c r="AP338" s="6"/>
      <c r="AQ338" s="6" t="s">
        <v>1862</v>
      </c>
      <c r="AR338" s="6" t="s">
        <v>1861</v>
      </c>
      <c r="AS338" s="6" t="s">
        <v>1860</v>
      </c>
    </row>
    <row r="339" spans="1:45" s="5" customFormat="1" ht="12.75" customHeight="1">
      <c r="A339" s="33" t="s">
        <v>1859</v>
      </c>
      <c r="B339" s="6" t="s">
        <v>396</v>
      </c>
      <c r="C339" s="31" t="s">
        <v>403</v>
      </c>
      <c r="D339" s="6" t="s">
        <v>1829</v>
      </c>
      <c r="E339" s="6" t="s">
        <v>1829</v>
      </c>
      <c r="F339" s="6" t="s">
        <v>1828</v>
      </c>
      <c r="G339" s="6" t="s">
        <v>1827</v>
      </c>
      <c r="H339" s="27" t="s">
        <v>1197</v>
      </c>
      <c r="I339" s="27" t="s">
        <v>1196</v>
      </c>
      <c r="J339" s="5" t="s">
        <v>1854</v>
      </c>
      <c r="K339" s="5" t="s">
        <v>1854</v>
      </c>
      <c r="L339" s="6" t="s">
        <v>595</v>
      </c>
      <c r="M339" s="5" t="s">
        <v>1227</v>
      </c>
      <c r="N339" s="6" t="s">
        <v>1226</v>
      </c>
      <c r="O339" s="5" t="s">
        <v>1225</v>
      </c>
      <c r="P339" s="5" t="s">
        <v>479</v>
      </c>
      <c r="Q339" s="5" t="s">
        <v>1215</v>
      </c>
      <c r="S339" s="27" t="s">
        <v>396</v>
      </c>
      <c r="T339" s="53">
        <v>0.56000000000000005</v>
      </c>
      <c r="U339" s="5">
        <v>50</v>
      </c>
      <c r="V339" s="5">
        <v>2500</v>
      </c>
      <c r="W339" s="27" t="s">
        <v>396</v>
      </c>
      <c r="X339" s="27" t="s">
        <v>396</v>
      </c>
      <c r="Y339" s="27" t="s">
        <v>396</v>
      </c>
      <c r="Z339" s="55">
        <v>50</v>
      </c>
      <c r="AA339" s="27" t="s">
        <v>396</v>
      </c>
      <c r="AB339" s="27" t="s">
        <v>396</v>
      </c>
      <c r="AC339" s="27" t="s">
        <v>396</v>
      </c>
      <c r="AD339" s="27" t="s">
        <v>396</v>
      </c>
      <c r="AE339" s="27" t="s">
        <v>396</v>
      </c>
      <c r="AF339" s="27" t="s">
        <v>396</v>
      </c>
      <c r="AG339" s="27" t="s">
        <v>396</v>
      </c>
      <c r="AH339" s="27" t="s">
        <v>396</v>
      </c>
      <c r="AI339" s="27" t="s">
        <v>396</v>
      </c>
      <c r="AJ339" s="27" t="s">
        <v>396</v>
      </c>
      <c r="AK339" s="6" t="s">
        <v>395</v>
      </c>
      <c r="AL339" s="17">
        <v>5413218573962</v>
      </c>
      <c r="AM339" s="15" t="s">
        <v>395</v>
      </c>
      <c r="AN339" s="5">
        <v>72166110</v>
      </c>
      <c r="AO339" s="6" t="s">
        <v>1825</v>
      </c>
      <c r="AP339" s="6" t="s">
        <v>1824</v>
      </c>
      <c r="AQ339" s="6" t="s">
        <v>1858</v>
      </c>
      <c r="AR339" s="6" t="s">
        <v>1857</v>
      </c>
      <c r="AS339" s="6" t="s">
        <v>1856</v>
      </c>
    </row>
    <row r="340" spans="1:45" s="5" customFormat="1" ht="12.75" customHeight="1">
      <c r="A340" s="33" t="s">
        <v>1855</v>
      </c>
      <c r="B340" s="6" t="s">
        <v>396</v>
      </c>
      <c r="C340" s="31" t="s">
        <v>403</v>
      </c>
      <c r="D340" s="6" t="s">
        <v>1829</v>
      </c>
      <c r="E340" s="6" t="s">
        <v>1829</v>
      </c>
      <c r="F340" s="6" t="s">
        <v>1828</v>
      </c>
      <c r="G340" s="6" t="s">
        <v>1827</v>
      </c>
      <c r="H340" s="27" t="s">
        <v>1197</v>
      </c>
      <c r="I340" s="27" t="s">
        <v>1196</v>
      </c>
      <c r="J340" s="5" t="s">
        <v>1854</v>
      </c>
      <c r="K340" s="5" t="s">
        <v>1854</v>
      </c>
      <c r="L340" s="6" t="s">
        <v>595</v>
      </c>
      <c r="M340" s="5" t="s">
        <v>1227</v>
      </c>
      <c r="N340" s="5" t="s">
        <v>1226</v>
      </c>
      <c r="O340" s="5" t="s">
        <v>1225</v>
      </c>
      <c r="P340" s="5" t="s">
        <v>479</v>
      </c>
      <c r="Q340" s="5" t="s">
        <v>1215</v>
      </c>
      <c r="S340" s="27" t="s">
        <v>396</v>
      </c>
      <c r="T340" s="53">
        <v>0.56000000000000005</v>
      </c>
      <c r="U340" s="5">
        <v>50</v>
      </c>
      <c r="V340" s="5">
        <v>4000</v>
      </c>
      <c r="W340" s="27" t="s">
        <v>396</v>
      </c>
      <c r="X340" s="27" t="s">
        <v>396</v>
      </c>
      <c r="Y340" s="27" t="s">
        <v>396</v>
      </c>
      <c r="Z340" s="55">
        <v>50</v>
      </c>
      <c r="AA340" s="27" t="s">
        <v>396</v>
      </c>
      <c r="AB340" s="27" t="s">
        <v>396</v>
      </c>
      <c r="AC340" s="27" t="s">
        <v>396</v>
      </c>
      <c r="AD340" s="27" t="s">
        <v>396</v>
      </c>
      <c r="AE340" s="27" t="s">
        <v>396</v>
      </c>
      <c r="AF340" s="27" t="s">
        <v>396</v>
      </c>
      <c r="AG340" s="27" t="s">
        <v>396</v>
      </c>
      <c r="AH340" s="27" t="s">
        <v>396</v>
      </c>
      <c r="AI340" s="27" t="s">
        <v>396</v>
      </c>
      <c r="AJ340" s="27" t="s">
        <v>396</v>
      </c>
      <c r="AK340" s="6" t="s">
        <v>395</v>
      </c>
      <c r="AL340" s="17">
        <v>5413218573979</v>
      </c>
      <c r="AM340" s="15" t="s">
        <v>395</v>
      </c>
      <c r="AN340" s="5">
        <v>72166110</v>
      </c>
      <c r="AO340" s="6" t="s">
        <v>1825</v>
      </c>
      <c r="AP340" s="6" t="s">
        <v>1824</v>
      </c>
      <c r="AQ340" s="6" t="s">
        <v>1853</v>
      </c>
      <c r="AR340" s="6" t="s">
        <v>1852</v>
      </c>
      <c r="AS340" s="6" t="s">
        <v>1851</v>
      </c>
    </row>
    <row r="341" spans="1:45" s="5" customFormat="1" ht="12.75" customHeight="1">
      <c r="A341" s="33" t="s">
        <v>1850</v>
      </c>
      <c r="B341" s="6" t="s">
        <v>396</v>
      </c>
      <c r="C341" s="31" t="s">
        <v>403</v>
      </c>
      <c r="D341" s="6" t="s">
        <v>1829</v>
      </c>
      <c r="E341" s="6" t="s">
        <v>1829</v>
      </c>
      <c r="F341" s="6" t="s">
        <v>1828</v>
      </c>
      <c r="G341" s="6" t="s">
        <v>1827</v>
      </c>
      <c r="H341" s="27" t="s">
        <v>1197</v>
      </c>
      <c r="I341" s="27" t="s">
        <v>1196</v>
      </c>
      <c r="J341" s="5" t="s">
        <v>1849</v>
      </c>
      <c r="K341" s="5" t="s">
        <v>1849</v>
      </c>
      <c r="L341" s="6" t="s">
        <v>595</v>
      </c>
      <c r="M341" s="5" t="s">
        <v>1227</v>
      </c>
      <c r="N341" s="5" t="s">
        <v>1226</v>
      </c>
      <c r="O341" s="5" t="s">
        <v>1225</v>
      </c>
      <c r="P341" s="5" t="s">
        <v>479</v>
      </c>
      <c r="Q341" s="5" t="s">
        <v>1215</v>
      </c>
      <c r="S341" s="27" t="s">
        <v>396</v>
      </c>
      <c r="T341" s="53">
        <v>0.56000000000000005</v>
      </c>
      <c r="U341" s="5">
        <v>70</v>
      </c>
      <c r="V341" s="5">
        <v>4000</v>
      </c>
      <c r="W341" s="27" t="s">
        <v>396</v>
      </c>
      <c r="X341" s="27" t="s">
        <v>396</v>
      </c>
      <c r="Y341" s="27" t="s">
        <v>396</v>
      </c>
      <c r="Z341" s="55">
        <v>50</v>
      </c>
      <c r="AA341" s="27" t="s">
        <v>396</v>
      </c>
      <c r="AB341" s="27" t="s">
        <v>396</v>
      </c>
      <c r="AC341" s="27" t="s">
        <v>396</v>
      </c>
      <c r="AD341" s="27" t="s">
        <v>396</v>
      </c>
      <c r="AE341" s="27" t="s">
        <v>396</v>
      </c>
      <c r="AF341" s="27" t="s">
        <v>396</v>
      </c>
      <c r="AG341" s="27" t="s">
        <v>396</v>
      </c>
      <c r="AH341" s="27" t="s">
        <v>396</v>
      </c>
      <c r="AI341" s="27" t="s">
        <v>396</v>
      </c>
      <c r="AJ341" s="27" t="s">
        <v>396</v>
      </c>
      <c r="AK341" s="6" t="s">
        <v>395</v>
      </c>
      <c r="AL341" s="17">
        <v>5413218581417</v>
      </c>
      <c r="AM341" s="15" t="s">
        <v>395</v>
      </c>
      <c r="AN341" s="5">
        <v>72166110</v>
      </c>
      <c r="AO341" s="6" t="s">
        <v>1825</v>
      </c>
      <c r="AP341" s="6" t="s">
        <v>1824</v>
      </c>
      <c r="AQ341" s="6" t="s">
        <v>1848</v>
      </c>
      <c r="AR341" s="6" t="s">
        <v>1847</v>
      </c>
      <c r="AS341" s="6" t="s">
        <v>1846</v>
      </c>
    </row>
    <row r="342" spans="1:45" s="5" customFormat="1" ht="12.75" customHeight="1">
      <c r="A342" s="33" t="s">
        <v>1845</v>
      </c>
      <c r="B342" s="6" t="s">
        <v>396</v>
      </c>
      <c r="C342" s="31" t="s">
        <v>403</v>
      </c>
      <c r="D342" s="6" t="s">
        <v>1829</v>
      </c>
      <c r="E342" s="6" t="s">
        <v>1829</v>
      </c>
      <c r="F342" s="6" t="s">
        <v>1828</v>
      </c>
      <c r="G342" s="6" t="s">
        <v>1827</v>
      </c>
      <c r="H342" s="27" t="s">
        <v>1197</v>
      </c>
      <c r="I342" s="27" t="s">
        <v>1196</v>
      </c>
      <c r="J342" s="5" t="s">
        <v>1844</v>
      </c>
      <c r="K342" s="5" t="s">
        <v>1844</v>
      </c>
      <c r="L342" s="6" t="s">
        <v>595</v>
      </c>
      <c r="M342" s="5" t="s">
        <v>1227</v>
      </c>
      <c r="N342" s="5" t="s">
        <v>1226</v>
      </c>
      <c r="O342" s="5" t="s">
        <v>1225</v>
      </c>
      <c r="P342" s="5" t="s">
        <v>479</v>
      </c>
      <c r="Q342" s="5" t="s">
        <v>1215</v>
      </c>
      <c r="S342" s="27" t="s">
        <v>396</v>
      </c>
      <c r="T342" s="53">
        <v>0.56000000000000005</v>
      </c>
      <c r="U342" s="5">
        <v>75</v>
      </c>
      <c r="V342" s="5">
        <v>4000</v>
      </c>
      <c r="W342" s="27" t="s">
        <v>396</v>
      </c>
      <c r="X342" s="27" t="s">
        <v>396</v>
      </c>
      <c r="Y342" s="27" t="s">
        <v>396</v>
      </c>
      <c r="Z342" s="55">
        <v>50</v>
      </c>
      <c r="AA342" s="27" t="s">
        <v>396</v>
      </c>
      <c r="AB342" s="27" t="s">
        <v>396</v>
      </c>
      <c r="AC342" s="27" t="s">
        <v>396</v>
      </c>
      <c r="AD342" s="27" t="s">
        <v>396</v>
      </c>
      <c r="AE342" s="27" t="s">
        <v>396</v>
      </c>
      <c r="AF342" s="27" t="s">
        <v>396</v>
      </c>
      <c r="AG342" s="27" t="s">
        <v>396</v>
      </c>
      <c r="AH342" s="27" t="s">
        <v>396</v>
      </c>
      <c r="AI342" s="27" t="s">
        <v>396</v>
      </c>
      <c r="AJ342" s="27" t="s">
        <v>396</v>
      </c>
      <c r="AK342" s="6" t="s">
        <v>395</v>
      </c>
      <c r="AL342" s="17">
        <v>5413218576260</v>
      </c>
      <c r="AM342" s="15" t="s">
        <v>395</v>
      </c>
      <c r="AN342" s="5">
        <v>72166110</v>
      </c>
      <c r="AO342" s="6" t="s">
        <v>1825</v>
      </c>
      <c r="AP342" s="6" t="s">
        <v>1824</v>
      </c>
      <c r="AQ342" s="6" t="s">
        <v>1843</v>
      </c>
      <c r="AR342" s="6" t="s">
        <v>1842</v>
      </c>
      <c r="AS342" s="6" t="s">
        <v>1841</v>
      </c>
    </row>
    <row r="343" spans="1:45" s="5" customFormat="1" ht="12.75" customHeight="1">
      <c r="A343" s="33" t="s">
        <v>1840</v>
      </c>
      <c r="B343" s="6" t="s">
        <v>396</v>
      </c>
      <c r="C343" s="31" t="s">
        <v>403</v>
      </c>
      <c r="D343" s="6" t="s">
        <v>1829</v>
      </c>
      <c r="E343" s="6" t="s">
        <v>1829</v>
      </c>
      <c r="F343" s="6" t="s">
        <v>1828</v>
      </c>
      <c r="G343" s="6" t="s">
        <v>1827</v>
      </c>
      <c r="H343" s="27" t="s">
        <v>1197</v>
      </c>
      <c r="I343" s="27" t="s">
        <v>1196</v>
      </c>
      <c r="J343" s="5" t="s">
        <v>1839</v>
      </c>
      <c r="K343" s="5" t="s">
        <v>1839</v>
      </c>
      <c r="L343" s="6" t="s">
        <v>595</v>
      </c>
      <c r="M343" s="5" t="s">
        <v>1227</v>
      </c>
      <c r="N343" s="5" t="s">
        <v>1226</v>
      </c>
      <c r="O343" s="5" t="s">
        <v>1225</v>
      </c>
      <c r="P343" s="5" t="s">
        <v>479</v>
      </c>
      <c r="Q343" s="5" t="s">
        <v>1215</v>
      </c>
      <c r="S343" s="27" t="s">
        <v>396</v>
      </c>
      <c r="T343" s="53">
        <v>0.56000000000000005</v>
      </c>
      <c r="U343" s="5">
        <v>100</v>
      </c>
      <c r="V343" s="5">
        <v>4000</v>
      </c>
      <c r="W343" s="27" t="s">
        <v>396</v>
      </c>
      <c r="X343" s="27" t="s">
        <v>396</v>
      </c>
      <c r="Y343" s="27" t="s">
        <v>396</v>
      </c>
      <c r="Z343" s="55">
        <v>50</v>
      </c>
      <c r="AA343" s="27" t="s">
        <v>396</v>
      </c>
      <c r="AB343" s="27" t="s">
        <v>396</v>
      </c>
      <c r="AC343" s="27" t="s">
        <v>396</v>
      </c>
      <c r="AD343" s="27" t="s">
        <v>396</v>
      </c>
      <c r="AE343" s="27" t="s">
        <v>396</v>
      </c>
      <c r="AF343" s="27" t="s">
        <v>396</v>
      </c>
      <c r="AG343" s="27" t="s">
        <v>396</v>
      </c>
      <c r="AH343" s="27" t="s">
        <v>396</v>
      </c>
      <c r="AI343" s="27" t="s">
        <v>396</v>
      </c>
      <c r="AJ343" s="27" t="s">
        <v>396</v>
      </c>
      <c r="AK343" s="6" t="s">
        <v>395</v>
      </c>
      <c r="AL343" s="17">
        <v>5413218581424</v>
      </c>
      <c r="AM343" s="15" t="s">
        <v>395</v>
      </c>
      <c r="AN343" s="5">
        <v>72166110</v>
      </c>
      <c r="AO343" s="6" t="s">
        <v>1825</v>
      </c>
      <c r="AP343" s="6" t="s">
        <v>1824</v>
      </c>
      <c r="AQ343" s="6" t="s">
        <v>1838</v>
      </c>
      <c r="AR343" s="6" t="s">
        <v>1837</v>
      </c>
      <c r="AS343" s="6" t="s">
        <v>1836</v>
      </c>
    </row>
    <row r="344" spans="1:45" s="5" customFormat="1" ht="12.75" customHeight="1">
      <c r="A344" s="33" t="s">
        <v>1835</v>
      </c>
      <c r="B344" s="6" t="s">
        <v>396</v>
      </c>
      <c r="C344" s="31" t="s">
        <v>403</v>
      </c>
      <c r="D344" s="6" t="s">
        <v>1829</v>
      </c>
      <c r="E344" s="6" t="s">
        <v>1829</v>
      </c>
      <c r="F344" s="6" t="s">
        <v>1828</v>
      </c>
      <c r="G344" s="6" t="s">
        <v>1827</v>
      </c>
      <c r="H344" s="27" t="s">
        <v>1197</v>
      </c>
      <c r="I344" s="27" t="s">
        <v>1196</v>
      </c>
      <c r="J344" s="5" t="s">
        <v>1834</v>
      </c>
      <c r="K344" s="5" t="s">
        <v>1834</v>
      </c>
      <c r="L344" s="6" t="s">
        <v>595</v>
      </c>
      <c r="M344" s="5" t="s">
        <v>1227</v>
      </c>
      <c r="N344" s="5" t="s">
        <v>1226</v>
      </c>
      <c r="O344" s="5" t="s">
        <v>1225</v>
      </c>
      <c r="P344" s="5" t="s">
        <v>479</v>
      </c>
      <c r="Q344" s="5" t="s">
        <v>1215</v>
      </c>
      <c r="S344" s="27" t="s">
        <v>396</v>
      </c>
      <c r="T344" s="53">
        <v>0.56000000000000005</v>
      </c>
      <c r="U344" s="5">
        <v>125</v>
      </c>
      <c r="V344" s="5">
        <v>4000</v>
      </c>
      <c r="W344" s="27" t="s">
        <v>396</v>
      </c>
      <c r="X344" s="27" t="s">
        <v>396</v>
      </c>
      <c r="Y344" s="27" t="s">
        <v>396</v>
      </c>
      <c r="Z344" s="55">
        <v>50</v>
      </c>
      <c r="AA344" s="27" t="s">
        <v>396</v>
      </c>
      <c r="AB344" s="27" t="s">
        <v>396</v>
      </c>
      <c r="AC344" s="27" t="s">
        <v>396</v>
      </c>
      <c r="AD344" s="27" t="s">
        <v>396</v>
      </c>
      <c r="AE344" s="27" t="s">
        <v>396</v>
      </c>
      <c r="AF344" s="27" t="s">
        <v>396</v>
      </c>
      <c r="AG344" s="27" t="s">
        <v>396</v>
      </c>
      <c r="AH344" s="27" t="s">
        <v>396</v>
      </c>
      <c r="AI344" s="27" t="s">
        <v>396</v>
      </c>
      <c r="AJ344" s="27" t="s">
        <v>396</v>
      </c>
      <c r="AK344" s="6" t="s">
        <v>395</v>
      </c>
      <c r="AL344" s="17"/>
      <c r="AM344" s="15"/>
      <c r="AN344" s="5">
        <v>72166110</v>
      </c>
      <c r="AO344" s="6" t="s">
        <v>1825</v>
      </c>
      <c r="AP344" s="6" t="s">
        <v>1824</v>
      </c>
      <c r="AQ344" s="6" t="s">
        <v>1833</v>
      </c>
      <c r="AR344" s="6" t="s">
        <v>1832</v>
      </c>
      <c r="AS344" s="6" t="s">
        <v>1831</v>
      </c>
    </row>
    <row r="345" spans="1:45" s="5" customFormat="1" ht="12.75" customHeight="1">
      <c r="A345" s="33" t="s">
        <v>1830</v>
      </c>
      <c r="B345" s="6" t="s">
        <v>396</v>
      </c>
      <c r="C345" s="31" t="s">
        <v>403</v>
      </c>
      <c r="D345" s="6" t="s">
        <v>1829</v>
      </c>
      <c r="E345" s="6" t="s">
        <v>1829</v>
      </c>
      <c r="F345" s="6" t="s">
        <v>1828</v>
      </c>
      <c r="G345" s="6" t="s">
        <v>1827</v>
      </c>
      <c r="H345" s="27" t="s">
        <v>1197</v>
      </c>
      <c r="I345" s="27" t="s">
        <v>1196</v>
      </c>
      <c r="J345" s="5" t="s">
        <v>1826</v>
      </c>
      <c r="K345" s="5" t="s">
        <v>1826</v>
      </c>
      <c r="L345" s="6" t="s">
        <v>595</v>
      </c>
      <c r="M345" s="5" t="s">
        <v>1227</v>
      </c>
      <c r="N345" s="5" t="s">
        <v>1226</v>
      </c>
      <c r="O345" s="5" t="s">
        <v>1225</v>
      </c>
      <c r="P345" s="5" t="s">
        <v>479</v>
      </c>
      <c r="Q345" s="5" t="s">
        <v>1215</v>
      </c>
      <c r="S345" s="27" t="s">
        <v>396</v>
      </c>
      <c r="T345" s="53">
        <v>0.56000000000000005</v>
      </c>
      <c r="U345" s="5">
        <v>150</v>
      </c>
      <c r="V345" s="5">
        <v>4000</v>
      </c>
      <c r="W345" s="27" t="s">
        <v>396</v>
      </c>
      <c r="X345" s="27" t="s">
        <v>396</v>
      </c>
      <c r="Y345" s="27" t="s">
        <v>396</v>
      </c>
      <c r="Z345" s="55">
        <v>50</v>
      </c>
      <c r="AA345" s="27" t="s">
        <v>396</v>
      </c>
      <c r="AB345" s="27" t="s">
        <v>396</v>
      </c>
      <c r="AC345" s="27" t="s">
        <v>396</v>
      </c>
      <c r="AD345" s="27" t="s">
        <v>396</v>
      </c>
      <c r="AE345" s="27" t="s">
        <v>396</v>
      </c>
      <c r="AF345" s="27" t="s">
        <v>396</v>
      </c>
      <c r="AG345" s="27" t="s">
        <v>396</v>
      </c>
      <c r="AH345" s="27" t="s">
        <v>396</v>
      </c>
      <c r="AI345" s="27" t="s">
        <v>396</v>
      </c>
      <c r="AJ345" s="27" t="s">
        <v>396</v>
      </c>
      <c r="AK345" s="6" t="s">
        <v>395</v>
      </c>
      <c r="AL345" s="17"/>
      <c r="AM345" s="15"/>
      <c r="AN345" s="5">
        <v>72166110</v>
      </c>
      <c r="AO345" s="6" t="s">
        <v>1825</v>
      </c>
      <c r="AP345" s="6" t="s">
        <v>1824</v>
      </c>
      <c r="AQ345" s="6" t="s">
        <v>1823</v>
      </c>
      <c r="AR345" s="6" t="s">
        <v>1822</v>
      </c>
      <c r="AS345" s="6" t="s">
        <v>1821</v>
      </c>
    </row>
    <row r="346" spans="1:45" s="5" customFormat="1" ht="12.75" customHeight="1">
      <c r="A346" s="33" t="s">
        <v>1820</v>
      </c>
      <c r="B346" s="6" t="s">
        <v>396</v>
      </c>
      <c r="C346" s="31" t="s">
        <v>403</v>
      </c>
      <c r="D346" s="6" t="s">
        <v>1709</v>
      </c>
      <c r="E346" s="6" t="s">
        <v>1709</v>
      </c>
      <c r="F346" s="6" t="s">
        <v>1708</v>
      </c>
      <c r="G346" s="6" t="s">
        <v>1707</v>
      </c>
      <c r="H346" s="27" t="s">
        <v>1197</v>
      </c>
      <c r="I346" s="27" t="s">
        <v>1196</v>
      </c>
      <c r="J346" s="5" t="s">
        <v>1795</v>
      </c>
      <c r="K346" s="5" t="s">
        <v>1795</v>
      </c>
      <c r="L346" s="6" t="s">
        <v>595</v>
      </c>
      <c r="M346" s="5" t="s">
        <v>1261</v>
      </c>
      <c r="N346" s="5" t="s">
        <v>1226</v>
      </c>
      <c r="O346" s="5" t="s">
        <v>1225</v>
      </c>
      <c r="P346" s="5" t="s">
        <v>479</v>
      </c>
      <c r="Q346" s="5" t="s">
        <v>1215</v>
      </c>
      <c r="S346" s="27" t="s">
        <v>396</v>
      </c>
      <c r="T346" s="53">
        <v>0.56000000000000005</v>
      </c>
      <c r="U346" s="5">
        <v>50</v>
      </c>
      <c r="V346" s="5">
        <v>2400</v>
      </c>
      <c r="W346" s="27" t="s">
        <v>396</v>
      </c>
      <c r="X346" s="27" t="s">
        <v>396</v>
      </c>
      <c r="Y346" s="27" t="s">
        <v>396</v>
      </c>
      <c r="Z346" s="55">
        <v>50</v>
      </c>
      <c r="AA346" s="27" t="s">
        <v>396</v>
      </c>
      <c r="AB346" s="27" t="s">
        <v>396</v>
      </c>
      <c r="AC346" s="27" t="s">
        <v>396</v>
      </c>
      <c r="AD346" s="27" t="s">
        <v>396</v>
      </c>
      <c r="AE346" s="27" t="s">
        <v>396</v>
      </c>
      <c r="AF346" s="27" t="s">
        <v>396</v>
      </c>
      <c r="AG346" s="27" t="s">
        <v>396</v>
      </c>
      <c r="AH346" s="27" t="s">
        <v>396</v>
      </c>
      <c r="AI346" s="27" t="s">
        <v>396</v>
      </c>
      <c r="AJ346" s="27" t="s">
        <v>396</v>
      </c>
      <c r="AK346" s="6" t="s">
        <v>395</v>
      </c>
      <c r="AL346" s="17">
        <v>5413218581462</v>
      </c>
      <c r="AM346" s="15" t="s">
        <v>395</v>
      </c>
      <c r="AN346" s="5">
        <v>72166110</v>
      </c>
      <c r="AO346" s="6" t="s">
        <v>1727</v>
      </c>
      <c r="AP346" s="6" t="s">
        <v>1726</v>
      </c>
      <c r="AQ346" s="6" t="s">
        <v>1819</v>
      </c>
      <c r="AR346" s="6" t="s">
        <v>1818</v>
      </c>
      <c r="AS346" s="6" t="s">
        <v>1817</v>
      </c>
    </row>
    <row r="347" spans="1:45" s="5" customFormat="1" ht="12.75" customHeight="1">
      <c r="A347" s="33" t="s">
        <v>1816</v>
      </c>
      <c r="B347" s="6" t="s">
        <v>396</v>
      </c>
      <c r="C347" s="31" t="s">
        <v>403</v>
      </c>
      <c r="D347" s="6" t="s">
        <v>1709</v>
      </c>
      <c r="E347" s="6" t="s">
        <v>1709</v>
      </c>
      <c r="F347" s="6" t="s">
        <v>1708</v>
      </c>
      <c r="G347" s="6" t="s">
        <v>1707</v>
      </c>
      <c r="H347" s="27" t="s">
        <v>1197</v>
      </c>
      <c r="I347" s="27" t="s">
        <v>1196</v>
      </c>
      <c r="J347" s="5" t="s">
        <v>1795</v>
      </c>
      <c r="K347" s="5" t="s">
        <v>1795</v>
      </c>
      <c r="L347" s="6" t="s">
        <v>595</v>
      </c>
      <c r="M347" s="5" t="s">
        <v>1261</v>
      </c>
      <c r="N347" s="5" t="s">
        <v>1226</v>
      </c>
      <c r="O347" s="5" t="s">
        <v>1225</v>
      </c>
      <c r="P347" s="5" t="s">
        <v>479</v>
      </c>
      <c r="Q347" s="5" t="s">
        <v>1215</v>
      </c>
      <c r="S347" s="27" t="s">
        <v>396</v>
      </c>
      <c r="T347" s="53">
        <v>0.56000000000000005</v>
      </c>
      <c r="U347" s="5">
        <v>50</v>
      </c>
      <c r="V347" s="5">
        <v>2600</v>
      </c>
      <c r="W347" s="27" t="s">
        <v>396</v>
      </c>
      <c r="X347" s="27" t="s">
        <v>396</v>
      </c>
      <c r="Y347" s="27" t="s">
        <v>396</v>
      </c>
      <c r="Z347" s="55">
        <v>50</v>
      </c>
      <c r="AA347" s="27" t="s">
        <v>396</v>
      </c>
      <c r="AB347" s="27" t="s">
        <v>396</v>
      </c>
      <c r="AC347" s="27" t="s">
        <v>396</v>
      </c>
      <c r="AD347" s="27" t="s">
        <v>396</v>
      </c>
      <c r="AE347" s="27" t="s">
        <v>396</v>
      </c>
      <c r="AF347" s="27" t="s">
        <v>396</v>
      </c>
      <c r="AG347" s="27" t="s">
        <v>396</v>
      </c>
      <c r="AH347" s="27" t="s">
        <v>396</v>
      </c>
      <c r="AI347" s="27" t="s">
        <v>396</v>
      </c>
      <c r="AJ347" s="27" t="s">
        <v>396</v>
      </c>
      <c r="AK347" s="6" t="s">
        <v>395</v>
      </c>
      <c r="AL347" s="17">
        <v>5413218573986</v>
      </c>
      <c r="AM347" s="15" t="s">
        <v>395</v>
      </c>
      <c r="AN347" s="5">
        <v>72166110</v>
      </c>
      <c r="AO347" s="6" t="s">
        <v>1727</v>
      </c>
      <c r="AP347" s="6" t="s">
        <v>1726</v>
      </c>
      <c r="AQ347" s="6" t="s">
        <v>1815</v>
      </c>
      <c r="AR347" s="6" t="s">
        <v>1814</v>
      </c>
      <c r="AS347" s="6" t="s">
        <v>1813</v>
      </c>
    </row>
    <row r="348" spans="1:45" s="5" customFormat="1" ht="12.75" customHeight="1">
      <c r="A348" s="33" t="s">
        <v>1812</v>
      </c>
      <c r="B348" s="6" t="s">
        <v>396</v>
      </c>
      <c r="C348" s="31" t="s">
        <v>403</v>
      </c>
      <c r="D348" s="6" t="s">
        <v>1709</v>
      </c>
      <c r="E348" s="6" t="s">
        <v>1709</v>
      </c>
      <c r="F348" s="6" t="s">
        <v>1708</v>
      </c>
      <c r="G348" s="6" t="s">
        <v>1707</v>
      </c>
      <c r="H348" s="27" t="s">
        <v>1197</v>
      </c>
      <c r="I348" s="27" t="s">
        <v>1196</v>
      </c>
      <c r="J348" s="5" t="s">
        <v>1795</v>
      </c>
      <c r="K348" s="5" t="s">
        <v>1795</v>
      </c>
      <c r="L348" s="6" t="s">
        <v>595</v>
      </c>
      <c r="M348" s="5" t="s">
        <v>1261</v>
      </c>
      <c r="N348" s="5" t="s">
        <v>1226</v>
      </c>
      <c r="O348" s="5" t="s">
        <v>1225</v>
      </c>
      <c r="P348" s="5" t="s">
        <v>479</v>
      </c>
      <c r="Q348" s="5" t="s">
        <v>1215</v>
      </c>
      <c r="S348" s="27" t="s">
        <v>396</v>
      </c>
      <c r="T348" s="53">
        <v>0.56000000000000005</v>
      </c>
      <c r="U348" s="5">
        <v>50</v>
      </c>
      <c r="V348" s="5">
        <v>2800</v>
      </c>
      <c r="W348" s="27" t="s">
        <v>396</v>
      </c>
      <c r="X348" s="27" t="s">
        <v>396</v>
      </c>
      <c r="Y348" s="27" t="s">
        <v>396</v>
      </c>
      <c r="Z348" s="55">
        <v>50</v>
      </c>
      <c r="AA348" s="27" t="s">
        <v>396</v>
      </c>
      <c r="AB348" s="27" t="s">
        <v>396</v>
      </c>
      <c r="AC348" s="27" t="s">
        <v>396</v>
      </c>
      <c r="AD348" s="27" t="s">
        <v>396</v>
      </c>
      <c r="AE348" s="27" t="s">
        <v>396</v>
      </c>
      <c r="AF348" s="27" t="s">
        <v>396</v>
      </c>
      <c r="AG348" s="27" t="s">
        <v>396</v>
      </c>
      <c r="AH348" s="27" t="s">
        <v>396</v>
      </c>
      <c r="AI348" s="27" t="s">
        <v>396</v>
      </c>
      <c r="AJ348" s="27" t="s">
        <v>396</v>
      </c>
      <c r="AK348" s="6" t="s">
        <v>395</v>
      </c>
      <c r="AL348" s="17">
        <v>5413218574020</v>
      </c>
      <c r="AM348" s="15" t="s">
        <v>395</v>
      </c>
      <c r="AN348" s="5">
        <v>72166110</v>
      </c>
      <c r="AO348" s="6" t="s">
        <v>1727</v>
      </c>
      <c r="AP348" s="6" t="s">
        <v>1726</v>
      </c>
      <c r="AQ348" s="6" t="s">
        <v>1811</v>
      </c>
      <c r="AR348" s="6" t="s">
        <v>1810</v>
      </c>
      <c r="AS348" s="6" t="s">
        <v>1809</v>
      </c>
    </row>
    <row r="349" spans="1:45" s="5" customFormat="1" ht="12.75" customHeight="1">
      <c r="A349" s="33" t="s">
        <v>1808</v>
      </c>
      <c r="B349" s="6" t="s">
        <v>396</v>
      </c>
      <c r="C349" s="31" t="s">
        <v>403</v>
      </c>
      <c r="D349" s="6" t="s">
        <v>1709</v>
      </c>
      <c r="E349" s="6" t="s">
        <v>1709</v>
      </c>
      <c r="F349" s="6" t="s">
        <v>1708</v>
      </c>
      <c r="G349" s="6" t="s">
        <v>1707</v>
      </c>
      <c r="H349" s="27" t="s">
        <v>1197</v>
      </c>
      <c r="I349" s="27" t="s">
        <v>1196</v>
      </c>
      <c r="J349" s="5" t="s">
        <v>1795</v>
      </c>
      <c r="K349" s="5" t="s">
        <v>1795</v>
      </c>
      <c r="L349" s="6" t="s">
        <v>595</v>
      </c>
      <c r="M349" s="5" t="s">
        <v>1261</v>
      </c>
      <c r="N349" s="5" t="s">
        <v>1226</v>
      </c>
      <c r="O349" s="5" t="s">
        <v>1225</v>
      </c>
      <c r="P349" s="5" t="s">
        <v>479</v>
      </c>
      <c r="Q349" s="5" t="s">
        <v>1215</v>
      </c>
      <c r="S349" s="27" t="s">
        <v>396</v>
      </c>
      <c r="T349" s="53">
        <v>0.56000000000000005</v>
      </c>
      <c r="U349" s="5">
        <v>50</v>
      </c>
      <c r="V349" s="5">
        <v>3000</v>
      </c>
      <c r="W349" s="27" t="s">
        <v>396</v>
      </c>
      <c r="X349" s="27" t="s">
        <v>396</v>
      </c>
      <c r="Y349" s="27" t="s">
        <v>396</v>
      </c>
      <c r="Z349" s="55">
        <v>50</v>
      </c>
      <c r="AA349" s="27" t="s">
        <v>396</v>
      </c>
      <c r="AB349" s="27" t="s">
        <v>396</v>
      </c>
      <c r="AC349" s="27" t="s">
        <v>396</v>
      </c>
      <c r="AD349" s="27" t="s">
        <v>396</v>
      </c>
      <c r="AE349" s="27" t="s">
        <v>396</v>
      </c>
      <c r="AF349" s="27" t="s">
        <v>396</v>
      </c>
      <c r="AG349" s="27" t="s">
        <v>396</v>
      </c>
      <c r="AH349" s="27" t="s">
        <v>396</v>
      </c>
      <c r="AI349" s="27" t="s">
        <v>396</v>
      </c>
      <c r="AJ349" s="27" t="s">
        <v>396</v>
      </c>
      <c r="AK349" s="6" t="s">
        <v>395</v>
      </c>
      <c r="AL349" s="17">
        <v>5413218576284</v>
      </c>
      <c r="AM349" s="15" t="s">
        <v>395</v>
      </c>
      <c r="AN349" s="5">
        <v>72166110</v>
      </c>
      <c r="AO349" s="6" t="s">
        <v>1727</v>
      </c>
      <c r="AP349" s="6" t="s">
        <v>1726</v>
      </c>
      <c r="AQ349" s="6" t="s">
        <v>1807</v>
      </c>
      <c r="AR349" s="6" t="s">
        <v>1806</v>
      </c>
      <c r="AS349" s="6" t="s">
        <v>1805</v>
      </c>
    </row>
    <row r="350" spans="1:45" s="5" customFormat="1" ht="12.75" customHeight="1">
      <c r="A350" s="33" t="s">
        <v>1804</v>
      </c>
      <c r="B350" s="6" t="s">
        <v>396</v>
      </c>
      <c r="C350" s="31" t="s">
        <v>403</v>
      </c>
      <c r="D350" s="6" t="s">
        <v>1709</v>
      </c>
      <c r="E350" s="6" t="s">
        <v>1709</v>
      </c>
      <c r="F350" s="6" t="s">
        <v>1708</v>
      </c>
      <c r="G350" s="6" t="s">
        <v>1707</v>
      </c>
      <c r="H350" s="27" t="s">
        <v>1197</v>
      </c>
      <c r="I350" s="27" t="s">
        <v>1196</v>
      </c>
      <c r="J350" s="5" t="s">
        <v>1795</v>
      </c>
      <c r="K350" s="5" t="s">
        <v>1795</v>
      </c>
      <c r="L350" s="6" t="s">
        <v>595</v>
      </c>
      <c r="M350" s="5" t="s">
        <v>1261</v>
      </c>
      <c r="N350" s="5" t="s">
        <v>1226</v>
      </c>
      <c r="O350" s="5" t="s">
        <v>1225</v>
      </c>
      <c r="P350" s="5" t="s">
        <v>479</v>
      </c>
      <c r="Q350" s="5" t="s">
        <v>1215</v>
      </c>
      <c r="S350" s="27" t="s">
        <v>396</v>
      </c>
      <c r="T350" s="53">
        <v>0.56000000000000005</v>
      </c>
      <c r="U350" s="5">
        <v>50</v>
      </c>
      <c r="V350" s="5">
        <v>3200</v>
      </c>
      <c r="W350" s="27" t="s">
        <v>396</v>
      </c>
      <c r="X350" s="27" t="s">
        <v>396</v>
      </c>
      <c r="Y350" s="27" t="s">
        <v>396</v>
      </c>
      <c r="Z350" s="55">
        <v>50</v>
      </c>
      <c r="AA350" s="27" t="s">
        <v>396</v>
      </c>
      <c r="AB350" s="27" t="s">
        <v>396</v>
      </c>
      <c r="AC350" s="27" t="s">
        <v>396</v>
      </c>
      <c r="AD350" s="27" t="s">
        <v>396</v>
      </c>
      <c r="AE350" s="27" t="s">
        <v>396</v>
      </c>
      <c r="AF350" s="27" t="s">
        <v>396</v>
      </c>
      <c r="AG350" s="27" t="s">
        <v>396</v>
      </c>
      <c r="AH350" s="27" t="s">
        <v>396</v>
      </c>
      <c r="AI350" s="27" t="s">
        <v>396</v>
      </c>
      <c r="AJ350" s="27" t="s">
        <v>396</v>
      </c>
      <c r="AK350" s="6" t="s">
        <v>395</v>
      </c>
      <c r="AL350" s="17">
        <v>5413218573993</v>
      </c>
      <c r="AM350" s="15" t="s">
        <v>395</v>
      </c>
      <c r="AN350" s="5">
        <v>72166110</v>
      </c>
      <c r="AO350" s="6" t="s">
        <v>1727</v>
      </c>
      <c r="AP350" s="6" t="s">
        <v>1726</v>
      </c>
      <c r="AQ350" s="6" t="s">
        <v>1803</v>
      </c>
      <c r="AR350" s="6" t="s">
        <v>1802</v>
      </c>
      <c r="AS350" s="6" t="s">
        <v>1801</v>
      </c>
    </row>
    <row r="351" spans="1:45" s="5" customFormat="1" ht="12.75" customHeight="1">
      <c r="A351" s="33" t="s">
        <v>1800</v>
      </c>
      <c r="B351" s="6" t="s">
        <v>396</v>
      </c>
      <c r="C351" s="31" t="s">
        <v>403</v>
      </c>
      <c r="D351" s="6" t="s">
        <v>1709</v>
      </c>
      <c r="E351" s="6" t="s">
        <v>1709</v>
      </c>
      <c r="F351" s="6" t="s">
        <v>1708</v>
      </c>
      <c r="G351" s="6" t="s">
        <v>1707</v>
      </c>
      <c r="H351" s="27" t="s">
        <v>1197</v>
      </c>
      <c r="I351" s="27" t="s">
        <v>1196</v>
      </c>
      <c r="J351" s="5" t="s">
        <v>1795</v>
      </c>
      <c r="K351" s="5" t="s">
        <v>1795</v>
      </c>
      <c r="L351" s="6" t="s">
        <v>595</v>
      </c>
      <c r="M351" s="5" t="s">
        <v>1261</v>
      </c>
      <c r="N351" s="5" t="s">
        <v>1226</v>
      </c>
      <c r="O351" s="5" t="s">
        <v>1225</v>
      </c>
      <c r="P351" s="5" t="s">
        <v>479</v>
      </c>
      <c r="Q351" s="5" t="s">
        <v>1215</v>
      </c>
      <c r="S351" s="27" t="s">
        <v>396</v>
      </c>
      <c r="T351" s="53">
        <v>0.56000000000000005</v>
      </c>
      <c r="U351" s="5">
        <v>50</v>
      </c>
      <c r="V351" s="5">
        <v>3600</v>
      </c>
      <c r="W351" s="27" t="s">
        <v>396</v>
      </c>
      <c r="X351" s="27" t="s">
        <v>396</v>
      </c>
      <c r="Y351" s="27" t="s">
        <v>396</v>
      </c>
      <c r="Z351" s="55">
        <v>50</v>
      </c>
      <c r="AA351" s="27" t="s">
        <v>396</v>
      </c>
      <c r="AB351" s="27" t="s">
        <v>396</v>
      </c>
      <c r="AC351" s="27" t="s">
        <v>396</v>
      </c>
      <c r="AD351" s="27" t="s">
        <v>396</v>
      </c>
      <c r="AE351" s="27" t="s">
        <v>396</v>
      </c>
      <c r="AF351" s="27" t="s">
        <v>396</v>
      </c>
      <c r="AG351" s="27" t="s">
        <v>396</v>
      </c>
      <c r="AH351" s="27" t="s">
        <v>396</v>
      </c>
      <c r="AI351" s="27" t="s">
        <v>396</v>
      </c>
      <c r="AJ351" s="27" t="s">
        <v>396</v>
      </c>
      <c r="AK351" s="6" t="s">
        <v>395</v>
      </c>
      <c r="AL351" s="17">
        <v>5413218581493</v>
      </c>
      <c r="AM351" s="15" t="s">
        <v>395</v>
      </c>
      <c r="AN351" s="5">
        <v>72166110</v>
      </c>
      <c r="AO351" s="6" t="s">
        <v>1727</v>
      </c>
      <c r="AP351" s="6" t="s">
        <v>1726</v>
      </c>
      <c r="AQ351" s="6" t="s">
        <v>1799</v>
      </c>
      <c r="AR351" s="6" t="s">
        <v>1798</v>
      </c>
      <c r="AS351" s="6" t="s">
        <v>1797</v>
      </c>
    </row>
    <row r="352" spans="1:45" s="5" customFormat="1" ht="12.75" customHeight="1">
      <c r="A352" s="33" t="s">
        <v>1796</v>
      </c>
      <c r="B352" s="6" t="s">
        <v>396</v>
      </c>
      <c r="C352" s="31" t="s">
        <v>403</v>
      </c>
      <c r="D352" s="6" t="s">
        <v>1709</v>
      </c>
      <c r="E352" s="6" t="s">
        <v>1709</v>
      </c>
      <c r="F352" s="6" t="s">
        <v>1708</v>
      </c>
      <c r="G352" s="6" t="s">
        <v>1707</v>
      </c>
      <c r="H352" s="27" t="s">
        <v>1197</v>
      </c>
      <c r="I352" s="27" t="s">
        <v>1196</v>
      </c>
      <c r="J352" s="5" t="s">
        <v>1795</v>
      </c>
      <c r="K352" s="5" t="s">
        <v>1795</v>
      </c>
      <c r="L352" s="6" t="s">
        <v>595</v>
      </c>
      <c r="M352" s="5" t="s">
        <v>1261</v>
      </c>
      <c r="N352" s="5" t="s">
        <v>1226</v>
      </c>
      <c r="O352" s="5" t="s">
        <v>1225</v>
      </c>
      <c r="P352" s="5" t="s">
        <v>479</v>
      </c>
      <c r="Q352" s="5" t="s">
        <v>1215</v>
      </c>
      <c r="S352" s="27" t="s">
        <v>396</v>
      </c>
      <c r="T352" s="53">
        <v>0.56000000000000005</v>
      </c>
      <c r="U352" s="5">
        <v>50</v>
      </c>
      <c r="V352" s="5">
        <v>4000</v>
      </c>
      <c r="W352" s="27" t="s">
        <v>396</v>
      </c>
      <c r="X352" s="27" t="s">
        <v>396</v>
      </c>
      <c r="Y352" s="27" t="s">
        <v>396</v>
      </c>
      <c r="Z352" s="55">
        <v>50</v>
      </c>
      <c r="AA352" s="27" t="s">
        <v>396</v>
      </c>
      <c r="AB352" s="27" t="s">
        <v>396</v>
      </c>
      <c r="AC352" s="27" t="s">
        <v>396</v>
      </c>
      <c r="AD352" s="27" t="s">
        <v>396</v>
      </c>
      <c r="AE352" s="27" t="s">
        <v>396</v>
      </c>
      <c r="AF352" s="27" t="s">
        <v>396</v>
      </c>
      <c r="AG352" s="27" t="s">
        <v>396</v>
      </c>
      <c r="AH352" s="27" t="s">
        <v>396</v>
      </c>
      <c r="AI352" s="27" t="s">
        <v>396</v>
      </c>
      <c r="AJ352" s="27" t="s">
        <v>396</v>
      </c>
      <c r="AK352" s="6" t="s">
        <v>395</v>
      </c>
      <c r="AL352" s="17"/>
      <c r="AM352" s="15"/>
      <c r="AN352" s="5">
        <v>72166110</v>
      </c>
      <c r="AO352" s="6" t="s">
        <v>1727</v>
      </c>
      <c r="AP352" s="6" t="s">
        <v>1726</v>
      </c>
      <c r="AQ352" s="6" t="s">
        <v>1794</v>
      </c>
      <c r="AR352" s="6" t="s">
        <v>1793</v>
      </c>
      <c r="AS352" s="6" t="s">
        <v>1792</v>
      </c>
    </row>
    <row r="353" spans="1:45" s="5" customFormat="1" ht="12.75" customHeight="1">
      <c r="A353" s="33" t="s">
        <v>1791</v>
      </c>
      <c r="B353" s="6" t="s">
        <v>396</v>
      </c>
      <c r="C353" s="31" t="s">
        <v>403</v>
      </c>
      <c r="D353" s="6" t="s">
        <v>1709</v>
      </c>
      <c r="E353" s="6" t="s">
        <v>1709</v>
      </c>
      <c r="F353" s="6" t="s">
        <v>1708</v>
      </c>
      <c r="G353" s="6" t="s">
        <v>1707</v>
      </c>
      <c r="H353" s="27" t="s">
        <v>1197</v>
      </c>
      <c r="I353" s="27" t="s">
        <v>1196</v>
      </c>
      <c r="J353" s="5" t="s">
        <v>1770</v>
      </c>
      <c r="K353" s="5" t="s">
        <v>1770</v>
      </c>
      <c r="L353" s="6" t="s">
        <v>595</v>
      </c>
      <c r="M353" s="5" t="s">
        <v>1261</v>
      </c>
      <c r="N353" s="5" t="s">
        <v>1226</v>
      </c>
      <c r="O353" s="5" t="s">
        <v>1225</v>
      </c>
      <c r="P353" s="5" t="s">
        <v>479</v>
      </c>
      <c r="Q353" s="5" t="s">
        <v>1215</v>
      </c>
      <c r="S353" s="27" t="s">
        <v>396</v>
      </c>
      <c r="T353" s="53">
        <v>0.56000000000000005</v>
      </c>
      <c r="U353" s="5">
        <v>70</v>
      </c>
      <c r="V353" s="5">
        <v>2600</v>
      </c>
      <c r="W353" s="27" t="s">
        <v>396</v>
      </c>
      <c r="X353" s="27" t="s">
        <v>396</v>
      </c>
      <c r="Y353" s="27" t="s">
        <v>396</v>
      </c>
      <c r="Z353" s="55">
        <v>50</v>
      </c>
      <c r="AA353" s="27" t="s">
        <v>396</v>
      </c>
      <c r="AB353" s="27" t="s">
        <v>396</v>
      </c>
      <c r="AC353" s="27" t="s">
        <v>396</v>
      </c>
      <c r="AD353" s="27" t="s">
        <v>396</v>
      </c>
      <c r="AE353" s="27" t="s">
        <v>396</v>
      </c>
      <c r="AF353" s="27" t="s">
        <v>396</v>
      </c>
      <c r="AG353" s="27" t="s">
        <v>396</v>
      </c>
      <c r="AH353" s="27" t="s">
        <v>396</v>
      </c>
      <c r="AI353" s="27" t="s">
        <v>396</v>
      </c>
      <c r="AJ353" s="27" t="s">
        <v>396</v>
      </c>
      <c r="AK353" s="6" t="s">
        <v>395</v>
      </c>
      <c r="AL353" s="17">
        <v>5413218581448</v>
      </c>
      <c r="AM353" s="15" t="s">
        <v>395</v>
      </c>
      <c r="AN353" s="5">
        <v>72166110</v>
      </c>
      <c r="AO353" s="6" t="s">
        <v>1727</v>
      </c>
      <c r="AP353" s="6" t="s">
        <v>1726</v>
      </c>
      <c r="AQ353" s="6" t="s">
        <v>1790</v>
      </c>
      <c r="AR353" s="6" t="s">
        <v>1789</v>
      </c>
      <c r="AS353" s="6" t="s">
        <v>1788</v>
      </c>
    </row>
    <row r="354" spans="1:45" s="5" customFormat="1" ht="12.75" customHeight="1">
      <c r="A354" s="33" t="s">
        <v>1787</v>
      </c>
      <c r="B354" s="6" t="s">
        <v>396</v>
      </c>
      <c r="C354" s="31" t="s">
        <v>403</v>
      </c>
      <c r="D354" s="6" t="s">
        <v>1709</v>
      </c>
      <c r="E354" s="6" t="s">
        <v>1709</v>
      </c>
      <c r="F354" s="6" t="s">
        <v>1708</v>
      </c>
      <c r="G354" s="6" t="s">
        <v>1707</v>
      </c>
      <c r="H354" s="27" t="s">
        <v>1197</v>
      </c>
      <c r="I354" s="27" t="s">
        <v>1196</v>
      </c>
      <c r="J354" s="5" t="s">
        <v>1770</v>
      </c>
      <c r="K354" s="5" t="s">
        <v>1770</v>
      </c>
      <c r="L354" s="6" t="s">
        <v>595</v>
      </c>
      <c r="M354" s="5" t="s">
        <v>1261</v>
      </c>
      <c r="N354" s="5" t="s">
        <v>1226</v>
      </c>
      <c r="O354" s="5" t="s">
        <v>1225</v>
      </c>
      <c r="P354" s="5" t="s">
        <v>479</v>
      </c>
      <c r="Q354" s="5" t="s">
        <v>1215</v>
      </c>
      <c r="S354" s="27" t="s">
        <v>396</v>
      </c>
      <c r="T354" s="53">
        <v>0.56000000000000005</v>
      </c>
      <c r="U354" s="5">
        <v>70</v>
      </c>
      <c r="V354" s="5">
        <v>2800</v>
      </c>
      <c r="W354" s="27" t="s">
        <v>396</v>
      </c>
      <c r="X354" s="27" t="s">
        <v>396</v>
      </c>
      <c r="Y354" s="27" t="s">
        <v>396</v>
      </c>
      <c r="Z354" s="55">
        <v>50</v>
      </c>
      <c r="AA354" s="27" t="s">
        <v>396</v>
      </c>
      <c r="AB354" s="27" t="s">
        <v>396</v>
      </c>
      <c r="AC354" s="27" t="s">
        <v>396</v>
      </c>
      <c r="AD354" s="27" t="s">
        <v>396</v>
      </c>
      <c r="AE354" s="27" t="s">
        <v>396</v>
      </c>
      <c r="AF354" s="27" t="s">
        <v>396</v>
      </c>
      <c r="AG354" s="27" t="s">
        <v>396</v>
      </c>
      <c r="AH354" s="27" t="s">
        <v>396</v>
      </c>
      <c r="AI354" s="27" t="s">
        <v>396</v>
      </c>
      <c r="AJ354" s="27" t="s">
        <v>396</v>
      </c>
      <c r="AK354" s="6" t="s">
        <v>395</v>
      </c>
      <c r="AL354" s="17"/>
      <c r="AM354" s="15"/>
      <c r="AN354" s="5">
        <v>72166110</v>
      </c>
      <c r="AO354" s="6" t="s">
        <v>1727</v>
      </c>
      <c r="AP354" s="6" t="s">
        <v>1726</v>
      </c>
      <c r="AQ354" s="6" t="s">
        <v>1786</v>
      </c>
      <c r="AR354" s="6" t="s">
        <v>1785</v>
      </c>
      <c r="AS354" s="6" t="s">
        <v>1784</v>
      </c>
    </row>
    <row r="355" spans="1:45" s="5" customFormat="1" ht="12.75" customHeight="1">
      <c r="A355" s="33" t="s">
        <v>1783</v>
      </c>
      <c r="B355" s="6" t="s">
        <v>396</v>
      </c>
      <c r="C355" s="31" t="s">
        <v>403</v>
      </c>
      <c r="D355" s="6" t="s">
        <v>1709</v>
      </c>
      <c r="E355" s="6" t="s">
        <v>1709</v>
      </c>
      <c r="F355" s="6" t="s">
        <v>1708</v>
      </c>
      <c r="G355" s="6" t="s">
        <v>1707</v>
      </c>
      <c r="H355" s="27" t="s">
        <v>1197</v>
      </c>
      <c r="I355" s="27" t="s">
        <v>1196</v>
      </c>
      <c r="J355" s="5" t="s">
        <v>1770</v>
      </c>
      <c r="K355" s="5" t="s">
        <v>1770</v>
      </c>
      <c r="L355" s="6" t="s">
        <v>595</v>
      </c>
      <c r="M355" s="5" t="s">
        <v>1261</v>
      </c>
      <c r="N355" s="5" t="s">
        <v>1226</v>
      </c>
      <c r="O355" s="5" t="s">
        <v>1225</v>
      </c>
      <c r="P355" s="5" t="s">
        <v>479</v>
      </c>
      <c r="Q355" s="5" t="s">
        <v>1215</v>
      </c>
      <c r="S355" s="27" t="s">
        <v>396</v>
      </c>
      <c r="T355" s="53">
        <v>0.56000000000000005</v>
      </c>
      <c r="U355" s="5">
        <v>70</v>
      </c>
      <c r="V355" s="5">
        <v>3000</v>
      </c>
      <c r="W355" s="27" t="s">
        <v>396</v>
      </c>
      <c r="X355" s="27" t="s">
        <v>396</v>
      </c>
      <c r="Y355" s="27" t="s">
        <v>396</v>
      </c>
      <c r="Z355" s="55">
        <v>50</v>
      </c>
      <c r="AA355" s="27" t="s">
        <v>396</v>
      </c>
      <c r="AB355" s="27" t="s">
        <v>396</v>
      </c>
      <c r="AC355" s="27" t="s">
        <v>396</v>
      </c>
      <c r="AD355" s="27" t="s">
        <v>396</v>
      </c>
      <c r="AE355" s="27" t="s">
        <v>396</v>
      </c>
      <c r="AF355" s="27" t="s">
        <v>396</v>
      </c>
      <c r="AG355" s="27" t="s">
        <v>396</v>
      </c>
      <c r="AH355" s="27" t="s">
        <v>396</v>
      </c>
      <c r="AI355" s="27" t="s">
        <v>396</v>
      </c>
      <c r="AJ355" s="27" t="s">
        <v>396</v>
      </c>
      <c r="AK355" s="6" t="s">
        <v>395</v>
      </c>
      <c r="AL355" s="17">
        <v>5413218581455</v>
      </c>
      <c r="AM355" s="15" t="s">
        <v>395</v>
      </c>
      <c r="AN355" s="5">
        <v>72166110</v>
      </c>
      <c r="AO355" s="6" t="s">
        <v>1727</v>
      </c>
      <c r="AP355" s="6" t="s">
        <v>1726</v>
      </c>
      <c r="AQ355" s="6" t="s">
        <v>1782</v>
      </c>
      <c r="AR355" s="6" t="s">
        <v>1781</v>
      </c>
      <c r="AS355" s="6" t="s">
        <v>1780</v>
      </c>
    </row>
    <row r="356" spans="1:45" s="5" customFormat="1" ht="12.75" customHeight="1">
      <c r="A356" s="33" t="s">
        <v>1779</v>
      </c>
      <c r="B356" s="6" t="s">
        <v>396</v>
      </c>
      <c r="C356" s="31" t="s">
        <v>403</v>
      </c>
      <c r="D356" s="6" t="s">
        <v>1709</v>
      </c>
      <c r="E356" s="6" t="s">
        <v>1709</v>
      </c>
      <c r="F356" s="6" t="s">
        <v>1708</v>
      </c>
      <c r="G356" s="6" t="s">
        <v>1707</v>
      </c>
      <c r="H356" s="27" t="s">
        <v>1197</v>
      </c>
      <c r="I356" s="27" t="s">
        <v>1196</v>
      </c>
      <c r="J356" s="5" t="s">
        <v>1770</v>
      </c>
      <c r="K356" s="5" t="s">
        <v>1770</v>
      </c>
      <c r="L356" s="6" t="s">
        <v>595</v>
      </c>
      <c r="M356" s="5" t="s">
        <v>1261</v>
      </c>
      <c r="N356" s="5" t="s">
        <v>1226</v>
      </c>
      <c r="O356" s="5" t="s">
        <v>1225</v>
      </c>
      <c r="P356" s="5" t="s">
        <v>479</v>
      </c>
      <c r="Q356" s="5" t="s">
        <v>1215</v>
      </c>
      <c r="S356" s="27" t="s">
        <v>396</v>
      </c>
      <c r="T356" s="53">
        <v>0.56000000000000005</v>
      </c>
      <c r="U356" s="5">
        <v>70</v>
      </c>
      <c r="V356" s="5">
        <v>3200</v>
      </c>
      <c r="W356" s="27" t="s">
        <v>396</v>
      </c>
      <c r="X356" s="27" t="s">
        <v>396</v>
      </c>
      <c r="Y356" s="27" t="s">
        <v>396</v>
      </c>
      <c r="Z356" s="55">
        <v>50</v>
      </c>
      <c r="AA356" s="27" t="s">
        <v>396</v>
      </c>
      <c r="AB356" s="27" t="s">
        <v>396</v>
      </c>
      <c r="AC356" s="27" t="s">
        <v>396</v>
      </c>
      <c r="AD356" s="27" t="s">
        <v>396</v>
      </c>
      <c r="AE356" s="27" t="s">
        <v>396</v>
      </c>
      <c r="AF356" s="27" t="s">
        <v>396</v>
      </c>
      <c r="AG356" s="27" t="s">
        <v>396</v>
      </c>
      <c r="AH356" s="27" t="s">
        <v>396</v>
      </c>
      <c r="AI356" s="27" t="s">
        <v>396</v>
      </c>
      <c r="AJ356" s="27" t="s">
        <v>396</v>
      </c>
      <c r="AK356" s="6" t="s">
        <v>395</v>
      </c>
      <c r="AL356" s="17"/>
      <c r="AM356" s="15"/>
      <c r="AN356" s="5">
        <v>72166110</v>
      </c>
      <c r="AO356" s="6" t="s">
        <v>1727</v>
      </c>
      <c r="AP356" s="6" t="s">
        <v>1726</v>
      </c>
      <c r="AQ356" s="6" t="s">
        <v>1778</v>
      </c>
      <c r="AR356" s="6" t="s">
        <v>1777</v>
      </c>
      <c r="AS356" s="6" t="s">
        <v>1776</v>
      </c>
    </row>
    <row r="357" spans="1:45" s="5" customFormat="1" ht="12.75" customHeight="1">
      <c r="A357" s="33" t="s">
        <v>1775</v>
      </c>
      <c r="B357" s="6" t="s">
        <v>396</v>
      </c>
      <c r="C357" s="31" t="s">
        <v>403</v>
      </c>
      <c r="D357" s="6" t="s">
        <v>1709</v>
      </c>
      <c r="E357" s="6" t="s">
        <v>1709</v>
      </c>
      <c r="F357" s="6" t="s">
        <v>1708</v>
      </c>
      <c r="G357" s="6" t="s">
        <v>1707</v>
      </c>
      <c r="H357" s="27" t="s">
        <v>1197</v>
      </c>
      <c r="I357" s="27" t="s">
        <v>1196</v>
      </c>
      <c r="J357" s="5" t="s">
        <v>1770</v>
      </c>
      <c r="K357" s="5" t="s">
        <v>1770</v>
      </c>
      <c r="L357" s="6" t="s">
        <v>595</v>
      </c>
      <c r="M357" s="5" t="s">
        <v>1261</v>
      </c>
      <c r="N357" s="5" t="s">
        <v>1226</v>
      </c>
      <c r="O357" s="5" t="s">
        <v>1225</v>
      </c>
      <c r="P357" s="5" t="s">
        <v>479</v>
      </c>
      <c r="Q357" s="5" t="s">
        <v>1215</v>
      </c>
      <c r="S357" s="27" t="s">
        <v>396</v>
      </c>
      <c r="T357" s="53">
        <v>0.56000000000000005</v>
      </c>
      <c r="U357" s="5">
        <v>70</v>
      </c>
      <c r="V357" s="5">
        <v>3600</v>
      </c>
      <c r="W357" s="27" t="s">
        <v>396</v>
      </c>
      <c r="X357" s="27" t="s">
        <v>396</v>
      </c>
      <c r="Y357" s="27" t="s">
        <v>396</v>
      </c>
      <c r="Z357" s="55">
        <v>50</v>
      </c>
      <c r="AA357" s="27" t="s">
        <v>396</v>
      </c>
      <c r="AB357" s="27" t="s">
        <v>396</v>
      </c>
      <c r="AC357" s="27" t="s">
        <v>396</v>
      </c>
      <c r="AD357" s="27" t="s">
        <v>396</v>
      </c>
      <c r="AE357" s="27" t="s">
        <v>396</v>
      </c>
      <c r="AF357" s="27" t="s">
        <v>396</v>
      </c>
      <c r="AG357" s="27" t="s">
        <v>396</v>
      </c>
      <c r="AH357" s="27" t="s">
        <v>396</v>
      </c>
      <c r="AI357" s="27" t="s">
        <v>396</v>
      </c>
      <c r="AJ357" s="27" t="s">
        <v>396</v>
      </c>
      <c r="AK357" s="6" t="s">
        <v>395</v>
      </c>
      <c r="AL357" s="17"/>
      <c r="AM357" s="15"/>
      <c r="AN357" s="5">
        <v>72166110</v>
      </c>
      <c r="AO357" s="6" t="s">
        <v>1727</v>
      </c>
      <c r="AP357" s="6" t="s">
        <v>1726</v>
      </c>
      <c r="AQ357" s="6" t="s">
        <v>1774</v>
      </c>
      <c r="AR357" s="6" t="s">
        <v>1773</v>
      </c>
      <c r="AS357" s="6" t="s">
        <v>1772</v>
      </c>
    </row>
    <row r="358" spans="1:45" s="5" customFormat="1" ht="12.75" customHeight="1">
      <c r="A358" s="33" t="s">
        <v>1771</v>
      </c>
      <c r="B358" s="6" t="s">
        <v>396</v>
      </c>
      <c r="C358" s="31" t="s">
        <v>403</v>
      </c>
      <c r="D358" s="6" t="s">
        <v>1709</v>
      </c>
      <c r="E358" s="6" t="s">
        <v>1709</v>
      </c>
      <c r="F358" s="6" t="s">
        <v>1708</v>
      </c>
      <c r="G358" s="6" t="s">
        <v>1707</v>
      </c>
      <c r="H358" s="27" t="s">
        <v>1197</v>
      </c>
      <c r="I358" s="27" t="s">
        <v>1196</v>
      </c>
      <c r="J358" s="5" t="s">
        <v>1770</v>
      </c>
      <c r="K358" s="5" t="s">
        <v>1770</v>
      </c>
      <c r="L358" s="6" t="s">
        <v>595</v>
      </c>
      <c r="M358" s="5" t="s">
        <v>1261</v>
      </c>
      <c r="N358" s="5" t="s">
        <v>1226</v>
      </c>
      <c r="O358" s="5" t="s">
        <v>1225</v>
      </c>
      <c r="P358" s="5" t="s">
        <v>479</v>
      </c>
      <c r="Q358" s="5" t="s">
        <v>1215</v>
      </c>
      <c r="S358" s="27" t="s">
        <v>396</v>
      </c>
      <c r="T358" s="53">
        <v>0.56000000000000005</v>
      </c>
      <c r="U358" s="5">
        <v>70</v>
      </c>
      <c r="V358" s="5">
        <v>4000</v>
      </c>
      <c r="W358" s="27" t="s">
        <v>396</v>
      </c>
      <c r="X358" s="27" t="s">
        <v>396</v>
      </c>
      <c r="Y358" s="27" t="s">
        <v>396</v>
      </c>
      <c r="Z358" s="55">
        <v>50</v>
      </c>
      <c r="AA358" s="27" t="s">
        <v>396</v>
      </c>
      <c r="AB358" s="27" t="s">
        <v>396</v>
      </c>
      <c r="AC358" s="27" t="s">
        <v>396</v>
      </c>
      <c r="AD358" s="27" t="s">
        <v>396</v>
      </c>
      <c r="AE358" s="27" t="s">
        <v>396</v>
      </c>
      <c r="AF358" s="27" t="s">
        <v>396</v>
      </c>
      <c r="AG358" s="27" t="s">
        <v>396</v>
      </c>
      <c r="AH358" s="27" t="s">
        <v>396</v>
      </c>
      <c r="AI358" s="27" t="s">
        <v>396</v>
      </c>
      <c r="AJ358" s="27" t="s">
        <v>396</v>
      </c>
      <c r="AK358" s="6" t="s">
        <v>395</v>
      </c>
      <c r="AL358" s="17">
        <v>5413218581431</v>
      </c>
      <c r="AM358" s="15" t="s">
        <v>395</v>
      </c>
      <c r="AN358" s="5">
        <v>72166110</v>
      </c>
      <c r="AO358" s="6" t="s">
        <v>1727</v>
      </c>
      <c r="AP358" s="6" t="s">
        <v>1726</v>
      </c>
      <c r="AQ358" s="6" t="s">
        <v>1769</v>
      </c>
      <c r="AR358" s="6" t="s">
        <v>1768</v>
      </c>
      <c r="AS358" s="6" t="s">
        <v>1767</v>
      </c>
    </row>
    <row r="359" spans="1:45" s="5" customFormat="1" ht="12.75" customHeight="1">
      <c r="A359" s="33" t="s">
        <v>1766</v>
      </c>
      <c r="B359" s="6" t="s">
        <v>396</v>
      </c>
      <c r="C359" s="31" t="s">
        <v>403</v>
      </c>
      <c r="D359" s="6" t="s">
        <v>1709</v>
      </c>
      <c r="E359" s="6" t="s">
        <v>1709</v>
      </c>
      <c r="F359" s="6" t="s">
        <v>1708</v>
      </c>
      <c r="G359" s="6" t="s">
        <v>1707</v>
      </c>
      <c r="H359" s="27" t="s">
        <v>1197</v>
      </c>
      <c r="I359" s="27" t="s">
        <v>1196</v>
      </c>
      <c r="J359" s="5" t="s">
        <v>1744</v>
      </c>
      <c r="K359" s="5" t="s">
        <v>1744</v>
      </c>
      <c r="L359" s="6" t="s">
        <v>595</v>
      </c>
      <c r="M359" s="5" t="s">
        <v>1261</v>
      </c>
      <c r="N359" s="5" t="s">
        <v>1226</v>
      </c>
      <c r="O359" s="5" t="s">
        <v>1225</v>
      </c>
      <c r="P359" s="5" t="s">
        <v>479</v>
      </c>
      <c r="Q359" s="5" t="s">
        <v>1215</v>
      </c>
      <c r="S359" s="27" t="s">
        <v>396</v>
      </c>
      <c r="T359" s="53">
        <v>0.56000000000000005</v>
      </c>
      <c r="U359" s="5">
        <v>75</v>
      </c>
      <c r="V359" s="5">
        <v>2600</v>
      </c>
      <c r="W359" s="27" t="s">
        <v>396</v>
      </c>
      <c r="X359" s="27" t="s">
        <v>396</v>
      </c>
      <c r="Y359" s="27" t="s">
        <v>396</v>
      </c>
      <c r="Z359" s="55">
        <v>50</v>
      </c>
      <c r="AA359" s="27" t="s">
        <v>396</v>
      </c>
      <c r="AB359" s="27" t="s">
        <v>396</v>
      </c>
      <c r="AC359" s="27" t="s">
        <v>396</v>
      </c>
      <c r="AD359" s="27" t="s">
        <v>396</v>
      </c>
      <c r="AE359" s="27" t="s">
        <v>396</v>
      </c>
      <c r="AF359" s="27" t="s">
        <v>396</v>
      </c>
      <c r="AG359" s="27" t="s">
        <v>396</v>
      </c>
      <c r="AH359" s="27" t="s">
        <v>396</v>
      </c>
      <c r="AI359" s="27" t="s">
        <v>396</v>
      </c>
      <c r="AJ359" s="27" t="s">
        <v>396</v>
      </c>
      <c r="AK359" s="6" t="s">
        <v>395</v>
      </c>
      <c r="AL359" s="17">
        <v>5413218581509</v>
      </c>
      <c r="AM359" s="15" t="s">
        <v>395</v>
      </c>
      <c r="AN359" s="5">
        <v>72166110</v>
      </c>
      <c r="AO359" s="6" t="s">
        <v>1727</v>
      </c>
      <c r="AP359" s="6" t="s">
        <v>1726</v>
      </c>
      <c r="AQ359" s="6" t="s">
        <v>1765</v>
      </c>
      <c r="AR359" s="6" t="s">
        <v>1764</v>
      </c>
      <c r="AS359" s="6" t="s">
        <v>1763</v>
      </c>
    </row>
    <row r="360" spans="1:45" s="5" customFormat="1" ht="12.75" customHeight="1">
      <c r="A360" s="33" t="s">
        <v>1762</v>
      </c>
      <c r="B360" s="6" t="s">
        <v>396</v>
      </c>
      <c r="C360" s="31" t="s">
        <v>403</v>
      </c>
      <c r="D360" s="6" t="s">
        <v>1709</v>
      </c>
      <c r="E360" s="6" t="s">
        <v>1709</v>
      </c>
      <c r="F360" s="6" t="s">
        <v>1708</v>
      </c>
      <c r="G360" s="6" t="s">
        <v>1707</v>
      </c>
      <c r="H360" s="27" t="s">
        <v>1197</v>
      </c>
      <c r="I360" s="27" t="s">
        <v>1196</v>
      </c>
      <c r="J360" s="5" t="s">
        <v>1744</v>
      </c>
      <c r="K360" s="5" t="s">
        <v>1744</v>
      </c>
      <c r="L360" s="6" t="s">
        <v>595</v>
      </c>
      <c r="M360" s="5" t="s">
        <v>1261</v>
      </c>
      <c r="N360" s="5" t="s">
        <v>1226</v>
      </c>
      <c r="O360" s="5" t="s">
        <v>1225</v>
      </c>
      <c r="P360" s="5" t="s">
        <v>479</v>
      </c>
      <c r="Q360" s="5" t="s">
        <v>1215</v>
      </c>
      <c r="S360" s="27" t="s">
        <v>396</v>
      </c>
      <c r="T360" s="53">
        <v>0.56000000000000005</v>
      </c>
      <c r="U360" s="5">
        <v>75</v>
      </c>
      <c r="V360" s="5">
        <v>2800</v>
      </c>
      <c r="W360" s="27" t="s">
        <v>396</v>
      </c>
      <c r="X360" s="27" t="s">
        <v>396</v>
      </c>
      <c r="Y360" s="27" t="s">
        <v>396</v>
      </c>
      <c r="Z360" s="55">
        <v>50</v>
      </c>
      <c r="AA360" s="27" t="s">
        <v>396</v>
      </c>
      <c r="AB360" s="27" t="s">
        <v>396</v>
      </c>
      <c r="AC360" s="27" t="s">
        <v>396</v>
      </c>
      <c r="AD360" s="27" t="s">
        <v>396</v>
      </c>
      <c r="AE360" s="27" t="s">
        <v>396</v>
      </c>
      <c r="AF360" s="27" t="s">
        <v>396</v>
      </c>
      <c r="AG360" s="27" t="s">
        <v>396</v>
      </c>
      <c r="AH360" s="27" t="s">
        <v>396</v>
      </c>
      <c r="AI360" s="27" t="s">
        <v>396</v>
      </c>
      <c r="AJ360" s="27" t="s">
        <v>396</v>
      </c>
      <c r="AK360" s="6" t="s">
        <v>395</v>
      </c>
      <c r="AL360" s="17"/>
      <c r="AM360" s="15"/>
      <c r="AN360" s="5">
        <v>72166110</v>
      </c>
      <c r="AO360" s="6" t="s">
        <v>1727</v>
      </c>
      <c r="AP360" s="6" t="s">
        <v>1726</v>
      </c>
      <c r="AQ360" s="6" t="s">
        <v>1761</v>
      </c>
      <c r="AR360" s="6" t="s">
        <v>1760</v>
      </c>
      <c r="AS360" s="6" t="s">
        <v>1759</v>
      </c>
    </row>
    <row r="361" spans="1:45" s="5" customFormat="1" ht="12.75" customHeight="1">
      <c r="A361" s="33" t="s">
        <v>1758</v>
      </c>
      <c r="B361" s="6" t="s">
        <v>396</v>
      </c>
      <c r="C361" s="31" t="s">
        <v>403</v>
      </c>
      <c r="D361" s="6" t="s">
        <v>1709</v>
      </c>
      <c r="E361" s="6" t="s">
        <v>1709</v>
      </c>
      <c r="F361" s="6" t="s">
        <v>1708</v>
      </c>
      <c r="G361" s="6" t="s">
        <v>1707</v>
      </c>
      <c r="H361" s="27" t="s">
        <v>1197</v>
      </c>
      <c r="I361" s="27" t="s">
        <v>1196</v>
      </c>
      <c r="J361" s="5" t="s">
        <v>1744</v>
      </c>
      <c r="K361" s="5" t="s">
        <v>1744</v>
      </c>
      <c r="L361" s="6" t="s">
        <v>595</v>
      </c>
      <c r="M361" s="5" t="s">
        <v>1261</v>
      </c>
      <c r="N361" s="5" t="s">
        <v>1226</v>
      </c>
      <c r="O361" s="5" t="s">
        <v>1225</v>
      </c>
      <c r="P361" s="5" t="s">
        <v>479</v>
      </c>
      <c r="Q361" s="5" t="s">
        <v>1215</v>
      </c>
      <c r="S361" s="27" t="s">
        <v>396</v>
      </c>
      <c r="T361" s="53">
        <v>0.56000000000000005</v>
      </c>
      <c r="U361" s="5">
        <v>75</v>
      </c>
      <c r="V361" s="5">
        <v>3000</v>
      </c>
      <c r="W361" s="27" t="s">
        <v>396</v>
      </c>
      <c r="X361" s="27" t="s">
        <v>396</v>
      </c>
      <c r="Y361" s="27" t="s">
        <v>396</v>
      </c>
      <c r="Z361" s="55">
        <v>50</v>
      </c>
      <c r="AA361" s="27" t="s">
        <v>396</v>
      </c>
      <c r="AB361" s="27" t="s">
        <v>396</v>
      </c>
      <c r="AC361" s="27" t="s">
        <v>396</v>
      </c>
      <c r="AD361" s="27" t="s">
        <v>396</v>
      </c>
      <c r="AE361" s="27" t="s">
        <v>396</v>
      </c>
      <c r="AF361" s="27" t="s">
        <v>396</v>
      </c>
      <c r="AG361" s="27" t="s">
        <v>396</v>
      </c>
      <c r="AH361" s="27" t="s">
        <v>396</v>
      </c>
      <c r="AI361" s="27" t="s">
        <v>396</v>
      </c>
      <c r="AJ361" s="27" t="s">
        <v>396</v>
      </c>
      <c r="AK361" s="6" t="s">
        <v>395</v>
      </c>
      <c r="AL361" s="17">
        <v>5413218581516</v>
      </c>
      <c r="AM361" s="15" t="s">
        <v>395</v>
      </c>
      <c r="AN361" s="5">
        <v>72166110</v>
      </c>
      <c r="AO361" s="6" t="s">
        <v>1727</v>
      </c>
      <c r="AP361" s="6" t="s">
        <v>1726</v>
      </c>
      <c r="AQ361" s="6" t="s">
        <v>1757</v>
      </c>
      <c r="AR361" s="6" t="s">
        <v>1756</v>
      </c>
      <c r="AS361" s="6" t="s">
        <v>1755</v>
      </c>
    </row>
    <row r="362" spans="1:45" s="5" customFormat="1" ht="12.75" customHeight="1">
      <c r="A362" s="33" t="s">
        <v>1754</v>
      </c>
      <c r="B362" s="6" t="s">
        <v>396</v>
      </c>
      <c r="C362" s="31" t="s">
        <v>403</v>
      </c>
      <c r="D362" s="6" t="s">
        <v>1709</v>
      </c>
      <c r="E362" s="6" t="s">
        <v>1709</v>
      </c>
      <c r="F362" s="6" t="s">
        <v>1708</v>
      </c>
      <c r="G362" s="6" t="s">
        <v>1707</v>
      </c>
      <c r="H362" s="27" t="s">
        <v>1197</v>
      </c>
      <c r="I362" s="27" t="s">
        <v>1196</v>
      </c>
      <c r="J362" s="5" t="s">
        <v>1744</v>
      </c>
      <c r="K362" s="5" t="s">
        <v>1744</v>
      </c>
      <c r="L362" s="6" t="s">
        <v>595</v>
      </c>
      <c r="M362" s="5" t="s">
        <v>1261</v>
      </c>
      <c r="N362" s="5" t="s">
        <v>1226</v>
      </c>
      <c r="O362" s="5" t="s">
        <v>1225</v>
      </c>
      <c r="P362" s="5" t="s">
        <v>479</v>
      </c>
      <c r="Q362" s="5" t="s">
        <v>1215</v>
      </c>
      <c r="S362" s="27" t="s">
        <v>396</v>
      </c>
      <c r="T362" s="53">
        <v>0.56000000000000005</v>
      </c>
      <c r="U362" s="5">
        <v>75</v>
      </c>
      <c r="V362" s="5">
        <v>3200</v>
      </c>
      <c r="W362" s="27" t="s">
        <v>396</v>
      </c>
      <c r="X362" s="27" t="s">
        <v>396</v>
      </c>
      <c r="Y362" s="27" t="s">
        <v>396</v>
      </c>
      <c r="Z362" s="55">
        <v>50</v>
      </c>
      <c r="AA362" s="27" t="s">
        <v>396</v>
      </c>
      <c r="AB362" s="27" t="s">
        <v>396</v>
      </c>
      <c r="AC362" s="27" t="s">
        <v>396</v>
      </c>
      <c r="AD362" s="27" t="s">
        <v>396</v>
      </c>
      <c r="AE362" s="27" t="s">
        <v>396</v>
      </c>
      <c r="AF362" s="27" t="s">
        <v>396</v>
      </c>
      <c r="AG362" s="27" t="s">
        <v>396</v>
      </c>
      <c r="AH362" s="27" t="s">
        <v>396</v>
      </c>
      <c r="AI362" s="27" t="s">
        <v>396</v>
      </c>
      <c r="AJ362" s="27" t="s">
        <v>396</v>
      </c>
      <c r="AK362" s="6" t="s">
        <v>395</v>
      </c>
      <c r="AL362" s="17"/>
      <c r="AM362" s="15"/>
      <c r="AN362" s="5">
        <v>72166110</v>
      </c>
      <c r="AO362" s="6" t="s">
        <v>1727</v>
      </c>
      <c r="AP362" s="6" t="s">
        <v>1726</v>
      </c>
      <c r="AQ362" s="6" t="s">
        <v>1753</v>
      </c>
      <c r="AR362" s="6" t="s">
        <v>1752</v>
      </c>
      <c r="AS362" s="6" t="s">
        <v>366</v>
      </c>
    </row>
    <row r="363" spans="1:45" s="5" customFormat="1" ht="12.75" customHeight="1">
      <c r="A363" s="33" t="s">
        <v>1751</v>
      </c>
      <c r="B363" s="6" t="s">
        <v>396</v>
      </c>
      <c r="C363" s="31" t="s">
        <v>403</v>
      </c>
      <c r="D363" s="6" t="s">
        <v>1709</v>
      </c>
      <c r="E363" s="6" t="s">
        <v>1709</v>
      </c>
      <c r="F363" s="6" t="s">
        <v>1708</v>
      </c>
      <c r="G363" s="6" t="s">
        <v>1707</v>
      </c>
      <c r="H363" s="27" t="s">
        <v>1197</v>
      </c>
      <c r="I363" s="27" t="s">
        <v>1196</v>
      </c>
      <c r="J363" s="5" t="s">
        <v>1744</v>
      </c>
      <c r="K363" s="5" t="s">
        <v>1744</v>
      </c>
      <c r="L363" s="6" t="s">
        <v>595</v>
      </c>
      <c r="M363" s="5" t="s">
        <v>1261</v>
      </c>
      <c r="N363" s="5" t="s">
        <v>1226</v>
      </c>
      <c r="O363" s="5" t="s">
        <v>1225</v>
      </c>
      <c r="P363" s="5" t="s">
        <v>479</v>
      </c>
      <c r="Q363" s="5" t="s">
        <v>1215</v>
      </c>
      <c r="S363" s="27" t="s">
        <v>396</v>
      </c>
      <c r="T363" s="53">
        <v>0.56000000000000005</v>
      </c>
      <c r="U363" s="5">
        <v>75</v>
      </c>
      <c r="V363" s="5">
        <v>3600</v>
      </c>
      <c r="W363" s="27" t="s">
        <v>396</v>
      </c>
      <c r="X363" s="27" t="s">
        <v>396</v>
      </c>
      <c r="Y363" s="27" t="s">
        <v>396</v>
      </c>
      <c r="Z363" s="55">
        <v>50</v>
      </c>
      <c r="AA363" s="27" t="s">
        <v>396</v>
      </c>
      <c r="AB363" s="27" t="s">
        <v>396</v>
      </c>
      <c r="AC363" s="27" t="s">
        <v>396</v>
      </c>
      <c r="AD363" s="27" t="s">
        <v>396</v>
      </c>
      <c r="AE363" s="27" t="s">
        <v>396</v>
      </c>
      <c r="AF363" s="27" t="s">
        <v>396</v>
      </c>
      <c r="AG363" s="27" t="s">
        <v>396</v>
      </c>
      <c r="AH363" s="27" t="s">
        <v>396</v>
      </c>
      <c r="AI363" s="27" t="s">
        <v>396</v>
      </c>
      <c r="AJ363" s="27" t="s">
        <v>396</v>
      </c>
      <c r="AK363" s="6" t="s">
        <v>395</v>
      </c>
      <c r="AL363" s="17">
        <v>5413218581523</v>
      </c>
      <c r="AM363" s="15" t="s">
        <v>395</v>
      </c>
      <c r="AN363" s="5">
        <v>72166110</v>
      </c>
      <c r="AO363" s="6" t="s">
        <v>1727</v>
      </c>
      <c r="AP363" s="6" t="s">
        <v>1726</v>
      </c>
      <c r="AQ363" s="6" t="s">
        <v>1750</v>
      </c>
      <c r="AR363" s="6" t="s">
        <v>1749</v>
      </c>
      <c r="AS363" s="6" t="s">
        <v>366</v>
      </c>
    </row>
    <row r="364" spans="1:45" s="5" customFormat="1" ht="12.75" customHeight="1">
      <c r="A364" s="33" t="s">
        <v>1748</v>
      </c>
      <c r="B364" s="6" t="s">
        <v>396</v>
      </c>
      <c r="C364" s="31" t="s">
        <v>403</v>
      </c>
      <c r="D364" s="6" t="s">
        <v>1709</v>
      </c>
      <c r="E364" s="6" t="s">
        <v>1709</v>
      </c>
      <c r="F364" s="6" t="s">
        <v>1708</v>
      </c>
      <c r="G364" s="6" t="s">
        <v>1707</v>
      </c>
      <c r="H364" s="27" t="s">
        <v>1197</v>
      </c>
      <c r="I364" s="27" t="s">
        <v>1196</v>
      </c>
      <c r="J364" s="5" t="s">
        <v>1744</v>
      </c>
      <c r="K364" s="5" t="s">
        <v>1744</v>
      </c>
      <c r="L364" s="6" t="s">
        <v>595</v>
      </c>
      <c r="M364" s="5" t="s">
        <v>1261</v>
      </c>
      <c r="N364" s="5" t="s">
        <v>1226</v>
      </c>
      <c r="O364" s="5" t="s">
        <v>1225</v>
      </c>
      <c r="P364" s="5" t="s">
        <v>479</v>
      </c>
      <c r="Q364" s="5" t="s">
        <v>1215</v>
      </c>
      <c r="S364" s="27" t="s">
        <v>396</v>
      </c>
      <c r="T364" s="53">
        <v>0.56000000000000005</v>
      </c>
      <c r="U364" s="5">
        <v>75</v>
      </c>
      <c r="V364" s="5">
        <v>4000</v>
      </c>
      <c r="W364" s="27" t="s">
        <v>396</v>
      </c>
      <c r="X364" s="27" t="s">
        <v>396</v>
      </c>
      <c r="Y364" s="27" t="s">
        <v>396</v>
      </c>
      <c r="Z364" s="55">
        <v>50</v>
      </c>
      <c r="AA364" s="27" t="s">
        <v>396</v>
      </c>
      <c r="AB364" s="27" t="s">
        <v>396</v>
      </c>
      <c r="AC364" s="27" t="s">
        <v>396</v>
      </c>
      <c r="AD364" s="27" t="s">
        <v>396</v>
      </c>
      <c r="AE364" s="27" t="s">
        <v>396</v>
      </c>
      <c r="AF364" s="27" t="s">
        <v>396</v>
      </c>
      <c r="AG364" s="27" t="s">
        <v>396</v>
      </c>
      <c r="AH364" s="27" t="s">
        <v>396</v>
      </c>
      <c r="AI364" s="27" t="s">
        <v>396</v>
      </c>
      <c r="AJ364" s="27" t="s">
        <v>396</v>
      </c>
      <c r="AK364" s="6" t="s">
        <v>395</v>
      </c>
      <c r="AL364" s="17">
        <v>5413218576307</v>
      </c>
      <c r="AM364" s="15" t="s">
        <v>395</v>
      </c>
      <c r="AN364" s="5">
        <v>72166110</v>
      </c>
      <c r="AO364" s="6" t="s">
        <v>1727</v>
      </c>
      <c r="AP364" s="6" t="s">
        <v>1726</v>
      </c>
      <c r="AQ364" s="6" t="s">
        <v>1747</v>
      </c>
      <c r="AR364" s="6" t="s">
        <v>1746</v>
      </c>
      <c r="AS364" s="6" t="s">
        <v>366</v>
      </c>
    </row>
    <row r="365" spans="1:45" s="5" customFormat="1" ht="12.75" customHeight="1">
      <c r="A365" s="33" t="s">
        <v>1745</v>
      </c>
      <c r="B365" s="6" t="s">
        <v>396</v>
      </c>
      <c r="C365" s="31" t="s">
        <v>403</v>
      </c>
      <c r="D365" s="6" t="s">
        <v>1709</v>
      </c>
      <c r="E365" s="6" t="s">
        <v>1709</v>
      </c>
      <c r="F365" s="6" t="s">
        <v>1708</v>
      </c>
      <c r="G365" s="6" t="s">
        <v>1707</v>
      </c>
      <c r="H365" s="27" t="s">
        <v>1197</v>
      </c>
      <c r="I365" s="27" t="s">
        <v>1196</v>
      </c>
      <c r="J365" s="5" t="s">
        <v>1744</v>
      </c>
      <c r="K365" s="5" t="s">
        <v>1744</v>
      </c>
      <c r="L365" s="6" t="s">
        <v>595</v>
      </c>
      <c r="M365" s="5" t="s">
        <v>1261</v>
      </c>
      <c r="N365" s="5" t="s">
        <v>1226</v>
      </c>
      <c r="O365" s="5" t="s">
        <v>1225</v>
      </c>
      <c r="P365" s="5" t="s">
        <v>479</v>
      </c>
      <c r="Q365" s="5" t="s">
        <v>1215</v>
      </c>
      <c r="S365" s="27" t="s">
        <v>396</v>
      </c>
      <c r="T365" s="53">
        <v>0.56000000000000005</v>
      </c>
      <c r="U365" s="5">
        <v>75</v>
      </c>
      <c r="V365" s="5">
        <v>5000</v>
      </c>
      <c r="W365" s="27" t="s">
        <v>396</v>
      </c>
      <c r="X365" s="27" t="s">
        <v>396</v>
      </c>
      <c r="Y365" s="27" t="s">
        <v>396</v>
      </c>
      <c r="Z365" s="55">
        <v>50</v>
      </c>
      <c r="AA365" s="27" t="s">
        <v>396</v>
      </c>
      <c r="AB365" s="27" t="s">
        <v>396</v>
      </c>
      <c r="AC365" s="27" t="s">
        <v>396</v>
      </c>
      <c r="AD365" s="27" t="s">
        <v>396</v>
      </c>
      <c r="AE365" s="27" t="s">
        <v>396</v>
      </c>
      <c r="AF365" s="27" t="s">
        <v>396</v>
      </c>
      <c r="AG365" s="27" t="s">
        <v>396</v>
      </c>
      <c r="AH365" s="27" t="s">
        <v>396</v>
      </c>
      <c r="AI365" s="27" t="s">
        <v>396</v>
      </c>
      <c r="AJ365" s="27" t="s">
        <v>396</v>
      </c>
      <c r="AK365" s="6" t="s">
        <v>395</v>
      </c>
      <c r="AL365" s="17"/>
      <c r="AM365" s="15"/>
      <c r="AN365" s="5">
        <v>72166110</v>
      </c>
      <c r="AO365" s="6" t="s">
        <v>1727</v>
      </c>
      <c r="AP365" s="6" t="s">
        <v>1726</v>
      </c>
      <c r="AQ365" s="6" t="s">
        <v>1743</v>
      </c>
      <c r="AR365" s="6" t="s">
        <v>1742</v>
      </c>
      <c r="AS365" s="6" t="s">
        <v>366</v>
      </c>
    </row>
    <row r="366" spans="1:45" s="5" customFormat="1" ht="12.75" customHeight="1">
      <c r="A366" s="33" t="s">
        <v>1741</v>
      </c>
      <c r="B366" s="6" t="s">
        <v>396</v>
      </c>
      <c r="C366" s="31" t="s">
        <v>403</v>
      </c>
      <c r="D366" s="6" t="s">
        <v>1709</v>
      </c>
      <c r="E366" s="6" t="s">
        <v>1709</v>
      </c>
      <c r="F366" s="6" t="s">
        <v>1708</v>
      </c>
      <c r="G366" s="6" t="s">
        <v>1707</v>
      </c>
      <c r="H366" s="27" t="s">
        <v>1197</v>
      </c>
      <c r="I366" s="27" t="s">
        <v>1196</v>
      </c>
      <c r="J366" s="5" t="s">
        <v>1731</v>
      </c>
      <c r="K366" s="5" t="s">
        <v>1731</v>
      </c>
      <c r="L366" s="6" t="s">
        <v>595</v>
      </c>
      <c r="M366" s="5" t="s">
        <v>1261</v>
      </c>
      <c r="N366" s="5" t="s">
        <v>1226</v>
      </c>
      <c r="O366" s="5" t="s">
        <v>1225</v>
      </c>
      <c r="P366" s="5" t="s">
        <v>479</v>
      </c>
      <c r="Q366" s="5" t="s">
        <v>1215</v>
      </c>
      <c r="S366" s="27" t="s">
        <v>396</v>
      </c>
      <c r="T366" s="53">
        <v>0.56000000000000005</v>
      </c>
      <c r="U366" s="5">
        <v>100</v>
      </c>
      <c r="V366" s="5">
        <v>2600</v>
      </c>
      <c r="W366" s="27" t="s">
        <v>396</v>
      </c>
      <c r="X366" s="27" t="s">
        <v>396</v>
      </c>
      <c r="Y366" s="27" t="s">
        <v>396</v>
      </c>
      <c r="Z366" s="55">
        <v>50</v>
      </c>
      <c r="AA366" s="27" t="s">
        <v>396</v>
      </c>
      <c r="AB366" s="27" t="s">
        <v>396</v>
      </c>
      <c r="AC366" s="27" t="s">
        <v>396</v>
      </c>
      <c r="AD366" s="27" t="s">
        <v>396</v>
      </c>
      <c r="AE366" s="27" t="s">
        <v>396</v>
      </c>
      <c r="AF366" s="27" t="s">
        <v>396</v>
      </c>
      <c r="AG366" s="27" t="s">
        <v>396</v>
      </c>
      <c r="AH366" s="27" t="s">
        <v>396</v>
      </c>
      <c r="AI366" s="27" t="s">
        <v>396</v>
      </c>
      <c r="AJ366" s="27" t="s">
        <v>396</v>
      </c>
      <c r="AK366" s="6" t="s">
        <v>395</v>
      </c>
      <c r="AL366" s="17"/>
      <c r="AM366" s="15"/>
      <c r="AN366" s="5">
        <v>72166110</v>
      </c>
      <c r="AO366" s="6" t="s">
        <v>1727</v>
      </c>
      <c r="AP366" s="6" t="s">
        <v>1726</v>
      </c>
      <c r="AQ366" s="6" t="s">
        <v>1740</v>
      </c>
      <c r="AR366" s="6" t="s">
        <v>1739</v>
      </c>
      <c r="AS366" s="6" t="s">
        <v>366</v>
      </c>
    </row>
    <row r="367" spans="1:45" s="5" customFormat="1" ht="12.75" customHeight="1">
      <c r="A367" s="33" t="s">
        <v>1738</v>
      </c>
      <c r="B367" s="6" t="s">
        <v>396</v>
      </c>
      <c r="C367" s="31" t="s">
        <v>403</v>
      </c>
      <c r="D367" s="6" t="s">
        <v>1709</v>
      </c>
      <c r="E367" s="6" t="s">
        <v>1709</v>
      </c>
      <c r="F367" s="6" t="s">
        <v>1708</v>
      </c>
      <c r="G367" s="6" t="s">
        <v>1707</v>
      </c>
      <c r="H367" s="27" t="s">
        <v>1197</v>
      </c>
      <c r="I367" s="27" t="s">
        <v>1196</v>
      </c>
      <c r="J367" s="5" t="s">
        <v>1731</v>
      </c>
      <c r="K367" s="5" t="s">
        <v>1731</v>
      </c>
      <c r="L367" s="6" t="s">
        <v>595</v>
      </c>
      <c r="M367" s="5" t="s">
        <v>1261</v>
      </c>
      <c r="N367" s="5" t="s">
        <v>1226</v>
      </c>
      <c r="O367" s="5" t="s">
        <v>1225</v>
      </c>
      <c r="P367" s="5" t="s">
        <v>479</v>
      </c>
      <c r="Q367" s="5" t="s">
        <v>1215</v>
      </c>
      <c r="S367" s="27" t="s">
        <v>396</v>
      </c>
      <c r="T367" s="53">
        <v>0.56000000000000005</v>
      </c>
      <c r="U367" s="5">
        <v>100</v>
      </c>
      <c r="V367" s="5">
        <v>3000</v>
      </c>
      <c r="W367" s="27" t="s">
        <v>396</v>
      </c>
      <c r="X367" s="27" t="s">
        <v>396</v>
      </c>
      <c r="Y367" s="27" t="s">
        <v>396</v>
      </c>
      <c r="Z367" s="55">
        <v>50</v>
      </c>
      <c r="AA367" s="27" t="s">
        <v>396</v>
      </c>
      <c r="AB367" s="27" t="s">
        <v>396</v>
      </c>
      <c r="AC367" s="27" t="s">
        <v>396</v>
      </c>
      <c r="AD367" s="27" t="s">
        <v>396</v>
      </c>
      <c r="AE367" s="27" t="s">
        <v>396</v>
      </c>
      <c r="AF367" s="27" t="s">
        <v>396</v>
      </c>
      <c r="AG367" s="27" t="s">
        <v>396</v>
      </c>
      <c r="AH367" s="27" t="s">
        <v>396</v>
      </c>
      <c r="AI367" s="27" t="s">
        <v>396</v>
      </c>
      <c r="AJ367" s="27" t="s">
        <v>396</v>
      </c>
      <c r="AK367" s="6" t="s">
        <v>395</v>
      </c>
      <c r="AL367" s="17">
        <v>5413218581530</v>
      </c>
      <c r="AM367" s="15" t="s">
        <v>395</v>
      </c>
      <c r="AN367" s="5">
        <v>72166110</v>
      </c>
      <c r="AO367" s="6" t="s">
        <v>1727</v>
      </c>
      <c r="AP367" s="6" t="s">
        <v>1726</v>
      </c>
      <c r="AQ367" s="6" t="s">
        <v>1737</v>
      </c>
      <c r="AR367" s="6" t="s">
        <v>1736</v>
      </c>
      <c r="AS367" s="6" t="s">
        <v>366</v>
      </c>
    </row>
    <row r="368" spans="1:45" s="5" customFormat="1" ht="12.75" customHeight="1">
      <c r="A368" s="33" t="s">
        <v>1735</v>
      </c>
      <c r="B368" s="6" t="s">
        <v>396</v>
      </c>
      <c r="C368" s="31" t="s">
        <v>403</v>
      </c>
      <c r="D368" s="6" t="s">
        <v>1709</v>
      </c>
      <c r="E368" s="6" t="s">
        <v>1709</v>
      </c>
      <c r="F368" s="6" t="s">
        <v>1708</v>
      </c>
      <c r="G368" s="6" t="s">
        <v>1707</v>
      </c>
      <c r="H368" s="27" t="s">
        <v>1197</v>
      </c>
      <c r="I368" s="27" t="s">
        <v>1196</v>
      </c>
      <c r="J368" s="5" t="s">
        <v>1731</v>
      </c>
      <c r="K368" s="5" t="s">
        <v>1731</v>
      </c>
      <c r="L368" s="6" t="s">
        <v>595</v>
      </c>
      <c r="M368" s="5" t="s">
        <v>1261</v>
      </c>
      <c r="N368" s="5" t="s">
        <v>1226</v>
      </c>
      <c r="O368" s="5" t="s">
        <v>1225</v>
      </c>
      <c r="P368" s="5" t="s">
        <v>479</v>
      </c>
      <c r="Q368" s="5" t="s">
        <v>1215</v>
      </c>
      <c r="S368" s="27" t="s">
        <v>396</v>
      </c>
      <c r="T368" s="53">
        <v>0.56000000000000005</v>
      </c>
      <c r="U368" s="5">
        <v>100</v>
      </c>
      <c r="V368" s="5">
        <v>3600</v>
      </c>
      <c r="W368" s="27" t="s">
        <v>396</v>
      </c>
      <c r="X368" s="27" t="s">
        <v>396</v>
      </c>
      <c r="Y368" s="27" t="s">
        <v>396</v>
      </c>
      <c r="Z368" s="55">
        <v>50</v>
      </c>
      <c r="AA368" s="27" t="s">
        <v>396</v>
      </c>
      <c r="AB368" s="27" t="s">
        <v>396</v>
      </c>
      <c r="AC368" s="27" t="s">
        <v>396</v>
      </c>
      <c r="AD368" s="27" t="s">
        <v>396</v>
      </c>
      <c r="AE368" s="27" t="s">
        <v>396</v>
      </c>
      <c r="AF368" s="27" t="s">
        <v>396</v>
      </c>
      <c r="AG368" s="27" t="s">
        <v>396</v>
      </c>
      <c r="AH368" s="27" t="s">
        <v>396</v>
      </c>
      <c r="AI368" s="27" t="s">
        <v>396</v>
      </c>
      <c r="AJ368" s="27" t="s">
        <v>396</v>
      </c>
      <c r="AK368" s="6" t="s">
        <v>395</v>
      </c>
      <c r="AL368" s="17"/>
      <c r="AM368" s="15"/>
      <c r="AN368" s="5">
        <v>72166110</v>
      </c>
      <c r="AO368" s="6" t="s">
        <v>1727</v>
      </c>
      <c r="AP368" s="6" t="s">
        <v>1726</v>
      </c>
      <c r="AQ368" s="6" t="s">
        <v>1734</v>
      </c>
      <c r="AR368" s="6" t="s">
        <v>1733</v>
      </c>
      <c r="AS368" s="6" t="s">
        <v>366</v>
      </c>
    </row>
    <row r="369" spans="1:45" s="5" customFormat="1" ht="12.75" customHeight="1">
      <c r="A369" s="33" t="s">
        <v>1732</v>
      </c>
      <c r="B369" s="6" t="s">
        <v>396</v>
      </c>
      <c r="C369" s="31" t="s">
        <v>403</v>
      </c>
      <c r="D369" s="6" t="s">
        <v>1709</v>
      </c>
      <c r="E369" s="6" t="s">
        <v>1709</v>
      </c>
      <c r="F369" s="6" t="s">
        <v>1708</v>
      </c>
      <c r="G369" s="6" t="s">
        <v>1707</v>
      </c>
      <c r="H369" s="27" t="s">
        <v>1197</v>
      </c>
      <c r="I369" s="27" t="s">
        <v>1196</v>
      </c>
      <c r="J369" s="5" t="s">
        <v>1731</v>
      </c>
      <c r="K369" s="5" t="s">
        <v>1731</v>
      </c>
      <c r="L369" s="6" t="s">
        <v>595</v>
      </c>
      <c r="M369" s="5" t="s">
        <v>1261</v>
      </c>
      <c r="N369" s="5" t="s">
        <v>1226</v>
      </c>
      <c r="O369" s="5" t="s">
        <v>1225</v>
      </c>
      <c r="P369" s="5" t="s">
        <v>479</v>
      </c>
      <c r="Q369" s="5" t="s">
        <v>1215</v>
      </c>
      <c r="S369" s="27" t="s">
        <v>396</v>
      </c>
      <c r="T369" s="53">
        <v>0.56000000000000005</v>
      </c>
      <c r="U369" s="5">
        <v>100</v>
      </c>
      <c r="V369" s="5">
        <v>4000</v>
      </c>
      <c r="W369" s="27" t="s">
        <v>396</v>
      </c>
      <c r="X369" s="27" t="s">
        <v>396</v>
      </c>
      <c r="Y369" s="27" t="s">
        <v>396</v>
      </c>
      <c r="Z369" s="55">
        <v>50</v>
      </c>
      <c r="AA369" s="27" t="s">
        <v>396</v>
      </c>
      <c r="AB369" s="27" t="s">
        <v>396</v>
      </c>
      <c r="AC369" s="27" t="s">
        <v>396</v>
      </c>
      <c r="AD369" s="27" t="s">
        <v>396</v>
      </c>
      <c r="AE369" s="27" t="s">
        <v>396</v>
      </c>
      <c r="AF369" s="27" t="s">
        <v>396</v>
      </c>
      <c r="AG369" s="27" t="s">
        <v>396</v>
      </c>
      <c r="AH369" s="27" t="s">
        <v>396</v>
      </c>
      <c r="AI369" s="27" t="s">
        <v>396</v>
      </c>
      <c r="AJ369" s="27" t="s">
        <v>396</v>
      </c>
      <c r="AK369" s="6" t="s">
        <v>395</v>
      </c>
      <c r="AL369" s="17">
        <v>5413218576321</v>
      </c>
      <c r="AM369" s="15" t="s">
        <v>395</v>
      </c>
      <c r="AN369" s="5">
        <v>72166110</v>
      </c>
      <c r="AO369" s="6" t="s">
        <v>1727</v>
      </c>
      <c r="AP369" s="6" t="s">
        <v>1726</v>
      </c>
      <c r="AQ369" s="6" t="s">
        <v>1730</v>
      </c>
      <c r="AR369" s="6" t="s">
        <v>1729</v>
      </c>
      <c r="AS369" s="6" t="s">
        <v>366</v>
      </c>
    </row>
    <row r="370" spans="1:45" s="5" customFormat="1" ht="12.75" customHeight="1">
      <c r="A370" s="33" t="s">
        <v>1728</v>
      </c>
      <c r="B370" s="6" t="s">
        <v>396</v>
      </c>
      <c r="C370" s="31" t="s">
        <v>403</v>
      </c>
      <c r="D370" s="6" t="s">
        <v>1709</v>
      </c>
      <c r="E370" s="6" t="s">
        <v>1709</v>
      </c>
      <c r="F370" s="6" t="s">
        <v>1708</v>
      </c>
      <c r="G370" s="6" t="s">
        <v>1707</v>
      </c>
      <c r="H370" s="27" t="s">
        <v>1197</v>
      </c>
      <c r="I370" s="27" t="s">
        <v>1196</v>
      </c>
      <c r="J370" s="5" t="s">
        <v>1716</v>
      </c>
      <c r="K370" s="5" t="s">
        <v>1716</v>
      </c>
      <c r="L370" s="6" t="s">
        <v>595</v>
      </c>
      <c r="M370" s="5" t="s">
        <v>1261</v>
      </c>
      <c r="N370" s="5" t="s">
        <v>1226</v>
      </c>
      <c r="O370" s="5" t="s">
        <v>1225</v>
      </c>
      <c r="P370" s="5" t="s">
        <v>479</v>
      </c>
      <c r="Q370" s="5" t="s">
        <v>1215</v>
      </c>
      <c r="S370" s="27" t="s">
        <v>396</v>
      </c>
      <c r="T370" s="53">
        <v>0.56000000000000005</v>
      </c>
      <c r="U370" s="5">
        <v>125</v>
      </c>
      <c r="V370" s="5">
        <v>3600</v>
      </c>
      <c r="W370" s="27" t="s">
        <v>396</v>
      </c>
      <c r="X370" s="27" t="s">
        <v>396</v>
      </c>
      <c r="Y370" s="27" t="s">
        <v>396</v>
      </c>
      <c r="Z370" s="55">
        <v>50</v>
      </c>
      <c r="AA370" s="27" t="s">
        <v>396</v>
      </c>
      <c r="AB370" s="27" t="s">
        <v>396</v>
      </c>
      <c r="AC370" s="27" t="s">
        <v>396</v>
      </c>
      <c r="AD370" s="27" t="s">
        <v>396</v>
      </c>
      <c r="AE370" s="27" t="s">
        <v>396</v>
      </c>
      <c r="AF370" s="27" t="s">
        <v>396</v>
      </c>
      <c r="AG370" s="27" t="s">
        <v>396</v>
      </c>
      <c r="AH370" s="27" t="s">
        <v>396</v>
      </c>
      <c r="AI370" s="27" t="s">
        <v>396</v>
      </c>
      <c r="AJ370" s="27" t="s">
        <v>396</v>
      </c>
      <c r="AK370" s="6" t="s">
        <v>395</v>
      </c>
      <c r="AL370" s="17"/>
      <c r="AM370" s="15"/>
      <c r="AN370" s="5">
        <v>72166110</v>
      </c>
      <c r="AO370" s="6" t="s">
        <v>1727</v>
      </c>
      <c r="AP370" s="6" t="s">
        <v>1726</v>
      </c>
      <c r="AQ370" s="6" t="s">
        <v>1725</v>
      </c>
      <c r="AR370" s="6" t="s">
        <v>1724</v>
      </c>
      <c r="AS370" s="6" t="s">
        <v>366</v>
      </c>
    </row>
    <row r="371" spans="1:45" s="5" customFormat="1" ht="12.75" customHeight="1">
      <c r="A371" s="33" t="s">
        <v>1723</v>
      </c>
      <c r="B371" s="6" t="s">
        <v>396</v>
      </c>
      <c r="C371" s="31" t="s">
        <v>403</v>
      </c>
      <c r="D371" s="6" t="s">
        <v>1709</v>
      </c>
      <c r="E371" s="6" t="s">
        <v>1709</v>
      </c>
      <c r="F371" s="6" t="s">
        <v>1708</v>
      </c>
      <c r="G371" s="6" t="s">
        <v>1707</v>
      </c>
      <c r="H371" s="27" t="s">
        <v>1197</v>
      </c>
      <c r="I371" s="27" t="s">
        <v>1196</v>
      </c>
      <c r="J371" s="5" t="s">
        <v>1716</v>
      </c>
      <c r="K371" s="5" t="s">
        <v>1716</v>
      </c>
      <c r="L371" s="6" t="s">
        <v>595</v>
      </c>
      <c r="M371" s="5" t="s">
        <v>1261</v>
      </c>
      <c r="N371" s="5" t="s">
        <v>1226</v>
      </c>
      <c r="O371" s="5" t="s">
        <v>1225</v>
      </c>
      <c r="P371" s="5" t="s">
        <v>479</v>
      </c>
      <c r="Q371" s="5" t="s">
        <v>1215</v>
      </c>
      <c r="S371" s="27" t="s">
        <v>396</v>
      </c>
      <c r="T371" s="53">
        <v>0.56000000000000005</v>
      </c>
      <c r="U371" s="5">
        <v>125</v>
      </c>
      <c r="V371" s="5">
        <v>4000</v>
      </c>
      <c r="W371" s="27" t="s">
        <v>396</v>
      </c>
      <c r="X371" s="27" t="s">
        <v>396</v>
      </c>
      <c r="Y371" s="27" t="s">
        <v>396</v>
      </c>
      <c r="Z371" s="55">
        <v>50</v>
      </c>
      <c r="AA371" s="27" t="s">
        <v>396</v>
      </c>
      <c r="AB371" s="27" t="s">
        <v>396</v>
      </c>
      <c r="AC371" s="27" t="s">
        <v>396</v>
      </c>
      <c r="AD371" s="27" t="s">
        <v>396</v>
      </c>
      <c r="AE371" s="27" t="s">
        <v>396</v>
      </c>
      <c r="AF371" s="27" t="s">
        <v>396</v>
      </c>
      <c r="AG371" s="27" t="s">
        <v>396</v>
      </c>
      <c r="AH371" s="27" t="s">
        <v>396</v>
      </c>
      <c r="AI371" s="27" t="s">
        <v>396</v>
      </c>
      <c r="AJ371" s="27" t="s">
        <v>396</v>
      </c>
      <c r="AK371" s="6" t="s">
        <v>395</v>
      </c>
      <c r="AL371" s="17"/>
      <c r="AM371" s="15"/>
      <c r="AN371" s="5">
        <v>72166110</v>
      </c>
      <c r="AO371" s="6"/>
      <c r="AP371" s="6"/>
      <c r="AQ371" s="6" t="s">
        <v>1722</v>
      </c>
      <c r="AR371" s="6" t="s">
        <v>1721</v>
      </c>
      <c r="AS371" s="6" t="s">
        <v>366</v>
      </c>
    </row>
    <row r="372" spans="1:45" s="5" customFormat="1" ht="12.75" customHeight="1">
      <c r="A372" s="33" t="s">
        <v>1720</v>
      </c>
      <c r="B372" s="6" t="s">
        <v>396</v>
      </c>
      <c r="C372" s="31" t="s">
        <v>403</v>
      </c>
      <c r="D372" s="6" t="s">
        <v>1709</v>
      </c>
      <c r="E372" s="6" t="s">
        <v>1709</v>
      </c>
      <c r="F372" s="6" t="s">
        <v>1708</v>
      </c>
      <c r="G372" s="6" t="s">
        <v>1707</v>
      </c>
      <c r="H372" s="27" t="s">
        <v>1197</v>
      </c>
      <c r="I372" s="27" t="s">
        <v>1196</v>
      </c>
      <c r="J372" s="5" t="s">
        <v>1716</v>
      </c>
      <c r="K372" s="5" t="s">
        <v>1716</v>
      </c>
      <c r="L372" s="6" t="s">
        <v>595</v>
      </c>
      <c r="M372" s="5" t="s">
        <v>1261</v>
      </c>
      <c r="N372" s="5" t="s">
        <v>1226</v>
      </c>
      <c r="O372" s="5" t="s">
        <v>1225</v>
      </c>
      <c r="P372" s="5" t="s">
        <v>479</v>
      </c>
      <c r="Q372" s="5" t="s">
        <v>1215</v>
      </c>
      <c r="S372" s="27" t="s">
        <v>396</v>
      </c>
      <c r="T372" s="53">
        <v>0.56000000000000005</v>
      </c>
      <c r="U372" s="5">
        <v>125</v>
      </c>
      <c r="V372" s="5">
        <v>4800</v>
      </c>
      <c r="W372" s="27" t="s">
        <v>396</v>
      </c>
      <c r="X372" s="27" t="s">
        <v>396</v>
      </c>
      <c r="Y372" s="27" t="s">
        <v>396</v>
      </c>
      <c r="Z372" s="55">
        <v>50</v>
      </c>
      <c r="AA372" s="27" t="s">
        <v>396</v>
      </c>
      <c r="AB372" s="27" t="s">
        <v>396</v>
      </c>
      <c r="AC372" s="27" t="s">
        <v>396</v>
      </c>
      <c r="AD372" s="27" t="s">
        <v>396</v>
      </c>
      <c r="AE372" s="27" t="s">
        <v>396</v>
      </c>
      <c r="AF372" s="27" t="s">
        <v>396</v>
      </c>
      <c r="AG372" s="27" t="s">
        <v>396</v>
      </c>
      <c r="AH372" s="27" t="s">
        <v>396</v>
      </c>
      <c r="AI372" s="27" t="s">
        <v>396</v>
      </c>
      <c r="AJ372" s="27" t="s">
        <v>396</v>
      </c>
      <c r="AK372" s="6" t="s">
        <v>395</v>
      </c>
      <c r="AL372" s="17"/>
      <c r="AM372" s="15"/>
      <c r="AN372" s="5">
        <v>72166110</v>
      </c>
      <c r="AO372" s="6" t="s">
        <v>1672</v>
      </c>
      <c r="AP372" s="6" t="s">
        <v>1671</v>
      </c>
      <c r="AQ372" s="6" t="s">
        <v>1719</v>
      </c>
      <c r="AR372" s="6" t="s">
        <v>1718</v>
      </c>
      <c r="AS372" s="6" t="s">
        <v>366</v>
      </c>
    </row>
    <row r="373" spans="1:45" s="5" customFormat="1" ht="12.75" customHeight="1">
      <c r="A373" s="33" t="s">
        <v>1717</v>
      </c>
      <c r="B373" s="6" t="s">
        <v>396</v>
      </c>
      <c r="C373" s="31" t="s">
        <v>403</v>
      </c>
      <c r="D373" s="6" t="s">
        <v>1709</v>
      </c>
      <c r="E373" s="6" t="s">
        <v>1709</v>
      </c>
      <c r="F373" s="6" t="s">
        <v>1708</v>
      </c>
      <c r="G373" s="6" t="s">
        <v>1707</v>
      </c>
      <c r="H373" s="27" t="s">
        <v>1197</v>
      </c>
      <c r="I373" s="27" t="s">
        <v>1196</v>
      </c>
      <c r="J373" s="5" t="s">
        <v>1716</v>
      </c>
      <c r="K373" s="5" t="s">
        <v>1716</v>
      </c>
      <c r="L373" s="6" t="s">
        <v>595</v>
      </c>
      <c r="M373" s="5" t="s">
        <v>1261</v>
      </c>
      <c r="N373" s="5" t="s">
        <v>1226</v>
      </c>
      <c r="O373" s="5" t="s">
        <v>1225</v>
      </c>
      <c r="P373" s="5" t="s">
        <v>479</v>
      </c>
      <c r="Q373" s="5" t="s">
        <v>1215</v>
      </c>
      <c r="S373" s="27" t="s">
        <v>396</v>
      </c>
      <c r="T373" s="53">
        <v>0.56000000000000005</v>
      </c>
      <c r="U373" s="5">
        <v>125</v>
      </c>
      <c r="V373" s="5">
        <v>5000</v>
      </c>
      <c r="W373" s="27" t="s">
        <v>396</v>
      </c>
      <c r="X373" s="27" t="s">
        <v>396</v>
      </c>
      <c r="Y373" s="27" t="s">
        <v>396</v>
      </c>
      <c r="Z373" s="55">
        <v>50</v>
      </c>
      <c r="AA373" s="27" t="s">
        <v>396</v>
      </c>
      <c r="AB373" s="27" t="s">
        <v>396</v>
      </c>
      <c r="AC373" s="27" t="s">
        <v>396</v>
      </c>
      <c r="AD373" s="27" t="s">
        <v>396</v>
      </c>
      <c r="AE373" s="27" t="s">
        <v>396</v>
      </c>
      <c r="AF373" s="27" t="s">
        <v>396</v>
      </c>
      <c r="AG373" s="27" t="s">
        <v>396</v>
      </c>
      <c r="AH373" s="27" t="s">
        <v>396</v>
      </c>
      <c r="AI373" s="27" t="s">
        <v>396</v>
      </c>
      <c r="AJ373" s="27" t="s">
        <v>396</v>
      </c>
      <c r="AK373" s="6" t="s">
        <v>395</v>
      </c>
      <c r="AL373" s="17"/>
      <c r="AM373" s="15"/>
      <c r="AN373" s="5">
        <v>72166110</v>
      </c>
      <c r="AO373" s="6" t="s">
        <v>1672</v>
      </c>
      <c r="AP373" s="6" t="s">
        <v>1671</v>
      </c>
      <c r="AQ373" s="6" t="s">
        <v>1715</v>
      </c>
      <c r="AR373" s="6" t="s">
        <v>1714</v>
      </c>
      <c r="AS373" s="6" t="s">
        <v>366</v>
      </c>
    </row>
    <row r="374" spans="1:45" s="5" customFormat="1" ht="12.75" customHeight="1">
      <c r="A374" s="33" t="s">
        <v>1713</v>
      </c>
      <c r="B374" s="6" t="s">
        <v>396</v>
      </c>
      <c r="C374" s="31" t="s">
        <v>403</v>
      </c>
      <c r="D374" s="6" t="s">
        <v>1709</v>
      </c>
      <c r="E374" s="6" t="s">
        <v>1709</v>
      </c>
      <c r="F374" s="6" t="s">
        <v>1708</v>
      </c>
      <c r="G374" s="6" t="s">
        <v>1707</v>
      </c>
      <c r="H374" s="27" t="s">
        <v>1197</v>
      </c>
      <c r="I374" s="27" t="s">
        <v>1196</v>
      </c>
      <c r="J374" s="5" t="s">
        <v>1706</v>
      </c>
      <c r="K374" s="5" t="s">
        <v>1706</v>
      </c>
      <c r="L374" s="6" t="s">
        <v>595</v>
      </c>
      <c r="M374" s="5" t="s">
        <v>1261</v>
      </c>
      <c r="N374" s="5" t="s">
        <v>1226</v>
      </c>
      <c r="O374" s="5" t="s">
        <v>1225</v>
      </c>
      <c r="P374" s="5" t="s">
        <v>479</v>
      </c>
      <c r="Q374" s="5" t="s">
        <v>1215</v>
      </c>
      <c r="S374" s="27" t="s">
        <v>396</v>
      </c>
      <c r="T374" s="53">
        <v>0.56000000000000005</v>
      </c>
      <c r="U374" s="5">
        <v>150</v>
      </c>
      <c r="V374" s="5">
        <v>3600</v>
      </c>
      <c r="W374" s="27" t="s">
        <v>396</v>
      </c>
      <c r="X374" s="27" t="s">
        <v>396</v>
      </c>
      <c r="Y374" s="27" t="s">
        <v>396</v>
      </c>
      <c r="Z374" s="55">
        <v>50</v>
      </c>
      <c r="AA374" s="27" t="s">
        <v>396</v>
      </c>
      <c r="AB374" s="27" t="s">
        <v>396</v>
      </c>
      <c r="AC374" s="27" t="s">
        <v>396</v>
      </c>
      <c r="AD374" s="27" t="s">
        <v>396</v>
      </c>
      <c r="AE374" s="27" t="s">
        <v>396</v>
      </c>
      <c r="AF374" s="27" t="s">
        <v>396</v>
      </c>
      <c r="AG374" s="27" t="s">
        <v>396</v>
      </c>
      <c r="AH374" s="27" t="s">
        <v>396</v>
      </c>
      <c r="AI374" s="27" t="s">
        <v>396</v>
      </c>
      <c r="AJ374" s="27" t="s">
        <v>396</v>
      </c>
      <c r="AK374" s="6" t="s">
        <v>395</v>
      </c>
      <c r="AL374" s="17"/>
      <c r="AM374" s="15"/>
      <c r="AN374" s="5">
        <v>72166110</v>
      </c>
      <c r="AO374" s="6" t="s">
        <v>1672</v>
      </c>
      <c r="AP374" s="6" t="s">
        <v>1671</v>
      </c>
      <c r="AQ374" s="6" t="s">
        <v>1712</v>
      </c>
      <c r="AR374" s="6" t="s">
        <v>1711</v>
      </c>
      <c r="AS374" s="6" t="s">
        <v>366</v>
      </c>
    </row>
    <row r="375" spans="1:45" s="5" customFormat="1" ht="12.75" customHeight="1">
      <c r="A375" s="33" t="s">
        <v>1710</v>
      </c>
      <c r="B375" s="6" t="s">
        <v>396</v>
      </c>
      <c r="C375" s="31" t="s">
        <v>403</v>
      </c>
      <c r="D375" s="6" t="s">
        <v>1709</v>
      </c>
      <c r="E375" s="6" t="s">
        <v>1709</v>
      </c>
      <c r="F375" s="6" t="s">
        <v>1708</v>
      </c>
      <c r="G375" s="6" t="s">
        <v>1707</v>
      </c>
      <c r="H375" s="27" t="s">
        <v>1197</v>
      </c>
      <c r="I375" s="27" t="s">
        <v>1196</v>
      </c>
      <c r="J375" s="5" t="s">
        <v>1706</v>
      </c>
      <c r="K375" s="5" t="s">
        <v>1706</v>
      </c>
      <c r="L375" s="6" t="s">
        <v>595</v>
      </c>
      <c r="M375" s="5" t="s">
        <v>1261</v>
      </c>
      <c r="N375" s="5" t="s">
        <v>1226</v>
      </c>
      <c r="O375" s="5" t="s">
        <v>1225</v>
      </c>
      <c r="P375" s="5" t="s">
        <v>479</v>
      </c>
      <c r="Q375" s="5" t="s">
        <v>1215</v>
      </c>
      <c r="S375" s="27" t="s">
        <v>396</v>
      </c>
      <c r="T375" s="53">
        <v>0.56000000000000005</v>
      </c>
      <c r="U375" s="5">
        <v>150</v>
      </c>
      <c r="V375" s="5">
        <v>4000</v>
      </c>
      <c r="W375" s="27" t="s">
        <v>396</v>
      </c>
      <c r="X375" s="27" t="s">
        <v>396</v>
      </c>
      <c r="Y375" s="27" t="s">
        <v>396</v>
      </c>
      <c r="Z375" s="55">
        <v>50</v>
      </c>
      <c r="AA375" s="27" t="s">
        <v>396</v>
      </c>
      <c r="AB375" s="27" t="s">
        <v>396</v>
      </c>
      <c r="AC375" s="27" t="s">
        <v>396</v>
      </c>
      <c r="AD375" s="27" t="s">
        <v>396</v>
      </c>
      <c r="AE375" s="27" t="s">
        <v>396</v>
      </c>
      <c r="AF375" s="27" t="s">
        <v>396</v>
      </c>
      <c r="AG375" s="27" t="s">
        <v>396</v>
      </c>
      <c r="AH375" s="27" t="s">
        <v>396</v>
      </c>
      <c r="AI375" s="27" t="s">
        <v>396</v>
      </c>
      <c r="AJ375" s="27" t="s">
        <v>396</v>
      </c>
      <c r="AK375" s="6" t="s">
        <v>395</v>
      </c>
      <c r="AL375" s="17">
        <v>5413218572293</v>
      </c>
      <c r="AM375" s="15" t="s">
        <v>395</v>
      </c>
      <c r="AN375" s="5">
        <v>72166110</v>
      </c>
      <c r="AO375" s="6" t="s">
        <v>1672</v>
      </c>
      <c r="AP375" s="6" t="s">
        <v>1671</v>
      </c>
      <c r="AQ375" s="6" t="s">
        <v>1705</v>
      </c>
      <c r="AR375" s="6" t="s">
        <v>1704</v>
      </c>
      <c r="AS375" s="6" t="s">
        <v>366</v>
      </c>
    </row>
    <row r="376" spans="1:45" s="5" customFormat="1" ht="12.75" customHeight="1">
      <c r="A376" s="33" t="s">
        <v>1703</v>
      </c>
      <c r="B376" s="6" t="s">
        <v>396</v>
      </c>
      <c r="C376" s="31" t="s">
        <v>403</v>
      </c>
      <c r="D376" s="6" t="s">
        <v>1685</v>
      </c>
      <c r="E376" s="6" t="s">
        <v>1685</v>
      </c>
      <c r="F376" s="6" t="s">
        <v>1675</v>
      </c>
      <c r="G376" s="6" t="s">
        <v>1674</v>
      </c>
      <c r="H376" s="27" t="s">
        <v>1197</v>
      </c>
      <c r="I376" s="27" t="s">
        <v>1196</v>
      </c>
      <c r="J376" s="6" t="s">
        <v>1699</v>
      </c>
      <c r="K376" s="6" t="s">
        <v>1699</v>
      </c>
      <c r="L376" s="6" t="s">
        <v>595</v>
      </c>
      <c r="M376" s="5" t="s">
        <v>1261</v>
      </c>
      <c r="N376" s="5" t="s">
        <v>1226</v>
      </c>
      <c r="O376" s="5" t="s">
        <v>1225</v>
      </c>
      <c r="P376" s="5" t="s">
        <v>479</v>
      </c>
      <c r="Q376" s="5" t="s">
        <v>1215</v>
      </c>
      <c r="S376" s="27" t="s">
        <v>396</v>
      </c>
      <c r="T376" s="53">
        <v>0.6</v>
      </c>
      <c r="U376" s="5">
        <v>50</v>
      </c>
      <c r="V376" s="5">
        <v>2600</v>
      </c>
      <c r="W376" s="27" t="s">
        <v>396</v>
      </c>
      <c r="X376" s="27" t="s">
        <v>396</v>
      </c>
      <c r="Y376" s="27" t="s">
        <v>396</v>
      </c>
      <c r="Z376" s="55">
        <v>50</v>
      </c>
      <c r="AA376" s="27" t="s">
        <v>396</v>
      </c>
      <c r="AB376" s="27" t="s">
        <v>396</v>
      </c>
      <c r="AC376" s="27" t="s">
        <v>396</v>
      </c>
      <c r="AD376" s="27" t="s">
        <v>396</v>
      </c>
      <c r="AE376" s="27" t="s">
        <v>396</v>
      </c>
      <c r="AF376" s="27" t="s">
        <v>396</v>
      </c>
      <c r="AG376" s="27" t="s">
        <v>396</v>
      </c>
      <c r="AH376" s="27" t="s">
        <v>396</v>
      </c>
      <c r="AI376" s="27" t="s">
        <v>396</v>
      </c>
      <c r="AJ376" s="27" t="s">
        <v>396</v>
      </c>
      <c r="AK376" s="6" t="s">
        <v>395</v>
      </c>
      <c r="AL376" s="17">
        <v>5413218563857</v>
      </c>
      <c r="AM376" s="15" t="s">
        <v>395</v>
      </c>
      <c r="AN376" s="5">
        <v>72166110</v>
      </c>
      <c r="AO376" s="6" t="s">
        <v>1672</v>
      </c>
      <c r="AP376" s="6" t="s">
        <v>1671</v>
      </c>
      <c r="AQ376" s="6" t="s">
        <v>1702</v>
      </c>
      <c r="AR376" s="6" t="s">
        <v>1701</v>
      </c>
      <c r="AS376" s="6" t="s">
        <v>366</v>
      </c>
    </row>
    <row r="377" spans="1:45" s="5" customFormat="1" ht="12.75" customHeight="1">
      <c r="A377" s="33" t="s">
        <v>1700</v>
      </c>
      <c r="B377" s="6" t="s">
        <v>396</v>
      </c>
      <c r="C377" s="31" t="s">
        <v>403</v>
      </c>
      <c r="D377" s="6" t="s">
        <v>1685</v>
      </c>
      <c r="E377" s="6" t="s">
        <v>1685</v>
      </c>
      <c r="F377" s="6" t="s">
        <v>1675</v>
      </c>
      <c r="G377" s="6" t="s">
        <v>1674</v>
      </c>
      <c r="H377" s="27" t="s">
        <v>1197</v>
      </c>
      <c r="I377" s="27" t="s">
        <v>1196</v>
      </c>
      <c r="J377" s="6" t="s">
        <v>1699</v>
      </c>
      <c r="K377" s="6" t="s">
        <v>1699</v>
      </c>
      <c r="L377" s="6" t="s">
        <v>595</v>
      </c>
      <c r="M377" s="5" t="s">
        <v>1261</v>
      </c>
      <c r="N377" s="5" t="s">
        <v>1226</v>
      </c>
      <c r="O377" s="5" t="s">
        <v>1225</v>
      </c>
      <c r="P377" s="5" t="s">
        <v>479</v>
      </c>
      <c r="Q377" s="5" t="s">
        <v>1215</v>
      </c>
      <c r="S377" s="27" t="s">
        <v>396</v>
      </c>
      <c r="T377" s="53">
        <v>0.6</v>
      </c>
      <c r="U377" s="5">
        <v>50</v>
      </c>
      <c r="V377" s="5">
        <v>3000</v>
      </c>
      <c r="W377" s="27" t="s">
        <v>396</v>
      </c>
      <c r="X377" s="27" t="s">
        <v>396</v>
      </c>
      <c r="Y377" s="27" t="s">
        <v>396</v>
      </c>
      <c r="Z377" s="55">
        <v>50</v>
      </c>
      <c r="AA377" s="27" t="s">
        <v>396</v>
      </c>
      <c r="AB377" s="27" t="s">
        <v>396</v>
      </c>
      <c r="AC377" s="27" t="s">
        <v>396</v>
      </c>
      <c r="AD377" s="27" t="s">
        <v>396</v>
      </c>
      <c r="AE377" s="27" t="s">
        <v>396</v>
      </c>
      <c r="AF377" s="27" t="s">
        <v>396</v>
      </c>
      <c r="AG377" s="27" t="s">
        <v>396</v>
      </c>
      <c r="AH377" s="27" t="s">
        <v>396</v>
      </c>
      <c r="AI377" s="27" t="s">
        <v>396</v>
      </c>
      <c r="AJ377" s="27" t="s">
        <v>396</v>
      </c>
      <c r="AK377" s="6" t="s">
        <v>395</v>
      </c>
      <c r="AL377" s="17">
        <v>5413218563864</v>
      </c>
      <c r="AM377" s="15" t="s">
        <v>395</v>
      </c>
      <c r="AN377" s="5">
        <v>72166110</v>
      </c>
      <c r="AO377" s="6" t="s">
        <v>1672</v>
      </c>
      <c r="AP377" s="6" t="s">
        <v>1671</v>
      </c>
      <c r="AQ377" s="6" t="s">
        <v>1698</v>
      </c>
      <c r="AR377" s="6" t="s">
        <v>1697</v>
      </c>
      <c r="AS377" s="6" t="s">
        <v>366</v>
      </c>
    </row>
    <row r="378" spans="1:45" s="5" customFormat="1" ht="12.75" customHeight="1">
      <c r="A378" s="33" t="s">
        <v>1696</v>
      </c>
      <c r="B378" s="6" t="s">
        <v>396</v>
      </c>
      <c r="C378" s="31" t="s">
        <v>403</v>
      </c>
      <c r="D378" s="6" t="s">
        <v>1685</v>
      </c>
      <c r="E378" s="6" t="s">
        <v>1685</v>
      </c>
      <c r="F378" s="6" t="s">
        <v>1675</v>
      </c>
      <c r="G378" s="6" t="s">
        <v>1674</v>
      </c>
      <c r="H378" s="27" t="s">
        <v>1197</v>
      </c>
      <c r="I378" s="27" t="s">
        <v>1196</v>
      </c>
      <c r="J378" s="6" t="s">
        <v>1692</v>
      </c>
      <c r="K378" s="6" t="s">
        <v>1692</v>
      </c>
      <c r="L378" s="6" t="s">
        <v>595</v>
      </c>
      <c r="M378" s="5" t="s">
        <v>1261</v>
      </c>
      <c r="N378" s="5" t="s">
        <v>1226</v>
      </c>
      <c r="O378" s="5" t="s">
        <v>1225</v>
      </c>
      <c r="P378" s="5" t="s">
        <v>479</v>
      </c>
      <c r="Q378" s="5" t="s">
        <v>1215</v>
      </c>
      <c r="S378" s="27" t="s">
        <v>396</v>
      </c>
      <c r="T378" s="53">
        <v>0.6</v>
      </c>
      <c r="U378" s="5">
        <v>75</v>
      </c>
      <c r="V378" s="5">
        <v>2600</v>
      </c>
      <c r="W378" s="27" t="s">
        <v>396</v>
      </c>
      <c r="X378" s="27" t="s">
        <v>396</v>
      </c>
      <c r="Y378" s="27" t="s">
        <v>396</v>
      </c>
      <c r="Z378" s="55">
        <v>50</v>
      </c>
      <c r="AA378" s="27" t="s">
        <v>396</v>
      </c>
      <c r="AB378" s="27" t="s">
        <v>396</v>
      </c>
      <c r="AC378" s="27" t="s">
        <v>396</v>
      </c>
      <c r="AD378" s="27" t="s">
        <v>396</v>
      </c>
      <c r="AE378" s="27" t="s">
        <v>396</v>
      </c>
      <c r="AF378" s="27" t="s">
        <v>396</v>
      </c>
      <c r="AG378" s="27" t="s">
        <v>396</v>
      </c>
      <c r="AH378" s="27" t="s">
        <v>396</v>
      </c>
      <c r="AI378" s="27" t="s">
        <v>396</v>
      </c>
      <c r="AJ378" s="27" t="s">
        <v>396</v>
      </c>
      <c r="AK378" s="6" t="s">
        <v>395</v>
      </c>
      <c r="AL378" s="17">
        <v>5413218563871</v>
      </c>
      <c r="AM378" s="15" t="s">
        <v>395</v>
      </c>
      <c r="AN378" s="5">
        <v>72166110</v>
      </c>
      <c r="AO378" s="6" t="s">
        <v>1672</v>
      </c>
      <c r="AP378" s="6" t="s">
        <v>1671</v>
      </c>
      <c r="AQ378" s="6" t="s">
        <v>1695</v>
      </c>
      <c r="AR378" s="6" t="s">
        <v>1694</v>
      </c>
      <c r="AS378" s="6" t="s">
        <v>366</v>
      </c>
    </row>
    <row r="379" spans="1:45" s="5" customFormat="1" ht="12.75" customHeight="1">
      <c r="A379" s="33" t="s">
        <v>1693</v>
      </c>
      <c r="B379" s="6" t="s">
        <v>396</v>
      </c>
      <c r="C379" s="31" t="s">
        <v>403</v>
      </c>
      <c r="D379" s="6" t="s">
        <v>1685</v>
      </c>
      <c r="E379" s="6" t="s">
        <v>1685</v>
      </c>
      <c r="F379" s="6" t="s">
        <v>1675</v>
      </c>
      <c r="G379" s="6" t="s">
        <v>1674</v>
      </c>
      <c r="H379" s="27" t="s">
        <v>1197</v>
      </c>
      <c r="I379" s="27" t="s">
        <v>1196</v>
      </c>
      <c r="J379" s="6" t="s">
        <v>1692</v>
      </c>
      <c r="K379" s="6" t="s">
        <v>1692</v>
      </c>
      <c r="L379" s="6" t="s">
        <v>595</v>
      </c>
      <c r="M379" s="5" t="s">
        <v>1261</v>
      </c>
      <c r="N379" s="5" t="s">
        <v>1226</v>
      </c>
      <c r="O379" s="5" t="s">
        <v>1225</v>
      </c>
      <c r="P379" s="5" t="s">
        <v>479</v>
      </c>
      <c r="Q379" s="5" t="s">
        <v>1215</v>
      </c>
      <c r="S379" s="27" t="s">
        <v>396</v>
      </c>
      <c r="T379" s="53">
        <v>0.6</v>
      </c>
      <c r="U379" s="5">
        <v>75</v>
      </c>
      <c r="V379" s="5">
        <v>3000</v>
      </c>
      <c r="W379" s="27" t="s">
        <v>396</v>
      </c>
      <c r="X379" s="27" t="s">
        <v>396</v>
      </c>
      <c r="Y379" s="27" t="s">
        <v>396</v>
      </c>
      <c r="Z379" s="55">
        <v>50</v>
      </c>
      <c r="AA379" s="27" t="s">
        <v>396</v>
      </c>
      <c r="AB379" s="27" t="s">
        <v>396</v>
      </c>
      <c r="AC379" s="27" t="s">
        <v>396</v>
      </c>
      <c r="AD379" s="27" t="s">
        <v>396</v>
      </c>
      <c r="AE379" s="27" t="s">
        <v>396</v>
      </c>
      <c r="AF379" s="27" t="s">
        <v>396</v>
      </c>
      <c r="AG379" s="27" t="s">
        <v>396</v>
      </c>
      <c r="AH379" s="27" t="s">
        <v>396</v>
      </c>
      <c r="AI379" s="27" t="s">
        <v>396</v>
      </c>
      <c r="AJ379" s="27" t="s">
        <v>396</v>
      </c>
      <c r="AK379" s="6" t="s">
        <v>395</v>
      </c>
      <c r="AL379" s="17">
        <v>5413218563888</v>
      </c>
      <c r="AM379" s="15" t="s">
        <v>395</v>
      </c>
      <c r="AN379" s="5">
        <v>72166110</v>
      </c>
      <c r="AO379" s="6" t="s">
        <v>1672</v>
      </c>
      <c r="AP379" s="6" t="s">
        <v>1671</v>
      </c>
      <c r="AQ379" s="6" t="s">
        <v>1691</v>
      </c>
      <c r="AR379" s="6" t="s">
        <v>1690</v>
      </c>
      <c r="AS379" s="6" t="s">
        <v>366</v>
      </c>
    </row>
    <row r="380" spans="1:45" s="5" customFormat="1" ht="12.75" customHeight="1">
      <c r="A380" s="33" t="s">
        <v>1689</v>
      </c>
      <c r="B380" s="6" t="s">
        <v>396</v>
      </c>
      <c r="C380" s="31" t="s">
        <v>403</v>
      </c>
      <c r="D380" s="6" t="s">
        <v>1685</v>
      </c>
      <c r="E380" s="6" t="s">
        <v>1685</v>
      </c>
      <c r="F380" s="6" t="s">
        <v>1675</v>
      </c>
      <c r="G380" s="6" t="s">
        <v>1674</v>
      </c>
      <c r="H380" s="27" t="s">
        <v>1197</v>
      </c>
      <c r="I380" s="27" t="s">
        <v>1196</v>
      </c>
      <c r="J380" s="6" t="s">
        <v>1684</v>
      </c>
      <c r="K380" s="6" t="s">
        <v>1684</v>
      </c>
      <c r="L380" s="6" t="s">
        <v>595</v>
      </c>
      <c r="M380" s="5" t="s">
        <v>1261</v>
      </c>
      <c r="N380" s="5" t="s">
        <v>1226</v>
      </c>
      <c r="O380" s="5" t="s">
        <v>1225</v>
      </c>
      <c r="P380" s="5" t="s">
        <v>479</v>
      </c>
      <c r="Q380" s="5" t="s">
        <v>1215</v>
      </c>
      <c r="S380" s="27" t="s">
        <v>396</v>
      </c>
      <c r="T380" s="53">
        <v>0.6</v>
      </c>
      <c r="U380" s="5">
        <v>100</v>
      </c>
      <c r="V380" s="5">
        <v>2600</v>
      </c>
      <c r="W380" s="27" t="s">
        <v>396</v>
      </c>
      <c r="X380" s="27" t="s">
        <v>396</v>
      </c>
      <c r="Y380" s="27" t="s">
        <v>396</v>
      </c>
      <c r="Z380" s="55">
        <v>50</v>
      </c>
      <c r="AA380" s="27" t="s">
        <v>396</v>
      </c>
      <c r="AB380" s="27" t="s">
        <v>396</v>
      </c>
      <c r="AC380" s="27" t="s">
        <v>396</v>
      </c>
      <c r="AD380" s="27" t="s">
        <v>396</v>
      </c>
      <c r="AE380" s="27" t="s">
        <v>396</v>
      </c>
      <c r="AF380" s="27" t="s">
        <v>396</v>
      </c>
      <c r="AG380" s="27" t="s">
        <v>396</v>
      </c>
      <c r="AH380" s="27" t="s">
        <v>396</v>
      </c>
      <c r="AI380" s="27" t="s">
        <v>396</v>
      </c>
      <c r="AJ380" s="27" t="s">
        <v>396</v>
      </c>
      <c r="AK380" s="6" t="s">
        <v>395</v>
      </c>
      <c r="AL380" s="17"/>
      <c r="AM380" s="15"/>
      <c r="AN380" s="5">
        <v>72166110</v>
      </c>
      <c r="AO380" s="6" t="s">
        <v>1672</v>
      </c>
      <c r="AP380" s="6" t="s">
        <v>1671</v>
      </c>
      <c r="AQ380" s="6" t="s">
        <v>1688</v>
      </c>
      <c r="AR380" s="6" t="s">
        <v>1687</v>
      </c>
      <c r="AS380" s="6" t="s">
        <v>366</v>
      </c>
    </row>
    <row r="381" spans="1:45" s="5" customFormat="1" ht="12.75" customHeight="1">
      <c r="A381" s="33" t="s">
        <v>1686</v>
      </c>
      <c r="B381" s="6" t="s">
        <v>396</v>
      </c>
      <c r="C381" s="31" t="s">
        <v>403</v>
      </c>
      <c r="D381" s="6" t="s">
        <v>1685</v>
      </c>
      <c r="E381" s="6" t="s">
        <v>1685</v>
      </c>
      <c r="F381" s="6" t="s">
        <v>1675</v>
      </c>
      <c r="G381" s="6" t="s">
        <v>1674</v>
      </c>
      <c r="H381" s="27" t="s">
        <v>1197</v>
      </c>
      <c r="I381" s="27" t="s">
        <v>1196</v>
      </c>
      <c r="J381" s="6" t="s">
        <v>1684</v>
      </c>
      <c r="K381" s="6" t="s">
        <v>1684</v>
      </c>
      <c r="L381" s="6" t="s">
        <v>595</v>
      </c>
      <c r="M381" s="5" t="s">
        <v>1261</v>
      </c>
      <c r="N381" s="5" t="s">
        <v>1226</v>
      </c>
      <c r="O381" s="5" t="s">
        <v>1225</v>
      </c>
      <c r="P381" s="5" t="s">
        <v>479</v>
      </c>
      <c r="Q381" s="5" t="s">
        <v>1215</v>
      </c>
      <c r="S381" s="27" t="s">
        <v>396</v>
      </c>
      <c r="T381" s="53">
        <v>0.6</v>
      </c>
      <c r="U381" s="5">
        <v>100</v>
      </c>
      <c r="V381" s="5">
        <v>3000</v>
      </c>
      <c r="W381" s="27" t="s">
        <v>396</v>
      </c>
      <c r="X381" s="27" t="s">
        <v>396</v>
      </c>
      <c r="Y381" s="27" t="s">
        <v>396</v>
      </c>
      <c r="Z381" s="55">
        <v>50</v>
      </c>
      <c r="AA381" s="27" t="s">
        <v>396</v>
      </c>
      <c r="AB381" s="27" t="s">
        <v>396</v>
      </c>
      <c r="AC381" s="27" t="s">
        <v>396</v>
      </c>
      <c r="AD381" s="27" t="s">
        <v>396</v>
      </c>
      <c r="AE381" s="27" t="s">
        <v>396</v>
      </c>
      <c r="AF381" s="27" t="s">
        <v>396</v>
      </c>
      <c r="AG381" s="27" t="s">
        <v>396</v>
      </c>
      <c r="AH381" s="27" t="s">
        <v>396</v>
      </c>
      <c r="AI381" s="27" t="s">
        <v>396</v>
      </c>
      <c r="AJ381" s="27" t="s">
        <v>396</v>
      </c>
      <c r="AK381" s="6" t="s">
        <v>395</v>
      </c>
      <c r="AL381" s="17">
        <v>5413218565134</v>
      </c>
      <c r="AM381" s="15" t="s">
        <v>395</v>
      </c>
      <c r="AN381" s="5">
        <v>72166110</v>
      </c>
      <c r="AO381" s="6" t="s">
        <v>1672</v>
      </c>
      <c r="AP381" s="6" t="s">
        <v>1671</v>
      </c>
      <c r="AQ381" s="6" t="s">
        <v>1683</v>
      </c>
      <c r="AR381" s="6" t="s">
        <v>1682</v>
      </c>
      <c r="AS381" s="6" t="s">
        <v>366</v>
      </c>
    </row>
    <row r="382" spans="1:45" s="5" customFormat="1" ht="12.75" customHeight="1">
      <c r="A382" s="33" t="s">
        <v>1681</v>
      </c>
      <c r="B382" s="6" t="s">
        <v>396</v>
      </c>
      <c r="C382" s="31" t="s">
        <v>403</v>
      </c>
      <c r="D382" s="5" t="s">
        <v>1680</v>
      </c>
      <c r="E382" s="5" t="s">
        <v>1680</v>
      </c>
      <c r="F382" s="6" t="s">
        <v>1675</v>
      </c>
      <c r="G382" s="6" t="s">
        <v>1674</v>
      </c>
      <c r="H382" s="27" t="s">
        <v>1197</v>
      </c>
      <c r="I382" s="27" t="s">
        <v>1196</v>
      </c>
      <c r="J382" s="6" t="s">
        <v>1679</v>
      </c>
      <c r="K382" s="6" t="s">
        <v>1679</v>
      </c>
      <c r="L382" s="6" t="s">
        <v>595</v>
      </c>
      <c r="M382" s="5" t="s">
        <v>1246</v>
      </c>
      <c r="N382" s="5" t="s">
        <v>1226</v>
      </c>
      <c r="O382" s="5" t="s">
        <v>1225</v>
      </c>
      <c r="P382" s="5" t="s">
        <v>479</v>
      </c>
      <c r="Q382" s="5" t="s">
        <v>1215</v>
      </c>
      <c r="S382" s="27" t="s">
        <v>396</v>
      </c>
      <c r="T382" s="53">
        <v>0.6</v>
      </c>
      <c r="U382" s="27" t="s">
        <v>396</v>
      </c>
      <c r="V382" s="5">
        <v>3000</v>
      </c>
      <c r="W382" s="27" t="s">
        <v>396</v>
      </c>
      <c r="X382" s="27" t="s">
        <v>396</v>
      </c>
      <c r="Y382" s="27" t="s">
        <v>396</v>
      </c>
      <c r="Z382" s="55">
        <v>50</v>
      </c>
      <c r="AA382" s="27" t="s">
        <v>396</v>
      </c>
      <c r="AB382" s="27" t="s">
        <v>396</v>
      </c>
      <c r="AC382" s="27" t="s">
        <v>396</v>
      </c>
      <c r="AD382" s="27" t="s">
        <v>396</v>
      </c>
      <c r="AE382" s="27" t="s">
        <v>396</v>
      </c>
      <c r="AF382" s="27" t="s">
        <v>396</v>
      </c>
      <c r="AG382" s="27" t="s">
        <v>396</v>
      </c>
      <c r="AH382" s="27" t="s">
        <v>396</v>
      </c>
      <c r="AI382" s="27" t="s">
        <v>396</v>
      </c>
      <c r="AJ382" s="27" t="s">
        <v>396</v>
      </c>
      <c r="AK382" s="6" t="s">
        <v>395</v>
      </c>
      <c r="AL382" s="17">
        <v>5413218567084</v>
      </c>
      <c r="AM382" s="15" t="s">
        <v>395</v>
      </c>
      <c r="AN382" s="5">
        <v>72166110</v>
      </c>
      <c r="AO382" s="6" t="s">
        <v>1672</v>
      </c>
      <c r="AP382" s="6" t="s">
        <v>1671</v>
      </c>
      <c r="AQ382" s="6"/>
      <c r="AR382" s="6"/>
      <c r="AS382" s="6" t="s">
        <v>1678</v>
      </c>
    </row>
    <row r="383" spans="1:45" s="5" customFormat="1" ht="12.75" customHeight="1">
      <c r="A383" s="33" t="s">
        <v>1677</v>
      </c>
      <c r="B383" s="6" t="s">
        <v>396</v>
      </c>
      <c r="C383" s="31" t="s">
        <v>403</v>
      </c>
      <c r="D383" s="5" t="s">
        <v>1676</v>
      </c>
      <c r="E383" s="5" t="s">
        <v>1676</v>
      </c>
      <c r="F383" s="6" t="s">
        <v>1675</v>
      </c>
      <c r="G383" s="6" t="s">
        <v>1674</v>
      </c>
      <c r="H383" s="27" t="s">
        <v>1197</v>
      </c>
      <c r="I383" s="27" t="s">
        <v>1196</v>
      </c>
      <c r="J383" s="6" t="s">
        <v>1673</v>
      </c>
      <c r="K383" s="6" t="s">
        <v>1673</v>
      </c>
      <c r="L383" s="6" t="s">
        <v>595</v>
      </c>
      <c r="M383" s="5" t="s">
        <v>1246</v>
      </c>
      <c r="N383" s="5" t="s">
        <v>1226</v>
      </c>
      <c r="O383" s="5" t="s">
        <v>1225</v>
      </c>
      <c r="P383" s="5" t="s">
        <v>479</v>
      </c>
      <c r="Q383" s="5" t="s">
        <v>1215</v>
      </c>
      <c r="S383" s="27" t="s">
        <v>396</v>
      </c>
      <c r="T383" s="53">
        <v>0.6</v>
      </c>
      <c r="U383" s="27" t="s">
        <v>396</v>
      </c>
      <c r="V383" s="5">
        <v>3000</v>
      </c>
      <c r="W383" s="27" t="s">
        <v>396</v>
      </c>
      <c r="X383" s="27" t="s">
        <v>396</v>
      </c>
      <c r="Y383" s="27" t="s">
        <v>396</v>
      </c>
      <c r="Z383" s="55">
        <v>50</v>
      </c>
      <c r="AA383" s="27" t="s">
        <v>396</v>
      </c>
      <c r="AB383" s="27" t="s">
        <v>396</v>
      </c>
      <c r="AC383" s="27" t="s">
        <v>396</v>
      </c>
      <c r="AD383" s="27" t="s">
        <v>396</v>
      </c>
      <c r="AE383" s="27" t="s">
        <v>396</v>
      </c>
      <c r="AF383" s="27" t="s">
        <v>396</v>
      </c>
      <c r="AG383" s="27" t="s">
        <v>396</v>
      </c>
      <c r="AH383" s="27" t="s">
        <v>396</v>
      </c>
      <c r="AI383" s="27" t="s">
        <v>396</v>
      </c>
      <c r="AJ383" s="27" t="s">
        <v>396</v>
      </c>
      <c r="AK383" s="6" t="s">
        <v>395</v>
      </c>
      <c r="AL383" s="17">
        <v>5413218567091</v>
      </c>
      <c r="AM383" s="15" t="s">
        <v>395</v>
      </c>
      <c r="AN383" s="5">
        <v>72166110</v>
      </c>
      <c r="AO383" s="6" t="s">
        <v>1672</v>
      </c>
      <c r="AP383" s="6" t="s">
        <v>1671</v>
      </c>
      <c r="AQ383" s="6" t="s">
        <v>1670</v>
      </c>
      <c r="AR383" s="6" t="s">
        <v>366</v>
      </c>
      <c r="AS383" s="6" t="s">
        <v>1669</v>
      </c>
    </row>
    <row r="384" spans="1:45" s="5" customFormat="1" ht="12.75" customHeight="1">
      <c r="A384" s="33" t="s">
        <v>1668</v>
      </c>
      <c r="B384" s="6" t="s">
        <v>396</v>
      </c>
      <c r="C384" s="31" t="s">
        <v>403</v>
      </c>
      <c r="D384" s="6" t="s">
        <v>1655</v>
      </c>
      <c r="E384" s="6" t="s">
        <v>1655</v>
      </c>
      <c r="F384" s="6" t="s">
        <v>1638</v>
      </c>
      <c r="G384" s="6" t="s">
        <v>1637</v>
      </c>
      <c r="H384" s="27" t="s">
        <v>1197</v>
      </c>
      <c r="I384" s="27" t="s">
        <v>1196</v>
      </c>
      <c r="J384" s="5" t="s">
        <v>1667</v>
      </c>
      <c r="K384" s="5" t="s">
        <v>1667</v>
      </c>
      <c r="L384" s="6" t="s">
        <v>595</v>
      </c>
      <c r="M384" s="5" t="s">
        <v>1227</v>
      </c>
      <c r="N384" s="5" t="s">
        <v>1226</v>
      </c>
      <c r="O384" s="5" t="s">
        <v>1225</v>
      </c>
      <c r="P384" s="5" t="s">
        <v>479</v>
      </c>
      <c r="Q384" s="5" t="s">
        <v>1215</v>
      </c>
      <c r="S384" s="27" t="s">
        <v>396</v>
      </c>
      <c r="T384" s="53">
        <v>1</v>
      </c>
      <c r="U384" s="5">
        <v>50</v>
      </c>
      <c r="V384" s="5">
        <v>4000</v>
      </c>
      <c r="W384" s="27" t="s">
        <v>396</v>
      </c>
      <c r="X384" s="27" t="s">
        <v>396</v>
      </c>
      <c r="Y384" s="27" t="s">
        <v>396</v>
      </c>
      <c r="Z384" s="55">
        <v>50</v>
      </c>
      <c r="AA384" s="27" t="s">
        <v>396</v>
      </c>
      <c r="AB384" s="27" t="s">
        <v>396</v>
      </c>
      <c r="AC384" s="27" t="s">
        <v>396</v>
      </c>
      <c r="AD384" s="27" t="s">
        <v>396</v>
      </c>
      <c r="AE384" s="27" t="s">
        <v>396</v>
      </c>
      <c r="AF384" s="27" t="s">
        <v>396</v>
      </c>
      <c r="AG384" s="27" t="s">
        <v>396</v>
      </c>
      <c r="AH384" s="27" t="s">
        <v>396</v>
      </c>
      <c r="AI384" s="27" t="s">
        <v>396</v>
      </c>
      <c r="AJ384" s="27" t="s">
        <v>396</v>
      </c>
      <c r="AK384" s="6" t="s">
        <v>395</v>
      </c>
      <c r="AL384" s="17">
        <v>5413218567107</v>
      </c>
      <c r="AM384" s="15" t="s">
        <v>395</v>
      </c>
      <c r="AN384" s="5">
        <v>72166110</v>
      </c>
      <c r="AO384" s="6" t="s">
        <v>1653</v>
      </c>
      <c r="AP384" s="6" t="s">
        <v>1652</v>
      </c>
      <c r="AQ384" s="6" t="s">
        <v>1666</v>
      </c>
      <c r="AR384" s="6" t="s">
        <v>1665</v>
      </c>
      <c r="AS384" s="6" t="s">
        <v>366</v>
      </c>
    </row>
    <row r="385" spans="1:45" s="5" customFormat="1" ht="12.75" customHeight="1">
      <c r="A385" s="32" t="s">
        <v>1664</v>
      </c>
      <c r="B385" s="6" t="s">
        <v>396</v>
      </c>
      <c r="C385" s="31" t="s">
        <v>403</v>
      </c>
      <c r="D385" s="6" t="s">
        <v>1655</v>
      </c>
      <c r="E385" s="6" t="s">
        <v>1655</v>
      </c>
      <c r="F385" s="6" t="s">
        <v>1638</v>
      </c>
      <c r="G385" s="6" t="s">
        <v>1637</v>
      </c>
      <c r="H385" s="27" t="s">
        <v>1197</v>
      </c>
      <c r="I385" s="27" t="s">
        <v>1196</v>
      </c>
      <c r="J385" s="5" t="s">
        <v>1663</v>
      </c>
      <c r="K385" s="5" t="s">
        <v>1663</v>
      </c>
      <c r="L385" s="6" t="s">
        <v>595</v>
      </c>
      <c r="M385" s="5" t="s">
        <v>1227</v>
      </c>
      <c r="N385" s="5" t="s">
        <v>1226</v>
      </c>
      <c r="O385" s="5" t="s">
        <v>1225</v>
      </c>
      <c r="P385" s="5" t="s">
        <v>479</v>
      </c>
      <c r="Q385" s="5" t="s">
        <v>1215</v>
      </c>
      <c r="S385" s="27" t="s">
        <v>396</v>
      </c>
      <c r="T385" s="53">
        <v>1</v>
      </c>
      <c r="U385" s="5">
        <v>70</v>
      </c>
      <c r="V385" s="5">
        <v>4000</v>
      </c>
      <c r="W385" s="27" t="s">
        <v>396</v>
      </c>
      <c r="X385" s="27" t="s">
        <v>396</v>
      </c>
      <c r="Y385" s="27" t="s">
        <v>396</v>
      </c>
      <c r="Z385" s="55">
        <v>50</v>
      </c>
      <c r="AA385" s="27" t="s">
        <v>396</v>
      </c>
      <c r="AB385" s="27" t="s">
        <v>396</v>
      </c>
      <c r="AC385" s="27" t="s">
        <v>396</v>
      </c>
      <c r="AD385" s="27" t="s">
        <v>396</v>
      </c>
      <c r="AE385" s="27" t="s">
        <v>396</v>
      </c>
      <c r="AF385" s="27" t="s">
        <v>396</v>
      </c>
      <c r="AG385" s="27" t="s">
        <v>396</v>
      </c>
      <c r="AH385" s="27" t="s">
        <v>396</v>
      </c>
      <c r="AI385" s="27" t="s">
        <v>396</v>
      </c>
      <c r="AJ385" s="27" t="s">
        <v>396</v>
      </c>
      <c r="AK385" s="6" t="s">
        <v>395</v>
      </c>
      <c r="AL385" s="17">
        <v>5413218567114</v>
      </c>
      <c r="AM385" s="15" t="s">
        <v>395</v>
      </c>
      <c r="AN385" s="5">
        <v>72166110</v>
      </c>
      <c r="AO385" s="6" t="s">
        <v>1653</v>
      </c>
      <c r="AP385" s="6" t="s">
        <v>1652</v>
      </c>
      <c r="AQ385" s="6" t="s">
        <v>1662</v>
      </c>
      <c r="AR385" s="6" t="s">
        <v>1661</v>
      </c>
      <c r="AS385" s="6" t="s">
        <v>366</v>
      </c>
    </row>
    <row r="386" spans="1:45" s="5" customFormat="1" ht="12.75" customHeight="1">
      <c r="A386" s="32" t="s">
        <v>1660</v>
      </c>
      <c r="B386" s="6" t="s">
        <v>396</v>
      </c>
      <c r="C386" s="31" t="s">
        <v>403</v>
      </c>
      <c r="D386" s="6" t="s">
        <v>1655</v>
      </c>
      <c r="E386" s="6" t="s">
        <v>1655</v>
      </c>
      <c r="F386" s="6" t="s">
        <v>1638</v>
      </c>
      <c r="G386" s="6" t="s">
        <v>1637</v>
      </c>
      <c r="H386" s="27" t="s">
        <v>1197</v>
      </c>
      <c r="I386" s="27" t="s">
        <v>1196</v>
      </c>
      <c r="J386" s="5" t="s">
        <v>1659</v>
      </c>
      <c r="K386" s="5" t="s">
        <v>1659</v>
      </c>
      <c r="L386" s="6" t="s">
        <v>595</v>
      </c>
      <c r="M386" s="5" t="s">
        <v>1227</v>
      </c>
      <c r="N386" s="5" t="s">
        <v>1226</v>
      </c>
      <c r="O386" s="5" t="s">
        <v>1225</v>
      </c>
      <c r="P386" s="5" t="s">
        <v>479</v>
      </c>
      <c r="Q386" s="5" t="s">
        <v>1215</v>
      </c>
      <c r="S386" s="27" t="s">
        <v>396</v>
      </c>
      <c r="T386" s="53">
        <v>1</v>
      </c>
      <c r="U386" s="5">
        <v>75</v>
      </c>
      <c r="V386" s="5">
        <v>4000</v>
      </c>
      <c r="W386" s="27" t="s">
        <v>396</v>
      </c>
      <c r="X386" s="27" t="s">
        <v>396</v>
      </c>
      <c r="Y386" s="27" t="s">
        <v>396</v>
      </c>
      <c r="Z386" s="55">
        <v>50</v>
      </c>
      <c r="AA386" s="27" t="s">
        <v>396</v>
      </c>
      <c r="AB386" s="27" t="s">
        <v>396</v>
      </c>
      <c r="AC386" s="27" t="s">
        <v>396</v>
      </c>
      <c r="AD386" s="27" t="s">
        <v>396</v>
      </c>
      <c r="AE386" s="27" t="s">
        <v>396</v>
      </c>
      <c r="AF386" s="27" t="s">
        <v>396</v>
      </c>
      <c r="AG386" s="27" t="s">
        <v>396</v>
      </c>
      <c r="AH386" s="27" t="s">
        <v>396</v>
      </c>
      <c r="AI386" s="27" t="s">
        <v>396</v>
      </c>
      <c r="AJ386" s="27" t="s">
        <v>396</v>
      </c>
      <c r="AK386" s="6" t="s">
        <v>395</v>
      </c>
      <c r="AL386" s="17">
        <v>5413218567121</v>
      </c>
      <c r="AM386" s="15" t="s">
        <v>395</v>
      </c>
      <c r="AN386" s="5">
        <v>72166110</v>
      </c>
      <c r="AO386" s="6" t="s">
        <v>1653</v>
      </c>
      <c r="AP386" s="6" t="s">
        <v>1652</v>
      </c>
      <c r="AQ386" s="6" t="s">
        <v>1658</v>
      </c>
      <c r="AR386" s="6" t="s">
        <v>1657</v>
      </c>
      <c r="AS386" s="6" t="s">
        <v>366</v>
      </c>
    </row>
    <row r="387" spans="1:45" s="5" customFormat="1" ht="12.75" customHeight="1">
      <c r="A387" s="32" t="s">
        <v>1656</v>
      </c>
      <c r="B387" s="6" t="s">
        <v>396</v>
      </c>
      <c r="C387" s="31" t="s">
        <v>403</v>
      </c>
      <c r="D387" s="6" t="s">
        <v>1655</v>
      </c>
      <c r="E387" s="6" t="s">
        <v>1655</v>
      </c>
      <c r="F387" s="6" t="s">
        <v>1638</v>
      </c>
      <c r="G387" s="6" t="s">
        <v>1637</v>
      </c>
      <c r="H387" s="27" t="s">
        <v>1197</v>
      </c>
      <c r="I387" s="27" t="s">
        <v>1196</v>
      </c>
      <c r="J387" s="5" t="s">
        <v>1654</v>
      </c>
      <c r="K387" s="5" t="s">
        <v>1654</v>
      </c>
      <c r="L387" s="6" t="s">
        <v>595</v>
      </c>
      <c r="M387" s="5" t="s">
        <v>1227</v>
      </c>
      <c r="N387" s="5" t="s">
        <v>1226</v>
      </c>
      <c r="O387" s="5" t="s">
        <v>1225</v>
      </c>
      <c r="P387" s="5" t="s">
        <v>479</v>
      </c>
      <c r="Q387" s="5" t="s">
        <v>1215</v>
      </c>
      <c r="S387" s="27" t="s">
        <v>396</v>
      </c>
      <c r="T387" s="53">
        <v>1</v>
      </c>
      <c r="U387" s="5">
        <v>100</v>
      </c>
      <c r="V387" s="5">
        <v>4000</v>
      </c>
      <c r="W387" s="27" t="s">
        <v>396</v>
      </c>
      <c r="X387" s="27" t="s">
        <v>396</v>
      </c>
      <c r="Y387" s="27" t="s">
        <v>396</v>
      </c>
      <c r="Z387" s="55">
        <v>50</v>
      </c>
      <c r="AA387" s="27" t="s">
        <v>396</v>
      </c>
      <c r="AB387" s="27" t="s">
        <v>396</v>
      </c>
      <c r="AC387" s="27" t="s">
        <v>396</v>
      </c>
      <c r="AD387" s="27" t="s">
        <v>396</v>
      </c>
      <c r="AE387" s="27" t="s">
        <v>396</v>
      </c>
      <c r="AF387" s="27" t="s">
        <v>396</v>
      </c>
      <c r="AG387" s="27" t="s">
        <v>396</v>
      </c>
      <c r="AH387" s="27" t="s">
        <v>396</v>
      </c>
      <c r="AI387" s="27" t="s">
        <v>396</v>
      </c>
      <c r="AJ387" s="27" t="s">
        <v>396</v>
      </c>
      <c r="AK387" s="6" t="s">
        <v>395</v>
      </c>
      <c r="AL387" s="17">
        <v>5413218567138</v>
      </c>
      <c r="AM387" s="15" t="s">
        <v>395</v>
      </c>
      <c r="AN387" s="5">
        <v>72166110</v>
      </c>
      <c r="AO387" s="6" t="s">
        <v>1653</v>
      </c>
      <c r="AP387" s="6" t="s">
        <v>1652</v>
      </c>
      <c r="AQ387" s="6" t="s">
        <v>1651</v>
      </c>
      <c r="AR387" s="6" t="s">
        <v>1650</v>
      </c>
      <c r="AS387" s="6" t="s">
        <v>366</v>
      </c>
    </row>
    <row r="388" spans="1:45" s="5" customFormat="1" ht="12.75" customHeight="1">
      <c r="A388" s="32" t="s">
        <v>1649</v>
      </c>
      <c r="B388" s="6" t="s">
        <v>396</v>
      </c>
      <c r="C388" s="31" t="s">
        <v>403</v>
      </c>
      <c r="D388" s="6" t="s">
        <v>1622</v>
      </c>
      <c r="E388" s="6" t="s">
        <v>1622</v>
      </c>
      <c r="F388" s="6" t="s">
        <v>1638</v>
      </c>
      <c r="G388" s="6" t="s">
        <v>1637</v>
      </c>
      <c r="H388" s="27" t="s">
        <v>1197</v>
      </c>
      <c r="I388" s="27" t="s">
        <v>1196</v>
      </c>
      <c r="J388" s="5" t="s">
        <v>1645</v>
      </c>
      <c r="K388" s="5" t="s">
        <v>1645</v>
      </c>
      <c r="L388" s="6" t="s">
        <v>595</v>
      </c>
      <c r="M388" s="5" t="s">
        <v>1227</v>
      </c>
      <c r="N388" s="5" t="s">
        <v>1226</v>
      </c>
      <c r="O388" s="5" t="s">
        <v>1225</v>
      </c>
      <c r="P388" s="5" t="s">
        <v>479</v>
      </c>
      <c r="Q388" s="5" t="s">
        <v>1215</v>
      </c>
      <c r="S388" s="27" t="s">
        <v>396</v>
      </c>
      <c r="T388" s="53">
        <v>1.5</v>
      </c>
      <c r="U388" s="5">
        <v>50</v>
      </c>
      <c r="V388" s="5">
        <v>3000</v>
      </c>
      <c r="W388" s="27" t="s">
        <v>396</v>
      </c>
      <c r="X388" s="27" t="s">
        <v>396</v>
      </c>
      <c r="Y388" s="27" t="s">
        <v>396</v>
      </c>
      <c r="Z388" s="55">
        <v>50</v>
      </c>
      <c r="AA388" s="27" t="s">
        <v>396</v>
      </c>
      <c r="AB388" s="27" t="s">
        <v>396</v>
      </c>
      <c r="AC388" s="27" t="s">
        <v>396</v>
      </c>
      <c r="AD388" s="27" t="s">
        <v>396</v>
      </c>
      <c r="AE388" s="27" t="s">
        <v>396</v>
      </c>
      <c r="AF388" s="27" t="s">
        <v>396</v>
      </c>
      <c r="AG388" s="27" t="s">
        <v>396</v>
      </c>
      <c r="AH388" s="27" t="s">
        <v>396</v>
      </c>
      <c r="AI388" s="27" t="s">
        <v>396</v>
      </c>
      <c r="AJ388" s="27" t="s">
        <v>396</v>
      </c>
      <c r="AK388" s="6" t="s">
        <v>395</v>
      </c>
      <c r="AL388" s="17">
        <v>5413218567145</v>
      </c>
      <c r="AM388" s="15" t="s">
        <v>395</v>
      </c>
      <c r="AN388" s="5">
        <v>72166110</v>
      </c>
      <c r="AO388" s="6" t="s">
        <v>1618</v>
      </c>
      <c r="AP388" s="6" t="s">
        <v>1617</v>
      </c>
      <c r="AQ388" s="6" t="s">
        <v>1648</v>
      </c>
      <c r="AR388" s="6" t="s">
        <v>1647</v>
      </c>
      <c r="AS388" s="6" t="s">
        <v>366</v>
      </c>
    </row>
    <row r="389" spans="1:45" s="5" customFormat="1" ht="12.75" customHeight="1">
      <c r="A389" s="32" t="s">
        <v>1646</v>
      </c>
      <c r="B389" s="6" t="s">
        <v>396</v>
      </c>
      <c r="C389" s="31" t="s">
        <v>403</v>
      </c>
      <c r="D389" s="6" t="s">
        <v>1622</v>
      </c>
      <c r="E389" s="6" t="s">
        <v>1622</v>
      </c>
      <c r="F389" s="6" t="s">
        <v>1638</v>
      </c>
      <c r="G389" s="6" t="s">
        <v>1637</v>
      </c>
      <c r="H389" s="27" t="s">
        <v>1197</v>
      </c>
      <c r="I389" s="27" t="s">
        <v>1196</v>
      </c>
      <c r="J389" s="5" t="s">
        <v>1645</v>
      </c>
      <c r="K389" s="5" t="s">
        <v>1645</v>
      </c>
      <c r="L389" s="6" t="s">
        <v>595</v>
      </c>
      <c r="M389" s="5" t="s">
        <v>1227</v>
      </c>
      <c r="N389" s="5" t="s">
        <v>1226</v>
      </c>
      <c r="O389" s="5" t="s">
        <v>1225</v>
      </c>
      <c r="P389" s="5" t="s">
        <v>479</v>
      </c>
      <c r="Q389" s="5" t="s">
        <v>1215</v>
      </c>
      <c r="S389" s="27" t="s">
        <v>396</v>
      </c>
      <c r="T389" s="53">
        <v>1.5</v>
      </c>
      <c r="U389" s="5">
        <v>50</v>
      </c>
      <c r="V389" s="5">
        <v>4000</v>
      </c>
      <c r="W389" s="27" t="s">
        <v>396</v>
      </c>
      <c r="X389" s="27" t="s">
        <v>396</v>
      </c>
      <c r="Y389" s="27" t="s">
        <v>396</v>
      </c>
      <c r="Z389" s="55">
        <v>50</v>
      </c>
      <c r="AA389" s="27" t="s">
        <v>396</v>
      </c>
      <c r="AB389" s="27" t="s">
        <v>396</v>
      </c>
      <c r="AC389" s="27" t="s">
        <v>396</v>
      </c>
      <c r="AD389" s="27" t="s">
        <v>396</v>
      </c>
      <c r="AE389" s="27" t="s">
        <v>396</v>
      </c>
      <c r="AF389" s="27" t="s">
        <v>396</v>
      </c>
      <c r="AG389" s="27" t="s">
        <v>396</v>
      </c>
      <c r="AH389" s="27" t="s">
        <v>396</v>
      </c>
      <c r="AI389" s="27" t="s">
        <v>396</v>
      </c>
      <c r="AJ389" s="27" t="s">
        <v>396</v>
      </c>
      <c r="AK389" s="6" t="s">
        <v>395</v>
      </c>
      <c r="AL389" s="17">
        <v>5413218567152</v>
      </c>
      <c r="AM389" s="15" t="s">
        <v>395</v>
      </c>
      <c r="AN389" s="5">
        <v>72166110</v>
      </c>
      <c r="AO389" s="6" t="s">
        <v>1618</v>
      </c>
      <c r="AP389" s="6" t="s">
        <v>1617</v>
      </c>
      <c r="AQ389" s="6" t="s">
        <v>1644</v>
      </c>
      <c r="AR389" s="6" t="s">
        <v>1643</v>
      </c>
      <c r="AS389" s="6" t="s">
        <v>366</v>
      </c>
    </row>
    <row r="390" spans="1:45" s="5" customFormat="1" ht="12.75" customHeight="1">
      <c r="A390" s="32" t="s">
        <v>1642</v>
      </c>
      <c r="B390" s="6" t="s">
        <v>396</v>
      </c>
      <c r="C390" s="31" t="s">
        <v>403</v>
      </c>
      <c r="D390" s="6" t="s">
        <v>1622</v>
      </c>
      <c r="E390" s="6" t="s">
        <v>1622</v>
      </c>
      <c r="F390" s="6" t="s">
        <v>1638</v>
      </c>
      <c r="G390" s="6" t="s">
        <v>1637</v>
      </c>
      <c r="H390" s="27" t="s">
        <v>1197</v>
      </c>
      <c r="I390" s="27" t="s">
        <v>1196</v>
      </c>
      <c r="J390" s="5" t="s">
        <v>1636</v>
      </c>
      <c r="K390" s="5" t="s">
        <v>1636</v>
      </c>
      <c r="L390" s="6" t="s">
        <v>595</v>
      </c>
      <c r="M390" s="5" t="s">
        <v>1227</v>
      </c>
      <c r="N390" s="5" t="s">
        <v>1226</v>
      </c>
      <c r="O390" s="5" t="s">
        <v>1225</v>
      </c>
      <c r="P390" s="5" t="s">
        <v>479</v>
      </c>
      <c r="Q390" s="5" t="s">
        <v>1215</v>
      </c>
      <c r="S390" s="27" t="s">
        <v>396</v>
      </c>
      <c r="T390" s="53">
        <v>1.5</v>
      </c>
      <c r="U390" s="5">
        <v>70</v>
      </c>
      <c r="V390" s="5">
        <v>3000</v>
      </c>
      <c r="W390" s="27" t="s">
        <v>396</v>
      </c>
      <c r="X390" s="27" t="s">
        <v>396</v>
      </c>
      <c r="Y390" s="27" t="s">
        <v>396</v>
      </c>
      <c r="Z390" s="55">
        <v>50</v>
      </c>
      <c r="AA390" s="27" t="s">
        <v>396</v>
      </c>
      <c r="AB390" s="27" t="s">
        <v>396</v>
      </c>
      <c r="AC390" s="27" t="s">
        <v>396</v>
      </c>
      <c r="AD390" s="27" t="s">
        <v>396</v>
      </c>
      <c r="AE390" s="27" t="s">
        <v>396</v>
      </c>
      <c r="AF390" s="27" t="s">
        <v>396</v>
      </c>
      <c r="AG390" s="27" t="s">
        <v>396</v>
      </c>
      <c r="AH390" s="27" t="s">
        <v>396</v>
      </c>
      <c r="AI390" s="27" t="s">
        <v>396</v>
      </c>
      <c r="AJ390" s="27" t="s">
        <v>396</v>
      </c>
      <c r="AK390" s="6" t="s">
        <v>395</v>
      </c>
      <c r="AL390" s="17">
        <v>5413218567169</v>
      </c>
      <c r="AM390" s="15" t="s">
        <v>395</v>
      </c>
      <c r="AN390" s="5">
        <v>72166110</v>
      </c>
      <c r="AO390" s="6" t="s">
        <v>1618</v>
      </c>
      <c r="AP390" s="6" t="s">
        <v>1617</v>
      </c>
      <c r="AQ390" s="6" t="s">
        <v>1641</v>
      </c>
      <c r="AR390" s="6" t="s">
        <v>1640</v>
      </c>
      <c r="AS390" s="6" t="s">
        <v>366</v>
      </c>
    </row>
    <row r="391" spans="1:45" s="5" customFormat="1" ht="12.75" customHeight="1">
      <c r="A391" s="32" t="s">
        <v>1639</v>
      </c>
      <c r="B391" s="6" t="s">
        <v>396</v>
      </c>
      <c r="C391" s="31" t="s">
        <v>403</v>
      </c>
      <c r="D391" s="6" t="s">
        <v>1622</v>
      </c>
      <c r="E391" s="6" t="s">
        <v>1622</v>
      </c>
      <c r="F391" s="6" t="s">
        <v>1638</v>
      </c>
      <c r="G391" s="6" t="s">
        <v>1637</v>
      </c>
      <c r="H391" s="27" t="s">
        <v>1197</v>
      </c>
      <c r="I391" s="27" t="s">
        <v>1196</v>
      </c>
      <c r="J391" s="5" t="s">
        <v>1636</v>
      </c>
      <c r="K391" s="5" t="s">
        <v>1636</v>
      </c>
      <c r="L391" s="6" t="s">
        <v>595</v>
      </c>
      <c r="M391" s="5" t="s">
        <v>1227</v>
      </c>
      <c r="N391" s="5" t="s">
        <v>1226</v>
      </c>
      <c r="O391" s="5" t="s">
        <v>1225</v>
      </c>
      <c r="P391" s="5" t="s">
        <v>479</v>
      </c>
      <c r="Q391" s="5" t="s">
        <v>1215</v>
      </c>
      <c r="S391" s="27" t="s">
        <v>396</v>
      </c>
      <c r="T391" s="53">
        <v>1.5</v>
      </c>
      <c r="U391" s="5">
        <v>70</v>
      </c>
      <c r="V391" s="5">
        <v>4000</v>
      </c>
      <c r="W391" s="27" t="s">
        <v>396</v>
      </c>
      <c r="X391" s="27" t="s">
        <v>396</v>
      </c>
      <c r="Y391" s="27" t="s">
        <v>396</v>
      </c>
      <c r="Z391" s="55">
        <v>50</v>
      </c>
      <c r="AA391" s="27" t="s">
        <v>396</v>
      </c>
      <c r="AB391" s="27" t="s">
        <v>396</v>
      </c>
      <c r="AC391" s="27" t="s">
        <v>396</v>
      </c>
      <c r="AD391" s="27" t="s">
        <v>396</v>
      </c>
      <c r="AE391" s="27" t="s">
        <v>396</v>
      </c>
      <c r="AF391" s="27" t="s">
        <v>396</v>
      </c>
      <c r="AG391" s="27" t="s">
        <v>396</v>
      </c>
      <c r="AH391" s="27" t="s">
        <v>396</v>
      </c>
      <c r="AI391" s="27" t="s">
        <v>396</v>
      </c>
      <c r="AJ391" s="27" t="s">
        <v>396</v>
      </c>
      <c r="AK391" s="6" t="s">
        <v>395</v>
      </c>
      <c r="AL391" s="17">
        <v>5413218567176</v>
      </c>
      <c r="AM391" s="15" t="s">
        <v>395</v>
      </c>
      <c r="AN391" s="5">
        <v>72166110</v>
      </c>
      <c r="AO391" s="6" t="s">
        <v>1618</v>
      </c>
      <c r="AP391" s="6" t="s">
        <v>1617</v>
      </c>
      <c r="AQ391" s="6" t="s">
        <v>1635</v>
      </c>
      <c r="AR391" s="6" t="s">
        <v>1634</v>
      </c>
      <c r="AS391" s="6" t="s">
        <v>366</v>
      </c>
    </row>
    <row r="392" spans="1:45" s="5" customFormat="1" ht="12.75" customHeight="1">
      <c r="A392" s="32" t="s">
        <v>1633</v>
      </c>
      <c r="B392" s="6" t="s">
        <v>396</v>
      </c>
      <c r="C392" s="31" t="s">
        <v>403</v>
      </c>
      <c r="D392" s="6" t="s">
        <v>1622</v>
      </c>
      <c r="E392" s="6" t="s">
        <v>1622</v>
      </c>
      <c r="F392" s="6" t="s">
        <v>1621</v>
      </c>
      <c r="G392" s="6" t="s">
        <v>1620</v>
      </c>
      <c r="H392" s="27" t="s">
        <v>1197</v>
      </c>
      <c r="I392" s="27" t="s">
        <v>1196</v>
      </c>
      <c r="J392" s="5" t="s">
        <v>1629</v>
      </c>
      <c r="K392" s="5" t="s">
        <v>1629</v>
      </c>
      <c r="L392" s="6" t="s">
        <v>595</v>
      </c>
      <c r="M392" s="5" t="s">
        <v>1227</v>
      </c>
      <c r="N392" s="5" t="s">
        <v>1226</v>
      </c>
      <c r="O392" s="5" t="s">
        <v>1225</v>
      </c>
      <c r="P392" s="5" t="s">
        <v>479</v>
      </c>
      <c r="Q392" s="5" t="s">
        <v>1215</v>
      </c>
      <c r="S392" s="27" t="s">
        <v>396</v>
      </c>
      <c r="T392" s="53">
        <v>1.5</v>
      </c>
      <c r="U392" s="5">
        <v>75</v>
      </c>
      <c r="V392" s="5">
        <v>3000</v>
      </c>
      <c r="W392" s="27" t="s">
        <v>396</v>
      </c>
      <c r="X392" s="27" t="s">
        <v>396</v>
      </c>
      <c r="Y392" s="27" t="s">
        <v>396</v>
      </c>
      <c r="Z392" s="55">
        <v>50</v>
      </c>
      <c r="AA392" s="27" t="s">
        <v>396</v>
      </c>
      <c r="AB392" s="27" t="s">
        <v>396</v>
      </c>
      <c r="AC392" s="27" t="s">
        <v>396</v>
      </c>
      <c r="AD392" s="27" t="s">
        <v>396</v>
      </c>
      <c r="AE392" s="27" t="s">
        <v>396</v>
      </c>
      <c r="AF392" s="27" t="s">
        <v>396</v>
      </c>
      <c r="AG392" s="27" t="s">
        <v>396</v>
      </c>
      <c r="AH392" s="27" t="s">
        <v>396</v>
      </c>
      <c r="AI392" s="27" t="s">
        <v>396</v>
      </c>
      <c r="AJ392" s="27" t="s">
        <v>396</v>
      </c>
      <c r="AK392" s="6" t="s">
        <v>395</v>
      </c>
      <c r="AL392" s="17">
        <v>5413218567183</v>
      </c>
      <c r="AM392" s="15" t="s">
        <v>395</v>
      </c>
      <c r="AN392" s="5">
        <v>72166110</v>
      </c>
      <c r="AO392" s="6" t="s">
        <v>1618</v>
      </c>
      <c r="AP392" s="6" t="s">
        <v>1617</v>
      </c>
      <c r="AQ392" s="6" t="s">
        <v>1632</v>
      </c>
      <c r="AR392" s="6" t="s">
        <v>1631</v>
      </c>
      <c r="AS392" s="6" t="s">
        <v>366</v>
      </c>
    </row>
    <row r="393" spans="1:45" s="5" customFormat="1" ht="12.75" customHeight="1">
      <c r="A393" s="32" t="s">
        <v>1630</v>
      </c>
      <c r="B393" s="6" t="s">
        <v>396</v>
      </c>
      <c r="C393" s="31" t="s">
        <v>403</v>
      </c>
      <c r="D393" s="6" t="s">
        <v>1622</v>
      </c>
      <c r="E393" s="6" t="s">
        <v>1622</v>
      </c>
      <c r="F393" s="6" t="s">
        <v>1621</v>
      </c>
      <c r="G393" s="6" t="s">
        <v>1620</v>
      </c>
      <c r="H393" s="27" t="s">
        <v>1197</v>
      </c>
      <c r="I393" s="27" t="s">
        <v>1196</v>
      </c>
      <c r="J393" s="5" t="s">
        <v>1629</v>
      </c>
      <c r="K393" s="5" t="s">
        <v>1629</v>
      </c>
      <c r="L393" s="6" t="s">
        <v>595</v>
      </c>
      <c r="M393" s="5" t="s">
        <v>1227</v>
      </c>
      <c r="N393" s="5" t="s">
        <v>1226</v>
      </c>
      <c r="O393" s="5" t="s">
        <v>1225</v>
      </c>
      <c r="P393" s="5" t="s">
        <v>479</v>
      </c>
      <c r="Q393" s="5" t="s">
        <v>1215</v>
      </c>
      <c r="S393" s="27" t="s">
        <v>396</v>
      </c>
      <c r="T393" s="53">
        <v>1.5</v>
      </c>
      <c r="U393" s="5">
        <v>75</v>
      </c>
      <c r="V393" s="5">
        <v>4000</v>
      </c>
      <c r="W393" s="27" t="s">
        <v>396</v>
      </c>
      <c r="X393" s="27" t="s">
        <v>396</v>
      </c>
      <c r="Y393" s="27" t="s">
        <v>396</v>
      </c>
      <c r="Z393" s="55">
        <v>50</v>
      </c>
      <c r="AA393" s="27" t="s">
        <v>396</v>
      </c>
      <c r="AB393" s="27" t="s">
        <v>396</v>
      </c>
      <c r="AC393" s="27" t="s">
        <v>396</v>
      </c>
      <c r="AD393" s="27" t="s">
        <v>396</v>
      </c>
      <c r="AE393" s="27" t="s">
        <v>396</v>
      </c>
      <c r="AF393" s="27" t="s">
        <v>396</v>
      </c>
      <c r="AG393" s="27" t="s">
        <v>396</v>
      </c>
      <c r="AH393" s="27" t="s">
        <v>396</v>
      </c>
      <c r="AI393" s="27" t="s">
        <v>396</v>
      </c>
      <c r="AJ393" s="27" t="s">
        <v>396</v>
      </c>
      <c r="AK393" s="6" t="s">
        <v>395</v>
      </c>
      <c r="AL393" s="17">
        <v>5413218567190</v>
      </c>
      <c r="AM393" s="15" t="s">
        <v>395</v>
      </c>
      <c r="AN393" s="5">
        <v>72166110</v>
      </c>
      <c r="AO393" s="6" t="s">
        <v>1618</v>
      </c>
      <c r="AP393" s="6" t="s">
        <v>1617</v>
      </c>
      <c r="AQ393" s="6" t="s">
        <v>1628</v>
      </c>
      <c r="AR393" s="6" t="s">
        <v>1627</v>
      </c>
      <c r="AS393" s="6" t="s">
        <v>366</v>
      </c>
    </row>
    <row r="394" spans="1:45" s="5" customFormat="1" ht="12.75" customHeight="1">
      <c r="A394" s="32" t="s">
        <v>1626</v>
      </c>
      <c r="B394" s="6" t="s">
        <v>396</v>
      </c>
      <c r="C394" s="31" t="s">
        <v>403</v>
      </c>
      <c r="D394" s="6" t="s">
        <v>1622</v>
      </c>
      <c r="E394" s="6" t="s">
        <v>1622</v>
      </c>
      <c r="F394" s="6" t="s">
        <v>1621</v>
      </c>
      <c r="G394" s="6" t="s">
        <v>1620</v>
      </c>
      <c r="H394" s="27" t="s">
        <v>1197</v>
      </c>
      <c r="I394" s="27" t="s">
        <v>1196</v>
      </c>
      <c r="J394" s="6" t="s">
        <v>1619</v>
      </c>
      <c r="K394" s="5" t="s">
        <v>1619</v>
      </c>
      <c r="L394" s="6" t="s">
        <v>595</v>
      </c>
      <c r="M394" s="5" t="s">
        <v>1227</v>
      </c>
      <c r="N394" s="5" t="s">
        <v>1226</v>
      </c>
      <c r="O394" s="5" t="s">
        <v>1225</v>
      </c>
      <c r="P394" s="5" t="s">
        <v>479</v>
      </c>
      <c r="Q394" s="5" t="s">
        <v>1215</v>
      </c>
      <c r="S394" s="27" t="s">
        <v>396</v>
      </c>
      <c r="T394" s="53">
        <v>1.5</v>
      </c>
      <c r="U394" s="5">
        <v>100</v>
      </c>
      <c r="V394" s="5">
        <v>3000</v>
      </c>
      <c r="W394" s="27" t="s">
        <v>396</v>
      </c>
      <c r="X394" s="27" t="s">
        <v>396</v>
      </c>
      <c r="Y394" s="27" t="s">
        <v>396</v>
      </c>
      <c r="Z394" s="55">
        <v>50</v>
      </c>
      <c r="AA394" s="27" t="s">
        <v>396</v>
      </c>
      <c r="AB394" s="27" t="s">
        <v>396</v>
      </c>
      <c r="AC394" s="27" t="s">
        <v>396</v>
      </c>
      <c r="AD394" s="27" t="s">
        <v>396</v>
      </c>
      <c r="AE394" s="27" t="s">
        <v>396</v>
      </c>
      <c r="AF394" s="27" t="s">
        <v>396</v>
      </c>
      <c r="AG394" s="27" t="s">
        <v>396</v>
      </c>
      <c r="AH394" s="27" t="s">
        <v>396</v>
      </c>
      <c r="AI394" s="27" t="s">
        <v>396</v>
      </c>
      <c r="AJ394" s="27" t="s">
        <v>396</v>
      </c>
      <c r="AK394" s="6" t="s">
        <v>395</v>
      </c>
      <c r="AL394" s="17">
        <v>5413218567206</v>
      </c>
      <c r="AM394" s="15" t="s">
        <v>395</v>
      </c>
      <c r="AN394" s="5">
        <v>72166110</v>
      </c>
      <c r="AO394" s="6" t="s">
        <v>1618</v>
      </c>
      <c r="AP394" s="6" t="s">
        <v>1617</v>
      </c>
      <c r="AQ394" s="6" t="s">
        <v>1625</v>
      </c>
      <c r="AR394" s="6" t="s">
        <v>1624</v>
      </c>
      <c r="AS394" s="6" t="s">
        <v>366</v>
      </c>
    </row>
    <row r="395" spans="1:45" s="5" customFormat="1" ht="12.75" customHeight="1">
      <c r="A395" s="32" t="s">
        <v>1623</v>
      </c>
      <c r="B395" s="6" t="s">
        <v>396</v>
      </c>
      <c r="C395" s="31" t="s">
        <v>403</v>
      </c>
      <c r="D395" s="6" t="s">
        <v>1622</v>
      </c>
      <c r="E395" s="6" t="s">
        <v>1622</v>
      </c>
      <c r="F395" s="6" t="s">
        <v>1621</v>
      </c>
      <c r="G395" s="6" t="s">
        <v>1620</v>
      </c>
      <c r="H395" s="27" t="s">
        <v>1197</v>
      </c>
      <c r="I395" s="27" t="s">
        <v>1196</v>
      </c>
      <c r="J395" s="5" t="s">
        <v>1619</v>
      </c>
      <c r="K395" s="5" t="s">
        <v>1619</v>
      </c>
      <c r="L395" s="6" t="s">
        <v>595</v>
      </c>
      <c r="M395" s="5" t="s">
        <v>1227</v>
      </c>
      <c r="N395" s="5" t="s">
        <v>1226</v>
      </c>
      <c r="O395" s="5" t="s">
        <v>1225</v>
      </c>
      <c r="P395" s="5" t="s">
        <v>479</v>
      </c>
      <c r="Q395" s="5" t="s">
        <v>1215</v>
      </c>
      <c r="S395" s="27" t="s">
        <v>396</v>
      </c>
      <c r="T395" s="53">
        <v>1.5</v>
      </c>
      <c r="U395" s="5">
        <v>100</v>
      </c>
      <c r="V395" s="5">
        <v>4000</v>
      </c>
      <c r="W395" s="27" t="s">
        <v>396</v>
      </c>
      <c r="X395" s="27" t="s">
        <v>396</v>
      </c>
      <c r="Y395" s="27" t="s">
        <v>396</v>
      </c>
      <c r="Z395" s="55">
        <v>50</v>
      </c>
      <c r="AA395" s="27" t="s">
        <v>396</v>
      </c>
      <c r="AB395" s="27" t="s">
        <v>396</v>
      </c>
      <c r="AC395" s="27" t="s">
        <v>396</v>
      </c>
      <c r="AD395" s="27" t="s">
        <v>396</v>
      </c>
      <c r="AE395" s="27" t="s">
        <v>396</v>
      </c>
      <c r="AF395" s="27" t="s">
        <v>396</v>
      </c>
      <c r="AG395" s="27" t="s">
        <v>396</v>
      </c>
      <c r="AH395" s="27" t="s">
        <v>396</v>
      </c>
      <c r="AI395" s="27" t="s">
        <v>396</v>
      </c>
      <c r="AJ395" s="27" t="s">
        <v>396</v>
      </c>
      <c r="AK395" s="6" t="s">
        <v>395</v>
      </c>
      <c r="AL395" s="17">
        <v>5413218567213</v>
      </c>
      <c r="AM395" s="15" t="s">
        <v>395</v>
      </c>
      <c r="AN395" s="5">
        <v>72166110</v>
      </c>
      <c r="AO395" s="6" t="s">
        <v>1618</v>
      </c>
      <c r="AP395" s="6" t="s">
        <v>1617</v>
      </c>
      <c r="AQ395" s="6" t="s">
        <v>1616</v>
      </c>
      <c r="AR395" s="6" t="s">
        <v>1615</v>
      </c>
      <c r="AS395" s="6" t="s">
        <v>366</v>
      </c>
    </row>
    <row r="396" spans="1:45" s="5" customFormat="1" ht="12.75" customHeight="1">
      <c r="A396" s="33" t="s">
        <v>1614</v>
      </c>
      <c r="B396" s="6" t="s">
        <v>396</v>
      </c>
      <c r="C396" s="31" t="s">
        <v>403</v>
      </c>
      <c r="D396" s="6" t="s">
        <v>1603</v>
      </c>
      <c r="E396" s="6" t="s">
        <v>1602</v>
      </c>
      <c r="F396" s="5" t="s">
        <v>1601</v>
      </c>
      <c r="G396" s="5" t="s">
        <v>1600</v>
      </c>
      <c r="H396" s="27" t="s">
        <v>396</v>
      </c>
      <c r="I396" s="27" t="s">
        <v>396</v>
      </c>
      <c r="J396" s="6" t="s">
        <v>1613</v>
      </c>
      <c r="K396" s="6" t="s">
        <v>1612</v>
      </c>
      <c r="L396" s="27" t="s">
        <v>399</v>
      </c>
      <c r="M396" s="27" t="s">
        <v>396</v>
      </c>
      <c r="N396" s="27" t="s">
        <v>396</v>
      </c>
      <c r="O396" s="27" t="s">
        <v>396</v>
      </c>
      <c r="P396" s="27" t="s">
        <v>396</v>
      </c>
      <c r="Q396" s="27" t="s">
        <v>396</v>
      </c>
      <c r="R396" s="6"/>
      <c r="S396" s="27" t="s">
        <v>396</v>
      </c>
      <c r="T396" s="59">
        <v>6</v>
      </c>
      <c r="U396" s="6">
        <v>10</v>
      </c>
      <c r="V396" s="35">
        <v>10000</v>
      </c>
      <c r="W396" s="27" t="s">
        <v>396</v>
      </c>
      <c r="X396" s="27" t="s">
        <v>396</v>
      </c>
      <c r="Y396" s="27" t="s">
        <v>396</v>
      </c>
      <c r="Z396" s="34"/>
      <c r="AA396" s="27" t="s">
        <v>396</v>
      </c>
      <c r="AB396" s="27" t="s">
        <v>396</v>
      </c>
      <c r="AC396" s="27" t="s">
        <v>396</v>
      </c>
      <c r="AD396" s="27" t="s">
        <v>396</v>
      </c>
      <c r="AE396" s="38"/>
      <c r="AF396" s="27" t="s">
        <v>399</v>
      </c>
      <c r="AG396" s="38"/>
      <c r="AH396" s="38"/>
      <c r="AI396" s="38"/>
      <c r="AJ396" s="38"/>
      <c r="AK396" s="6" t="s">
        <v>431</v>
      </c>
      <c r="AL396" s="17">
        <v>5413218602037</v>
      </c>
      <c r="AM396" s="15" t="s">
        <v>431</v>
      </c>
      <c r="AN396" s="5">
        <v>39191011</v>
      </c>
      <c r="AO396" s="6"/>
      <c r="AP396" s="6"/>
      <c r="AQ396" s="6" t="s">
        <v>1611</v>
      </c>
      <c r="AR396" s="6" t="s">
        <v>1610</v>
      </c>
      <c r="AS396" s="6" t="s">
        <v>366</v>
      </c>
    </row>
    <row r="397" spans="1:45" s="5" customFormat="1" ht="12.75" customHeight="1">
      <c r="A397" s="32" t="s">
        <v>1609</v>
      </c>
      <c r="B397" s="6" t="s">
        <v>396</v>
      </c>
      <c r="C397" s="31" t="s">
        <v>403</v>
      </c>
      <c r="D397" s="6" t="s">
        <v>1603</v>
      </c>
      <c r="E397" s="6" t="s">
        <v>1602</v>
      </c>
      <c r="F397" s="5" t="s">
        <v>1601</v>
      </c>
      <c r="G397" s="5" t="s">
        <v>1600</v>
      </c>
      <c r="H397" s="27" t="s">
        <v>396</v>
      </c>
      <c r="I397" s="27" t="s">
        <v>396</v>
      </c>
      <c r="J397" s="6" t="s">
        <v>1608</v>
      </c>
      <c r="K397" s="6" t="s">
        <v>1607</v>
      </c>
      <c r="L397" s="27" t="s">
        <v>399</v>
      </c>
      <c r="M397" s="27" t="s">
        <v>396</v>
      </c>
      <c r="N397" s="27" t="s">
        <v>396</v>
      </c>
      <c r="O397" s="27" t="s">
        <v>396</v>
      </c>
      <c r="P397" s="27" t="s">
        <v>396</v>
      </c>
      <c r="Q397" s="27" t="s">
        <v>396</v>
      </c>
      <c r="R397" s="6"/>
      <c r="S397" s="27" t="s">
        <v>396</v>
      </c>
      <c r="T397" s="59">
        <v>6</v>
      </c>
      <c r="U397" s="6">
        <v>30</v>
      </c>
      <c r="V397" s="35">
        <v>10000</v>
      </c>
      <c r="W397" s="27" t="s">
        <v>396</v>
      </c>
      <c r="X397" s="27" t="s">
        <v>396</v>
      </c>
      <c r="Y397" s="27" t="s">
        <v>396</v>
      </c>
      <c r="Z397" s="34"/>
      <c r="AA397" s="27" t="s">
        <v>396</v>
      </c>
      <c r="AB397" s="27" t="s">
        <v>396</v>
      </c>
      <c r="AC397" s="27" t="s">
        <v>396</v>
      </c>
      <c r="AD397" s="27" t="s">
        <v>396</v>
      </c>
      <c r="AE397" s="38"/>
      <c r="AF397" s="27" t="s">
        <v>399</v>
      </c>
      <c r="AG397" s="38"/>
      <c r="AH397" s="38"/>
      <c r="AI397" s="38"/>
      <c r="AJ397" s="38"/>
      <c r="AK397" s="6" t="s">
        <v>431</v>
      </c>
      <c r="AL397" s="17">
        <v>5413218602044</v>
      </c>
      <c r="AM397" s="15" t="s">
        <v>431</v>
      </c>
      <c r="AN397" s="5">
        <v>39191011</v>
      </c>
      <c r="AO397" s="6"/>
      <c r="AP397" s="6"/>
      <c r="AQ397" s="6" t="s">
        <v>1606</v>
      </c>
      <c r="AR397" s="6" t="s">
        <v>1605</v>
      </c>
      <c r="AS397" s="6" t="s">
        <v>366</v>
      </c>
    </row>
    <row r="398" spans="1:45" s="5" customFormat="1" ht="12.75" customHeight="1">
      <c r="A398" s="32" t="s">
        <v>1604</v>
      </c>
      <c r="B398" s="6" t="s">
        <v>396</v>
      </c>
      <c r="C398" s="31" t="s">
        <v>403</v>
      </c>
      <c r="D398" s="6" t="s">
        <v>1603</v>
      </c>
      <c r="E398" s="6" t="s">
        <v>1602</v>
      </c>
      <c r="F398" s="5" t="s">
        <v>1601</v>
      </c>
      <c r="G398" s="5" t="s">
        <v>1600</v>
      </c>
      <c r="H398" s="27" t="s">
        <v>396</v>
      </c>
      <c r="I398" s="27" t="s">
        <v>396</v>
      </c>
      <c r="J398" s="6" t="s">
        <v>1599</v>
      </c>
      <c r="K398" s="6" t="s">
        <v>1598</v>
      </c>
      <c r="L398" s="27" t="s">
        <v>399</v>
      </c>
      <c r="M398" s="27" t="s">
        <v>396</v>
      </c>
      <c r="N398" s="27" t="s">
        <v>396</v>
      </c>
      <c r="O398" s="27" t="s">
        <v>396</v>
      </c>
      <c r="P398" s="27" t="s">
        <v>396</v>
      </c>
      <c r="Q398" s="27" t="s">
        <v>396</v>
      </c>
      <c r="R398" s="6"/>
      <c r="S398" s="27" t="s">
        <v>396</v>
      </c>
      <c r="T398" s="59">
        <v>6</v>
      </c>
      <c r="U398" s="6">
        <v>50</v>
      </c>
      <c r="V398" s="35">
        <v>10000</v>
      </c>
      <c r="W398" s="27" t="s">
        <v>396</v>
      </c>
      <c r="X398" s="27" t="s">
        <v>396</v>
      </c>
      <c r="Y398" s="27" t="s">
        <v>396</v>
      </c>
      <c r="Z398" s="34"/>
      <c r="AA398" s="27" t="s">
        <v>396</v>
      </c>
      <c r="AB398" s="27" t="s">
        <v>396</v>
      </c>
      <c r="AC398" s="27" t="s">
        <v>396</v>
      </c>
      <c r="AD398" s="27" t="s">
        <v>396</v>
      </c>
      <c r="AE398" s="38"/>
      <c r="AF398" s="27" t="s">
        <v>399</v>
      </c>
      <c r="AG398" s="38"/>
      <c r="AH398" s="38"/>
      <c r="AI398" s="38"/>
      <c r="AJ398" s="38"/>
      <c r="AK398" s="6" t="s">
        <v>431</v>
      </c>
      <c r="AL398" s="17">
        <v>5413218563611</v>
      </c>
      <c r="AM398" s="15" t="s">
        <v>431</v>
      </c>
      <c r="AN398" s="5">
        <v>39231000</v>
      </c>
      <c r="AO398" s="6"/>
      <c r="AP398" s="6"/>
      <c r="AQ398" s="6" t="s">
        <v>1597</v>
      </c>
      <c r="AR398" s="6" t="s">
        <v>1596</v>
      </c>
      <c r="AS398" s="6" t="s">
        <v>366</v>
      </c>
    </row>
    <row r="399" spans="1:45" s="5" customFormat="1" ht="12.75" customHeight="1">
      <c r="A399" s="32" t="s">
        <v>1595</v>
      </c>
      <c r="B399" s="6" t="s">
        <v>396</v>
      </c>
      <c r="C399" s="31" t="s">
        <v>403</v>
      </c>
      <c r="D399" s="5" t="s">
        <v>1590</v>
      </c>
      <c r="E399" s="5" t="s">
        <v>1590</v>
      </c>
      <c r="F399" s="5" t="s">
        <v>1589</v>
      </c>
      <c r="G399" s="5" t="s">
        <v>1588</v>
      </c>
      <c r="H399" s="27" t="s">
        <v>1197</v>
      </c>
      <c r="I399" s="27" t="s">
        <v>1196</v>
      </c>
      <c r="J399" s="5" t="s">
        <v>1587</v>
      </c>
      <c r="K399" s="5" t="s">
        <v>1587</v>
      </c>
      <c r="L399" s="6" t="s">
        <v>595</v>
      </c>
      <c r="M399" s="5" t="s">
        <v>1261</v>
      </c>
      <c r="N399" s="5" t="s">
        <v>1226</v>
      </c>
      <c r="O399" s="5" t="s">
        <v>1225</v>
      </c>
      <c r="P399" s="5" t="s">
        <v>479</v>
      </c>
      <c r="Q399" s="5" t="s">
        <v>1215</v>
      </c>
      <c r="S399" s="27" t="s">
        <v>396</v>
      </c>
      <c r="T399" s="53">
        <v>0.6</v>
      </c>
      <c r="U399" s="5">
        <v>60</v>
      </c>
      <c r="V399" s="5">
        <v>3000</v>
      </c>
      <c r="W399" s="27" t="s">
        <v>396</v>
      </c>
      <c r="X399" s="27" t="s">
        <v>396</v>
      </c>
      <c r="Y399" s="27" t="s">
        <v>396</v>
      </c>
      <c r="Z399" s="55">
        <v>50</v>
      </c>
      <c r="AA399" s="27" t="s">
        <v>396</v>
      </c>
      <c r="AB399" s="27" t="s">
        <v>396</v>
      </c>
      <c r="AC399" s="27" t="s">
        <v>396</v>
      </c>
      <c r="AD399" s="27" t="s">
        <v>396</v>
      </c>
      <c r="AE399" s="27" t="s">
        <v>396</v>
      </c>
      <c r="AF399" s="27" t="s">
        <v>396</v>
      </c>
      <c r="AG399" s="27" t="s">
        <v>396</v>
      </c>
      <c r="AH399" s="27" t="s">
        <v>396</v>
      </c>
      <c r="AI399" s="27" t="s">
        <v>396</v>
      </c>
      <c r="AJ399" s="27" t="s">
        <v>396</v>
      </c>
      <c r="AK399" s="6" t="s">
        <v>395</v>
      </c>
      <c r="AL399" s="17">
        <v>5413218576345</v>
      </c>
      <c r="AM399" s="15" t="s">
        <v>395</v>
      </c>
      <c r="AN399" s="5">
        <v>72166110</v>
      </c>
      <c r="AO399" s="6" t="s">
        <v>1578</v>
      </c>
      <c r="AP399" s="6" t="s">
        <v>1577</v>
      </c>
      <c r="AQ399" s="6" t="s">
        <v>1594</v>
      </c>
      <c r="AR399" s="6" t="s">
        <v>1593</v>
      </c>
      <c r="AS399" s="6" t="s">
        <v>1592</v>
      </c>
    </row>
    <row r="400" spans="1:45" s="5" customFormat="1" ht="12.75" customHeight="1">
      <c r="A400" s="32" t="s">
        <v>1591</v>
      </c>
      <c r="B400" s="6" t="s">
        <v>396</v>
      </c>
      <c r="C400" s="31" t="s">
        <v>403</v>
      </c>
      <c r="D400" s="5" t="s">
        <v>1590</v>
      </c>
      <c r="E400" s="5" t="s">
        <v>1590</v>
      </c>
      <c r="F400" s="5" t="s">
        <v>1589</v>
      </c>
      <c r="G400" s="5" t="s">
        <v>1588</v>
      </c>
      <c r="H400" s="27" t="s">
        <v>1197</v>
      </c>
      <c r="I400" s="27" t="s">
        <v>1196</v>
      </c>
      <c r="J400" s="5" t="s">
        <v>1587</v>
      </c>
      <c r="K400" s="5" t="s">
        <v>1587</v>
      </c>
      <c r="L400" s="6" t="s">
        <v>595</v>
      </c>
      <c r="M400" s="5" t="s">
        <v>1261</v>
      </c>
      <c r="N400" s="5" t="s">
        <v>1226</v>
      </c>
      <c r="O400" s="5" t="s">
        <v>1225</v>
      </c>
      <c r="P400" s="5" t="s">
        <v>479</v>
      </c>
      <c r="Q400" s="5" t="s">
        <v>1215</v>
      </c>
      <c r="S400" s="27" t="s">
        <v>396</v>
      </c>
      <c r="T400" s="53">
        <v>0.6</v>
      </c>
      <c r="U400" s="5">
        <v>60</v>
      </c>
      <c r="V400" s="5">
        <v>4000</v>
      </c>
      <c r="W400" s="27" t="s">
        <v>396</v>
      </c>
      <c r="X400" s="27" t="s">
        <v>396</v>
      </c>
      <c r="Y400" s="27" t="s">
        <v>396</v>
      </c>
      <c r="Z400" s="55">
        <v>50</v>
      </c>
      <c r="AA400" s="27" t="s">
        <v>396</v>
      </c>
      <c r="AB400" s="27" t="s">
        <v>396</v>
      </c>
      <c r="AC400" s="27" t="s">
        <v>396</v>
      </c>
      <c r="AD400" s="27" t="s">
        <v>396</v>
      </c>
      <c r="AE400" s="27" t="s">
        <v>396</v>
      </c>
      <c r="AF400" s="27" t="s">
        <v>396</v>
      </c>
      <c r="AG400" s="27" t="s">
        <v>396</v>
      </c>
      <c r="AH400" s="27" t="s">
        <v>396</v>
      </c>
      <c r="AI400" s="27" t="s">
        <v>396</v>
      </c>
      <c r="AJ400" s="27" t="s">
        <v>396</v>
      </c>
      <c r="AK400" s="6" t="s">
        <v>395</v>
      </c>
      <c r="AL400" s="17">
        <v>5413218602389</v>
      </c>
      <c r="AM400" s="15" t="s">
        <v>395</v>
      </c>
      <c r="AN400" s="5">
        <v>39269097</v>
      </c>
      <c r="AO400" s="6" t="s">
        <v>1578</v>
      </c>
      <c r="AP400" s="6" t="s">
        <v>1577</v>
      </c>
      <c r="AQ400" s="6" t="s">
        <v>1586</v>
      </c>
      <c r="AR400" s="6" t="s">
        <v>1585</v>
      </c>
      <c r="AS400" s="6" t="s">
        <v>1584</v>
      </c>
    </row>
    <row r="401" spans="1:45" s="5" customFormat="1" ht="12.75" customHeight="1">
      <c r="A401" s="32" t="s">
        <v>1583</v>
      </c>
      <c r="B401" s="6" t="s">
        <v>396</v>
      </c>
      <c r="C401" s="31" t="s">
        <v>403</v>
      </c>
      <c r="D401" s="5" t="s">
        <v>1582</v>
      </c>
      <c r="E401" s="5" t="s">
        <v>1582</v>
      </c>
      <c r="F401" s="5" t="s">
        <v>1581</v>
      </c>
      <c r="G401" s="5" t="s">
        <v>1580</v>
      </c>
      <c r="H401" s="27" t="s">
        <v>1197</v>
      </c>
      <c r="I401" s="27" t="s">
        <v>1196</v>
      </c>
      <c r="J401" s="5" t="s">
        <v>1579</v>
      </c>
      <c r="K401" s="5" t="s">
        <v>1579</v>
      </c>
      <c r="L401" s="6" t="s">
        <v>595</v>
      </c>
      <c r="M401" s="5" t="s">
        <v>1227</v>
      </c>
      <c r="N401" s="5" t="s">
        <v>1226</v>
      </c>
      <c r="O401" s="5" t="s">
        <v>1225</v>
      </c>
      <c r="P401" s="5" t="s">
        <v>479</v>
      </c>
      <c r="Q401" s="5" t="s">
        <v>1215</v>
      </c>
      <c r="S401" s="27" t="s">
        <v>396</v>
      </c>
      <c r="T401" s="53">
        <v>0.6</v>
      </c>
      <c r="U401" s="5">
        <v>30</v>
      </c>
      <c r="V401" s="5">
        <v>4000</v>
      </c>
      <c r="W401" s="27" t="s">
        <v>396</v>
      </c>
      <c r="X401" s="27" t="s">
        <v>396</v>
      </c>
      <c r="Y401" s="27" t="s">
        <v>396</v>
      </c>
      <c r="Z401" s="55">
        <v>50</v>
      </c>
      <c r="AA401" s="27" t="s">
        <v>396</v>
      </c>
      <c r="AB401" s="27" t="s">
        <v>396</v>
      </c>
      <c r="AC401" s="27" t="s">
        <v>396</v>
      </c>
      <c r="AD401" s="27" t="s">
        <v>396</v>
      </c>
      <c r="AE401" s="27" t="s">
        <v>396</v>
      </c>
      <c r="AF401" s="27" t="s">
        <v>396</v>
      </c>
      <c r="AG401" s="27" t="s">
        <v>396</v>
      </c>
      <c r="AH401" s="27" t="s">
        <v>396</v>
      </c>
      <c r="AI401" s="27" t="s">
        <v>396</v>
      </c>
      <c r="AJ401" s="27" t="s">
        <v>396</v>
      </c>
      <c r="AK401" s="6" t="s">
        <v>395</v>
      </c>
      <c r="AL401" s="17">
        <v>5413218602402</v>
      </c>
      <c r="AM401" s="15" t="s">
        <v>395</v>
      </c>
      <c r="AN401" s="5">
        <v>72166110</v>
      </c>
      <c r="AO401" s="6" t="s">
        <v>1578</v>
      </c>
      <c r="AP401" s="6" t="s">
        <v>1577</v>
      </c>
      <c r="AQ401" s="6" t="s">
        <v>1576</v>
      </c>
      <c r="AR401" s="6" t="s">
        <v>1575</v>
      </c>
      <c r="AS401" s="6" t="s">
        <v>1574</v>
      </c>
    </row>
    <row r="402" spans="1:45" s="16" customFormat="1" ht="12.75" customHeight="1">
      <c r="A402" s="57" t="s">
        <v>1573</v>
      </c>
      <c r="B402" s="18"/>
      <c r="C402" s="18"/>
      <c r="H402" s="19"/>
      <c r="I402" s="19"/>
      <c r="L402" s="18"/>
      <c r="S402" s="19"/>
      <c r="T402" s="42"/>
      <c r="W402" s="19"/>
      <c r="X402" s="19"/>
      <c r="Y402" s="19"/>
      <c r="Z402" s="41"/>
      <c r="AA402" s="19"/>
      <c r="AB402" s="19"/>
      <c r="AC402" s="19"/>
      <c r="AD402" s="19"/>
      <c r="AE402" s="19"/>
      <c r="AF402" s="19"/>
      <c r="AG402" s="19"/>
      <c r="AH402" s="19"/>
      <c r="AI402" s="19"/>
      <c r="AJ402" s="19"/>
      <c r="AK402" s="18"/>
      <c r="AL402" s="15"/>
      <c r="AM402" s="15"/>
      <c r="AO402" s="18"/>
      <c r="AP402" s="18"/>
      <c r="AQ402" s="18"/>
      <c r="AR402" s="18"/>
      <c r="AS402" s="18"/>
    </row>
    <row r="403" spans="1:45" s="5" customFormat="1" ht="12.75" customHeight="1">
      <c r="A403" s="32" t="s">
        <v>1572</v>
      </c>
      <c r="B403" s="6" t="s">
        <v>396</v>
      </c>
      <c r="C403" s="31" t="s">
        <v>403</v>
      </c>
      <c r="D403" s="5" t="s">
        <v>641</v>
      </c>
      <c r="E403" s="5" t="s">
        <v>641</v>
      </c>
      <c r="F403" s="5" t="s">
        <v>640</v>
      </c>
      <c r="G403" s="5" t="s">
        <v>639</v>
      </c>
      <c r="H403" s="27" t="s">
        <v>1197</v>
      </c>
      <c r="I403" s="27" t="s">
        <v>1196</v>
      </c>
      <c r="J403" s="5" t="s">
        <v>638</v>
      </c>
      <c r="K403" s="5" t="s">
        <v>638</v>
      </c>
      <c r="L403" s="6" t="s">
        <v>595</v>
      </c>
      <c r="M403" s="6" t="s">
        <v>12</v>
      </c>
      <c r="N403" s="5" t="s">
        <v>637</v>
      </c>
      <c r="O403" s="5" t="s">
        <v>636</v>
      </c>
      <c r="P403" s="5" t="s">
        <v>479</v>
      </c>
      <c r="Q403" s="9" t="s">
        <v>592</v>
      </c>
      <c r="S403" s="27" t="s">
        <v>396</v>
      </c>
      <c r="T403" s="53">
        <v>0.6</v>
      </c>
      <c r="U403" s="5">
        <v>58</v>
      </c>
      <c r="V403" s="5">
        <v>100</v>
      </c>
      <c r="W403" s="27" t="s">
        <v>396</v>
      </c>
      <c r="X403" s="27" t="s">
        <v>396</v>
      </c>
      <c r="Y403" s="27" t="s">
        <v>396</v>
      </c>
      <c r="Z403" s="55">
        <v>50</v>
      </c>
      <c r="AA403" s="27" t="s">
        <v>396</v>
      </c>
      <c r="AB403" s="27" t="s">
        <v>396</v>
      </c>
      <c r="AC403" s="27" t="s">
        <v>396</v>
      </c>
      <c r="AD403" s="27" t="s">
        <v>396</v>
      </c>
      <c r="AE403" s="27" t="s">
        <v>396</v>
      </c>
      <c r="AF403" s="27" t="s">
        <v>396</v>
      </c>
      <c r="AG403" s="27" t="s">
        <v>396</v>
      </c>
      <c r="AH403" s="27" t="s">
        <v>396</v>
      </c>
      <c r="AI403" s="27" t="s">
        <v>396</v>
      </c>
      <c r="AJ403" s="27" t="s">
        <v>396</v>
      </c>
      <c r="AK403" s="6" t="s">
        <v>735</v>
      </c>
      <c r="AL403" s="17">
        <v>5413218564298</v>
      </c>
      <c r="AM403" s="15" t="s">
        <v>735</v>
      </c>
      <c r="AN403" s="5">
        <v>72166110</v>
      </c>
      <c r="AO403" s="6" t="s">
        <v>1214</v>
      </c>
      <c r="AP403" s="6" t="s">
        <v>1213</v>
      </c>
      <c r="AQ403" s="6" t="s">
        <v>1571</v>
      </c>
      <c r="AR403" s="6" t="s">
        <v>1570</v>
      </c>
      <c r="AS403" s="6" t="s">
        <v>1569</v>
      </c>
    </row>
    <row r="404" spans="1:45" s="5" customFormat="1" ht="12.75" customHeight="1">
      <c r="A404" s="32" t="s">
        <v>1568</v>
      </c>
      <c r="B404" s="6" t="s">
        <v>396</v>
      </c>
      <c r="C404" s="31" t="s">
        <v>403</v>
      </c>
      <c r="D404" s="6" t="s">
        <v>624</v>
      </c>
      <c r="E404" s="5" t="s">
        <v>624</v>
      </c>
      <c r="F404" s="6" t="s">
        <v>623</v>
      </c>
      <c r="G404" s="5" t="s">
        <v>622</v>
      </c>
      <c r="H404" s="27" t="s">
        <v>1197</v>
      </c>
      <c r="I404" s="27" t="s">
        <v>1196</v>
      </c>
      <c r="J404" s="6" t="s">
        <v>621</v>
      </c>
      <c r="K404" s="5" t="s">
        <v>621</v>
      </c>
      <c r="L404" s="9" t="s">
        <v>595</v>
      </c>
      <c r="M404" s="27" t="s">
        <v>1194</v>
      </c>
      <c r="N404" s="27" t="s">
        <v>594</v>
      </c>
      <c r="O404" s="27" t="s">
        <v>593</v>
      </c>
      <c r="P404" s="27" t="s">
        <v>479</v>
      </c>
      <c r="Q404" s="9" t="s">
        <v>592</v>
      </c>
      <c r="S404" s="27" t="s">
        <v>396</v>
      </c>
      <c r="T404" s="53">
        <v>0.75</v>
      </c>
      <c r="U404" s="5">
        <v>58</v>
      </c>
      <c r="V404" s="5">
        <v>120</v>
      </c>
      <c r="W404" s="27" t="s">
        <v>396</v>
      </c>
      <c r="X404" s="27" t="s">
        <v>396</v>
      </c>
      <c r="Y404" s="27" t="s">
        <v>396</v>
      </c>
      <c r="Z404" s="55">
        <v>50</v>
      </c>
      <c r="AA404" s="27" t="s">
        <v>396</v>
      </c>
      <c r="AB404" s="27" t="s">
        <v>396</v>
      </c>
      <c r="AC404" s="27" t="s">
        <v>396</v>
      </c>
      <c r="AD404" s="27" t="s">
        <v>396</v>
      </c>
      <c r="AE404" s="27" t="s">
        <v>396</v>
      </c>
      <c r="AF404" s="27" t="s">
        <v>396</v>
      </c>
      <c r="AG404" s="27" t="s">
        <v>396</v>
      </c>
      <c r="AH404" s="27" t="s">
        <v>396</v>
      </c>
      <c r="AI404" s="27" t="s">
        <v>396</v>
      </c>
      <c r="AJ404" s="27" t="s">
        <v>396</v>
      </c>
      <c r="AK404" s="6" t="s">
        <v>735</v>
      </c>
      <c r="AL404" s="17">
        <v>5413218602365</v>
      </c>
      <c r="AM404" s="15" t="s">
        <v>735</v>
      </c>
      <c r="AN404" s="5">
        <v>73269091</v>
      </c>
      <c r="AO404" s="6" t="s">
        <v>1214</v>
      </c>
      <c r="AP404" s="6" t="s">
        <v>1213</v>
      </c>
      <c r="AQ404" s="6" t="s">
        <v>1567</v>
      </c>
      <c r="AR404" s="6" t="s">
        <v>1566</v>
      </c>
      <c r="AS404" s="6" t="s">
        <v>1565</v>
      </c>
    </row>
    <row r="405" spans="1:45" s="5" customFormat="1" ht="12.75" customHeight="1">
      <c r="A405" s="32" t="s">
        <v>1564</v>
      </c>
      <c r="B405" s="6" t="s">
        <v>396</v>
      </c>
      <c r="C405" s="31" t="s">
        <v>403</v>
      </c>
      <c r="D405" s="5" t="s">
        <v>1563</v>
      </c>
      <c r="E405" s="5" t="s">
        <v>1563</v>
      </c>
      <c r="F405" s="5" t="s">
        <v>623</v>
      </c>
      <c r="G405" s="5" t="s">
        <v>622</v>
      </c>
      <c r="H405" s="27" t="s">
        <v>1197</v>
      </c>
      <c r="I405" s="27" t="s">
        <v>1196</v>
      </c>
      <c r="J405" s="5" t="s">
        <v>1562</v>
      </c>
      <c r="K405" s="5" t="s">
        <v>1562</v>
      </c>
      <c r="L405" s="9" t="s">
        <v>595</v>
      </c>
      <c r="M405" s="27" t="s">
        <v>1194</v>
      </c>
      <c r="N405" s="27" t="s">
        <v>594</v>
      </c>
      <c r="O405" s="27" t="s">
        <v>593</v>
      </c>
      <c r="P405" s="27" t="s">
        <v>479</v>
      </c>
      <c r="Q405" s="9" t="s">
        <v>592</v>
      </c>
      <c r="S405" s="27" t="s">
        <v>396</v>
      </c>
      <c r="T405" s="54">
        <v>1</v>
      </c>
      <c r="U405" s="56"/>
      <c r="V405" s="56"/>
      <c r="W405" s="27" t="s">
        <v>396</v>
      </c>
      <c r="X405" s="27" t="s">
        <v>396</v>
      </c>
      <c r="Y405" s="27" t="s">
        <v>396</v>
      </c>
      <c r="Z405" s="55">
        <v>50</v>
      </c>
      <c r="AA405" s="27" t="s">
        <v>396</v>
      </c>
      <c r="AB405" s="27" t="s">
        <v>396</v>
      </c>
      <c r="AC405" s="27" t="s">
        <v>396</v>
      </c>
      <c r="AD405" s="27" t="s">
        <v>396</v>
      </c>
      <c r="AE405" s="27" t="s">
        <v>396</v>
      </c>
      <c r="AF405" s="27" t="s">
        <v>396</v>
      </c>
      <c r="AG405" s="27" t="s">
        <v>396</v>
      </c>
      <c r="AH405" s="27" t="s">
        <v>396</v>
      </c>
      <c r="AI405" s="27" t="s">
        <v>396</v>
      </c>
      <c r="AJ405" s="27" t="s">
        <v>396</v>
      </c>
      <c r="AK405" s="6" t="s">
        <v>735</v>
      </c>
      <c r="AL405" s="17">
        <v>5413218564960</v>
      </c>
      <c r="AM405" s="15" t="s">
        <v>735</v>
      </c>
      <c r="AN405" s="5">
        <v>72166110</v>
      </c>
      <c r="AO405" s="6" t="s">
        <v>1214</v>
      </c>
      <c r="AP405" s="6" t="s">
        <v>1213</v>
      </c>
      <c r="AQ405" s="6"/>
      <c r="AR405" s="6"/>
      <c r="AS405" s="6" t="s">
        <v>1561</v>
      </c>
    </row>
    <row r="406" spans="1:45" s="5" customFormat="1" ht="12.75" customHeight="1">
      <c r="A406" s="32" t="s">
        <v>1560</v>
      </c>
      <c r="B406" s="6" t="s">
        <v>396</v>
      </c>
      <c r="C406" s="31" t="s">
        <v>403</v>
      </c>
      <c r="D406" s="5" t="s">
        <v>618</v>
      </c>
      <c r="E406" s="5" t="s">
        <v>618</v>
      </c>
      <c r="F406" s="5" t="s">
        <v>617</v>
      </c>
      <c r="G406" s="5" t="s">
        <v>616</v>
      </c>
      <c r="H406" s="27" t="s">
        <v>1197</v>
      </c>
      <c r="I406" s="27" t="s">
        <v>1196</v>
      </c>
      <c r="J406" s="5" t="s">
        <v>615</v>
      </c>
      <c r="K406" s="5" t="s">
        <v>615</v>
      </c>
      <c r="L406" s="9" t="s">
        <v>595</v>
      </c>
      <c r="M406" s="27" t="s">
        <v>1194</v>
      </c>
      <c r="N406" s="27" t="s">
        <v>594</v>
      </c>
      <c r="O406" s="27" t="s">
        <v>593</v>
      </c>
      <c r="P406" s="27" t="s">
        <v>479</v>
      </c>
      <c r="Q406" s="9" t="s">
        <v>592</v>
      </c>
      <c r="S406" s="27" t="s">
        <v>396</v>
      </c>
      <c r="T406" s="53">
        <v>1</v>
      </c>
      <c r="U406" s="5">
        <v>30</v>
      </c>
      <c r="V406" s="5">
        <v>305</v>
      </c>
      <c r="W406" s="27" t="s">
        <v>396</v>
      </c>
      <c r="X406" s="27" t="s">
        <v>396</v>
      </c>
      <c r="Y406" s="27" t="s">
        <v>396</v>
      </c>
      <c r="Z406" s="55">
        <v>50</v>
      </c>
      <c r="AA406" s="27" t="s">
        <v>396</v>
      </c>
      <c r="AB406" s="27" t="s">
        <v>396</v>
      </c>
      <c r="AC406" s="27" t="s">
        <v>396</v>
      </c>
      <c r="AD406" s="27" t="s">
        <v>396</v>
      </c>
      <c r="AE406" s="27" t="s">
        <v>396</v>
      </c>
      <c r="AF406" s="27" t="s">
        <v>396</v>
      </c>
      <c r="AG406" s="27" t="s">
        <v>396</v>
      </c>
      <c r="AH406" s="27" t="s">
        <v>396</v>
      </c>
      <c r="AI406" s="27" t="s">
        <v>396</v>
      </c>
      <c r="AJ406" s="27" t="s">
        <v>396</v>
      </c>
      <c r="AK406" s="6" t="s">
        <v>735</v>
      </c>
      <c r="AL406" s="17">
        <v>5413218554480</v>
      </c>
      <c r="AM406" s="15" t="s">
        <v>735</v>
      </c>
      <c r="AN406" s="5">
        <v>68091100</v>
      </c>
      <c r="AO406" s="6" t="s">
        <v>1214</v>
      </c>
      <c r="AP406" s="6" t="s">
        <v>1213</v>
      </c>
      <c r="AQ406" s="6" t="s">
        <v>1559</v>
      </c>
      <c r="AR406" s="6" t="s">
        <v>1558</v>
      </c>
      <c r="AS406" s="6" t="s">
        <v>1557</v>
      </c>
    </row>
    <row r="407" spans="1:45" s="5" customFormat="1" ht="12.75" customHeight="1">
      <c r="A407" s="32" t="s">
        <v>1556</v>
      </c>
      <c r="B407" s="6" t="s">
        <v>396</v>
      </c>
      <c r="C407" s="31" t="s">
        <v>403</v>
      </c>
      <c r="D407" s="5" t="s">
        <v>612</v>
      </c>
      <c r="E407" s="5" t="s">
        <v>612</v>
      </c>
      <c r="F407" s="5" t="s">
        <v>611</v>
      </c>
      <c r="G407" s="5" t="s">
        <v>610</v>
      </c>
      <c r="H407" s="27" t="s">
        <v>1197</v>
      </c>
      <c r="I407" s="27" t="s">
        <v>1196</v>
      </c>
      <c r="J407" s="5" t="s">
        <v>609</v>
      </c>
      <c r="K407" s="5" t="s">
        <v>609</v>
      </c>
      <c r="L407" s="9" t="s">
        <v>595</v>
      </c>
      <c r="M407" s="27" t="s">
        <v>12</v>
      </c>
      <c r="N407" s="27" t="s">
        <v>608</v>
      </c>
      <c r="O407" s="27" t="s">
        <v>607</v>
      </c>
      <c r="P407" s="27" t="s">
        <v>479</v>
      </c>
      <c r="Q407" s="9" t="s">
        <v>592</v>
      </c>
      <c r="S407" s="27" t="s">
        <v>396</v>
      </c>
      <c r="T407" s="53">
        <v>1</v>
      </c>
      <c r="U407" s="5">
        <v>56.6</v>
      </c>
      <c r="V407" s="5">
        <v>61</v>
      </c>
      <c r="W407" s="27" t="s">
        <v>396</v>
      </c>
      <c r="X407" s="27" t="s">
        <v>396</v>
      </c>
      <c r="Y407" s="27" t="s">
        <v>396</v>
      </c>
      <c r="Z407" s="55">
        <v>50</v>
      </c>
      <c r="AA407" s="27" t="s">
        <v>396</v>
      </c>
      <c r="AB407" s="27" t="s">
        <v>396</v>
      </c>
      <c r="AC407" s="27" t="s">
        <v>396</v>
      </c>
      <c r="AD407" s="27" t="s">
        <v>396</v>
      </c>
      <c r="AE407" s="27" t="s">
        <v>396</v>
      </c>
      <c r="AF407" s="27" t="s">
        <v>396</v>
      </c>
      <c r="AG407" s="27" t="s">
        <v>396</v>
      </c>
      <c r="AH407" s="27" t="s">
        <v>396</v>
      </c>
      <c r="AI407" s="27" t="s">
        <v>396</v>
      </c>
      <c r="AJ407" s="27" t="s">
        <v>396</v>
      </c>
      <c r="AK407" s="6" t="s">
        <v>735</v>
      </c>
      <c r="AL407" s="17">
        <v>5413218564250</v>
      </c>
      <c r="AM407" s="15" t="s">
        <v>735</v>
      </c>
      <c r="AN407" s="5">
        <v>72166110</v>
      </c>
      <c r="AO407" s="6" t="s">
        <v>1214</v>
      </c>
      <c r="AP407" s="6" t="s">
        <v>1213</v>
      </c>
      <c r="AQ407" s="6" t="s">
        <v>1555</v>
      </c>
      <c r="AR407" s="6" t="s">
        <v>1554</v>
      </c>
      <c r="AS407" s="6" t="s">
        <v>1553</v>
      </c>
    </row>
    <row r="408" spans="1:45" s="5" customFormat="1" ht="12.75" customHeight="1">
      <c r="A408" s="32" t="s">
        <v>1552</v>
      </c>
      <c r="B408" s="6" t="s">
        <v>396</v>
      </c>
      <c r="C408" s="31" t="s">
        <v>403</v>
      </c>
      <c r="D408" s="6" t="s">
        <v>633</v>
      </c>
      <c r="E408" s="6" t="s">
        <v>633</v>
      </c>
      <c r="F408" s="5" t="s">
        <v>631</v>
      </c>
      <c r="G408" s="5" t="s">
        <v>630</v>
      </c>
      <c r="H408" s="27" t="s">
        <v>1197</v>
      </c>
      <c r="I408" s="27" t="s">
        <v>1196</v>
      </c>
      <c r="J408" s="5" t="s">
        <v>629</v>
      </c>
      <c r="K408" s="5" t="s">
        <v>629</v>
      </c>
      <c r="L408" s="9" t="s">
        <v>595</v>
      </c>
      <c r="M408" s="27" t="s">
        <v>1194</v>
      </c>
      <c r="N408" s="27" t="s">
        <v>628</v>
      </c>
      <c r="O408" s="27" t="s">
        <v>627</v>
      </c>
      <c r="P408" s="27" t="s">
        <v>479</v>
      </c>
      <c r="Q408" s="9" t="s">
        <v>592</v>
      </c>
      <c r="S408" s="27" t="s">
        <v>396</v>
      </c>
      <c r="T408" s="53">
        <v>0.8</v>
      </c>
      <c r="U408" s="5">
        <v>58</v>
      </c>
      <c r="V408" s="5">
        <v>200</v>
      </c>
      <c r="W408" s="27" t="s">
        <v>396</v>
      </c>
      <c r="X408" s="27" t="s">
        <v>396</v>
      </c>
      <c r="Y408" s="27" t="s">
        <v>396</v>
      </c>
      <c r="Z408" s="55">
        <v>50</v>
      </c>
      <c r="AA408" s="27" t="s">
        <v>396</v>
      </c>
      <c r="AB408" s="27" t="s">
        <v>396</v>
      </c>
      <c r="AC408" s="27" t="s">
        <v>396</v>
      </c>
      <c r="AD408" s="27" t="s">
        <v>396</v>
      </c>
      <c r="AE408" s="27" t="s">
        <v>396</v>
      </c>
      <c r="AF408" s="27" t="s">
        <v>396</v>
      </c>
      <c r="AG408" s="27" t="s">
        <v>396</v>
      </c>
      <c r="AH408" s="27" t="s">
        <v>396</v>
      </c>
      <c r="AI408" s="27" t="s">
        <v>396</v>
      </c>
      <c r="AJ408" s="27" t="s">
        <v>396</v>
      </c>
      <c r="AK408" s="6" t="s">
        <v>735</v>
      </c>
      <c r="AL408" s="17">
        <v>5413218564267</v>
      </c>
      <c r="AM408" s="15" t="s">
        <v>735</v>
      </c>
      <c r="AN408" s="5">
        <v>73269091</v>
      </c>
      <c r="AO408" s="6" t="s">
        <v>1214</v>
      </c>
      <c r="AP408" s="6" t="s">
        <v>1213</v>
      </c>
      <c r="AQ408" s="6" t="s">
        <v>1551</v>
      </c>
      <c r="AR408" s="6" t="s">
        <v>1550</v>
      </c>
      <c r="AS408" s="6" t="s">
        <v>1549</v>
      </c>
    </row>
    <row r="409" spans="1:45" s="16" customFormat="1" ht="12.75" customHeight="1">
      <c r="A409" s="26" t="s">
        <v>1548</v>
      </c>
      <c r="B409" s="18" t="s">
        <v>396</v>
      </c>
      <c r="C409" s="18" t="s">
        <v>403</v>
      </c>
      <c r="D409" s="18" t="s">
        <v>633</v>
      </c>
      <c r="E409" s="6" t="s">
        <v>633</v>
      </c>
      <c r="F409" s="16" t="s">
        <v>631</v>
      </c>
      <c r="G409" s="16" t="s">
        <v>630</v>
      </c>
      <c r="H409" s="19" t="s">
        <v>1197</v>
      </c>
      <c r="I409" s="19" t="s">
        <v>1196</v>
      </c>
      <c r="J409" s="18" t="s">
        <v>1547</v>
      </c>
      <c r="K409" s="18" t="s">
        <v>1547</v>
      </c>
      <c r="L409" s="43" t="s">
        <v>595</v>
      </c>
      <c r="M409" s="19" t="s">
        <v>1194</v>
      </c>
      <c r="N409" s="19" t="s">
        <v>628</v>
      </c>
      <c r="O409" s="19" t="s">
        <v>627</v>
      </c>
      <c r="P409" s="19" t="s">
        <v>479</v>
      </c>
      <c r="Q409" s="43" t="s">
        <v>592</v>
      </c>
      <c r="S409" s="19" t="s">
        <v>396</v>
      </c>
      <c r="T409" s="42">
        <v>0.8</v>
      </c>
      <c r="U409" s="16">
        <v>58</v>
      </c>
      <c r="V409" s="16">
        <v>300</v>
      </c>
      <c r="W409" s="19" t="s">
        <v>396</v>
      </c>
      <c r="X409" s="19" t="s">
        <v>396</v>
      </c>
      <c r="Y409" s="19" t="s">
        <v>396</v>
      </c>
      <c r="Z409" s="41">
        <v>50</v>
      </c>
      <c r="AA409" s="19" t="s">
        <v>396</v>
      </c>
      <c r="AB409" s="19" t="s">
        <v>396</v>
      </c>
      <c r="AC409" s="19" t="s">
        <v>396</v>
      </c>
      <c r="AD409" s="19" t="s">
        <v>396</v>
      </c>
      <c r="AE409" s="19" t="s">
        <v>396</v>
      </c>
      <c r="AF409" s="19" t="s">
        <v>396</v>
      </c>
      <c r="AG409" s="19" t="s">
        <v>396</v>
      </c>
      <c r="AH409" s="19" t="s">
        <v>396</v>
      </c>
      <c r="AI409" s="19" t="s">
        <v>396</v>
      </c>
      <c r="AJ409" s="19" t="s">
        <v>396</v>
      </c>
      <c r="AK409" s="18" t="s">
        <v>735</v>
      </c>
      <c r="AL409" s="17">
        <v>5413218573344</v>
      </c>
      <c r="AM409" s="15" t="s">
        <v>735</v>
      </c>
      <c r="AN409" s="5">
        <v>73269091</v>
      </c>
      <c r="AO409" s="6"/>
      <c r="AP409" s="6"/>
      <c r="AQ409" s="6" t="s">
        <v>1546</v>
      </c>
      <c r="AR409" s="6" t="s">
        <v>1545</v>
      </c>
      <c r="AS409" s="6" t="s">
        <v>1544</v>
      </c>
    </row>
    <row r="410" spans="1:45" s="5" customFormat="1" ht="12.75" customHeight="1">
      <c r="A410" s="32" t="s">
        <v>1543</v>
      </c>
      <c r="B410" s="6" t="s">
        <v>396</v>
      </c>
      <c r="C410" s="31" t="s">
        <v>403</v>
      </c>
      <c r="D410" s="6" t="s">
        <v>600</v>
      </c>
      <c r="E410" s="5" t="s">
        <v>604</v>
      </c>
      <c r="F410" s="5" t="s">
        <v>598</v>
      </c>
      <c r="G410" s="5" t="s">
        <v>597</v>
      </c>
      <c r="H410" s="27" t="s">
        <v>1197</v>
      </c>
      <c r="I410" s="27" t="s">
        <v>1196</v>
      </c>
      <c r="J410" s="5" t="s">
        <v>603</v>
      </c>
      <c r="K410" s="5" t="s">
        <v>603</v>
      </c>
      <c r="L410" s="9" t="s">
        <v>595</v>
      </c>
      <c r="M410" s="27" t="s">
        <v>1194</v>
      </c>
      <c r="N410" s="27" t="s">
        <v>594</v>
      </c>
      <c r="O410" s="27" t="s">
        <v>593</v>
      </c>
      <c r="P410" s="27" t="s">
        <v>479</v>
      </c>
      <c r="Q410" s="9" t="s">
        <v>592</v>
      </c>
      <c r="S410" s="27" t="s">
        <v>396</v>
      </c>
      <c r="T410" s="53">
        <v>4</v>
      </c>
      <c r="V410" s="5">
        <v>250</v>
      </c>
      <c r="W410" s="27" t="s">
        <v>396</v>
      </c>
      <c r="X410" s="27" t="s">
        <v>396</v>
      </c>
      <c r="Y410" s="27" t="s">
        <v>396</v>
      </c>
      <c r="Z410" s="55">
        <v>50</v>
      </c>
      <c r="AA410" s="27" t="s">
        <v>396</v>
      </c>
      <c r="AB410" s="27" t="s">
        <v>396</v>
      </c>
      <c r="AC410" s="27" t="s">
        <v>396</v>
      </c>
      <c r="AD410" s="27" t="s">
        <v>396</v>
      </c>
      <c r="AE410" s="27" t="s">
        <v>396</v>
      </c>
      <c r="AF410" s="27" t="s">
        <v>396</v>
      </c>
      <c r="AG410" s="27" t="s">
        <v>396</v>
      </c>
      <c r="AH410" s="27" t="s">
        <v>396</v>
      </c>
      <c r="AI410" s="27" t="s">
        <v>396</v>
      </c>
      <c r="AJ410" s="27" t="s">
        <v>396</v>
      </c>
      <c r="AK410" s="6" t="s">
        <v>395</v>
      </c>
      <c r="AL410" s="17">
        <v>5413218564281</v>
      </c>
      <c r="AM410" s="15" t="s">
        <v>395</v>
      </c>
      <c r="AN410" s="5">
        <v>73269091</v>
      </c>
      <c r="AO410" s="6" t="s">
        <v>1205</v>
      </c>
      <c r="AP410" s="6" t="s">
        <v>1204</v>
      </c>
      <c r="AQ410" s="6" t="s">
        <v>1542</v>
      </c>
      <c r="AR410" s="6" t="s">
        <v>1541</v>
      </c>
      <c r="AS410" s="6" t="s">
        <v>1540</v>
      </c>
    </row>
    <row r="411" spans="1:45" s="5" customFormat="1" ht="12.75" customHeight="1">
      <c r="A411" s="32" t="s">
        <v>1539</v>
      </c>
      <c r="B411" s="6" t="s">
        <v>396</v>
      </c>
      <c r="C411" s="31" t="s">
        <v>403</v>
      </c>
      <c r="D411" s="6" t="s">
        <v>600</v>
      </c>
      <c r="E411" s="5" t="s">
        <v>599</v>
      </c>
      <c r="F411" s="5" t="s">
        <v>598</v>
      </c>
      <c r="G411" s="5" t="s">
        <v>597</v>
      </c>
      <c r="H411" s="27" t="s">
        <v>1197</v>
      </c>
      <c r="I411" s="27" t="s">
        <v>1196</v>
      </c>
      <c r="J411" s="5" t="s">
        <v>596</v>
      </c>
      <c r="K411" s="5" t="s">
        <v>596</v>
      </c>
      <c r="L411" s="9" t="s">
        <v>595</v>
      </c>
      <c r="M411" s="27" t="s">
        <v>1194</v>
      </c>
      <c r="N411" s="27" t="s">
        <v>594</v>
      </c>
      <c r="O411" s="27" t="s">
        <v>593</v>
      </c>
      <c r="P411" s="27" t="s">
        <v>479</v>
      </c>
      <c r="Q411" s="9" t="s">
        <v>592</v>
      </c>
      <c r="S411" s="27" t="s">
        <v>396</v>
      </c>
      <c r="T411" s="53">
        <v>4</v>
      </c>
      <c r="V411" s="5">
        <v>500</v>
      </c>
      <c r="W411" s="27" t="s">
        <v>396</v>
      </c>
      <c r="X411" s="27" t="s">
        <v>396</v>
      </c>
      <c r="Y411" s="27" t="s">
        <v>396</v>
      </c>
      <c r="Z411" s="55">
        <v>50</v>
      </c>
      <c r="AA411" s="27" t="s">
        <v>396</v>
      </c>
      <c r="AB411" s="27" t="s">
        <v>396</v>
      </c>
      <c r="AC411" s="27" t="s">
        <v>396</v>
      </c>
      <c r="AD411" s="27" t="s">
        <v>396</v>
      </c>
      <c r="AE411" s="27" t="s">
        <v>396</v>
      </c>
      <c r="AF411" s="27" t="s">
        <v>396</v>
      </c>
      <c r="AG411" s="27" t="s">
        <v>396</v>
      </c>
      <c r="AH411" s="27" t="s">
        <v>396</v>
      </c>
      <c r="AI411" s="27" t="s">
        <v>396</v>
      </c>
      <c r="AJ411" s="27" t="s">
        <v>396</v>
      </c>
      <c r="AK411" s="6" t="s">
        <v>395</v>
      </c>
      <c r="AL411" s="17">
        <v>5413218564274</v>
      </c>
      <c r="AM411" s="15" t="s">
        <v>395</v>
      </c>
      <c r="AN411" s="5">
        <v>73269091</v>
      </c>
      <c r="AO411" s="6" t="s">
        <v>1205</v>
      </c>
      <c r="AP411" s="6" t="s">
        <v>1204</v>
      </c>
      <c r="AQ411" s="6" t="s">
        <v>1538</v>
      </c>
      <c r="AR411" s="6" t="s">
        <v>1537</v>
      </c>
      <c r="AS411" s="6" t="s">
        <v>1536</v>
      </c>
    </row>
    <row r="412" spans="1:45" s="5" customFormat="1" ht="12.75" customHeight="1">
      <c r="A412" s="32" t="s">
        <v>1535</v>
      </c>
      <c r="B412" s="6" t="s">
        <v>396</v>
      </c>
      <c r="C412" s="31" t="s">
        <v>403</v>
      </c>
      <c r="D412" s="6" t="s">
        <v>600</v>
      </c>
      <c r="E412" s="5" t="s">
        <v>1534</v>
      </c>
      <c r="F412" s="5" t="s">
        <v>598</v>
      </c>
      <c r="G412" s="5" t="s">
        <v>597</v>
      </c>
      <c r="H412" s="27" t="s">
        <v>1197</v>
      </c>
      <c r="I412" s="27" t="s">
        <v>1196</v>
      </c>
      <c r="J412" s="5" t="s">
        <v>1533</v>
      </c>
      <c r="K412" s="5" t="s">
        <v>1533</v>
      </c>
      <c r="L412" s="9" t="s">
        <v>595</v>
      </c>
      <c r="M412" s="27" t="s">
        <v>1194</v>
      </c>
      <c r="N412" s="27" t="s">
        <v>594</v>
      </c>
      <c r="O412" s="27" t="s">
        <v>593</v>
      </c>
      <c r="P412" s="27" t="s">
        <v>479</v>
      </c>
      <c r="Q412" s="9" t="s">
        <v>592</v>
      </c>
      <c r="S412" s="27" t="s">
        <v>396</v>
      </c>
      <c r="T412" s="53">
        <v>4</v>
      </c>
      <c r="V412" s="5">
        <v>1000</v>
      </c>
      <c r="W412" s="27" t="s">
        <v>396</v>
      </c>
      <c r="X412" s="27" t="s">
        <v>396</v>
      </c>
      <c r="Y412" s="27" t="s">
        <v>396</v>
      </c>
      <c r="Z412" s="55">
        <v>50</v>
      </c>
      <c r="AA412" s="27" t="s">
        <v>396</v>
      </c>
      <c r="AB412" s="27" t="s">
        <v>396</v>
      </c>
      <c r="AC412" s="27" t="s">
        <v>396</v>
      </c>
      <c r="AD412" s="27" t="s">
        <v>396</v>
      </c>
      <c r="AE412" s="27" t="s">
        <v>396</v>
      </c>
      <c r="AF412" s="27" t="s">
        <v>396</v>
      </c>
      <c r="AG412" s="27" t="s">
        <v>396</v>
      </c>
      <c r="AH412" s="27" t="s">
        <v>396</v>
      </c>
      <c r="AI412" s="27" t="s">
        <v>396</v>
      </c>
      <c r="AJ412" s="27" t="s">
        <v>396</v>
      </c>
      <c r="AK412" s="6" t="s">
        <v>395</v>
      </c>
      <c r="AL412" s="17">
        <v>5413218564328</v>
      </c>
      <c r="AM412" s="15" t="s">
        <v>395</v>
      </c>
      <c r="AN412" s="5">
        <v>73269091</v>
      </c>
      <c r="AO412" s="6" t="s">
        <v>1205</v>
      </c>
      <c r="AP412" s="6" t="s">
        <v>1204</v>
      </c>
      <c r="AQ412" s="6" t="s">
        <v>1532</v>
      </c>
      <c r="AR412" s="6" t="s">
        <v>1531</v>
      </c>
      <c r="AS412" s="6" t="s">
        <v>1530</v>
      </c>
    </row>
    <row r="413" spans="1:45" s="5" customFormat="1" ht="12.75" customHeight="1">
      <c r="A413" s="32" t="s">
        <v>1529</v>
      </c>
      <c r="B413" s="6" t="s">
        <v>396</v>
      </c>
      <c r="C413" s="31" t="s">
        <v>403</v>
      </c>
      <c r="D413" s="5" t="s">
        <v>1528</v>
      </c>
      <c r="E413" s="5" t="s">
        <v>1528</v>
      </c>
      <c r="F413" s="5" t="s">
        <v>1527</v>
      </c>
      <c r="G413" s="5" t="s">
        <v>1526</v>
      </c>
      <c r="H413" s="27" t="s">
        <v>1197</v>
      </c>
      <c r="I413" s="27" t="s">
        <v>1196</v>
      </c>
      <c r="J413" s="5" t="s">
        <v>1525</v>
      </c>
      <c r="K413" s="5" t="s">
        <v>1525</v>
      </c>
      <c r="L413" s="9" t="s">
        <v>595</v>
      </c>
      <c r="M413" s="27" t="s">
        <v>1194</v>
      </c>
      <c r="N413" s="27" t="s">
        <v>594</v>
      </c>
      <c r="O413" s="27" t="s">
        <v>593</v>
      </c>
      <c r="P413" s="27" t="s">
        <v>479</v>
      </c>
      <c r="Q413" s="9" t="s">
        <v>592</v>
      </c>
      <c r="S413" s="27" t="s">
        <v>396</v>
      </c>
      <c r="T413" s="53">
        <v>4</v>
      </c>
      <c r="V413" s="5">
        <v>3000</v>
      </c>
      <c r="W413" s="27" t="s">
        <v>396</v>
      </c>
      <c r="X413" s="27" t="s">
        <v>396</v>
      </c>
      <c r="Y413" s="27" t="s">
        <v>396</v>
      </c>
      <c r="Z413" s="55">
        <v>50</v>
      </c>
      <c r="AA413" s="27" t="s">
        <v>396</v>
      </c>
      <c r="AB413" s="27" t="s">
        <v>396</v>
      </c>
      <c r="AC413" s="27" t="s">
        <v>396</v>
      </c>
      <c r="AD413" s="27" t="s">
        <v>396</v>
      </c>
      <c r="AE413" s="27" t="s">
        <v>396</v>
      </c>
      <c r="AF413" s="27" t="s">
        <v>396</v>
      </c>
      <c r="AG413" s="27" t="s">
        <v>396</v>
      </c>
      <c r="AH413" s="27" t="s">
        <v>396</v>
      </c>
      <c r="AI413" s="27" t="s">
        <v>396</v>
      </c>
      <c r="AJ413" s="27" t="s">
        <v>396</v>
      </c>
      <c r="AK413" s="6" t="s">
        <v>395</v>
      </c>
      <c r="AL413" s="17">
        <v>5413218568005</v>
      </c>
      <c r="AM413" s="15" t="s">
        <v>395</v>
      </c>
      <c r="AN413" s="5">
        <v>73269091</v>
      </c>
      <c r="AO413" s="6" t="s">
        <v>1205</v>
      </c>
      <c r="AP413" s="6" t="s">
        <v>1204</v>
      </c>
      <c r="AQ413" s="6" t="s">
        <v>1524</v>
      </c>
      <c r="AR413" s="6" t="s">
        <v>1523</v>
      </c>
      <c r="AS413" s="6" t="s">
        <v>366</v>
      </c>
    </row>
    <row r="414" spans="1:45" s="5" customFormat="1" ht="12.75" customHeight="1">
      <c r="A414" s="32" t="s">
        <v>1522</v>
      </c>
      <c r="B414" s="6" t="s">
        <v>396</v>
      </c>
      <c r="C414" s="31" t="s">
        <v>403</v>
      </c>
      <c r="D414" s="5" t="s">
        <v>1521</v>
      </c>
      <c r="E414" s="5" t="s">
        <v>1521</v>
      </c>
      <c r="F414" s="5" t="s">
        <v>1520</v>
      </c>
      <c r="G414" s="5" t="s">
        <v>1519</v>
      </c>
      <c r="H414" s="27" t="s">
        <v>1197</v>
      </c>
      <c r="I414" s="27" t="s">
        <v>1196</v>
      </c>
      <c r="J414" s="5" t="s">
        <v>1518</v>
      </c>
      <c r="K414" s="5" t="s">
        <v>1518</v>
      </c>
      <c r="L414" s="9" t="s">
        <v>595</v>
      </c>
      <c r="M414" s="27" t="s">
        <v>1194</v>
      </c>
      <c r="N414" s="27" t="s">
        <v>594</v>
      </c>
      <c r="O414" s="27" t="s">
        <v>593</v>
      </c>
      <c r="P414" s="27" t="s">
        <v>479</v>
      </c>
      <c r="Q414" s="9" t="s">
        <v>592</v>
      </c>
      <c r="S414" s="27" t="s">
        <v>396</v>
      </c>
      <c r="T414" s="53">
        <v>1</v>
      </c>
      <c r="U414" s="56"/>
      <c r="W414" s="27" t="s">
        <v>396</v>
      </c>
      <c r="X414" s="27" t="s">
        <v>396</v>
      </c>
      <c r="Y414" s="27" t="s">
        <v>396</v>
      </c>
      <c r="Z414" s="55">
        <v>50</v>
      </c>
      <c r="AA414" s="27" t="s">
        <v>396</v>
      </c>
      <c r="AB414" s="27" t="s">
        <v>396</v>
      </c>
      <c r="AC414" s="27" t="s">
        <v>396</v>
      </c>
      <c r="AD414" s="27" t="s">
        <v>396</v>
      </c>
      <c r="AE414" s="27" t="s">
        <v>396</v>
      </c>
      <c r="AF414" s="27" t="s">
        <v>396</v>
      </c>
      <c r="AG414" s="27" t="s">
        <v>396</v>
      </c>
      <c r="AH414" s="27" t="s">
        <v>396</v>
      </c>
      <c r="AI414" s="27" t="s">
        <v>396</v>
      </c>
      <c r="AJ414" s="27" t="s">
        <v>396</v>
      </c>
      <c r="AK414" s="6" t="s">
        <v>735</v>
      </c>
      <c r="AL414" s="17">
        <v>5413218562652</v>
      </c>
      <c r="AM414" s="15" t="s">
        <v>735</v>
      </c>
      <c r="AN414" s="5">
        <v>73269091</v>
      </c>
      <c r="AO414" s="6" t="s">
        <v>1214</v>
      </c>
      <c r="AP414" s="6" t="s">
        <v>1213</v>
      </c>
      <c r="AQ414" s="6" t="s">
        <v>1517</v>
      </c>
      <c r="AR414" s="6" t="s">
        <v>1516</v>
      </c>
      <c r="AS414" s="6" t="s">
        <v>1515</v>
      </c>
    </row>
    <row r="415" spans="1:45" s="5" customFormat="1" ht="12.75" customHeight="1">
      <c r="A415" s="32" t="s">
        <v>1514</v>
      </c>
      <c r="B415" s="6" t="s">
        <v>396</v>
      </c>
      <c r="C415" s="31" t="s">
        <v>403</v>
      </c>
      <c r="D415" s="6" t="s">
        <v>1488</v>
      </c>
      <c r="E415" s="6" t="s">
        <v>1488</v>
      </c>
      <c r="F415" s="5" t="s">
        <v>1487</v>
      </c>
      <c r="G415" s="5" t="s">
        <v>1486</v>
      </c>
      <c r="H415" s="27" t="s">
        <v>1197</v>
      </c>
      <c r="I415" s="27" t="s">
        <v>1196</v>
      </c>
      <c r="J415" s="5" t="s">
        <v>1513</v>
      </c>
      <c r="K415" s="5" t="s">
        <v>1513</v>
      </c>
      <c r="L415" s="9" t="s">
        <v>595</v>
      </c>
      <c r="M415" s="27" t="s">
        <v>1194</v>
      </c>
      <c r="N415" s="27" t="s">
        <v>594</v>
      </c>
      <c r="O415" s="27" t="s">
        <v>593</v>
      </c>
      <c r="P415" s="27" t="s">
        <v>479</v>
      </c>
      <c r="Q415" s="9" t="s">
        <v>592</v>
      </c>
      <c r="S415" s="27" t="s">
        <v>396</v>
      </c>
      <c r="T415" s="53">
        <v>1</v>
      </c>
      <c r="U415" s="5">
        <v>25</v>
      </c>
      <c r="V415" s="5">
        <v>200</v>
      </c>
      <c r="W415" s="27" t="s">
        <v>396</v>
      </c>
      <c r="X415" s="27" t="s">
        <v>396</v>
      </c>
      <c r="Y415" s="27" t="s">
        <v>396</v>
      </c>
      <c r="Z415" s="55">
        <v>50</v>
      </c>
      <c r="AA415" s="27" t="s">
        <v>396</v>
      </c>
      <c r="AB415" s="27" t="s">
        <v>396</v>
      </c>
      <c r="AC415" s="27" t="s">
        <v>396</v>
      </c>
      <c r="AD415" s="27" t="s">
        <v>396</v>
      </c>
      <c r="AE415" s="27" t="s">
        <v>396</v>
      </c>
      <c r="AF415" s="27" t="s">
        <v>396</v>
      </c>
      <c r="AG415" s="27" t="s">
        <v>396</v>
      </c>
      <c r="AH415" s="27" t="s">
        <v>396</v>
      </c>
      <c r="AI415" s="27" t="s">
        <v>396</v>
      </c>
      <c r="AJ415" s="27" t="s">
        <v>396</v>
      </c>
      <c r="AK415" s="6" t="s">
        <v>735</v>
      </c>
      <c r="AL415" s="17">
        <v>5413218562669</v>
      </c>
      <c r="AM415" s="15" t="s">
        <v>735</v>
      </c>
      <c r="AN415" s="5">
        <v>73269091</v>
      </c>
      <c r="AO415" s="6" t="s">
        <v>1214</v>
      </c>
      <c r="AP415" s="6" t="s">
        <v>1213</v>
      </c>
      <c r="AQ415" s="6" t="s">
        <v>1512</v>
      </c>
      <c r="AR415" s="6" t="s">
        <v>1511</v>
      </c>
      <c r="AS415" s="6" t="s">
        <v>1510</v>
      </c>
    </row>
    <row r="416" spans="1:45" s="5" customFormat="1" ht="12.75" customHeight="1">
      <c r="A416" s="32" t="s">
        <v>1509</v>
      </c>
      <c r="B416" s="6" t="s">
        <v>396</v>
      </c>
      <c r="C416" s="31" t="s">
        <v>403</v>
      </c>
      <c r="D416" s="6" t="s">
        <v>1488</v>
      </c>
      <c r="E416" s="6" t="s">
        <v>1488</v>
      </c>
      <c r="F416" s="5" t="s">
        <v>1487</v>
      </c>
      <c r="G416" s="5" t="s">
        <v>1486</v>
      </c>
      <c r="H416" s="27" t="s">
        <v>1197</v>
      </c>
      <c r="I416" s="27" t="s">
        <v>1196</v>
      </c>
      <c r="J416" s="5" t="s">
        <v>1508</v>
      </c>
      <c r="K416" s="5" t="s">
        <v>1508</v>
      </c>
      <c r="L416" s="9" t="s">
        <v>595</v>
      </c>
      <c r="M416" s="27" t="s">
        <v>1194</v>
      </c>
      <c r="N416" s="27" t="s">
        <v>594</v>
      </c>
      <c r="O416" s="27" t="s">
        <v>593</v>
      </c>
      <c r="P416" s="27" t="s">
        <v>479</v>
      </c>
      <c r="Q416" s="9" t="s">
        <v>592</v>
      </c>
      <c r="S416" s="27" t="s">
        <v>396</v>
      </c>
      <c r="T416" s="53">
        <v>1</v>
      </c>
      <c r="U416" s="5">
        <v>25</v>
      </c>
      <c r="V416" s="5">
        <v>300</v>
      </c>
      <c r="W416" s="27" t="s">
        <v>396</v>
      </c>
      <c r="X416" s="27" t="s">
        <v>396</v>
      </c>
      <c r="Y416" s="27" t="s">
        <v>396</v>
      </c>
      <c r="Z416" s="55">
        <v>50</v>
      </c>
      <c r="AA416" s="27" t="s">
        <v>396</v>
      </c>
      <c r="AB416" s="27" t="s">
        <v>396</v>
      </c>
      <c r="AC416" s="27" t="s">
        <v>396</v>
      </c>
      <c r="AD416" s="27" t="s">
        <v>396</v>
      </c>
      <c r="AE416" s="27" t="s">
        <v>396</v>
      </c>
      <c r="AF416" s="27" t="s">
        <v>396</v>
      </c>
      <c r="AG416" s="27" t="s">
        <v>396</v>
      </c>
      <c r="AH416" s="27" t="s">
        <v>396</v>
      </c>
      <c r="AI416" s="27" t="s">
        <v>396</v>
      </c>
      <c r="AJ416" s="27" t="s">
        <v>396</v>
      </c>
      <c r="AK416" s="6" t="s">
        <v>735</v>
      </c>
      <c r="AL416" s="17">
        <v>5413218562676</v>
      </c>
      <c r="AM416" s="15" t="s">
        <v>735</v>
      </c>
      <c r="AN416" s="5">
        <v>68091100</v>
      </c>
      <c r="AO416" s="6" t="s">
        <v>1214</v>
      </c>
      <c r="AP416" s="6" t="s">
        <v>1213</v>
      </c>
      <c r="AQ416" s="6" t="s">
        <v>1507</v>
      </c>
      <c r="AR416" s="6" t="s">
        <v>1506</v>
      </c>
      <c r="AS416" s="6" t="s">
        <v>1505</v>
      </c>
    </row>
    <row r="417" spans="1:45" s="5" customFormat="1" ht="12.75" customHeight="1">
      <c r="A417" s="32" t="s">
        <v>1504</v>
      </c>
      <c r="B417" s="6" t="s">
        <v>396</v>
      </c>
      <c r="C417" s="31" t="s">
        <v>403</v>
      </c>
      <c r="D417" s="6" t="s">
        <v>1488</v>
      </c>
      <c r="E417" s="6" t="s">
        <v>1488</v>
      </c>
      <c r="F417" s="5" t="s">
        <v>1487</v>
      </c>
      <c r="G417" s="5" t="s">
        <v>1486</v>
      </c>
      <c r="H417" s="27" t="s">
        <v>1197</v>
      </c>
      <c r="I417" s="27" t="s">
        <v>1196</v>
      </c>
      <c r="J417" s="5" t="s">
        <v>1503</v>
      </c>
      <c r="K417" s="5" t="s">
        <v>1503</v>
      </c>
      <c r="L417" s="9" t="s">
        <v>595</v>
      </c>
      <c r="M417" s="27" t="s">
        <v>1194</v>
      </c>
      <c r="N417" s="27" t="s">
        <v>594</v>
      </c>
      <c r="O417" s="27" t="s">
        <v>593</v>
      </c>
      <c r="P417" s="27" t="s">
        <v>479</v>
      </c>
      <c r="Q417" s="9" t="s">
        <v>592</v>
      </c>
      <c r="S417" s="27" t="s">
        <v>396</v>
      </c>
      <c r="T417" s="53">
        <v>1</v>
      </c>
      <c r="U417" s="5">
        <v>25</v>
      </c>
      <c r="V417" s="5">
        <v>400</v>
      </c>
      <c r="W417" s="27" t="s">
        <v>396</v>
      </c>
      <c r="X417" s="27" t="s">
        <v>396</v>
      </c>
      <c r="Y417" s="27" t="s">
        <v>396</v>
      </c>
      <c r="Z417" s="55">
        <v>50</v>
      </c>
      <c r="AA417" s="27" t="s">
        <v>396</v>
      </c>
      <c r="AB417" s="27" t="s">
        <v>396</v>
      </c>
      <c r="AC417" s="27" t="s">
        <v>396</v>
      </c>
      <c r="AD417" s="27" t="s">
        <v>396</v>
      </c>
      <c r="AE417" s="27" t="s">
        <v>396</v>
      </c>
      <c r="AF417" s="27" t="s">
        <v>396</v>
      </c>
      <c r="AG417" s="27" t="s">
        <v>396</v>
      </c>
      <c r="AH417" s="27" t="s">
        <v>396</v>
      </c>
      <c r="AI417" s="27" t="s">
        <v>396</v>
      </c>
      <c r="AJ417" s="27" t="s">
        <v>396</v>
      </c>
      <c r="AK417" s="6" t="s">
        <v>735</v>
      </c>
      <c r="AL417" s="17">
        <v>5413218562683</v>
      </c>
      <c r="AM417" s="15" t="s">
        <v>735</v>
      </c>
      <c r="AN417" s="5">
        <v>73269091</v>
      </c>
      <c r="AO417" s="6" t="s">
        <v>1214</v>
      </c>
      <c r="AP417" s="6" t="s">
        <v>1213</v>
      </c>
      <c r="AQ417" s="6" t="s">
        <v>1502</v>
      </c>
      <c r="AR417" s="6" t="s">
        <v>1501</v>
      </c>
      <c r="AS417" s="6" t="s">
        <v>1500</v>
      </c>
    </row>
    <row r="418" spans="1:45" s="5" customFormat="1" ht="12.75" customHeight="1">
      <c r="A418" s="32" t="s">
        <v>1499</v>
      </c>
      <c r="B418" s="6" t="s">
        <v>396</v>
      </c>
      <c r="C418" s="31" t="s">
        <v>403</v>
      </c>
      <c r="D418" s="6" t="s">
        <v>1488</v>
      </c>
      <c r="E418" s="6" t="s">
        <v>1488</v>
      </c>
      <c r="F418" s="5" t="s">
        <v>1487</v>
      </c>
      <c r="G418" s="5" t="s">
        <v>1486</v>
      </c>
      <c r="H418" s="27" t="s">
        <v>1197</v>
      </c>
      <c r="I418" s="27" t="s">
        <v>1196</v>
      </c>
      <c r="J418" s="5" t="s">
        <v>1498</v>
      </c>
      <c r="K418" s="5" t="s">
        <v>1498</v>
      </c>
      <c r="L418" s="9" t="s">
        <v>595</v>
      </c>
      <c r="M418" s="27" t="s">
        <v>1194</v>
      </c>
      <c r="N418" s="27" t="s">
        <v>594</v>
      </c>
      <c r="O418" s="27" t="s">
        <v>593</v>
      </c>
      <c r="P418" s="27" t="s">
        <v>479</v>
      </c>
      <c r="Q418" s="9" t="s">
        <v>592</v>
      </c>
      <c r="S418" s="27" t="s">
        <v>396</v>
      </c>
      <c r="T418" s="53">
        <v>1</v>
      </c>
      <c r="U418" s="5">
        <v>25</v>
      </c>
      <c r="V418" s="5">
        <v>600</v>
      </c>
      <c r="W418" s="27" t="s">
        <v>396</v>
      </c>
      <c r="X418" s="27" t="s">
        <v>396</v>
      </c>
      <c r="Y418" s="27" t="s">
        <v>396</v>
      </c>
      <c r="Z418" s="55">
        <v>50</v>
      </c>
      <c r="AA418" s="27" t="s">
        <v>396</v>
      </c>
      <c r="AB418" s="27" t="s">
        <v>396</v>
      </c>
      <c r="AC418" s="27" t="s">
        <v>396</v>
      </c>
      <c r="AD418" s="27" t="s">
        <v>396</v>
      </c>
      <c r="AE418" s="27" t="s">
        <v>396</v>
      </c>
      <c r="AF418" s="27" t="s">
        <v>396</v>
      </c>
      <c r="AG418" s="27" t="s">
        <v>396</v>
      </c>
      <c r="AH418" s="27" t="s">
        <v>396</v>
      </c>
      <c r="AI418" s="27" t="s">
        <v>396</v>
      </c>
      <c r="AJ418" s="27" t="s">
        <v>396</v>
      </c>
      <c r="AK418" s="6" t="s">
        <v>735</v>
      </c>
      <c r="AL418" s="17">
        <v>5413218562690</v>
      </c>
      <c r="AM418" s="15" t="s">
        <v>735</v>
      </c>
      <c r="AN418" s="5">
        <v>73269091</v>
      </c>
      <c r="AO418" s="6" t="s">
        <v>1214</v>
      </c>
      <c r="AP418" s="6" t="s">
        <v>1213</v>
      </c>
      <c r="AQ418" s="6" t="s">
        <v>1497</v>
      </c>
      <c r="AR418" s="6" t="s">
        <v>1496</v>
      </c>
      <c r="AS418" s="6" t="s">
        <v>1495</v>
      </c>
    </row>
    <row r="419" spans="1:45" s="5" customFormat="1" ht="12.75" customHeight="1">
      <c r="A419" s="32" t="s">
        <v>1494</v>
      </c>
      <c r="B419" s="6" t="s">
        <v>396</v>
      </c>
      <c r="C419" s="31" t="s">
        <v>403</v>
      </c>
      <c r="D419" s="6" t="s">
        <v>1488</v>
      </c>
      <c r="E419" s="6" t="s">
        <v>1488</v>
      </c>
      <c r="F419" s="5" t="s">
        <v>1487</v>
      </c>
      <c r="G419" s="5" t="s">
        <v>1486</v>
      </c>
      <c r="H419" s="27" t="s">
        <v>1197</v>
      </c>
      <c r="I419" s="27" t="s">
        <v>1196</v>
      </c>
      <c r="J419" s="5" t="s">
        <v>1493</v>
      </c>
      <c r="K419" s="5" t="s">
        <v>1493</v>
      </c>
      <c r="L419" s="9" t="s">
        <v>595</v>
      </c>
      <c r="M419" s="27" t="s">
        <v>1194</v>
      </c>
      <c r="N419" s="27" t="s">
        <v>594</v>
      </c>
      <c r="O419" s="27" t="s">
        <v>593</v>
      </c>
      <c r="P419" s="27" t="s">
        <v>479</v>
      </c>
      <c r="Q419" s="9" t="s">
        <v>592</v>
      </c>
      <c r="S419" s="27" t="s">
        <v>396</v>
      </c>
      <c r="T419" s="53">
        <v>1</v>
      </c>
      <c r="U419" s="5">
        <v>25</v>
      </c>
      <c r="V419" s="5">
        <v>800</v>
      </c>
      <c r="W419" s="27" t="s">
        <v>396</v>
      </c>
      <c r="X419" s="27" t="s">
        <v>396</v>
      </c>
      <c r="Y419" s="27" t="s">
        <v>396</v>
      </c>
      <c r="Z419" s="55">
        <v>50</v>
      </c>
      <c r="AA419" s="27" t="s">
        <v>396</v>
      </c>
      <c r="AB419" s="27" t="s">
        <v>396</v>
      </c>
      <c r="AC419" s="27" t="s">
        <v>396</v>
      </c>
      <c r="AD419" s="27" t="s">
        <v>396</v>
      </c>
      <c r="AE419" s="27" t="s">
        <v>396</v>
      </c>
      <c r="AF419" s="27" t="s">
        <v>396</v>
      </c>
      <c r="AG419" s="27" t="s">
        <v>396</v>
      </c>
      <c r="AH419" s="27" t="s">
        <v>396</v>
      </c>
      <c r="AI419" s="27" t="s">
        <v>396</v>
      </c>
      <c r="AJ419" s="27" t="s">
        <v>396</v>
      </c>
      <c r="AK419" s="6" t="s">
        <v>735</v>
      </c>
      <c r="AL419" s="17">
        <v>5413218562706</v>
      </c>
      <c r="AM419" s="15" t="s">
        <v>735</v>
      </c>
      <c r="AN419" s="5">
        <v>73269091</v>
      </c>
      <c r="AO419" s="6" t="s">
        <v>1214</v>
      </c>
      <c r="AP419" s="6" t="s">
        <v>1213</v>
      </c>
      <c r="AQ419" s="6" t="s">
        <v>1492</v>
      </c>
      <c r="AR419" s="6" t="s">
        <v>1491</v>
      </c>
      <c r="AS419" s="6" t="s">
        <v>1490</v>
      </c>
    </row>
    <row r="420" spans="1:45" s="5" customFormat="1" ht="12.75" customHeight="1">
      <c r="A420" s="32" t="s">
        <v>1489</v>
      </c>
      <c r="B420" s="6" t="s">
        <v>396</v>
      </c>
      <c r="C420" s="31" t="s">
        <v>403</v>
      </c>
      <c r="D420" s="6" t="s">
        <v>1488</v>
      </c>
      <c r="E420" s="6" t="s">
        <v>1488</v>
      </c>
      <c r="F420" s="5" t="s">
        <v>1487</v>
      </c>
      <c r="G420" s="5" t="s">
        <v>1486</v>
      </c>
      <c r="H420" s="27" t="s">
        <v>1197</v>
      </c>
      <c r="I420" s="27" t="s">
        <v>1196</v>
      </c>
      <c r="J420" s="5" t="s">
        <v>1485</v>
      </c>
      <c r="K420" s="5" t="s">
        <v>1485</v>
      </c>
      <c r="L420" s="9" t="s">
        <v>595</v>
      </c>
      <c r="M420" s="27" t="s">
        <v>1194</v>
      </c>
      <c r="N420" s="27" t="s">
        <v>594</v>
      </c>
      <c r="O420" s="27" t="s">
        <v>593</v>
      </c>
      <c r="P420" s="27" t="s">
        <v>479</v>
      </c>
      <c r="Q420" s="9" t="s">
        <v>592</v>
      </c>
      <c r="S420" s="27" t="s">
        <v>396</v>
      </c>
      <c r="T420" s="53">
        <v>1</v>
      </c>
      <c r="U420" s="5">
        <v>25</v>
      </c>
      <c r="V420" s="5">
        <v>1000</v>
      </c>
      <c r="W420" s="27" t="s">
        <v>396</v>
      </c>
      <c r="X420" s="27" t="s">
        <v>396</v>
      </c>
      <c r="Y420" s="27" t="s">
        <v>396</v>
      </c>
      <c r="Z420" s="55">
        <v>50</v>
      </c>
      <c r="AA420" s="27" t="s">
        <v>396</v>
      </c>
      <c r="AB420" s="27" t="s">
        <v>396</v>
      </c>
      <c r="AC420" s="27" t="s">
        <v>396</v>
      </c>
      <c r="AD420" s="27" t="s">
        <v>396</v>
      </c>
      <c r="AE420" s="27" t="s">
        <v>396</v>
      </c>
      <c r="AF420" s="27" t="s">
        <v>396</v>
      </c>
      <c r="AG420" s="27" t="s">
        <v>396</v>
      </c>
      <c r="AH420" s="27" t="s">
        <v>396</v>
      </c>
      <c r="AI420" s="27" t="s">
        <v>396</v>
      </c>
      <c r="AJ420" s="27" t="s">
        <v>396</v>
      </c>
      <c r="AK420" s="6" t="s">
        <v>735</v>
      </c>
      <c r="AL420" s="17">
        <v>5413218562713</v>
      </c>
      <c r="AM420" s="15" t="s">
        <v>735</v>
      </c>
      <c r="AN420" s="5">
        <v>73269091</v>
      </c>
      <c r="AO420" s="6" t="s">
        <v>1214</v>
      </c>
      <c r="AP420" s="6" t="s">
        <v>1213</v>
      </c>
      <c r="AQ420" s="6" t="s">
        <v>1484</v>
      </c>
      <c r="AR420" s="6" t="s">
        <v>1483</v>
      </c>
      <c r="AS420" s="6" t="s">
        <v>1482</v>
      </c>
    </row>
    <row r="421" spans="1:45" s="5" customFormat="1" ht="12.75" customHeight="1">
      <c r="A421" s="32" t="s">
        <v>1481</v>
      </c>
      <c r="B421" s="6" t="s">
        <v>396</v>
      </c>
      <c r="C421" s="31" t="s">
        <v>403</v>
      </c>
      <c r="D421" s="5" t="s">
        <v>1480</v>
      </c>
      <c r="E421" s="5" t="s">
        <v>1480</v>
      </c>
      <c r="F421" s="5" t="s">
        <v>1479</v>
      </c>
      <c r="G421" s="5" t="s">
        <v>1478</v>
      </c>
      <c r="H421" s="27" t="s">
        <v>1197</v>
      </c>
      <c r="I421" s="27" t="s">
        <v>1196</v>
      </c>
      <c r="J421" s="5" t="s">
        <v>1477</v>
      </c>
      <c r="K421" s="5" t="s">
        <v>1477</v>
      </c>
      <c r="L421" s="9" t="s">
        <v>595</v>
      </c>
      <c r="M421" s="27" t="s">
        <v>1194</v>
      </c>
      <c r="N421" s="27" t="s">
        <v>594</v>
      </c>
      <c r="O421" s="27" t="s">
        <v>593</v>
      </c>
      <c r="P421" s="27" t="s">
        <v>479</v>
      </c>
      <c r="Q421" s="9" t="s">
        <v>592</v>
      </c>
      <c r="S421" s="27" t="s">
        <v>396</v>
      </c>
      <c r="T421" s="53">
        <v>2.5</v>
      </c>
      <c r="V421" s="5">
        <v>70</v>
      </c>
      <c r="W421" s="27" t="s">
        <v>396</v>
      </c>
      <c r="X421" s="27" t="s">
        <v>396</v>
      </c>
      <c r="Y421" s="27" t="s">
        <v>396</v>
      </c>
      <c r="Z421" s="55">
        <v>50</v>
      </c>
      <c r="AA421" s="27" t="s">
        <v>396</v>
      </c>
      <c r="AB421" s="27" t="s">
        <v>396</v>
      </c>
      <c r="AC421" s="27" t="s">
        <v>396</v>
      </c>
      <c r="AD421" s="27" t="s">
        <v>396</v>
      </c>
      <c r="AE421" s="27" t="s">
        <v>396</v>
      </c>
      <c r="AF421" s="27" t="s">
        <v>396</v>
      </c>
      <c r="AG421" s="27" t="s">
        <v>396</v>
      </c>
      <c r="AH421" s="27" t="s">
        <v>396</v>
      </c>
      <c r="AI421" s="27" t="s">
        <v>396</v>
      </c>
      <c r="AJ421" s="27" t="s">
        <v>396</v>
      </c>
      <c r="AK421" s="6" t="s">
        <v>735</v>
      </c>
      <c r="AL421" s="17">
        <v>5413218562720</v>
      </c>
      <c r="AM421" s="15" t="s">
        <v>735</v>
      </c>
      <c r="AN421" s="5">
        <v>73269091</v>
      </c>
      <c r="AO421" s="6" t="s">
        <v>1214</v>
      </c>
      <c r="AP421" s="6" t="s">
        <v>1213</v>
      </c>
      <c r="AQ421" s="6" t="s">
        <v>1476</v>
      </c>
      <c r="AR421" s="6" t="s">
        <v>1475</v>
      </c>
      <c r="AS421" s="6" t="s">
        <v>1474</v>
      </c>
    </row>
    <row r="422" spans="1:45" s="5" customFormat="1" ht="12.75" customHeight="1">
      <c r="A422" s="32" t="s">
        <v>1473</v>
      </c>
      <c r="B422" s="6" t="s">
        <v>396</v>
      </c>
      <c r="C422" s="31" t="s">
        <v>403</v>
      </c>
      <c r="D422" s="5" t="s">
        <v>1472</v>
      </c>
      <c r="E422" s="5" t="s">
        <v>1472</v>
      </c>
      <c r="F422" s="5" t="s">
        <v>1471</v>
      </c>
      <c r="G422" s="5" t="s">
        <v>1470</v>
      </c>
      <c r="H422" s="27" t="s">
        <v>1197</v>
      </c>
      <c r="I422" s="27" t="s">
        <v>1196</v>
      </c>
      <c r="J422" s="5" t="s">
        <v>1469</v>
      </c>
      <c r="K422" s="5" t="s">
        <v>1469</v>
      </c>
      <c r="L422" s="9" t="s">
        <v>595</v>
      </c>
      <c r="M422" s="27" t="s">
        <v>12</v>
      </c>
      <c r="N422" s="27" t="s">
        <v>1468</v>
      </c>
      <c r="O422" s="27" t="s">
        <v>1467</v>
      </c>
      <c r="P422" s="27" t="s">
        <v>479</v>
      </c>
      <c r="Q422" s="9" t="s">
        <v>592</v>
      </c>
      <c r="S422" s="27" t="s">
        <v>396</v>
      </c>
      <c r="T422" s="53">
        <v>1</v>
      </c>
      <c r="U422" s="5">
        <v>20</v>
      </c>
      <c r="W422" s="27" t="s">
        <v>396</v>
      </c>
      <c r="X422" s="27" t="s">
        <v>396</v>
      </c>
      <c r="Y422" s="27" t="s">
        <v>396</v>
      </c>
      <c r="Z422" s="55">
        <v>50</v>
      </c>
      <c r="AA422" s="27" t="s">
        <v>396</v>
      </c>
      <c r="AB422" s="27" t="s">
        <v>396</v>
      </c>
      <c r="AC422" s="27" t="s">
        <v>396</v>
      </c>
      <c r="AD422" s="27" t="s">
        <v>396</v>
      </c>
      <c r="AE422" s="27" t="s">
        <v>396</v>
      </c>
      <c r="AF422" s="27" t="s">
        <v>396</v>
      </c>
      <c r="AG422" s="27" t="s">
        <v>396</v>
      </c>
      <c r="AH422" s="27" t="s">
        <v>396</v>
      </c>
      <c r="AI422" s="27" t="s">
        <v>396</v>
      </c>
      <c r="AJ422" s="27" t="s">
        <v>396</v>
      </c>
      <c r="AK422" s="6" t="s">
        <v>735</v>
      </c>
      <c r="AL422" s="17">
        <v>5413218562737</v>
      </c>
      <c r="AM422" s="15" t="s">
        <v>735</v>
      </c>
      <c r="AN422" s="5">
        <v>73269091</v>
      </c>
      <c r="AO422" s="6" t="s">
        <v>1214</v>
      </c>
      <c r="AP422" s="6" t="s">
        <v>1213</v>
      </c>
      <c r="AQ422" s="6" t="s">
        <v>1466</v>
      </c>
      <c r="AR422" s="6" t="s">
        <v>1465</v>
      </c>
      <c r="AS422" s="6" t="s">
        <v>1464</v>
      </c>
    </row>
    <row r="423" spans="1:45" s="5" customFormat="1" ht="12.75" customHeight="1">
      <c r="A423" s="33" t="s">
        <v>1463</v>
      </c>
      <c r="B423" s="6" t="s">
        <v>396</v>
      </c>
      <c r="C423" s="31" t="s">
        <v>403</v>
      </c>
      <c r="D423" s="5" t="s">
        <v>1462</v>
      </c>
      <c r="E423" s="5" t="s">
        <v>1462</v>
      </c>
      <c r="F423" s="5" t="s">
        <v>759</v>
      </c>
      <c r="G423" s="5" t="s">
        <v>758</v>
      </c>
      <c r="H423" s="27" t="s">
        <v>1197</v>
      </c>
      <c r="I423" s="27" t="s">
        <v>1196</v>
      </c>
      <c r="J423" s="5" t="s">
        <v>1461</v>
      </c>
      <c r="K423" s="5" t="s">
        <v>1461</v>
      </c>
      <c r="L423" s="9" t="s">
        <v>595</v>
      </c>
      <c r="M423" s="27" t="s">
        <v>12</v>
      </c>
      <c r="N423" s="27" t="s">
        <v>1460</v>
      </c>
      <c r="O423" s="27" t="s">
        <v>1459</v>
      </c>
      <c r="P423" s="27" t="s">
        <v>479</v>
      </c>
      <c r="Q423" s="9" t="s">
        <v>592</v>
      </c>
      <c r="S423" s="27" t="s">
        <v>396</v>
      </c>
      <c r="T423" s="53">
        <v>0.9</v>
      </c>
      <c r="U423" s="56"/>
      <c r="W423" s="27" t="s">
        <v>396</v>
      </c>
      <c r="X423" s="27" t="s">
        <v>396</v>
      </c>
      <c r="Y423" s="27" t="s">
        <v>396</v>
      </c>
      <c r="Z423" s="55">
        <v>50</v>
      </c>
      <c r="AA423" s="27" t="s">
        <v>396</v>
      </c>
      <c r="AB423" s="27" t="s">
        <v>396</v>
      </c>
      <c r="AC423" s="27" t="s">
        <v>396</v>
      </c>
      <c r="AD423" s="27" t="s">
        <v>396</v>
      </c>
      <c r="AE423" s="27" t="s">
        <v>396</v>
      </c>
      <c r="AF423" s="27" t="s">
        <v>396</v>
      </c>
      <c r="AG423" s="27" t="s">
        <v>396</v>
      </c>
      <c r="AH423" s="27" t="s">
        <v>396</v>
      </c>
      <c r="AI423" s="27" t="s">
        <v>396</v>
      </c>
      <c r="AJ423" s="27" t="s">
        <v>396</v>
      </c>
      <c r="AK423" s="6" t="s">
        <v>735</v>
      </c>
      <c r="AL423" s="17">
        <v>5413218563208</v>
      </c>
      <c r="AM423" s="15" t="s">
        <v>735</v>
      </c>
      <c r="AN423" s="5">
        <v>72122000</v>
      </c>
      <c r="AO423" s="6" t="s">
        <v>1214</v>
      </c>
      <c r="AP423" s="6" t="s">
        <v>1213</v>
      </c>
      <c r="AQ423" s="6" t="s">
        <v>1458</v>
      </c>
      <c r="AR423" s="6" t="s">
        <v>1457</v>
      </c>
      <c r="AS423" s="6" t="s">
        <v>1456</v>
      </c>
    </row>
    <row r="424" spans="1:45" s="5" customFormat="1" ht="12.75" customHeight="1">
      <c r="A424" s="32" t="s">
        <v>1455</v>
      </c>
      <c r="B424" s="6" t="s">
        <v>396</v>
      </c>
      <c r="C424" s="31" t="s">
        <v>403</v>
      </c>
      <c r="D424" s="5" t="s">
        <v>1454</v>
      </c>
      <c r="E424" s="5" t="s">
        <v>1454</v>
      </c>
      <c r="F424" s="5" t="s">
        <v>1453</v>
      </c>
      <c r="G424" s="5" t="s">
        <v>1452</v>
      </c>
      <c r="H424" s="27" t="s">
        <v>1443</v>
      </c>
      <c r="I424" s="27" t="s">
        <v>1442</v>
      </c>
      <c r="J424" s="5" t="s">
        <v>1451</v>
      </c>
      <c r="K424" s="5" t="s">
        <v>1451</v>
      </c>
      <c r="L424" s="9" t="s">
        <v>595</v>
      </c>
      <c r="M424" s="27" t="s">
        <v>1194</v>
      </c>
      <c r="N424" s="27" t="s">
        <v>608</v>
      </c>
      <c r="O424" s="27" t="s">
        <v>607</v>
      </c>
      <c r="P424" s="27" t="s">
        <v>479</v>
      </c>
      <c r="Q424" s="9" t="s">
        <v>592</v>
      </c>
      <c r="S424" s="27" t="s">
        <v>396</v>
      </c>
      <c r="T424" s="53">
        <v>1</v>
      </c>
      <c r="U424" s="5">
        <v>56.6</v>
      </c>
      <c r="V424" s="5">
        <v>61</v>
      </c>
      <c r="W424" s="27" t="s">
        <v>396</v>
      </c>
      <c r="X424" s="27" t="s">
        <v>396</v>
      </c>
      <c r="Y424" s="27" t="s">
        <v>396</v>
      </c>
      <c r="Z424" s="55">
        <v>50</v>
      </c>
      <c r="AA424" s="27" t="s">
        <v>396</v>
      </c>
      <c r="AB424" s="27" t="s">
        <v>396</v>
      </c>
      <c r="AC424" s="27" t="s">
        <v>396</v>
      </c>
      <c r="AD424" s="27" t="s">
        <v>396</v>
      </c>
      <c r="AE424" s="27" t="s">
        <v>396</v>
      </c>
      <c r="AF424" s="27" t="s">
        <v>396</v>
      </c>
      <c r="AG424" s="27" t="s">
        <v>396</v>
      </c>
      <c r="AH424" s="27" t="s">
        <v>396</v>
      </c>
      <c r="AI424" s="27" t="s">
        <v>396</v>
      </c>
      <c r="AJ424" s="27" t="s">
        <v>396</v>
      </c>
      <c r="AK424" s="6" t="s">
        <v>735</v>
      </c>
      <c r="AL424" s="17">
        <v>5413218563796</v>
      </c>
      <c r="AM424" s="15" t="s">
        <v>735</v>
      </c>
      <c r="AN424" s="5">
        <v>72166110</v>
      </c>
      <c r="AO424" s="6" t="s">
        <v>1214</v>
      </c>
      <c r="AP424" s="6" t="s">
        <v>1213</v>
      </c>
      <c r="AQ424" s="6" t="s">
        <v>1450</v>
      </c>
      <c r="AR424" s="6" t="s">
        <v>1449</v>
      </c>
      <c r="AS424" s="6" t="s">
        <v>1448</v>
      </c>
    </row>
    <row r="425" spans="1:45" s="5" customFormat="1" ht="12.75" customHeight="1">
      <c r="A425" s="32" t="s">
        <v>1447</v>
      </c>
      <c r="B425" s="6" t="s">
        <v>396</v>
      </c>
      <c r="C425" s="31" t="s">
        <v>403</v>
      </c>
      <c r="D425" s="5" t="s">
        <v>1446</v>
      </c>
      <c r="E425" s="5" t="s">
        <v>1446</v>
      </c>
      <c r="F425" s="5" t="s">
        <v>1445</v>
      </c>
      <c r="G425" s="5" t="s">
        <v>1444</v>
      </c>
      <c r="H425" s="27" t="s">
        <v>1443</v>
      </c>
      <c r="I425" s="27" t="s">
        <v>1442</v>
      </c>
      <c r="J425" s="5" t="s">
        <v>1441</v>
      </c>
      <c r="K425" s="5" t="s">
        <v>1441</v>
      </c>
      <c r="L425" s="9" t="s">
        <v>595</v>
      </c>
      <c r="M425" s="27" t="s">
        <v>1194</v>
      </c>
      <c r="N425" s="27" t="s">
        <v>594</v>
      </c>
      <c r="O425" s="27" t="s">
        <v>593</v>
      </c>
      <c r="P425" s="27" t="s">
        <v>479</v>
      </c>
      <c r="Q425" s="9" t="s">
        <v>592</v>
      </c>
      <c r="S425" s="27" t="s">
        <v>396</v>
      </c>
      <c r="T425" s="53">
        <v>1</v>
      </c>
      <c r="U425" s="5">
        <v>30</v>
      </c>
      <c r="V425" s="5">
        <v>305</v>
      </c>
      <c r="W425" s="27" t="s">
        <v>396</v>
      </c>
      <c r="X425" s="27" t="s">
        <v>396</v>
      </c>
      <c r="Y425" s="27" t="s">
        <v>396</v>
      </c>
      <c r="Z425" s="55">
        <v>50</v>
      </c>
      <c r="AA425" s="27" t="s">
        <v>396</v>
      </c>
      <c r="AB425" s="27" t="s">
        <v>396</v>
      </c>
      <c r="AC425" s="27" t="s">
        <v>396</v>
      </c>
      <c r="AD425" s="27" t="s">
        <v>396</v>
      </c>
      <c r="AE425" s="27" t="s">
        <v>396</v>
      </c>
      <c r="AF425" s="27" t="s">
        <v>396</v>
      </c>
      <c r="AG425" s="27" t="s">
        <v>396</v>
      </c>
      <c r="AH425" s="27" t="s">
        <v>396</v>
      </c>
      <c r="AI425" s="27" t="s">
        <v>396</v>
      </c>
      <c r="AJ425" s="27" t="s">
        <v>396</v>
      </c>
      <c r="AK425" s="6" t="s">
        <v>735</v>
      </c>
      <c r="AL425" s="17">
        <v>5413218563802</v>
      </c>
      <c r="AM425" s="15" t="s">
        <v>735</v>
      </c>
      <c r="AN425" s="5">
        <v>73269091</v>
      </c>
      <c r="AO425" s="6" t="s">
        <v>1214</v>
      </c>
      <c r="AP425" s="6" t="s">
        <v>1213</v>
      </c>
      <c r="AQ425" s="6" t="s">
        <v>1440</v>
      </c>
      <c r="AR425" s="6" t="s">
        <v>1439</v>
      </c>
      <c r="AS425" s="6" t="s">
        <v>366</v>
      </c>
    </row>
    <row r="426" spans="1:45" s="5" customFormat="1" ht="12.75" customHeight="1">
      <c r="A426" s="32" t="s">
        <v>1438</v>
      </c>
      <c r="B426" s="6" t="s">
        <v>396</v>
      </c>
      <c r="C426" s="31" t="s">
        <v>403</v>
      </c>
      <c r="D426" s="5" t="s">
        <v>1437</v>
      </c>
      <c r="E426" s="6" t="s">
        <v>1436</v>
      </c>
      <c r="F426" s="6" t="s">
        <v>1435</v>
      </c>
      <c r="G426" s="6" t="s">
        <v>1434</v>
      </c>
      <c r="H426" s="27" t="s">
        <v>1197</v>
      </c>
      <c r="I426" s="27" t="s">
        <v>1196</v>
      </c>
      <c r="J426" s="6" t="s">
        <v>1433</v>
      </c>
      <c r="K426" s="6" t="s">
        <v>1432</v>
      </c>
      <c r="L426" s="6" t="s">
        <v>595</v>
      </c>
      <c r="M426" s="5" t="s">
        <v>1246</v>
      </c>
      <c r="N426" s="5" t="s">
        <v>1226</v>
      </c>
      <c r="O426" s="5" t="s">
        <v>1225</v>
      </c>
      <c r="P426" s="5" t="s">
        <v>479</v>
      </c>
      <c r="Q426" s="5" t="s">
        <v>1215</v>
      </c>
      <c r="S426" s="27" t="s">
        <v>396</v>
      </c>
      <c r="T426" s="53">
        <v>0.75</v>
      </c>
      <c r="U426" s="5">
        <v>30</v>
      </c>
      <c r="V426" s="5">
        <v>3000</v>
      </c>
      <c r="W426" s="27" t="s">
        <v>396</v>
      </c>
      <c r="X426" s="27" t="s">
        <v>396</v>
      </c>
      <c r="Y426" s="27" t="s">
        <v>396</v>
      </c>
      <c r="Z426" s="55">
        <v>50</v>
      </c>
      <c r="AA426" s="27" t="s">
        <v>396</v>
      </c>
      <c r="AB426" s="27" t="s">
        <v>396</v>
      </c>
      <c r="AC426" s="27" t="s">
        <v>396</v>
      </c>
      <c r="AD426" s="27" t="s">
        <v>396</v>
      </c>
      <c r="AE426" s="27" t="s">
        <v>396</v>
      </c>
      <c r="AF426" s="27" t="s">
        <v>396</v>
      </c>
      <c r="AG426" s="27" t="s">
        <v>396</v>
      </c>
      <c r="AH426" s="27" t="s">
        <v>396</v>
      </c>
      <c r="AI426" s="27" t="s">
        <v>396</v>
      </c>
      <c r="AJ426" s="27" t="s">
        <v>396</v>
      </c>
      <c r="AK426" s="6" t="s">
        <v>395</v>
      </c>
      <c r="AL426" s="17">
        <v>5413218567220</v>
      </c>
      <c r="AM426" s="15" t="s">
        <v>395</v>
      </c>
      <c r="AN426" s="5">
        <v>72166110</v>
      </c>
      <c r="AO426" s="6" t="s">
        <v>1431</v>
      </c>
      <c r="AP426" s="6" t="s">
        <v>1430</v>
      </c>
      <c r="AQ426" s="6" t="s">
        <v>1429</v>
      </c>
      <c r="AR426" s="6" t="s">
        <v>1428</v>
      </c>
      <c r="AS426" s="6" t="s">
        <v>1427</v>
      </c>
    </row>
    <row r="427" spans="1:45" s="5" customFormat="1" ht="12.75" customHeight="1">
      <c r="A427" s="32" t="s">
        <v>1426</v>
      </c>
      <c r="B427" s="6" t="s">
        <v>396</v>
      </c>
      <c r="C427" s="31" t="s">
        <v>403</v>
      </c>
      <c r="D427" s="5" t="s">
        <v>1421</v>
      </c>
      <c r="E427" s="6" t="s">
        <v>1421</v>
      </c>
      <c r="F427" s="5" t="s">
        <v>1425</v>
      </c>
      <c r="G427" s="5" t="s">
        <v>1424</v>
      </c>
      <c r="H427" s="27" t="s">
        <v>1423</v>
      </c>
      <c r="I427" s="27" t="s">
        <v>1422</v>
      </c>
      <c r="J427" s="6" t="s">
        <v>1421</v>
      </c>
      <c r="K427" s="6" t="s">
        <v>1421</v>
      </c>
      <c r="L427" s="9" t="s">
        <v>595</v>
      </c>
      <c r="M427" s="27" t="s">
        <v>1194</v>
      </c>
      <c r="N427" s="27" t="s">
        <v>594</v>
      </c>
      <c r="O427" s="27" t="s">
        <v>593</v>
      </c>
      <c r="P427" s="27" t="s">
        <v>479</v>
      </c>
      <c r="Q427" s="9" t="s">
        <v>592</v>
      </c>
      <c r="S427" s="27" t="s">
        <v>396</v>
      </c>
      <c r="T427" s="53">
        <v>3</v>
      </c>
      <c r="U427" s="5">
        <v>40</v>
      </c>
      <c r="V427" s="5">
        <v>120</v>
      </c>
      <c r="W427" s="27" t="s">
        <v>396</v>
      </c>
      <c r="X427" s="27" t="s">
        <v>396</v>
      </c>
      <c r="Y427" s="27" t="s">
        <v>396</v>
      </c>
      <c r="Z427" s="55">
        <v>50</v>
      </c>
      <c r="AA427" s="27" t="s">
        <v>396</v>
      </c>
      <c r="AB427" s="27" t="s">
        <v>396</v>
      </c>
      <c r="AC427" s="27" t="s">
        <v>396</v>
      </c>
      <c r="AD427" s="27" t="s">
        <v>396</v>
      </c>
      <c r="AE427" s="27" t="s">
        <v>396</v>
      </c>
      <c r="AF427" s="27" t="s">
        <v>396</v>
      </c>
      <c r="AG427" s="27" t="s">
        <v>396</v>
      </c>
      <c r="AH427" s="27" t="s">
        <v>396</v>
      </c>
      <c r="AI427" s="27" t="s">
        <v>396</v>
      </c>
      <c r="AJ427" s="27" t="s">
        <v>396</v>
      </c>
      <c r="AK427" s="6" t="s">
        <v>395</v>
      </c>
      <c r="AL427" s="17">
        <v>5413218563604</v>
      </c>
      <c r="AM427" s="15" t="s">
        <v>395</v>
      </c>
      <c r="AN427" s="5">
        <v>72166110</v>
      </c>
      <c r="AO427" s="6" t="s">
        <v>1214</v>
      </c>
      <c r="AP427" s="6" t="s">
        <v>1213</v>
      </c>
      <c r="AQ427" s="6" t="s">
        <v>1420</v>
      </c>
      <c r="AR427" s="6" t="s">
        <v>1419</v>
      </c>
      <c r="AS427" s="6" t="s">
        <v>1418</v>
      </c>
    </row>
    <row r="428" spans="1:45" s="5" customFormat="1" ht="12.75" customHeight="1">
      <c r="A428" s="32" t="s">
        <v>1417</v>
      </c>
      <c r="B428" s="6" t="s">
        <v>396</v>
      </c>
      <c r="C428" s="31" t="s">
        <v>403</v>
      </c>
      <c r="D428" s="5" t="s">
        <v>1414</v>
      </c>
      <c r="E428" s="5" t="s">
        <v>1413</v>
      </c>
      <c r="F428" s="5" t="s">
        <v>1416</v>
      </c>
      <c r="G428" s="5" t="s">
        <v>1415</v>
      </c>
      <c r="H428" s="27" t="s">
        <v>1197</v>
      </c>
      <c r="I428" s="27" t="s">
        <v>1196</v>
      </c>
      <c r="J428" s="5" t="s">
        <v>1414</v>
      </c>
      <c r="K428" s="5" t="s">
        <v>1413</v>
      </c>
      <c r="L428" s="6" t="s">
        <v>595</v>
      </c>
      <c r="M428" s="5" t="s">
        <v>1412</v>
      </c>
      <c r="N428" s="5" t="s">
        <v>1226</v>
      </c>
      <c r="O428" s="5" t="s">
        <v>1225</v>
      </c>
      <c r="P428" s="5" t="s">
        <v>479</v>
      </c>
      <c r="Q428" s="5" t="s">
        <v>1215</v>
      </c>
      <c r="S428" s="27" t="s">
        <v>396</v>
      </c>
      <c r="T428" s="53">
        <v>0.6</v>
      </c>
      <c r="U428" s="5">
        <v>66</v>
      </c>
      <c r="V428" s="5">
        <v>3000</v>
      </c>
      <c r="W428" s="27" t="s">
        <v>396</v>
      </c>
      <c r="X428" s="27" t="s">
        <v>396</v>
      </c>
      <c r="Y428" s="27" t="s">
        <v>396</v>
      </c>
      <c r="Z428" s="55">
        <v>50</v>
      </c>
      <c r="AA428" s="27" t="s">
        <v>396</v>
      </c>
      <c r="AB428" s="27" t="s">
        <v>396</v>
      </c>
      <c r="AC428" s="27" t="s">
        <v>396</v>
      </c>
      <c r="AD428" s="27" t="s">
        <v>396</v>
      </c>
      <c r="AE428" s="27" t="s">
        <v>396</v>
      </c>
      <c r="AF428" s="27" t="s">
        <v>396</v>
      </c>
      <c r="AG428" s="27" t="s">
        <v>396</v>
      </c>
      <c r="AH428" s="27" t="s">
        <v>396</v>
      </c>
      <c r="AI428" s="27" t="s">
        <v>396</v>
      </c>
      <c r="AJ428" s="27" t="s">
        <v>396</v>
      </c>
      <c r="AK428" s="6" t="s">
        <v>395</v>
      </c>
      <c r="AL428" s="17">
        <v>5413218567237</v>
      </c>
      <c r="AM428" s="15" t="s">
        <v>395</v>
      </c>
      <c r="AN428" s="5">
        <v>72166110</v>
      </c>
      <c r="AO428" s="6" t="s">
        <v>1411</v>
      </c>
      <c r="AP428" s="6" t="s">
        <v>1410</v>
      </c>
      <c r="AQ428" s="6" t="s">
        <v>1409</v>
      </c>
      <c r="AR428" s="6" t="s">
        <v>1408</v>
      </c>
      <c r="AS428" s="6" t="s">
        <v>1407</v>
      </c>
    </row>
    <row r="429" spans="1:45" s="16" customFormat="1" ht="12.75" customHeight="1">
      <c r="A429" s="58" t="s">
        <v>1406</v>
      </c>
      <c r="B429" s="18" t="s">
        <v>396</v>
      </c>
      <c r="C429" s="18" t="s">
        <v>403</v>
      </c>
      <c r="D429" s="16" t="s">
        <v>1401</v>
      </c>
      <c r="E429" s="16" t="s">
        <v>1400</v>
      </c>
      <c r="F429" s="16" t="s">
        <v>1399</v>
      </c>
      <c r="G429" s="16" t="s">
        <v>1398</v>
      </c>
      <c r="H429" s="19" t="s">
        <v>1314</v>
      </c>
      <c r="I429" s="19" t="s">
        <v>1313</v>
      </c>
      <c r="J429" s="18" t="s">
        <v>1405</v>
      </c>
      <c r="K429" s="18" t="s">
        <v>1405</v>
      </c>
      <c r="L429" s="18" t="s">
        <v>595</v>
      </c>
      <c r="M429" s="18" t="s">
        <v>1261</v>
      </c>
      <c r="N429" s="16" t="s">
        <v>1226</v>
      </c>
      <c r="O429" s="16" t="s">
        <v>1225</v>
      </c>
      <c r="P429" s="16" t="s">
        <v>479</v>
      </c>
      <c r="Q429" s="16" t="s">
        <v>1215</v>
      </c>
      <c r="S429" s="19" t="s">
        <v>396</v>
      </c>
      <c r="T429" s="42">
        <v>0.6</v>
      </c>
      <c r="U429" s="16">
        <v>48.8</v>
      </c>
      <c r="V429" s="16">
        <v>3000</v>
      </c>
      <c r="W429" s="19" t="s">
        <v>396</v>
      </c>
      <c r="X429" s="19" t="s">
        <v>396</v>
      </c>
      <c r="Y429" s="19" t="s">
        <v>396</v>
      </c>
      <c r="Z429" s="41">
        <v>50</v>
      </c>
      <c r="AA429" s="19" t="s">
        <v>396</v>
      </c>
      <c r="AB429" s="19" t="s">
        <v>396</v>
      </c>
      <c r="AC429" s="19" t="s">
        <v>396</v>
      </c>
      <c r="AD429" s="19" t="s">
        <v>396</v>
      </c>
      <c r="AE429" s="19" t="s">
        <v>396</v>
      </c>
      <c r="AF429" s="19" t="s">
        <v>396</v>
      </c>
      <c r="AG429" s="19" t="s">
        <v>396</v>
      </c>
      <c r="AH429" s="19" t="s">
        <v>396</v>
      </c>
      <c r="AI429" s="19" t="s">
        <v>396</v>
      </c>
      <c r="AJ429" s="19" t="s">
        <v>396</v>
      </c>
      <c r="AK429" s="18" t="s">
        <v>395</v>
      </c>
      <c r="AL429" s="15">
        <v>4002806905691</v>
      </c>
      <c r="AM429" s="15" t="s">
        <v>395</v>
      </c>
      <c r="AN429" s="5">
        <v>72166110</v>
      </c>
      <c r="AO429" s="6"/>
      <c r="AP429" s="6"/>
      <c r="AQ429" s="6"/>
      <c r="AR429" s="6"/>
      <c r="AS429" s="6"/>
    </row>
    <row r="430" spans="1:45" s="16" customFormat="1" ht="12.75" customHeight="1">
      <c r="A430" s="58" t="s">
        <v>1404</v>
      </c>
      <c r="B430" s="18" t="s">
        <v>396</v>
      </c>
      <c r="C430" s="18" t="s">
        <v>403</v>
      </c>
      <c r="D430" s="16" t="s">
        <v>1401</v>
      </c>
      <c r="E430" s="16" t="s">
        <v>1400</v>
      </c>
      <c r="F430" s="16" t="s">
        <v>1399</v>
      </c>
      <c r="G430" s="16" t="s">
        <v>1398</v>
      </c>
      <c r="H430" s="19" t="s">
        <v>1314</v>
      </c>
      <c r="I430" s="19" t="s">
        <v>1313</v>
      </c>
      <c r="J430" s="18" t="s">
        <v>1403</v>
      </c>
      <c r="K430" s="18" t="s">
        <v>1403</v>
      </c>
      <c r="L430" s="18" t="s">
        <v>595</v>
      </c>
      <c r="M430" s="18" t="s">
        <v>1261</v>
      </c>
      <c r="N430" s="16" t="s">
        <v>1226</v>
      </c>
      <c r="O430" s="16" t="s">
        <v>1225</v>
      </c>
      <c r="P430" s="16" t="s">
        <v>479</v>
      </c>
      <c r="Q430" s="16" t="s">
        <v>1215</v>
      </c>
      <c r="S430" s="19" t="s">
        <v>396</v>
      </c>
      <c r="T430" s="42">
        <v>0.6</v>
      </c>
      <c r="U430" s="16">
        <v>73.8</v>
      </c>
      <c r="V430" s="16">
        <v>4000</v>
      </c>
      <c r="W430" s="19" t="s">
        <v>396</v>
      </c>
      <c r="X430" s="19" t="s">
        <v>396</v>
      </c>
      <c r="Y430" s="19" t="s">
        <v>396</v>
      </c>
      <c r="Z430" s="41">
        <v>50</v>
      </c>
      <c r="AA430" s="19" t="s">
        <v>396</v>
      </c>
      <c r="AB430" s="19" t="s">
        <v>396</v>
      </c>
      <c r="AC430" s="19" t="s">
        <v>396</v>
      </c>
      <c r="AD430" s="19" t="s">
        <v>396</v>
      </c>
      <c r="AE430" s="19" t="s">
        <v>396</v>
      </c>
      <c r="AF430" s="19" t="s">
        <v>396</v>
      </c>
      <c r="AG430" s="19" t="s">
        <v>396</v>
      </c>
      <c r="AH430" s="19" t="s">
        <v>396</v>
      </c>
      <c r="AI430" s="19" t="s">
        <v>396</v>
      </c>
      <c r="AJ430" s="19" t="s">
        <v>396</v>
      </c>
      <c r="AK430" s="18" t="s">
        <v>395</v>
      </c>
      <c r="AL430" s="15">
        <v>4002806905936</v>
      </c>
      <c r="AM430" s="15" t="s">
        <v>395</v>
      </c>
      <c r="AN430" s="5">
        <v>72166110</v>
      </c>
      <c r="AO430" s="6"/>
      <c r="AP430" s="6"/>
      <c r="AQ430" s="6"/>
      <c r="AR430" s="6"/>
      <c r="AS430" s="6"/>
    </row>
    <row r="431" spans="1:45" s="16" customFormat="1" ht="12.75" customHeight="1">
      <c r="A431" s="58" t="s">
        <v>1402</v>
      </c>
      <c r="B431" s="18" t="s">
        <v>396</v>
      </c>
      <c r="C431" s="18" t="s">
        <v>403</v>
      </c>
      <c r="D431" s="16" t="s">
        <v>1401</v>
      </c>
      <c r="E431" s="16" t="s">
        <v>1400</v>
      </c>
      <c r="F431" s="16" t="s">
        <v>1399</v>
      </c>
      <c r="G431" s="16" t="s">
        <v>1398</v>
      </c>
      <c r="H431" s="19" t="s">
        <v>1314</v>
      </c>
      <c r="I431" s="19" t="s">
        <v>1313</v>
      </c>
      <c r="J431" s="18" t="s">
        <v>1397</v>
      </c>
      <c r="K431" s="18" t="s">
        <v>1397</v>
      </c>
      <c r="L431" s="18" t="s">
        <v>595</v>
      </c>
      <c r="M431" s="18" t="s">
        <v>1261</v>
      </c>
      <c r="N431" s="16" t="s">
        <v>1226</v>
      </c>
      <c r="O431" s="16" t="s">
        <v>1225</v>
      </c>
      <c r="P431" s="16" t="s">
        <v>479</v>
      </c>
      <c r="Q431" s="16" t="s">
        <v>1215</v>
      </c>
      <c r="S431" s="19" t="s">
        <v>396</v>
      </c>
      <c r="T431" s="42">
        <v>0.6</v>
      </c>
      <c r="U431" s="16">
        <v>98.8</v>
      </c>
      <c r="V431" s="16">
        <v>4000</v>
      </c>
      <c r="W431" s="19" t="s">
        <v>396</v>
      </c>
      <c r="X431" s="19" t="s">
        <v>396</v>
      </c>
      <c r="Y431" s="19" t="s">
        <v>396</v>
      </c>
      <c r="Z431" s="41">
        <v>50</v>
      </c>
      <c r="AA431" s="19" t="s">
        <v>396</v>
      </c>
      <c r="AB431" s="19" t="s">
        <v>396</v>
      </c>
      <c r="AC431" s="19" t="s">
        <v>396</v>
      </c>
      <c r="AD431" s="19" t="s">
        <v>396</v>
      </c>
      <c r="AE431" s="19" t="s">
        <v>396</v>
      </c>
      <c r="AF431" s="19" t="s">
        <v>396</v>
      </c>
      <c r="AG431" s="19" t="s">
        <v>396</v>
      </c>
      <c r="AH431" s="19" t="s">
        <v>396</v>
      </c>
      <c r="AI431" s="19" t="s">
        <v>396</v>
      </c>
      <c r="AJ431" s="19" t="s">
        <v>396</v>
      </c>
      <c r="AK431" s="18" t="s">
        <v>395</v>
      </c>
      <c r="AL431" s="15">
        <v>4002806905950</v>
      </c>
      <c r="AM431" s="15" t="s">
        <v>395</v>
      </c>
      <c r="AN431" s="5">
        <v>72166110</v>
      </c>
      <c r="AO431" s="6"/>
      <c r="AP431" s="6"/>
      <c r="AQ431" s="6"/>
      <c r="AR431" s="6"/>
      <c r="AS431" s="6"/>
    </row>
    <row r="432" spans="1:45" s="16" customFormat="1" ht="12.75" customHeight="1">
      <c r="A432" s="58" t="s">
        <v>1396</v>
      </c>
      <c r="B432" s="18" t="s">
        <v>396</v>
      </c>
      <c r="C432" s="18" t="s">
        <v>403</v>
      </c>
      <c r="D432" s="16" t="s">
        <v>1391</v>
      </c>
      <c r="E432" s="16" t="s">
        <v>1390</v>
      </c>
      <c r="F432" s="16" t="s">
        <v>1389</v>
      </c>
      <c r="G432" s="16" t="s">
        <v>1388</v>
      </c>
      <c r="H432" s="19" t="s">
        <v>1314</v>
      </c>
      <c r="I432" s="19" t="s">
        <v>1313</v>
      </c>
      <c r="J432" s="18" t="s">
        <v>1395</v>
      </c>
      <c r="K432" s="18" t="s">
        <v>1395</v>
      </c>
      <c r="L432" s="18" t="s">
        <v>595</v>
      </c>
      <c r="M432" s="18" t="s">
        <v>1227</v>
      </c>
      <c r="N432" s="16" t="s">
        <v>1226</v>
      </c>
      <c r="O432" s="16" t="s">
        <v>1225</v>
      </c>
      <c r="P432" s="16" t="s">
        <v>479</v>
      </c>
      <c r="Q432" s="16" t="s">
        <v>1215</v>
      </c>
      <c r="S432" s="19" t="s">
        <v>396</v>
      </c>
      <c r="T432" s="42">
        <v>0.6</v>
      </c>
      <c r="U432" s="16">
        <v>50</v>
      </c>
      <c r="V432" s="16">
        <v>4000</v>
      </c>
      <c r="W432" s="19" t="s">
        <v>396</v>
      </c>
      <c r="X432" s="19" t="s">
        <v>396</v>
      </c>
      <c r="Y432" s="19" t="s">
        <v>396</v>
      </c>
      <c r="Z432" s="41">
        <v>50</v>
      </c>
      <c r="AA432" s="19" t="s">
        <v>396</v>
      </c>
      <c r="AB432" s="19" t="s">
        <v>396</v>
      </c>
      <c r="AC432" s="19" t="s">
        <v>396</v>
      </c>
      <c r="AD432" s="19" t="s">
        <v>396</v>
      </c>
      <c r="AE432" s="19" t="s">
        <v>396</v>
      </c>
      <c r="AF432" s="19" t="s">
        <v>396</v>
      </c>
      <c r="AG432" s="19" t="s">
        <v>396</v>
      </c>
      <c r="AH432" s="19" t="s">
        <v>396</v>
      </c>
      <c r="AI432" s="19" t="s">
        <v>396</v>
      </c>
      <c r="AJ432" s="19" t="s">
        <v>396</v>
      </c>
      <c r="AK432" s="18" t="s">
        <v>395</v>
      </c>
      <c r="AL432" s="15">
        <v>4002806905974</v>
      </c>
      <c r="AM432" s="15" t="s">
        <v>395</v>
      </c>
      <c r="AN432" s="5">
        <v>72166110</v>
      </c>
      <c r="AO432" s="6"/>
      <c r="AP432" s="6"/>
      <c r="AQ432" s="6"/>
      <c r="AR432" s="6"/>
      <c r="AS432" s="6"/>
    </row>
    <row r="433" spans="1:45" s="16" customFormat="1" ht="12.75" customHeight="1">
      <c r="A433" s="58" t="s">
        <v>1394</v>
      </c>
      <c r="B433" s="18" t="s">
        <v>396</v>
      </c>
      <c r="C433" s="18" t="s">
        <v>403</v>
      </c>
      <c r="D433" s="16" t="s">
        <v>1391</v>
      </c>
      <c r="E433" s="16" t="s">
        <v>1390</v>
      </c>
      <c r="F433" s="16" t="s">
        <v>1389</v>
      </c>
      <c r="G433" s="16" t="s">
        <v>1388</v>
      </c>
      <c r="H433" s="19" t="s">
        <v>1314</v>
      </c>
      <c r="I433" s="19" t="s">
        <v>1313</v>
      </c>
      <c r="J433" s="18" t="s">
        <v>1393</v>
      </c>
      <c r="K433" s="18" t="s">
        <v>1393</v>
      </c>
      <c r="L433" s="18" t="s">
        <v>595</v>
      </c>
      <c r="M433" s="18" t="s">
        <v>1227</v>
      </c>
      <c r="N433" s="16" t="s">
        <v>1226</v>
      </c>
      <c r="O433" s="16" t="s">
        <v>1225</v>
      </c>
      <c r="P433" s="16" t="s">
        <v>479</v>
      </c>
      <c r="Q433" s="16" t="s">
        <v>1215</v>
      </c>
      <c r="S433" s="19" t="s">
        <v>396</v>
      </c>
      <c r="T433" s="42">
        <v>0.6</v>
      </c>
      <c r="U433" s="16">
        <v>75</v>
      </c>
      <c r="V433" s="16">
        <v>4000</v>
      </c>
      <c r="W433" s="19" t="s">
        <v>396</v>
      </c>
      <c r="X433" s="19" t="s">
        <v>396</v>
      </c>
      <c r="Y433" s="19" t="s">
        <v>396</v>
      </c>
      <c r="Z433" s="41">
        <v>50</v>
      </c>
      <c r="AA433" s="19" t="s">
        <v>396</v>
      </c>
      <c r="AB433" s="19" t="s">
        <v>396</v>
      </c>
      <c r="AC433" s="19" t="s">
        <v>396</v>
      </c>
      <c r="AD433" s="19" t="s">
        <v>396</v>
      </c>
      <c r="AE433" s="19" t="s">
        <v>396</v>
      </c>
      <c r="AF433" s="19" t="s">
        <v>396</v>
      </c>
      <c r="AG433" s="19" t="s">
        <v>396</v>
      </c>
      <c r="AH433" s="19" t="s">
        <v>396</v>
      </c>
      <c r="AI433" s="19" t="s">
        <v>396</v>
      </c>
      <c r="AJ433" s="19" t="s">
        <v>396</v>
      </c>
      <c r="AK433" s="18" t="s">
        <v>395</v>
      </c>
      <c r="AL433" s="15">
        <v>4002806905998</v>
      </c>
      <c r="AM433" s="15" t="s">
        <v>395</v>
      </c>
      <c r="AN433" s="5">
        <v>72166110</v>
      </c>
      <c r="AO433" s="6"/>
      <c r="AP433" s="6"/>
      <c r="AQ433" s="6"/>
      <c r="AR433" s="6"/>
      <c r="AS433" s="6"/>
    </row>
    <row r="434" spans="1:45" s="16" customFormat="1" ht="12.75" customHeight="1">
      <c r="A434" s="58" t="s">
        <v>1392</v>
      </c>
      <c r="B434" s="18" t="s">
        <v>396</v>
      </c>
      <c r="C434" s="18" t="s">
        <v>403</v>
      </c>
      <c r="D434" s="16" t="s">
        <v>1391</v>
      </c>
      <c r="E434" s="16" t="s">
        <v>1390</v>
      </c>
      <c r="F434" s="16" t="s">
        <v>1389</v>
      </c>
      <c r="G434" s="16" t="s">
        <v>1388</v>
      </c>
      <c r="H434" s="19" t="s">
        <v>1314</v>
      </c>
      <c r="I434" s="19" t="s">
        <v>1313</v>
      </c>
      <c r="J434" s="18" t="s">
        <v>1387</v>
      </c>
      <c r="K434" s="18" t="s">
        <v>1387</v>
      </c>
      <c r="L434" s="18" t="s">
        <v>595</v>
      </c>
      <c r="M434" s="18" t="s">
        <v>1227</v>
      </c>
      <c r="N434" s="16" t="s">
        <v>1226</v>
      </c>
      <c r="O434" s="16" t="s">
        <v>1225</v>
      </c>
      <c r="P434" s="16" t="s">
        <v>479</v>
      </c>
      <c r="Q434" s="16" t="s">
        <v>1215</v>
      </c>
      <c r="S434" s="19" t="s">
        <v>396</v>
      </c>
      <c r="T434" s="42">
        <v>0.6</v>
      </c>
      <c r="U434" s="16">
        <v>100</v>
      </c>
      <c r="V434" s="16">
        <v>4000</v>
      </c>
      <c r="W434" s="19" t="s">
        <v>396</v>
      </c>
      <c r="X434" s="19" t="s">
        <v>396</v>
      </c>
      <c r="Y434" s="19" t="s">
        <v>396</v>
      </c>
      <c r="Z434" s="41">
        <v>50</v>
      </c>
      <c r="AA434" s="19" t="s">
        <v>396</v>
      </c>
      <c r="AB434" s="19" t="s">
        <v>396</v>
      </c>
      <c r="AC434" s="19" t="s">
        <v>396</v>
      </c>
      <c r="AD434" s="19" t="s">
        <v>396</v>
      </c>
      <c r="AE434" s="19" t="s">
        <v>396</v>
      </c>
      <c r="AF434" s="19" t="s">
        <v>396</v>
      </c>
      <c r="AG434" s="19" t="s">
        <v>396</v>
      </c>
      <c r="AH434" s="19" t="s">
        <v>396</v>
      </c>
      <c r="AI434" s="19" t="s">
        <v>396</v>
      </c>
      <c r="AJ434" s="19" t="s">
        <v>396</v>
      </c>
      <c r="AK434" s="18" t="s">
        <v>395</v>
      </c>
      <c r="AL434" s="15">
        <v>4002806906018</v>
      </c>
      <c r="AM434" s="15" t="s">
        <v>395</v>
      </c>
      <c r="AN434" s="5">
        <v>72166110</v>
      </c>
      <c r="AO434" s="6"/>
      <c r="AP434" s="6"/>
      <c r="AQ434" s="6"/>
      <c r="AR434" s="6"/>
      <c r="AS434" s="6"/>
    </row>
    <row r="435" spans="1:45" s="16" customFormat="1" ht="12.75" customHeight="1">
      <c r="A435" s="46" t="s">
        <v>1386</v>
      </c>
      <c r="B435" s="18" t="s">
        <v>396</v>
      </c>
      <c r="C435" s="18" t="s">
        <v>403</v>
      </c>
      <c r="D435" s="18" t="s">
        <v>1385</v>
      </c>
      <c r="E435" s="18" t="s">
        <v>1384</v>
      </c>
      <c r="F435" s="18" t="s">
        <v>1383</v>
      </c>
      <c r="G435" s="56" t="s">
        <v>1382</v>
      </c>
      <c r="H435" s="19" t="s">
        <v>1314</v>
      </c>
      <c r="I435" s="19" t="s">
        <v>1313</v>
      </c>
      <c r="J435" s="18" t="s">
        <v>1381</v>
      </c>
      <c r="K435" s="18" t="s">
        <v>1380</v>
      </c>
      <c r="L435" s="18" t="s">
        <v>595</v>
      </c>
      <c r="M435" s="18" t="s">
        <v>1261</v>
      </c>
      <c r="N435" s="16" t="s">
        <v>1226</v>
      </c>
      <c r="O435" s="16" t="s">
        <v>1225</v>
      </c>
      <c r="P435" s="16" t="s">
        <v>479</v>
      </c>
      <c r="Q435" s="16" t="s">
        <v>1215</v>
      </c>
      <c r="S435" s="19" t="s">
        <v>396</v>
      </c>
      <c r="T435" s="42">
        <v>0.6</v>
      </c>
      <c r="U435" s="16">
        <v>60</v>
      </c>
      <c r="V435" s="16">
        <v>4000</v>
      </c>
      <c r="W435" s="19" t="s">
        <v>396</v>
      </c>
      <c r="X435" s="19" t="s">
        <v>396</v>
      </c>
      <c r="Y435" s="19" t="s">
        <v>396</v>
      </c>
      <c r="Z435" s="41">
        <v>50</v>
      </c>
      <c r="AA435" s="19" t="s">
        <v>396</v>
      </c>
      <c r="AB435" s="19" t="s">
        <v>396</v>
      </c>
      <c r="AC435" s="19" t="s">
        <v>396</v>
      </c>
      <c r="AD435" s="19" t="s">
        <v>396</v>
      </c>
      <c r="AE435" s="19" t="s">
        <v>396</v>
      </c>
      <c r="AF435" s="19" t="s">
        <v>396</v>
      </c>
      <c r="AG435" s="19" t="s">
        <v>396</v>
      </c>
      <c r="AH435" s="19" t="s">
        <v>396</v>
      </c>
      <c r="AI435" s="19" t="s">
        <v>396</v>
      </c>
      <c r="AJ435" s="19" t="s">
        <v>396</v>
      </c>
      <c r="AK435" s="18" t="s">
        <v>395</v>
      </c>
      <c r="AL435" s="15">
        <v>4002806906070</v>
      </c>
      <c r="AM435" s="15" t="s">
        <v>395</v>
      </c>
      <c r="AN435" s="5">
        <v>72166110</v>
      </c>
      <c r="AO435" s="6"/>
      <c r="AP435" s="6"/>
      <c r="AQ435" s="6" t="s">
        <v>1379</v>
      </c>
      <c r="AR435" s="6" t="s">
        <v>1378</v>
      </c>
      <c r="AS435" s="6" t="s">
        <v>1377</v>
      </c>
    </row>
    <row r="436" spans="1:45" s="16" customFormat="1" ht="12.75" customHeight="1">
      <c r="A436" s="46" t="s">
        <v>1376</v>
      </c>
      <c r="B436" s="18" t="s">
        <v>396</v>
      </c>
      <c r="C436" s="18" t="s">
        <v>403</v>
      </c>
      <c r="D436" s="18" t="s">
        <v>1375</v>
      </c>
      <c r="E436" s="18" t="s">
        <v>1374</v>
      </c>
      <c r="F436" s="18" t="s">
        <v>1373</v>
      </c>
      <c r="G436" s="56" t="s">
        <v>1372</v>
      </c>
      <c r="H436" s="19" t="s">
        <v>1314</v>
      </c>
      <c r="I436" s="19" t="s">
        <v>1313</v>
      </c>
      <c r="J436" s="18" t="s">
        <v>1371</v>
      </c>
      <c r="K436" s="18" t="s">
        <v>1370</v>
      </c>
      <c r="L436" s="18" t="s">
        <v>595</v>
      </c>
      <c r="M436" s="18" t="s">
        <v>1227</v>
      </c>
      <c r="N436" s="16" t="s">
        <v>1226</v>
      </c>
      <c r="O436" s="16" t="s">
        <v>1225</v>
      </c>
      <c r="P436" s="16" t="s">
        <v>479</v>
      </c>
      <c r="Q436" s="16" t="s">
        <v>1215</v>
      </c>
      <c r="S436" s="19" t="s">
        <v>396</v>
      </c>
      <c r="T436" s="42">
        <v>0.6</v>
      </c>
      <c r="U436" s="16">
        <v>28.2</v>
      </c>
      <c r="V436" s="16">
        <v>3000</v>
      </c>
      <c r="W436" s="19" t="s">
        <v>396</v>
      </c>
      <c r="X436" s="19" t="s">
        <v>396</v>
      </c>
      <c r="Y436" s="19" t="s">
        <v>396</v>
      </c>
      <c r="Z436" s="41">
        <v>50</v>
      </c>
      <c r="AA436" s="19" t="s">
        <v>396</v>
      </c>
      <c r="AB436" s="19" t="s">
        <v>396</v>
      </c>
      <c r="AC436" s="19" t="s">
        <v>396</v>
      </c>
      <c r="AD436" s="19" t="s">
        <v>396</v>
      </c>
      <c r="AE436" s="19" t="s">
        <v>396</v>
      </c>
      <c r="AF436" s="19" t="s">
        <v>396</v>
      </c>
      <c r="AG436" s="19" t="s">
        <v>396</v>
      </c>
      <c r="AH436" s="19" t="s">
        <v>396</v>
      </c>
      <c r="AI436" s="19" t="s">
        <v>396</v>
      </c>
      <c r="AJ436" s="19" t="s">
        <v>396</v>
      </c>
      <c r="AK436" s="18" t="s">
        <v>395</v>
      </c>
      <c r="AL436" s="15">
        <v>4002806907367</v>
      </c>
      <c r="AM436" s="15" t="s">
        <v>395</v>
      </c>
      <c r="AN436" s="5">
        <v>72166110</v>
      </c>
      <c r="AO436" s="6"/>
      <c r="AP436" s="6"/>
      <c r="AQ436" s="6" t="s">
        <v>1369</v>
      </c>
      <c r="AR436" s="6" t="s">
        <v>1368</v>
      </c>
      <c r="AS436" s="6" t="s">
        <v>1367</v>
      </c>
    </row>
    <row r="437" spans="1:45" s="16" customFormat="1" ht="12.75" customHeight="1">
      <c r="A437" s="46" t="s">
        <v>1366</v>
      </c>
      <c r="B437" s="18" t="s">
        <v>396</v>
      </c>
      <c r="C437" s="18" t="s">
        <v>403</v>
      </c>
      <c r="D437" s="18" t="s">
        <v>1365</v>
      </c>
      <c r="E437" s="16" t="s">
        <v>1364</v>
      </c>
      <c r="F437" s="18" t="s">
        <v>1363</v>
      </c>
      <c r="G437" s="56" t="s">
        <v>1362</v>
      </c>
      <c r="H437" s="19" t="s">
        <v>1314</v>
      </c>
      <c r="I437" s="19" t="s">
        <v>1313</v>
      </c>
      <c r="J437" s="18" t="s">
        <v>1361</v>
      </c>
      <c r="K437" s="16" t="s">
        <v>1360</v>
      </c>
      <c r="L437" s="18" t="s">
        <v>595</v>
      </c>
      <c r="M437" s="18" t="s">
        <v>12</v>
      </c>
      <c r="N437" s="19" t="s">
        <v>637</v>
      </c>
      <c r="O437" s="19" t="s">
        <v>636</v>
      </c>
      <c r="P437" s="19" t="s">
        <v>479</v>
      </c>
      <c r="Q437" s="43" t="s">
        <v>592</v>
      </c>
      <c r="S437" s="19" t="s">
        <v>396</v>
      </c>
      <c r="T437" s="42">
        <v>0.6</v>
      </c>
      <c r="U437" s="16">
        <v>60</v>
      </c>
      <c r="V437" s="16">
        <v>80</v>
      </c>
      <c r="W437" s="19" t="s">
        <v>396</v>
      </c>
      <c r="X437" s="19" t="s">
        <v>396</v>
      </c>
      <c r="Y437" s="19" t="s">
        <v>396</v>
      </c>
      <c r="Z437" s="41">
        <v>50</v>
      </c>
      <c r="AA437" s="19" t="s">
        <v>396</v>
      </c>
      <c r="AB437" s="19" t="s">
        <v>396</v>
      </c>
      <c r="AC437" s="19" t="s">
        <v>396</v>
      </c>
      <c r="AD437" s="19" t="s">
        <v>396</v>
      </c>
      <c r="AE437" s="19" t="s">
        <v>396</v>
      </c>
      <c r="AF437" s="19" t="s">
        <v>396</v>
      </c>
      <c r="AG437" s="19" t="s">
        <v>396</v>
      </c>
      <c r="AH437" s="19" t="s">
        <v>396</v>
      </c>
      <c r="AI437" s="19" t="s">
        <v>396</v>
      </c>
      <c r="AJ437" s="19" t="s">
        <v>396</v>
      </c>
      <c r="AK437" s="18" t="s">
        <v>735</v>
      </c>
      <c r="AL437" s="15">
        <v>4002806907473</v>
      </c>
      <c r="AM437" s="15" t="s">
        <v>735</v>
      </c>
      <c r="AN437" s="5">
        <v>72166110</v>
      </c>
      <c r="AO437" s="6"/>
      <c r="AP437" s="6"/>
      <c r="AQ437" s="6" t="s">
        <v>1359</v>
      </c>
      <c r="AR437" s="6" t="s">
        <v>1358</v>
      </c>
      <c r="AS437" s="6" t="s">
        <v>1357</v>
      </c>
    </row>
    <row r="438" spans="1:45" s="16" customFormat="1" ht="12.75" customHeight="1">
      <c r="A438" s="46" t="s">
        <v>1356</v>
      </c>
      <c r="B438" s="18" t="s">
        <v>396</v>
      </c>
      <c r="C438" s="18" t="s">
        <v>403</v>
      </c>
      <c r="D438" s="18" t="s">
        <v>1355</v>
      </c>
      <c r="E438" s="16" t="s">
        <v>1351</v>
      </c>
      <c r="F438" s="18" t="s">
        <v>1354</v>
      </c>
      <c r="G438" s="56" t="s">
        <v>1353</v>
      </c>
      <c r="H438" s="19" t="s">
        <v>1314</v>
      </c>
      <c r="I438" s="19" t="s">
        <v>1313</v>
      </c>
      <c r="J438" s="18" t="s">
        <v>1352</v>
      </c>
      <c r="K438" s="16" t="s">
        <v>1351</v>
      </c>
      <c r="L438" s="18" t="s">
        <v>595</v>
      </c>
      <c r="M438" s="19" t="s">
        <v>1194</v>
      </c>
      <c r="N438" s="19" t="s">
        <v>594</v>
      </c>
      <c r="O438" s="19" t="s">
        <v>593</v>
      </c>
      <c r="P438" s="19" t="s">
        <v>479</v>
      </c>
      <c r="Q438" s="43" t="s">
        <v>592</v>
      </c>
      <c r="S438" s="19" t="s">
        <v>396</v>
      </c>
      <c r="T438" s="42">
        <v>1</v>
      </c>
      <c r="U438" s="16">
        <v>30</v>
      </c>
      <c r="W438" s="19" t="s">
        <v>396</v>
      </c>
      <c r="X438" s="19" t="s">
        <v>396</v>
      </c>
      <c r="Y438" s="19" t="s">
        <v>396</v>
      </c>
      <c r="Z438" s="41">
        <v>50</v>
      </c>
      <c r="AA438" s="19" t="s">
        <v>396</v>
      </c>
      <c r="AB438" s="19" t="s">
        <v>396</v>
      </c>
      <c r="AC438" s="19" t="s">
        <v>396</v>
      </c>
      <c r="AD438" s="19" t="s">
        <v>396</v>
      </c>
      <c r="AE438" s="19" t="s">
        <v>396</v>
      </c>
      <c r="AF438" s="19" t="s">
        <v>396</v>
      </c>
      <c r="AG438" s="19" t="s">
        <v>396</v>
      </c>
      <c r="AH438" s="19" t="s">
        <v>396</v>
      </c>
      <c r="AI438" s="19" t="s">
        <v>396</v>
      </c>
      <c r="AJ438" s="19" t="s">
        <v>396</v>
      </c>
      <c r="AK438" s="18" t="s">
        <v>735</v>
      </c>
      <c r="AL438" s="15">
        <v>4002806907541</v>
      </c>
      <c r="AM438" s="15" t="s">
        <v>395</v>
      </c>
      <c r="AN438" s="5">
        <v>73269060</v>
      </c>
      <c r="AO438" s="6"/>
      <c r="AP438" s="6"/>
      <c r="AQ438" s="6" t="s">
        <v>1350</v>
      </c>
      <c r="AR438" s="6" t="s">
        <v>1349</v>
      </c>
      <c r="AS438" s="6" t="s">
        <v>1348</v>
      </c>
    </row>
    <row r="439" spans="1:45" s="16" customFormat="1" ht="12.75" customHeight="1">
      <c r="A439" s="46" t="s">
        <v>1347</v>
      </c>
      <c r="B439" s="18" t="s">
        <v>396</v>
      </c>
      <c r="C439" s="18" t="s">
        <v>403</v>
      </c>
      <c r="D439" s="18" t="s">
        <v>1346</v>
      </c>
      <c r="E439" s="16" t="s">
        <v>1345</v>
      </c>
      <c r="F439" s="16" t="s">
        <v>1344</v>
      </c>
      <c r="G439" s="56" t="s">
        <v>1343</v>
      </c>
      <c r="H439" s="19" t="s">
        <v>1314</v>
      </c>
      <c r="I439" s="19" t="s">
        <v>1313</v>
      </c>
      <c r="J439" s="18" t="s">
        <v>1342</v>
      </c>
      <c r="K439" s="16" t="s">
        <v>1341</v>
      </c>
      <c r="L439" s="18" t="s">
        <v>595</v>
      </c>
      <c r="M439" s="19" t="s">
        <v>12</v>
      </c>
      <c r="N439" s="19" t="s">
        <v>608</v>
      </c>
      <c r="O439" s="19" t="s">
        <v>607</v>
      </c>
      <c r="P439" s="19" t="s">
        <v>479</v>
      </c>
      <c r="Q439" s="43" t="s">
        <v>592</v>
      </c>
      <c r="S439" s="19" t="s">
        <v>396</v>
      </c>
      <c r="T439" s="42">
        <v>0.8</v>
      </c>
      <c r="U439" s="16">
        <v>65</v>
      </c>
      <c r="V439" s="16">
        <v>48</v>
      </c>
      <c r="W439" s="19" t="s">
        <v>396</v>
      </c>
      <c r="X439" s="19" t="s">
        <v>396</v>
      </c>
      <c r="Y439" s="19" t="s">
        <v>396</v>
      </c>
      <c r="Z439" s="41">
        <v>50</v>
      </c>
      <c r="AA439" s="19" t="s">
        <v>396</v>
      </c>
      <c r="AB439" s="19" t="s">
        <v>396</v>
      </c>
      <c r="AC439" s="19" t="s">
        <v>396</v>
      </c>
      <c r="AD439" s="19" t="s">
        <v>396</v>
      </c>
      <c r="AE439" s="19" t="s">
        <v>396</v>
      </c>
      <c r="AF439" s="19" t="s">
        <v>396</v>
      </c>
      <c r="AG439" s="19" t="s">
        <v>396</v>
      </c>
      <c r="AH439" s="19" t="s">
        <v>396</v>
      </c>
      <c r="AI439" s="19" t="s">
        <v>396</v>
      </c>
      <c r="AJ439" s="19" t="s">
        <v>396</v>
      </c>
      <c r="AK439" s="18" t="s">
        <v>735</v>
      </c>
      <c r="AL439" s="15">
        <v>4002806907480</v>
      </c>
      <c r="AM439" s="15" t="s">
        <v>735</v>
      </c>
      <c r="AN439" s="5">
        <v>72166110</v>
      </c>
      <c r="AO439" s="6"/>
      <c r="AP439" s="6"/>
      <c r="AQ439" s="6" t="s">
        <v>1340</v>
      </c>
      <c r="AR439" s="6" t="s">
        <v>1339</v>
      </c>
      <c r="AS439" s="6" t="s">
        <v>1338</v>
      </c>
    </row>
    <row r="440" spans="1:45" s="16" customFormat="1" ht="12.75" customHeight="1">
      <c r="A440" s="46" t="s">
        <v>1337</v>
      </c>
      <c r="B440" s="18" t="s">
        <v>396</v>
      </c>
      <c r="C440" s="18" t="s">
        <v>403</v>
      </c>
      <c r="D440" s="18" t="s">
        <v>1336</v>
      </c>
      <c r="E440" s="16" t="s">
        <v>1335</v>
      </c>
      <c r="F440" s="18" t="s">
        <v>1334</v>
      </c>
      <c r="G440" s="56" t="s">
        <v>1333</v>
      </c>
      <c r="H440" s="19" t="s">
        <v>1314</v>
      </c>
      <c r="I440" s="19" t="s">
        <v>1313</v>
      </c>
      <c r="J440" s="18" t="s">
        <v>1332</v>
      </c>
      <c r="K440" s="16" t="s">
        <v>1331</v>
      </c>
      <c r="L440" s="18" t="s">
        <v>595</v>
      </c>
      <c r="M440" s="19" t="s">
        <v>1194</v>
      </c>
      <c r="N440" s="19" t="s">
        <v>594</v>
      </c>
      <c r="O440" s="19" t="s">
        <v>593</v>
      </c>
      <c r="P440" s="19" t="s">
        <v>479</v>
      </c>
      <c r="Q440" s="43" t="s">
        <v>592</v>
      </c>
      <c r="S440" s="19" t="s">
        <v>396</v>
      </c>
      <c r="T440" s="16">
        <v>1</v>
      </c>
      <c r="U440" s="16">
        <v>62</v>
      </c>
      <c r="V440" s="16">
        <v>125</v>
      </c>
      <c r="W440" s="19" t="s">
        <v>396</v>
      </c>
      <c r="X440" s="19" t="s">
        <v>396</v>
      </c>
      <c r="Y440" s="19" t="s">
        <v>396</v>
      </c>
      <c r="Z440" s="41">
        <v>50</v>
      </c>
      <c r="AA440" s="19" t="s">
        <v>396</v>
      </c>
      <c r="AB440" s="19" t="s">
        <v>396</v>
      </c>
      <c r="AC440" s="19" t="s">
        <v>396</v>
      </c>
      <c r="AD440" s="19" t="s">
        <v>396</v>
      </c>
      <c r="AE440" s="19" t="s">
        <v>396</v>
      </c>
      <c r="AF440" s="19" t="s">
        <v>396</v>
      </c>
      <c r="AG440" s="19" t="s">
        <v>396</v>
      </c>
      <c r="AH440" s="19" t="s">
        <v>396</v>
      </c>
      <c r="AI440" s="19" t="s">
        <v>396</v>
      </c>
      <c r="AJ440" s="19" t="s">
        <v>396</v>
      </c>
      <c r="AK440" s="18" t="s">
        <v>735</v>
      </c>
      <c r="AL440" s="15">
        <v>4002806907527</v>
      </c>
      <c r="AM440" s="15" t="s">
        <v>735</v>
      </c>
      <c r="AN440" s="5">
        <v>73269091</v>
      </c>
      <c r="AO440" s="6"/>
      <c r="AP440" s="6"/>
      <c r="AQ440" s="6" t="s">
        <v>1330</v>
      </c>
      <c r="AR440" s="6" t="s">
        <v>1329</v>
      </c>
      <c r="AS440" s="6" t="s">
        <v>1328</v>
      </c>
    </row>
    <row r="441" spans="1:45" s="16" customFormat="1" ht="12.75" customHeight="1">
      <c r="A441" s="46" t="s">
        <v>1327</v>
      </c>
      <c r="B441" s="18" t="s">
        <v>396</v>
      </c>
      <c r="C441" s="18" t="s">
        <v>403</v>
      </c>
      <c r="D441" s="57" t="s">
        <v>1318</v>
      </c>
      <c r="E441" s="18" t="s">
        <v>1317</v>
      </c>
      <c r="F441" s="18" t="s">
        <v>1316</v>
      </c>
      <c r="G441" s="56" t="s">
        <v>1315</v>
      </c>
      <c r="H441" s="19" t="s">
        <v>1314</v>
      </c>
      <c r="I441" s="19" t="s">
        <v>1313</v>
      </c>
      <c r="J441" s="57" t="s">
        <v>1312</v>
      </c>
      <c r="K441" s="18" t="s">
        <v>1311</v>
      </c>
      <c r="L441" s="18" t="s">
        <v>595</v>
      </c>
      <c r="M441" s="19" t="s">
        <v>1194</v>
      </c>
      <c r="N441" s="19" t="s">
        <v>594</v>
      </c>
      <c r="O441" s="19" t="s">
        <v>593</v>
      </c>
      <c r="P441" s="19" t="s">
        <v>479</v>
      </c>
      <c r="Q441" s="43" t="s">
        <v>592</v>
      </c>
      <c r="S441" s="19" t="s">
        <v>396</v>
      </c>
      <c r="T441" s="16">
        <v>1</v>
      </c>
      <c r="U441" s="16">
        <v>62</v>
      </c>
      <c r="V441" s="16">
        <v>290</v>
      </c>
      <c r="W441" s="19" t="s">
        <v>396</v>
      </c>
      <c r="X441" s="19" t="s">
        <v>396</v>
      </c>
      <c r="Y441" s="19" t="s">
        <v>396</v>
      </c>
      <c r="Z441" s="41">
        <v>50</v>
      </c>
      <c r="AA441" s="19" t="s">
        <v>396</v>
      </c>
      <c r="AB441" s="19" t="s">
        <v>396</v>
      </c>
      <c r="AC441" s="19" t="s">
        <v>396</v>
      </c>
      <c r="AD441" s="19" t="s">
        <v>396</v>
      </c>
      <c r="AE441" s="19" t="s">
        <v>396</v>
      </c>
      <c r="AF441" s="19" t="s">
        <v>396</v>
      </c>
      <c r="AG441" s="19" t="s">
        <v>396</v>
      </c>
      <c r="AH441" s="19" t="s">
        <v>396</v>
      </c>
      <c r="AI441" s="19" t="s">
        <v>396</v>
      </c>
      <c r="AJ441" s="19" t="s">
        <v>396</v>
      </c>
      <c r="AK441" s="18" t="s">
        <v>735</v>
      </c>
      <c r="AL441" s="15">
        <v>4002806907497</v>
      </c>
      <c r="AM441" s="15" t="s">
        <v>735</v>
      </c>
      <c r="AN441" s="5">
        <v>73269091</v>
      </c>
      <c r="AO441" s="6"/>
      <c r="AP441" s="6"/>
      <c r="AQ441" s="6" t="s">
        <v>1326</v>
      </c>
      <c r="AR441" s="6" t="s">
        <v>1325</v>
      </c>
      <c r="AS441" s="6" t="s">
        <v>1324</v>
      </c>
    </row>
    <row r="442" spans="1:45" s="16" customFormat="1" ht="12.75" customHeight="1">
      <c r="A442" s="46" t="s">
        <v>1323</v>
      </c>
      <c r="B442" s="18" t="s">
        <v>396</v>
      </c>
      <c r="C442" s="18" t="s">
        <v>403</v>
      </c>
      <c r="D442" s="57" t="s">
        <v>1318</v>
      </c>
      <c r="E442" s="18" t="s">
        <v>1317</v>
      </c>
      <c r="F442" s="18" t="s">
        <v>1316</v>
      </c>
      <c r="G442" s="56" t="s">
        <v>1315</v>
      </c>
      <c r="H442" s="19" t="s">
        <v>1314</v>
      </c>
      <c r="I442" s="19" t="s">
        <v>1313</v>
      </c>
      <c r="J442" s="57" t="s">
        <v>1312</v>
      </c>
      <c r="K442" s="18" t="s">
        <v>1311</v>
      </c>
      <c r="L442" s="18" t="s">
        <v>595</v>
      </c>
      <c r="M442" s="19" t="s">
        <v>1194</v>
      </c>
      <c r="N442" s="19" t="s">
        <v>594</v>
      </c>
      <c r="O442" s="19" t="s">
        <v>593</v>
      </c>
      <c r="P442" s="19" t="s">
        <v>479</v>
      </c>
      <c r="Q442" s="43" t="s">
        <v>592</v>
      </c>
      <c r="S442" s="19" t="s">
        <v>396</v>
      </c>
      <c r="T442" s="16">
        <v>1</v>
      </c>
      <c r="U442" s="16">
        <v>62</v>
      </c>
      <c r="V442" s="16">
        <v>490</v>
      </c>
      <c r="W442" s="19" t="s">
        <v>396</v>
      </c>
      <c r="X442" s="19" t="s">
        <v>396</v>
      </c>
      <c r="Y442" s="19" t="s">
        <v>396</v>
      </c>
      <c r="Z442" s="41">
        <v>50</v>
      </c>
      <c r="AA442" s="19" t="s">
        <v>396</v>
      </c>
      <c r="AB442" s="19" t="s">
        <v>396</v>
      </c>
      <c r="AC442" s="19" t="s">
        <v>396</v>
      </c>
      <c r="AD442" s="19" t="s">
        <v>396</v>
      </c>
      <c r="AE442" s="19" t="s">
        <v>396</v>
      </c>
      <c r="AF442" s="19" t="s">
        <v>396</v>
      </c>
      <c r="AG442" s="19" t="s">
        <v>396</v>
      </c>
      <c r="AH442" s="19" t="s">
        <v>396</v>
      </c>
      <c r="AI442" s="19" t="s">
        <v>396</v>
      </c>
      <c r="AJ442" s="19" t="s">
        <v>396</v>
      </c>
      <c r="AK442" s="18" t="s">
        <v>735</v>
      </c>
      <c r="AL442" s="15">
        <v>4002806907503</v>
      </c>
      <c r="AM442" s="15" t="s">
        <v>735</v>
      </c>
      <c r="AN442" s="5">
        <v>73269091</v>
      </c>
      <c r="AO442" s="6"/>
      <c r="AP442" s="6"/>
      <c r="AQ442" s="6" t="s">
        <v>1322</v>
      </c>
      <c r="AR442" s="6" t="s">
        <v>1321</v>
      </c>
      <c r="AS442" s="6" t="s">
        <v>1320</v>
      </c>
    </row>
    <row r="443" spans="1:45" s="16" customFormat="1" ht="12.75" customHeight="1">
      <c r="A443" s="46" t="s">
        <v>1319</v>
      </c>
      <c r="B443" s="18" t="s">
        <v>396</v>
      </c>
      <c r="C443" s="18" t="s">
        <v>403</v>
      </c>
      <c r="D443" s="57" t="s">
        <v>1318</v>
      </c>
      <c r="E443" s="18" t="s">
        <v>1317</v>
      </c>
      <c r="F443" s="18" t="s">
        <v>1316</v>
      </c>
      <c r="G443" s="56" t="s">
        <v>1315</v>
      </c>
      <c r="H443" s="19" t="s">
        <v>1314</v>
      </c>
      <c r="I443" s="19" t="s">
        <v>1313</v>
      </c>
      <c r="J443" s="57" t="s">
        <v>1312</v>
      </c>
      <c r="K443" s="18" t="s">
        <v>1311</v>
      </c>
      <c r="L443" s="18" t="s">
        <v>595</v>
      </c>
      <c r="M443" s="19" t="s">
        <v>1194</v>
      </c>
      <c r="N443" s="19" t="s">
        <v>594</v>
      </c>
      <c r="O443" s="19" t="s">
        <v>593</v>
      </c>
      <c r="P443" s="19" t="s">
        <v>479</v>
      </c>
      <c r="Q443" s="43" t="s">
        <v>592</v>
      </c>
      <c r="S443" s="19" t="s">
        <v>396</v>
      </c>
      <c r="T443" s="16">
        <v>1</v>
      </c>
      <c r="U443" s="16">
        <v>62</v>
      </c>
      <c r="V443" s="16">
        <v>990</v>
      </c>
      <c r="W443" s="19" t="s">
        <v>396</v>
      </c>
      <c r="X443" s="19" t="s">
        <v>396</v>
      </c>
      <c r="Y443" s="19" t="s">
        <v>396</v>
      </c>
      <c r="Z443" s="41">
        <v>50</v>
      </c>
      <c r="AA443" s="19" t="s">
        <v>396</v>
      </c>
      <c r="AB443" s="19" t="s">
        <v>396</v>
      </c>
      <c r="AC443" s="19" t="s">
        <v>396</v>
      </c>
      <c r="AD443" s="19" t="s">
        <v>396</v>
      </c>
      <c r="AE443" s="19" t="s">
        <v>396</v>
      </c>
      <c r="AF443" s="19" t="s">
        <v>396</v>
      </c>
      <c r="AG443" s="19" t="s">
        <v>396</v>
      </c>
      <c r="AH443" s="19" t="s">
        <v>396</v>
      </c>
      <c r="AI443" s="19" t="s">
        <v>396</v>
      </c>
      <c r="AJ443" s="19" t="s">
        <v>396</v>
      </c>
      <c r="AK443" s="18" t="s">
        <v>735</v>
      </c>
      <c r="AL443" s="15">
        <v>4002806907510</v>
      </c>
      <c r="AM443" s="15" t="s">
        <v>735</v>
      </c>
      <c r="AN443" s="5">
        <v>73269091</v>
      </c>
      <c r="AO443" s="6"/>
      <c r="AP443" s="6"/>
      <c r="AQ443" s="6" t="s">
        <v>1310</v>
      </c>
      <c r="AR443" s="6" t="s">
        <v>1309</v>
      </c>
      <c r="AS443" s="6" t="s">
        <v>1308</v>
      </c>
    </row>
    <row r="444" spans="1:45" s="16" customFormat="1" ht="12.75" customHeight="1">
      <c r="A444" s="46" t="s">
        <v>1307</v>
      </c>
      <c r="B444" s="18" t="s">
        <v>396</v>
      </c>
      <c r="C444" s="18" t="s">
        <v>403</v>
      </c>
      <c r="D444" s="18" t="s">
        <v>1302</v>
      </c>
      <c r="E444" s="16" t="s">
        <v>1301</v>
      </c>
      <c r="F444" s="18" t="s">
        <v>1306</v>
      </c>
      <c r="G444" s="56" t="s">
        <v>1305</v>
      </c>
      <c r="H444" s="19" t="s">
        <v>1304</v>
      </c>
      <c r="I444" s="19" t="s">
        <v>1303</v>
      </c>
      <c r="J444" s="18" t="s">
        <v>1302</v>
      </c>
      <c r="K444" s="16" t="s">
        <v>1301</v>
      </c>
      <c r="L444" s="18" t="s">
        <v>595</v>
      </c>
      <c r="M444" s="19" t="s">
        <v>1194</v>
      </c>
      <c r="N444" s="19" t="s">
        <v>594</v>
      </c>
      <c r="O444" s="19" t="s">
        <v>593</v>
      </c>
      <c r="P444" s="19" t="s">
        <v>479</v>
      </c>
      <c r="Q444" s="43" t="s">
        <v>592</v>
      </c>
      <c r="S444" s="19" t="s">
        <v>396</v>
      </c>
      <c r="T444" s="16">
        <v>2.5</v>
      </c>
      <c r="V444" s="16">
        <v>70</v>
      </c>
      <c r="W444" s="19" t="s">
        <v>396</v>
      </c>
      <c r="X444" s="19" t="s">
        <v>396</v>
      </c>
      <c r="Y444" s="19" t="s">
        <v>396</v>
      </c>
      <c r="Z444" s="41">
        <v>50</v>
      </c>
      <c r="AA444" s="19" t="s">
        <v>396</v>
      </c>
      <c r="AB444" s="19" t="s">
        <v>396</v>
      </c>
      <c r="AC444" s="19" t="s">
        <v>396</v>
      </c>
      <c r="AD444" s="19" t="s">
        <v>396</v>
      </c>
      <c r="AE444" s="19" t="s">
        <v>396</v>
      </c>
      <c r="AF444" s="19" t="s">
        <v>396</v>
      </c>
      <c r="AG444" s="19" t="s">
        <v>396</v>
      </c>
      <c r="AH444" s="19" t="s">
        <v>396</v>
      </c>
      <c r="AI444" s="19" t="s">
        <v>396</v>
      </c>
      <c r="AJ444" s="19" t="s">
        <v>396</v>
      </c>
      <c r="AK444" s="18" t="s">
        <v>735</v>
      </c>
      <c r="AL444" s="15">
        <v>4002806907466</v>
      </c>
      <c r="AM444" s="15" t="s">
        <v>735</v>
      </c>
      <c r="AN444" s="5">
        <v>73269091</v>
      </c>
      <c r="AO444" s="6"/>
      <c r="AP444" s="6"/>
      <c r="AQ444" s="6" t="s">
        <v>1300</v>
      </c>
      <c r="AR444" s="6" t="s">
        <v>1299</v>
      </c>
      <c r="AS444" s="6" t="s">
        <v>1298</v>
      </c>
    </row>
    <row r="445" spans="1:45" s="16" customFormat="1" ht="12.75" customHeight="1">
      <c r="A445" s="46" t="s">
        <v>1297</v>
      </c>
      <c r="B445" s="18" t="s">
        <v>396</v>
      </c>
      <c r="C445" s="18" t="s">
        <v>403</v>
      </c>
      <c r="D445" s="18" t="s">
        <v>1296</v>
      </c>
      <c r="E445" s="16" t="s">
        <v>1295</v>
      </c>
      <c r="F445" s="18" t="s">
        <v>1294</v>
      </c>
      <c r="G445" s="56" t="s">
        <v>1293</v>
      </c>
      <c r="H445" s="19" t="s">
        <v>396</v>
      </c>
      <c r="I445" s="19" t="s">
        <v>396</v>
      </c>
      <c r="J445" s="18" t="s">
        <v>1292</v>
      </c>
      <c r="K445" s="16" t="s">
        <v>1291</v>
      </c>
      <c r="L445" s="19" t="s">
        <v>399</v>
      </c>
      <c r="M445" s="19" t="s">
        <v>399</v>
      </c>
      <c r="N445" s="19" t="s">
        <v>399</v>
      </c>
      <c r="O445" s="19" t="s">
        <v>399</v>
      </c>
      <c r="P445" s="43" t="s">
        <v>399</v>
      </c>
      <c r="Q445" s="43" t="s">
        <v>399</v>
      </c>
      <c r="S445" s="19" t="s">
        <v>396</v>
      </c>
      <c r="T445" s="42"/>
      <c r="U445" s="16" t="s">
        <v>396</v>
      </c>
      <c r="V445" s="16" t="s">
        <v>396</v>
      </c>
      <c r="W445" s="19" t="s">
        <v>396</v>
      </c>
      <c r="X445" s="19" t="s">
        <v>396</v>
      </c>
      <c r="Y445" s="19" t="s">
        <v>396</v>
      </c>
      <c r="Z445" s="41" t="s">
        <v>396</v>
      </c>
      <c r="AA445" s="19" t="s">
        <v>396</v>
      </c>
      <c r="AB445" s="19" t="s">
        <v>396</v>
      </c>
      <c r="AC445" s="19" t="s">
        <v>396</v>
      </c>
      <c r="AD445" s="19" t="s">
        <v>396</v>
      </c>
      <c r="AE445" s="19" t="s">
        <v>396</v>
      </c>
      <c r="AF445" s="19" t="s">
        <v>396</v>
      </c>
      <c r="AG445" s="19" t="s">
        <v>396</v>
      </c>
      <c r="AH445" s="19" t="s">
        <v>396</v>
      </c>
      <c r="AI445" s="19" t="s">
        <v>396</v>
      </c>
      <c r="AJ445" s="19" t="s">
        <v>396</v>
      </c>
      <c r="AK445" s="18" t="s">
        <v>395</v>
      </c>
      <c r="AL445" s="15">
        <v>4002806912385</v>
      </c>
      <c r="AM445" s="15" t="s">
        <v>395</v>
      </c>
      <c r="AN445" s="5">
        <v>35061000</v>
      </c>
      <c r="AO445" s="6"/>
      <c r="AP445" s="6"/>
      <c r="AQ445" s="6" t="s">
        <v>1290</v>
      </c>
      <c r="AR445" s="6" t="s">
        <v>1289</v>
      </c>
      <c r="AS445" s="6" t="s">
        <v>1288</v>
      </c>
    </row>
    <row r="446" spans="1:45" s="16" customFormat="1" ht="12.75" customHeight="1">
      <c r="A446" s="26" t="s">
        <v>1287</v>
      </c>
      <c r="B446" s="18" t="s">
        <v>1286</v>
      </c>
      <c r="C446" s="18" t="s">
        <v>403</v>
      </c>
      <c r="D446" s="18" t="s">
        <v>1279</v>
      </c>
      <c r="E446" s="18" t="s">
        <v>1279</v>
      </c>
      <c r="F446" s="16" t="s">
        <v>1278</v>
      </c>
      <c r="G446" s="16" t="s">
        <v>1277</v>
      </c>
      <c r="H446" s="19" t="s">
        <v>1197</v>
      </c>
      <c r="I446" s="19" t="s">
        <v>1196</v>
      </c>
      <c r="J446" s="16" t="s">
        <v>1285</v>
      </c>
      <c r="K446" s="16" t="s">
        <v>1285</v>
      </c>
      <c r="L446" s="18" t="s">
        <v>595</v>
      </c>
      <c r="M446" s="16" t="s">
        <v>1227</v>
      </c>
      <c r="N446" s="16" t="s">
        <v>1226</v>
      </c>
      <c r="O446" s="16" t="s">
        <v>1225</v>
      </c>
      <c r="P446" s="16" t="s">
        <v>479</v>
      </c>
      <c r="Q446" s="16" t="s">
        <v>1215</v>
      </c>
      <c r="S446" s="19" t="s">
        <v>396</v>
      </c>
      <c r="T446" s="42">
        <v>0.6</v>
      </c>
      <c r="U446" s="16">
        <v>50</v>
      </c>
      <c r="V446" s="16">
        <v>20000</v>
      </c>
      <c r="W446" s="19" t="s">
        <v>396</v>
      </c>
      <c r="X446" s="19" t="s">
        <v>396</v>
      </c>
      <c r="Y446" s="19" t="s">
        <v>396</v>
      </c>
      <c r="Z446" s="41">
        <v>50</v>
      </c>
      <c r="AA446" s="19" t="s">
        <v>396</v>
      </c>
      <c r="AB446" s="19" t="s">
        <v>396</v>
      </c>
      <c r="AC446" s="19" t="s">
        <v>396</v>
      </c>
      <c r="AD446" s="19" t="s">
        <v>396</v>
      </c>
      <c r="AE446" s="19" t="s">
        <v>396</v>
      </c>
      <c r="AF446" s="19" t="s">
        <v>396</v>
      </c>
      <c r="AG446" s="19" t="s">
        <v>396</v>
      </c>
      <c r="AH446" s="19" t="s">
        <v>396</v>
      </c>
      <c r="AI446" s="19" t="s">
        <v>396</v>
      </c>
      <c r="AJ446" s="19" t="s">
        <v>396</v>
      </c>
      <c r="AK446" s="18" t="s">
        <v>395</v>
      </c>
      <c r="AL446" s="15"/>
      <c r="AM446" s="15"/>
      <c r="AN446" s="5">
        <v>72166110</v>
      </c>
      <c r="AO446" s="6"/>
      <c r="AP446" s="6"/>
      <c r="AQ446" s="6" t="s">
        <v>1284</v>
      </c>
      <c r="AR446" s="6" t="s">
        <v>1283</v>
      </c>
      <c r="AS446" s="6" t="s">
        <v>1282</v>
      </c>
    </row>
    <row r="447" spans="1:45" s="16" customFormat="1" ht="12.75" customHeight="1">
      <c r="A447" s="26" t="s">
        <v>1281</v>
      </c>
      <c r="B447" s="18" t="s">
        <v>1280</v>
      </c>
      <c r="C447" s="18" t="s">
        <v>403</v>
      </c>
      <c r="D447" s="18" t="s">
        <v>1279</v>
      </c>
      <c r="E447" s="18" t="s">
        <v>1279</v>
      </c>
      <c r="F447" s="16" t="s">
        <v>1278</v>
      </c>
      <c r="G447" s="16" t="s">
        <v>1277</v>
      </c>
      <c r="H447" s="19" t="s">
        <v>1197</v>
      </c>
      <c r="I447" s="19" t="s">
        <v>1196</v>
      </c>
      <c r="J447" s="16" t="s">
        <v>1276</v>
      </c>
      <c r="K447" s="16" t="s">
        <v>1276</v>
      </c>
      <c r="L447" s="18" t="s">
        <v>595</v>
      </c>
      <c r="M447" s="16" t="s">
        <v>1227</v>
      </c>
      <c r="N447" s="16" t="s">
        <v>1226</v>
      </c>
      <c r="O447" s="16" t="s">
        <v>1225</v>
      </c>
      <c r="P447" s="16" t="s">
        <v>479</v>
      </c>
      <c r="Q447" s="16" t="s">
        <v>1215</v>
      </c>
      <c r="S447" s="19" t="s">
        <v>396</v>
      </c>
      <c r="T447" s="42">
        <v>0.6</v>
      </c>
      <c r="U447" s="16">
        <v>75</v>
      </c>
      <c r="V447" s="16">
        <v>20000</v>
      </c>
      <c r="W447" s="19" t="s">
        <v>396</v>
      </c>
      <c r="X447" s="19" t="s">
        <v>396</v>
      </c>
      <c r="Y447" s="19" t="s">
        <v>396</v>
      </c>
      <c r="Z447" s="41">
        <v>50</v>
      </c>
      <c r="AA447" s="19" t="s">
        <v>396</v>
      </c>
      <c r="AB447" s="19" t="s">
        <v>396</v>
      </c>
      <c r="AC447" s="19" t="s">
        <v>396</v>
      </c>
      <c r="AD447" s="19" t="s">
        <v>396</v>
      </c>
      <c r="AE447" s="19" t="s">
        <v>396</v>
      </c>
      <c r="AF447" s="19" t="s">
        <v>396</v>
      </c>
      <c r="AG447" s="19" t="s">
        <v>396</v>
      </c>
      <c r="AH447" s="19" t="s">
        <v>396</v>
      </c>
      <c r="AI447" s="19" t="s">
        <v>396</v>
      </c>
      <c r="AJ447" s="19" t="s">
        <v>396</v>
      </c>
      <c r="AK447" s="18" t="s">
        <v>395</v>
      </c>
      <c r="AL447" s="15"/>
      <c r="AM447" s="15"/>
      <c r="AN447" s="5">
        <v>72166110</v>
      </c>
      <c r="AO447" s="6"/>
      <c r="AP447" s="6"/>
      <c r="AQ447" s="6" t="s">
        <v>1275</v>
      </c>
      <c r="AR447" s="6" t="s">
        <v>1274</v>
      </c>
      <c r="AS447" s="6" t="s">
        <v>1273</v>
      </c>
    </row>
    <row r="448" spans="1:45" s="5" customFormat="1" ht="12.75" customHeight="1">
      <c r="A448" s="32" t="s">
        <v>1272</v>
      </c>
      <c r="B448" s="6" t="s">
        <v>396</v>
      </c>
      <c r="C448" s="31" t="s">
        <v>403</v>
      </c>
      <c r="D448" s="5" t="s">
        <v>1269</v>
      </c>
      <c r="E448" s="5" t="s">
        <v>1269</v>
      </c>
      <c r="F448" s="5" t="s">
        <v>1271</v>
      </c>
      <c r="G448" s="5" t="s">
        <v>1270</v>
      </c>
      <c r="H448" s="27" t="s">
        <v>1197</v>
      </c>
      <c r="I448" s="27" t="s">
        <v>1196</v>
      </c>
      <c r="J448" s="5" t="s">
        <v>1269</v>
      </c>
      <c r="K448" s="5" t="s">
        <v>1269</v>
      </c>
      <c r="L448" s="6" t="s">
        <v>595</v>
      </c>
      <c r="M448" s="5" t="s">
        <v>1227</v>
      </c>
      <c r="N448" s="5" t="s">
        <v>1226</v>
      </c>
      <c r="O448" s="5" t="s">
        <v>1225</v>
      </c>
      <c r="P448" s="5" t="s">
        <v>479</v>
      </c>
      <c r="Q448" s="5" t="s">
        <v>1215</v>
      </c>
      <c r="S448" s="27" t="s">
        <v>396</v>
      </c>
      <c r="T448" s="53">
        <v>0.6</v>
      </c>
      <c r="V448" s="5">
        <v>3000</v>
      </c>
      <c r="W448" s="27" t="s">
        <v>396</v>
      </c>
      <c r="X448" s="27" t="s">
        <v>396</v>
      </c>
      <c r="Y448" s="27" t="s">
        <v>396</v>
      </c>
      <c r="Z448" s="55">
        <v>50</v>
      </c>
      <c r="AA448" s="27" t="s">
        <v>396</v>
      </c>
      <c r="AB448" s="27" t="s">
        <v>396</v>
      </c>
      <c r="AC448" s="27" t="s">
        <v>396</v>
      </c>
      <c r="AD448" s="27" t="s">
        <v>396</v>
      </c>
      <c r="AE448" s="27" t="s">
        <v>396</v>
      </c>
      <c r="AF448" s="27" t="s">
        <v>396</v>
      </c>
      <c r="AG448" s="27" t="s">
        <v>396</v>
      </c>
      <c r="AH448" s="27" t="s">
        <v>396</v>
      </c>
      <c r="AI448" s="27" t="s">
        <v>396</v>
      </c>
      <c r="AJ448" s="27" t="s">
        <v>396</v>
      </c>
      <c r="AK448" s="6" t="s">
        <v>395</v>
      </c>
      <c r="AL448" s="17">
        <v>5413218567268</v>
      </c>
      <c r="AM448" s="15" t="s">
        <v>395</v>
      </c>
      <c r="AN448" s="5">
        <v>72166110</v>
      </c>
      <c r="AO448" s="6" t="s">
        <v>1224</v>
      </c>
      <c r="AP448" s="6" t="s">
        <v>1223</v>
      </c>
      <c r="AQ448" s="6" t="s">
        <v>1268</v>
      </c>
      <c r="AR448" s="6" t="s">
        <v>1267</v>
      </c>
      <c r="AS448" s="6" t="s">
        <v>1266</v>
      </c>
    </row>
    <row r="449" spans="1:45" s="5" customFormat="1" ht="12.75" customHeight="1">
      <c r="A449" s="32" t="s">
        <v>1265</v>
      </c>
      <c r="B449" s="6" t="s">
        <v>396</v>
      </c>
      <c r="C449" s="31" t="s">
        <v>403</v>
      </c>
      <c r="D449" s="5" t="s">
        <v>1262</v>
      </c>
      <c r="E449" s="5" t="s">
        <v>1262</v>
      </c>
      <c r="F449" s="5" t="s">
        <v>1264</v>
      </c>
      <c r="G449" s="5" t="s">
        <v>1263</v>
      </c>
      <c r="H449" s="27" t="s">
        <v>1197</v>
      </c>
      <c r="I449" s="27" t="s">
        <v>1196</v>
      </c>
      <c r="J449" s="5" t="s">
        <v>1262</v>
      </c>
      <c r="K449" s="5" t="s">
        <v>1262</v>
      </c>
      <c r="L449" s="6" t="s">
        <v>595</v>
      </c>
      <c r="M449" s="5" t="s">
        <v>1261</v>
      </c>
      <c r="N449" s="5" t="s">
        <v>1226</v>
      </c>
      <c r="O449" s="5" t="s">
        <v>1225</v>
      </c>
      <c r="P449" s="5" t="s">
        <v>479</v>
      </c>
      <c r="Q449" s="5" t="s">
        <v>1215</v>
      </c>
      <c r="S449" s="27" t="s">
        <v>396</v>
      </c>
      <c r="T449" s="53">
        <v>0.6</v>
      </c>
      <c r="U449" s="5">
        <v>45</v>
      </c>
      <c r="V449" s="5">
        <v>3000</v>
      </c>
      <c r="W449" s="27" t="s">
        <v>396</v>
      </c>
      <c r="X449" s="27" t="s">
        <v>396</v>
      </c>
      <c r="Y449" s="27" t="s">
        <v>396</v>
      </c>
      <c r="Z449" s="55">
        <v>50</v>
      </c>
      <c r="AA449" s="27" t="s">
        <v>396</v>
      </c>
      <c r="AB449" s="27" t="s">
        <v>396</v>
      </c>
      <c r="AC449" s="27" t="s">
        <v>396</v>
      </c>
      <c r="AD449" s="27" t="s">
        <v>396</v>
      </c>
      <c r="AE449" s="27" t="s">
        <v>396</v>
      </c>
      <c r="AF449" s="27" t="s">
        <v>396</v>
      </c>
      <c r="AG449" s="27" t="s">
        <v>396</v>
      </c>
      <c r="AH449" s="27" t="s">
        <v>396</v>
      </c>
      <c r="AI449" s="27" t="s">
        <v>396</v>
      </c>
      <c r="AJ449" s="27" t="s">
        <v>396</v>
      </c>
      <c r="AK449" s="6" t="s">
        <v>395</v>
      </c>
      <c r="AL449" s="17">
        <v>5413218567275</v>
      </c>
      <c r="AM449" s="15" t="s">
        <v>395</v>
      </c>
      <c r="AN449" s="5">
        <v>72166110</v>
      </c>
      <c r="AO449" s="6" t="s">
        <v>1224</v>
      </c>
      <c r="AP449" s="6" t="s">
        <v>1223</v>
      </c>
      <c r="AQ449" s="6" t="s">
        <v>1260</v>
      </c>
      <c r="AR449" s="6" t="s">
        <v>1259</v>
      </c>
      <c r="AS449" s="6" t="s">
        <v>1258</v>
      </c>
    </row>
    <row r="450" spans="1:45" s="5" customFormat="1" ht="12.75" customHeight="1">
      <c r="A450" s="32" t="s">
        <v>1257</v>
      </c>
      <c r="B450" s="6" t="s">
        <v>396</v>
      </c>
      <c r="C450" s="31" t="s">
        <v>403</v>
      </c>
      <c r="D450" s="5" t="s">
        <v>1254</v>
      </c>
      <c r="E450" s="5" t="s">
        <v>1254</v>
      </c>
      <c r="F450" s="5" t="s">
        <v>1256</v>
      </c>
      <c r="G450" s="5" t="s">
        <v>1255</v>
      </c>
      <c r="H450" s="27" t="s">
        <v>1197</v>
      </c>
      <c r="I450" s="27" t="s">
        <v>1196</v>
      </c>
      <c r="J450" s="5" t="s">
        <v>1254</v>
      </c>
      <c r="K450" s="5" t="s">
        <v>1254</v>
      </c>
      <c r="L450" s="6" t="s">
        <v>595</v>
      </c>
      <c r="M450" s="5" t="s">
        <v>1246</v>
      </c>
      <c r="N450" s="5" t="s">
        <v>1226</v>
      </c>
      <c r="O450" s="5" t="s">
        <v>1225</v>
      </c>
      <c r="P450" s="5" t="s">
        <v>479</v>
      </c>
      <c r="Q450" s="5" t="s">
        <v>1215</v>
      </c>
      <c r="S450" s="27" t="s">
        <v>396</v>
      </c>
      <c r="T450" s="53">
        <v>0.6</v>
      </c>
      <c r="V450" s="5">
        <v>3000</v>
      </c>
      <c r="W450" s="27" t="s">
        <v>396</v>
      </c>
      <c r="X450" s="27" t="s">
        <v>396</v>
      </c>
      <c r="Y450" s="27" t="s">
        <v>396</v>
      </c>
      <c r="Z450" s="55">
        <v>50</v>
      </c>
      <c r="AA450" s="27" t="s">
        <v>396</v>
      </c>
      <c r="AB450" s="27" t="s">
        <v>396</v>
      </c>
      <c r="AC450" s="27" t="s">
        <v>396</v>
      </c>
      <c r="AD450" s="27" t="s">
        <v>396</v>
      </c>
      <c r="AE450" s="27" t="s">
        <v>396</v>
      </c>
      <c r="AF450" s="27" t="s">
        <v>396</v>
      </c>
      <c r="AG450" s="27" t="s">
        <v>396</v>
      </c>
      <c r="AH450" s="27" t="s">
        <v>396</v>
      </c>
      <c r="AI450" s="27" t="s">
        <v>396</v>
      </c>
      <c r="AJ450" s="27" t="s">
        <v>396</v>
      </c>
      <c r="AK450" s="6" t="s">
        <v>395</v>
      </c>
      <c r="AL450" s="17">
        <v>5413218567282</v>
      </c>
      <c r="AM450" s="15" t="s">
        <v>395</v>
      </c>
      <c r="AN450" s="5">
        <v>72166110</v>
      </c>
      <c r="AO450" s="6" t="s">
        <v>1224</v>
      </c>
      <c r="AP450" s="6" t="s">
        <v>1223</v>
      </c>
      <c r="AQ450" s="6" t="s">
        <v>1253</v>
      </c>
      <c r="AR450" s="6" t="s">
        <v>1252</v>
      </c>
      <c r="AS450" s="6" t="s">
        <v>1251</v>
      </c>
    </row>
    <row r="451" spans="1:45" s="5" customFormat="1" ht="12.75" customHeight="1">
      <c r="A451" s="32" t="s">
        <v>1250</v>
      </c>
      <c r="B451" s="6" t="s">
        <v>396</v>
      </c>
      <c r="C451" s="31" t="s">
        <v>403</v>
      </c>
      <c r="D451" s="5" t="s">
        <v>1247</v>
      </c>
      <c r="E451" s="5" t="s">
        <v>1247</v>
      </c>
      <c r="F451" s="5" t="s">
        <v>1249</v>
      </c>
      <c r="G451" s="5" t="s">
        <v>1248</v>
      </c>
      <c r="H451" s="27" t="s">
        <v>1197</v>
      </c>
      <c r="I451" s="27" t="s">
        <v>1196</v>
      </c>
      <c r="J451" s="5" t="s">
        <v>1247</v>
      </c>
      <c r="K451" s="5" t="s">
        <v>1247</v>
      </c>
      <c r="L451" s="6" t="s">
        <v>595</v>
      </c>
      <c r="M451" s="5" t="s">
        <v>1246</v>
      </c>
      <c r="N451" s="5" t="s">
        <v>1226</v>
      </c>
      <c r="O451" s="5" t="s">
        <v>1225</v>
      </c>
      <c r="P451" s="5" t="s">
        <v>479</v>
      </c>
      <c r="Q451" s="5" t="s">
        <v>1215</v>
      </c>
      <c r="S451" s="27" t="s">
        <v>396</v>
      </c>
      <c r="T451" s="53">
        <v>0.4</v>
      </c>
      <c r="V451" s="5">
        <v>1500</v>
      </c>
      <c r="W451" s="27" t="s">
        <v>396</v>
      </c>
      <c r="X451" s="27" t="s">
        <v>396</v>
      </c>
      <c r="Y451" s="27" t="s">
        <v>396</v>
      </c>
      <c r="Z451" s="55">
        <v>50</v>
      </c>
      <c r="AA451" s="27" t="s">
        <v>396</v>
      </c>
      <c r="AB451" s="27" t="s">
        <v>396</v>
      </c>
      <c r="AC451" s="27" t="s">
        <v>396</v>
      </c>
      <c r="AD451" s="27" t="s">
        <v>396</v>
      </c>
      <c r="AE451" s="27" t="s">
        <v>396</v>
      </c>
      <c r="AF451" s="27" t="s">
        <v>396</v>
      </c>
      <c r="AG451" s="27" t="s">
        <v>396</v>
      </c>
      <c r="AH451" s="27" t="s">
        <v>396</v>
      </c>
      <c r="AI451" s="27" t="s">
        <v>396</v>
      </c>
      <c r="AJ451" s="27" t="s">
        <v>396</v>
      </c>
      <c r="AK451" s="6" t="s">
        <v>395</v>
      </c>
      <c r="AL451" s="17">
        <v>5413218567299</v>
      </c>
      <c r="AM451" s="15" t="s">
        <v>395</v>
      </c>
      <c r="AN451" s="5">
        <v>72166110</v>
      </c>
      <c r="AO451" s="6" t="s">
        <v>1224</v>
      </c>
      <c r="AP451" s="6" t="s">
        <v>1223</v>
      </c>
      <c r="AQ451" s="6" t="s">
        <v>1245</v>
      </c>
      <c r="AR451" s="6" t="s">
        <v>1244</v>
      </c>
      <c r="AS451" s="6" t="s">
        <v>1243</v>
      </c>
    </row>
    <row r="452" spans="1:45" s="5" customFormat="1" ht="12.75" customHeight="1">
      <c r="A452" s="32" t="s">
        <v>1242</v>
      </c>
      <c r="B452" s="6" t="s">
        <v>396</v>
      </c>
      <c r="C452" s="31" t="s">
        <v>403</v>
      </c>
      <c r="D452" s="6" t="s">
        <v>1231</v>
      </c>
      <c r="E452" s="6" t="s">
        <v>1231</v>
      </c>
      <c r="F452" s="5" t="s">
        <v>1230</v>
      </c>
      <c r="G452" s="5" t="s">
        <v>1229</v>
      </c>
      <c r="H452" s="27" t="s">
        <v>1197</v>
      </c>
      <c r="I452" s="27" t="s">
        <v>1196</v>
      </c>
      <c r="J452" s="5" t="s">
        <v>1241</v>
      </c>
      <c r="K452" s="5" t="s">
        <v>1241</v>
      </c>
      <c r="L452" s="6" t="s">
        <v>595</v>
      </c>
      <c r="M452" s="5" t="s">
        <v>1227</v>
      </c>
      <c r="N452" s="5" t="s">
        <v>1226</v>
      </c>
      <c r="O452" s="5" t="s">
        <v>1225</v>
      </c>
      <c r="P452" s="5" t="s">
        <v>479</v>
      </c>
      <c r="Q452" s="5" t="s">
        <v>1215</v>
      </c>
      <c r="S452" s="27" t="s">
        <v>396</v>
      </c>
      <c r="T452" s="53">
        <v>0.6</v>
      </c>
      <c r="U452" s="5">
        <v>30</v>
      </c>
      <c r="V452" s="5">
        <v>3000</v>
      </c>
      <c r="W452" s="27" t="s">
        <v>396</v>
      </c>
      <c r="X452" s="27" t="s">
        <v>396</v>
      </c>
      <c r="Y452" s="27" t="s">
        <v>396</v>
      </c>
      <c r="Z452" s="55">
        <v>50</v>
      </c>
      <c r="AA452" s="27" t="s">
        <v>396</v>
      </c>
      <c r="AB452" s="27" t="s">
        <v>396</v>
      </c>
      <c r="AC452" s="27" t="s">
        <v>396</v>
      </c>
      <c r="AD452" s="27" t="s">
        <v>396</v>
      </c>
      <c r="AE452" s="27" t="s">
        <v>396</v>
      </c>
      <c r="AF452" s="27" t="s">
        <v>396</v>
      </c>
      <c r="AG452" s="27" t="s">
        <v>396</v>
      </c>
      <c r="AH452" s="27" t="s">
        <v>396</v>
      </c>
      <c r="AI452" s="27" t="s">
        <v>396</v>
      </c>
      <c r="AJ452" s="27" t="s">
        <v>396</v>
      </c>
      <c r="AK452" s="6" t="s">
        <v>395</v>
      </c>
      <c r="AL452" s="17">
        <v>5413218567305</v>
      </c>
      <c r="AM452" s="15" t="s">
        <v>395</v>
      </c>
      <c r="AN452" s="5">
        <v>72166110</v>
      </c>
      <c r="AO452" s="6" t="s">
        <v>1224</v>
      </c>
      <c r="AP452" s="6" t="s">
        <v>1223</v>
      </c>
      <c r="AQ452" s="6" t="s">
        <v>1240</v>
      </c>
      <c r="AR452" s="6" t="s">
        <v>1239</v>
      </c>
      <c r="AS452" s="6" t="s">
        <v>1238</v>
      </c>
    </row>
    <row r="453" spans="1:45" s="5" customFormat="1" ht="12.75" customHeight="1">
      <c r="A453" s="32" t="s">
        <v>1237</v>
      </c>
      <c r="B453" s="6" t="s">
        <v>396</v>
      </c>
      <c r="C453" s="31" t="s">
        <v>403</v>
      </c>
      <c r="D453" s="6" t="s">
        <v>1231</v>
      </c>
      <c r="E453" s="6" t="s">
        <v>1231</v>
      </c>
      <c r="F453" s="5" t="s">
        <v>1230</v>
      </c>
      <c r="G453" s="5" t="s">
        <v>1229</v>
      </c>
      <c r="H453" s="27" t="s">
        <v>1197</v>
      </c>
      <c r="I453" s="27" t="s">
        <v>1196</v>
      </c>
      <c r="J453" s="5" t="s">
        <v>1236</v>
      </c>
      <c r="K453" s="5" t="s">
        <v>1236</v>
      </c>
      <c r="L453" s="6" t="s">
        <v>595</v>
      </c>
      <c r="M453" s="5" t="s">
        <v>1227</v>
      </c>
      <c r="N453" s="5" t="s">
        <v>1226</v>
      </c>
      <c r="O453" s="5" t="s">
        <v>1225</v>
      </c>
      <c r="P453" s="5" t="s">
        <v>479</v>
      </c>
      <c r="Q453" s="5" t="s">
        <v>1215</v>
      </c>
      <c r="S453" s="27" t="s">
        <v>396</v>
      </c>
      <c r="T453" s="53">
        <v>0.6</v>
      </c>
      <c r="U453" s="5">
        <v>40</v>
      </c>
      <c r="V453" s="5">
        <v>3000</v>
      </c>
      <c r="W453" s="27" t="s">
        <v>396</v>
      </c>
      <c r="X453" s="27" t="s">
        <v>396</v>
      </c>
      <c r="Y453" s="27" t="s">
        <v>396</v>
      </c>
      <c r="Z453" s="55">
        <v>50</v>
      </c>
      <c r="AA453" s="27" t="s">
        <v>396</v>
      </c>
      <c r="AB453" s="27" t="s">
        <v>396</v>
      </c>
      <c r="AC453" s="27" t="s">
        <v>396</v>
      </c>
      <c r="AD453" s="27" t="s">
        <v>396</v>
      </c>
      <c r="AE453" s="27" t="s">
        <v>396</v>
      </c>
      <c r="AF453" s="27" t="s">
        <v>396</v>
      </c>
      <c r="AG453" s="27" t="s">
        <v>396</v>
      </c>
      <c r="AH453" s="27" t="s">
        <v>396</v>
      </c>
      <c r="AI453" s="27" t="s">
        <v>396</v>
      </c>
      <c r="AJ453" s="27" t="s">
        <v>396</v>
      </c>
      <c r="AK453" s="6" t="s">
        <v>395</v>
      </c>
      <c r="AL453" s="17">
        <v>5413218567312</v>
      </c>
      <c r="AM453" s="15" t="s">
        <v>395</v>
      </c>
      <c r="AN453" s="5">
        <v>72166110</v>
      </c>
      <c r="AO453" s="6" t="s">
        <v>1224</v>
      </c>
      <c r="AP453" s="6" t="s">
        <v>1223</v>
      </c>
      <c r="AQ453" s="6" t="s">
        <v>1235</v>
      </c>
      <c r="AR453" s="6" t="s">
        <v>1234</v>
      </c>
      <c r="AS453" s="6" t="s">
        <v>1233</v>
      </c>
    </row>
    <row r="454" spans="1:45" s="5" customFormat="1" ht="12.75" customHeight="1">
      <c r="A454" s="32" t="s">
        <v>1232</v>
      </c>
      <c r="B454" s="6" t="s">
        <v>396</v>
      </c>
      <c r="C454" s="31" t="s">
        <v>403</v>
      </c>
      <c r="D454" s="6" t="s">
        <v>1231</v>
      </c>
      <c r="E454" s="6" t="s">
        <v>1231</v>
      </c>
      <c r="F454" s="5" t="s">
        <v>1230</v>
      </c>
      <c r="G454" s="5" t="s">
        <v>1229</v>
      </c>
      <c r="H454" s="27" t="s">
        <v>1197</v>
      </c>
      <c r="I454" s="27" t="s">
        <v>1196</v>
      </c>
      <c r="J454" s="5" t="s">
        <v>1228</v>
      </c>
      <c r="K454" s="5" t="s">
        <v>1228</v>
      </c>
      <c r="L454" s="6" t="s">
        <v>595</v>
      </c>
      <c r="M454" s="5" t="s">
        <v>1227</v>
      </c>
      <c r="N454" s="5" t="s">
        <v>1226</v>
      </c>
      <c r="O454" s="5" t="s">
        <v>1225</v>
      </c>
      <c r="P454" s="5" t="s">
        <v>479</v>
      </c>
      <c r="Q454" s="5" t="s">
        <v>1215</v>
      </c>
      <c r="S454" s="27" t="s">
        <v>396</v>
      </c>
      <c r="T454" s="53">
        <v>0.6</v>
      </c>
      <c r="U454" s="5">
        <v>50</v>
      </c>
      <c r="V454" s="5">
        <v>3000</v>
      </c>
      <c r="W454" s="27" t="s">
        <v>396</v>
      </c>
      <c r="X454" s="27" t="s">
        <v>396</v>
      </c>
      <c r="Y454" s="27" t="s">
        <v>396</v>
      </c>
      <c r="Z454" s="55">
        <v>50</v>
      </c>
      <c r="AA454" s="27" t="s">
        <v>396</v>
      </c>
      <c r="AB454" s="27" t="s">
        <v>396</v>
      </c>
      <c r="AC454" s="27" t="s">
        <v>396</v>
      </c>
      <c r="AD454" s="27" t="s">
        <v>396</v>
      </c>
      <c r="AE454" s="27" t="s">
        <v>396</v>
      </c>
      <c r="AF454" s="27" t="s">
        <v>396</v>
      </c>
      <c r="AG454" s="27" t="s">
        <v>396</v>
      </c>
      <c r="AH454" s="27" t="s">
        <v>396</v>
      </c>
      <c r="AI454" s="27" t="s">
        <v>396</v>
      </c>
      <c r="AJ454" s="27" t="s">
        <v>396</v>
      </c>
      <c r="AK454" s="6" t="s">
        <v>395</v>
      </c>
      <c r="AL454" s="17">
        <v>5413218567329</v>
      </c>
      <c r="AM454" s="15" t="s">
        <v>395</v>
      </c>
      <c r="AN454" s="5">
        <v>72166110</v>
      </c>
      <c r="AO454" s="6" t="s">
        <v>1224</v>
      </c>
      <c r="AP454" s="6" t="s">
        <v>1223</v>
      </c>
      <c r="AQ454" s="6" t="s">
        <v>1222</v>
      </c>
      <c r="AR454" s="6" t="s">
        <v>1221</v>
      </c>
      <c r="AS454" s="6" t="s">
        <v>1220</v>
      </c>
    </row>
    <row r="455" spans="1:45" s="5" customFormat="1" ht="12.75" customHeight="1">
      <c r="A455" s="32" t="s">
        <v>1219</v>
      </c>
      <c r="B455" s="6" t="s">
        <v>396</v>
      </c>
      <c r="C455" s="31" t="s">
        <v>403</v>
      </c>
      <c r="D455" s="5" t="s">
        <v>1216</v>
      </c>
      <c r="E455" s="5" t="s">
        <v>1216</v>
      </c>
      <c r="F455" s="5" t="s">
        <v>1218</v>
      </c>
      <c r="G455" s="5" t="s">
        <v>1217</v>
      </c>
      <c r="H455" s="27" t="s">
        <v>1197</v>
      </c>
      <c r="I455" s="27" t="s">
        <v>1196</v>
      </c>
      <c r="J455" s="5" t="s">
        <v>1216</v>
      </c>
      <c r="K455" s="5" t="s">
        <v>1216</v>
      </c>
      <c r="L455" s="6" t="s">
        <v>595</v>
      </c>
      <c r="M455" s="6" t="s">
        <v>12</v>
      </c>
      <c r="N455" s="5" t="s">
        <v>637</v>
      </c>
      <c r="O455" s="5" t="s">
        <v>636</v>
      </c>
      <c r="P455" s="5" t="s">
        <v>479</v>
      </c>
      <c r="Q455" s="5" t="s">
        <v>1215</v>
      </c>
      <c r="S455" s="27" t="s">
        <v>396</v>
      </c>
      <c r="T455" s="53">
        <v>0.6</v>
      </c>
      <c r="U455" s="5">
        <v>43</v>
      </c>
      <c r="V455" s="5">
        <v>120</v>
      </c>
      <c r="W455" s="27" t="s">
        <v>396</v>
      </c>
      <c r="X455" s="27" t="s">
        <v>396</v>
      </c>
      <c r="Y455" s="27" t="s">
        <v>396</v>
      </c>
      <c r="Z455" s="55">
        <v>50</v>
      </c>
      <c r="AA455" s="27" t="s">
        <v>396</v>
      </c>
      <c r="AB455" s="27" t="s">
        <v>396</v>
      </c>
      <c r="AC455" s="27" t="s">
        <v>396</v>
      </c>
      <c r="AD455" s="27" t="s">
        <v>396</v>
      </c>
      <c r="AE455" s="27" t="s">
        <v>396</v>
      </c>
      <c r="AF455" s="27" t="s">
        <v>396</v>
      </c>
      <c r="AG455" s="27" t="s">
        <v>396</v>
      </c>
      <c r="AH455" s="27" t="s">
        <v>396</v>
      </c>
      <c r="AI455" s="27" t="s">
        <v>396</v>
      </c>
      <c r="AJ455" s="27" t="s">
        <v>396</v>
      </c>
      <c r="AK455" s="6" t="s">
        <v>395</v>
      </c>
      <c r="AL455" s="17">
        <v>8711149903757</v>
      </c>
      <c r="AM455" s="15" t="s">
        <v>395</v>
      </c>
      <c r="AN455" s="5">
        <v>72166110</v>
      </c>
      <c r="AO455" s="6" t="s">
        <v>1214</v>
      </c>
      <c r="AP455" s="6" t="s">
        <v>1213</v>
      </c>
      <c r="AQ455" s="6" t="s">
        <v>1212</v>
      </c>
      <c r="AR455" s="6" t="s">
        <v>1211</v>
      </c>
      <c r="AS455" s="6" t="s">
        <v>1210</v>
      </c>
    </row>
    <row r="456" spans="1:45" s="5" customFormat="1" ht="12.75" customHeight="1">
      <c r="A456" s="32" t="s">
        <v>1209</v>
      </c>
      <c r="B456" s="6" t="s">
        <v>396</v>
      </c>
      <c r="C456" s="31" t="s">
        <v>403</v>
      </c>
      <c r="D456" s="5" t="s">
        <v>1206</v>
      </c>
      <c r="E456" s="5" t="s">
        <v>1206</v>
      </c>
      <c r="F456" s="5" t="s">
        <v>1208</v>
      </c>
      <c r="G456" s="5" t="s">
        <v>1207</v>
      </c>
      <c r="H456" s="27" t="s">
        <v>1197</v>
      </c>
      <c r="I456" s="27" t="s">
        <v>1196</v>
      </c>
      <c r="J456" s="5" t="s">
        <v>1206</v>
      </c>
      <c r="K456" s="5" t="s">
        <v>1206</v>
      </c>
      <c r="L456" s="9" t="s">
        <v>595</v>
      </c>
      <c r="M456" s="27" t="s">
        <v>399</v>
      </c>
      <c r="N456" s="27" t="s">
        <v>594</v>
      </c>
      <c r="O456" s="27" t="s">
        <v>593</v>
      </c>
      <c r="P456" s="27" t="s">
        <v>479</v>
      </c>
      <c r="Q456" s="9" t="s">
        <v>592</v>
      </c>
      <c r="S456" s="27" t="s">
        <v>396</v>
      </c>
      <c r="T456" s="53">
        <v>4</v>
      </c>
      <c r="V456" s="5">
        <v>250</v>
      </c>
      <c r="W456" s="27" t="s">
        <v>396</v>
      </c>
      <c r="X456" s="27" t="s">
        <v>396</v>
      </c>
      <c r="Y456" s="27" t="s">
        <v>396</v>
      </c>
      <c r="Z456" s="55">
        <v>50</v>
      </c>
      <c r="AA456" s="27" t="s">
        <v>396</v>
      </c>
      <c r="AB456" s="27" t="s">
        <v>396</v>
      </c>
      <c r="AC456" s="27" t="s">
        <v>396</v>
      </c>
      <c r="AD456" s="27" t="s">
        <v>396</v>
      </c>
      <c r="AE456" s="27" t="s">
        <v>396</v>
      </c>
      <c r="AF456" s="27" t="s">
        <v>396</v>
      </c>
      <c r="AG456" s="27" t="s">
        <v>396</v>
      </c>
      <c r="AH456" s="27" t="s">
        <v>396</v>
      </c>
      <c r="AI456" s="27" t="s">
        <v>396</v>
      </c>
      <c r="AJ456" s="27" t="s">
        <v>396</v>
      </c>
      <c r="AK456" s="6" t="s">
        <v>395</v>
      </c>
      <c r="AL456" s="17">
        <v>8711149903764</v>
      </c>
      <c r="AM456" s="15" t="s">
        <v>395</v>
      </c>
      <c r="AN456" s="5">
        <v>73269091</v>
      </c>
      <c r="AO456" s="6" t="s">
        <v>1205</v>
      </c>
      <c r="AP456" s="6" t="s">
        <v>1204</v>
      </c>
      <c r="AQ456" s="6" t="s">
        <v>1203</v>
      </c>
      <c r="AR456" s="6" t="s">
        <v>1202</v>
      </c>
      <c r="AS456" s="6" t="s">
        <v>1201</v>
      </c>
    </row>
    <row r="457" spans="1:45" s="5" customFormat="1" ht="12.75" customHeight="1">
      <c r="A457" s="32" t="s">
        <v>1200</v>
      </c>
      <c r="B457" s="6" t="s">
        <v>396</v>
      </c>
      <c r="C457" s="31" t="s">
        <v>403</v>
      </c>
      <c r="D457" s="5" t="s">
        <v>1195</v>
      </c>
      <c r="E457" s="5" t="s">
        <v>1195</v>
      </c>
      <c r="F457" s="5" t="s">
        <v>1199</v>
      </c>
      <c r="G457" s="5" t="s">
        <v>1198</v>
      </c>
      <c r="H457" s="27" t="s">
        <v>1197</v>
      </c>
      <c r="I457" s="27" t="s">
        <v>1196</v>
      </c>
      <c r="J457" s="5" t="s">
        <v>1195</v>
      </c>
      <c r="K457" s="5" t="s">
        <v>1195</v>
      </c>
      <c r="L457" s="9" t="s">
        <v>595</v>
      </c>
      <c r="M457" s="27" t="s">
        <v>1194</v>
      </c>
      <c r="N457" s="27" t="s">
        <v>594</v>
      </c>
      <c r="O457" s="27" t="s">
        <v>593</v>
      </c>
      <c r="P457" s="27" t="s">
        <v>479</v>
      </c>
      <c r="Q457" s="9" t="s">
        <v>592</v>
      </c>
      <c r="S457" s="27" t="s">
        <v>396</v>
      </c>
      <c r="T457" s="54"/>
      <c r="U457" s="5">
        <v>29</v>
      </c>
      <c r="V457" s="5">
        <v>50</v>
      </c>
      <c r="W457" s="27" t="s">
        <v>396</v>
      </c>
      <c r="X457" s="27" t="s">
        <v>396</v>
      </c>
      <c r="Y457" s="27" t="s">
        <v>396</v>
      </c>
      <c r="Z457" s="55">
        <v>50</v>
      </c>
      <c r="AA457" s="27" t="s">
        <v>396</v>
      </c>
      <c r="AB457" s="27" t="s">
        <v>396</v>
      </c>
      <c r="AC457" s="27" t="s">
        <v>396</v>
      </c>
      <c r="AD457" s="27" t="s">
        <v>396</v>
      </c>
      <c r="AE457" s="27" t="s">
        <v>396</v>
      </c>
      <c r="AF457" s="27" t="s">
        <v>396</v>
      </c>
      <c r="AG457" s="27" t="s">
        <v>396</v>
      </c>
      <c r="AH457" s="27" t="s">
        <v>396</v>
      </c>
      <c r="AI457" s="27" t="s">
        <v>396</v>
      </c>
      <c r="AJ457" s="27" t="s">
        <v>396</v>
      </c>
      <c r="AK457" s="6" t="s">
        <v>395</v>
      </c>
      <c r="AL457" s="17">
        <v>8711149903771</v>
      </c>
      <c r="AM457" s="15" t="s">
        <v>395</v>
      </c>
      <c r="AN457" s="5">
        <v>73269091</v>
      </c>
      <c r="AO457" s="6"/>
      <c r="AP457" s="6"/>
      <c r="AQ457" s="6" t="s">
        <v>1193</v>
      </c>
      <c r="AR457" s="6" t="s">
        <v>1192</v>
      </c>
      <c r="AS457" s="6" t="s">
        <v>1191</v>
      </c>
    </row>
    <row r="458" spans="1:45" s="5" customFormat="1" ht="12.75" customHeight="1">
      <c r="A458" s="33" t="s">
        <v>1190</v>
      </c>
      <c r="B458" s="6" t="s">
        <v>396</v>
      </c>
      <c r="C458" s="31" t="s">
        <v>403</v>
      </c>
      <c r="D458" s="5" t="s">
        <v>1185</v>
      </c>
      <c r="E458" s="5" t="s">
        <v>1185</v>
      </c>
      <c r="F458" s="5" t="s">
        <v>1187</v>
      </c>
      <c r="G458" s="5" t="s">
        <v>1186</v>
      </c>
      <c r="H458" s="27" t="s">
        <v>937</v>
      </c>
      <c r="I458" s="27" t="s">
        <v>937</v>
      </c>
      <c r="J458" s="5" t="s">
        <v>1185</v>
      </c>
      <c r="K458" s="5" t="s">
        <v>1185</v>
      </c>
      <c r="L458" s="27" t="s">
        <v>399</v>
      </c>
      <c r="M458" s="27" t="s">
        <v>396</v>
      </c>
      <c r="N458" s="27" t="s">
        <v>396</v>
      </c>
      <c r="O458" s="27" t="s">
        <v>396</v>
      </c>
      <c r="P458" s="27" t="s">
        <v>399</v>
      </c>
      <c r="Q458" s="27" t="s">
        <v>396</v>
      </c>
      <c r="S458" s="27" t="s">
        <v>396</v>
      </c>
      <c r="T458" s="54"/>
      <c r="U458" s="5">
        <v>300</v>
      </c>
      <c r="V458" s="5">
        <v>300</v>
      </c>
      <c r="W458" s="27" t="s">
        <v>396</v>
      </c>
      <c r="X458" s="38"/>
      <c r="Y458" s="5" t="s">
        <v>396</v>
      </c>
      <c r="Z458" s="28" t="s">
        <v>396</v>
      </c>
      <c r="AA458" s="27" t="s">
        <v>396</v>
      </c>
      <c r="AB458" s="27" t="s">
        <v>396</v>
      </c>
      <c r="AC458" s="27" t="s">
        <v>396</v>
      </c>
      <c r="AD458" s="27" t="s">
        <v>396</v>
      </c>
      <c r="AE458" s="27" t="s">
        <v>396</v>
      </c>
      <c r="AF458" s="27" t="s">
        <v>396</v>
      </c>
      <c r="AG458" s="27" t="s">
        <v>396</v>
      </c>
      <c r="AH458" s="27" t="s">
        <v>396</v>
      </c>
      <c r="AI458" s="27" t="s">
        <v>396</v>
      </c>
      <c r="AJ458" s="27" t="s">
        <v>396</v>
      </c>
      <c r="AK458" s="6" t="s">
        <v>395</v>
      </c>
      <c r="AL458" s="17">
        <v>5413218563758</v>
      </c>
      <c r="AM458" s="15" t="s">
        <v>395</v>
      </c>
      <c r="AN458" s="5">
        <v>76109090</v>
      </c>
      <c r="AO458" s="6"/>
      <c r="AP458" s="6"/>
      <c r="AQ458" s="6"/>
      <c r="AR458" s="6"/>
      <c r="AS458" s="6" t="s">
        <v>1189</v>
      </c>
    </row>
    <row r="459" spans="1:45" s="5" customFormat="1" ht="12.75" customHeight="1">
      <c r="A459" s="32" t="s">
        <v>1188</v>
      </c>
      <c r="B459" s="6" t="s">
        <v>396</v>
      </c>
      <c r="C459" s="31" t="s">
        <v>403</v>
      </c>
      <c r="D459" s="5" t="s">
        <v>1185</v>
      </c>
      <c r="E459" s="5" t="s">
        <v>1185</v>
      </c>
      <c r="F459" s="5" t="s">
        <v>1187</v>
      </c>
      <c r="G459" s="5" t="s">
        <v>1186</v>
      </c>
      <c r="H459" s="27" t="s">
        <v>937</v>
      </c>
      <c r="I459" s="27" t="s">
        <v>937</v>
      </c>
      <c r="J459" s="5" t="s">
        <v>1185</v>
      </c>
      <c r="K459" s="5" t="s">
        <v>1185</v>
      </c>
      <c r="L459" s="27" t="s">
        <v>399</v>
      </c>
      <c r="M459" s="27" t="s">
        <v>396</v>
      </c>
      <c r="N459" s="27" t="s">
        <v>396</v>
      </c>
      <c r="O459" s="27" t="s">
        <v>396</v>
      </c>
      <c r="P459" s="27" t="s">
        <v>399</v>
      </c>
      <c r="Q459" s="27" t="s">
        <v>396</v>
      </c>
      <c r="S459" s="27" t="s">
        <v>396</v>
      </c>
      <c r="T459" s="54"/>
      <c r="U459" s="5">
        <v>400</v>
      </c>
      <c r="V459" s="5">
        <v>400</v>
      </c>
      <c r="W459" s="27" t="s">
        <v>396</v>
      </c>
      <c r="X459" s="38"/>
      <c r="Y459" s="5" t="s">
        <v>396</v>
      </c>
      <c r="Z459" s="28" t="s">
        <v>396</v>
      </c>
      <c r="AA459" s="27" t="s">
        <v>396</v>
      </c>
      <c r="AB459" s="27" t="s">
        <v>396</v>
      </c>
      <c r="AC459" s="27" t="s">
        <v>396</v>
      </c>
      <c r="AD459" s="27" t="s">
        <v>396</v>
      </c>
      <c r="AE459" s="27" t="s">
        <v>396</v>
      </c>
      <c r="AF459" s="27" t="s">
        <v>396</v>
      </c>
      <c r="AG459" s="27" t="s">
        <v>396</v>
      </c>
      <c r="AH459" s="27" t="s">
        <v>396</v>
      </c>
      <c r="AI459" s="27" t="s">
        <v>396</v>
      </c>
      <c r="AJ459" s="27" t="s">
        <v>396</v>
      </c>
      <c r="AK459" s="6" t="s">
        <v>395</v>
      </c>
      <c r="AL459" s="17">
        <v>5413218563765</v>
      </c>
      <c r="AM459" s="15" t="s">
        <v>395</v>
      </c>
      <c r="AN459" s="5">
        <v>76109090</v>
      </c>
      <c r="AO459" s="6"/>
      <c r="AP459" s="6"/>
      <c r="AQ459" s="6"/>
      <c r="AR459" s="6"/>
      <c r="AS459" s="6" t="s">
        <v>1184</v>
      </c>
    </row>
    <row r="460" spans="1:45" s="5" customFormat="1" ht="12.75" customHeight="1">
      <c r="A460" s="32" t="s">
        <v>1183</v>
      </c>
      <c r="B460" s="6" t="s">
        <v>396</v>
      </c>
      <c r="C460" s="31" t="s">
        <v>403</v>
      </c>
      <c r="D460" s="5" t="s">
        <v>1148</v>
      </c>
      <c r="E460" s="5" t="s">
        <v>1147</v>
      </c>
      <c r="F460" s="5" t="s">
        <v>1150</v>
      </c>
      <c r="G460" s="5" t="s">
        <v>1149</v>
      </c>
      <c r="H460" s="27" t="s">
        <v>937</v>
      </c>
      <c r="I460" s="27" t="s">
        <v>937</v>
      </c>
      <c r="J460" s="5" t="s">
        <v>1148</v>
      </c>
      <c r="K460" s="5" t="s">
        <v>1147</v>
      </c>
      <c r="L460" s="27" t="s">
        <v>399</v>
      </c>
      <c r="M460" s="27" t="s">
        <v>396</v>
      </c>
      <c r="N460" s="27" t="s">
        <v>396</v>
      </c>
      <c r="O460" s="27" t="s">
        <v>396</v>
      </c>
      <c r="P460" s="27" t="s">
        <v>399</v>
      </c>
      <c r="Q460" s="27" t="s">
        <v>396</v>
      </c>
      <c r="S460" s="27" t="s">
        <v>396</v>
      </c>
      <c r="T460" s="53">
        <v>2</v>
      </c>
      <c r="U460" s="5">
        <v>200</v>
      </c>
      <c r="V460" s="5">
        <v>200</v>
      </c>
      <c r="W460" s="27" t="s">
        <v>396</v>
      </c>
      <c r="X460" s="27">
        <v>12.5</v>
      </c>
      <c r="Y460" s="5" t="s">
        <v>396</v>
      </c>
      <c r="Z460" s="28" t="s">
        <v>396</v>
      </c>
      <c r="AA460" s="27" t="s">
        <v>396</v>
      </c>
      <c r="AB460" s="27" t="s">
        <v>396</v>
      </c>
      <c r="AC460" s="27" t="s">
        <v>396</v>
      </c>
      <c r="AD460" s="27" t="s">
        <v>396</v>
      </c>
      <c r="AE460" s="27" t="s">
        <v>396</v>
      </c>
      <c r="AF460" s="27" t="s">
        <v>396</v>
      </c>
      <c r="AG460" s="27" t="s">
        <v>396</v>
      </c>
      <c r="AH460" s="27" t="s">
        <v>396</v>
      </c>
      <c r="AI460" s="27" t="s">
        <v>396</v>
      </c>
      <c r="AJ460" s="27" t="s">
        <v>396</v>
      </c>
      <c r="AK460" s="6" t="s">
        <v>395</v>
      </c>
      <c r="AL460" s="17">
        <v>5413218565745</v>
      </c>
      <c r="AM460" s="15" t="s">
        <v>395</v>
      </c>
      <c r="AN460" s="5">
        <v>76109090</v>
      </c>
      <c r="AO460" s="6"/>
      <c r="AP460" s="6"/>
      <c r="AQ460" s="6" t="s">
        <v>1182</v>
      </c>
      <c r="AR460" s="6" t="s">
        <v>1181</v>
      </c>
      <c r="AS460" s="6" t="s">
        <v>1180</v>
      </c>
    </row>
    <row r="461" spans="1:45" s="5" customFormat="1" ht="12.75" customHeight="1">
      <c r="A461" s="32" t="s">
        <v>1179</v>
      </c>
      <c r="B461" s="6" t="s">
        <v>396</v>
      </c>
      <c r="C461" s="31" t="s">
        <v>403</v>
      </c>
      <c r="D461" s="5" t="s">
        <v>1148</v>
      </c>
      <c r="E461" s="5" t="s">
        <v>1147</v>
      </c>
      <c r="F461" s="5" t="s">
        <v>1150</v>
      </c>
      <c r="G461" s="5" t="s">
        <v>1149</v>
      </c>
      <c r="H461" s="27" t="s">
        <v>937</v>
      </c>
      <c r="I461" s="27" t="s">
        <v>937</v>
      </c>
      <c r="J461" s="5" t="s">
        <v>1148</v>
      </c>
      <c r="K461" s="5" t="s">
        <v>1147</v>
      </c>
      <c r="L461" s="27" t="s">
        <v>399</v>
      </c>
      <c r="M461" s="27" t="s">
        <v>396</v>
      </c>
      <c r="N461" s="27" t="s">
        <v>396</v>
      </c>
      <c r="O461" s="27" t="s">
        <v>396</v>
      </c>
      <c r="P461" s="27" t="s">
        <v>399</v>
      </c>
      <c r="Q461" s="27" t="s">
        <v>396</v>
      </c>
      <c r="S461" s="27" t="s">
        <v>396</v>
      </c>
      <c r="T461" s="53">
        <v>2</v>
      </c>
      <c r="U461" s="5">
        <v>300</v>
      </c>
      <c r="V461" s="5">
        <v>300</v>
      </c>
      <c r="W461" s="27" t="s">
        <v>396</v>
      </c>
      <c r="X461" s="27">
        <v>12.5</v>
      </c>
      <c r="Y461" s="5" t="s">
        <v>396</v>
      </c>
      <c r="Z461" s="28" t="s">
        <v>396</v>
      </c>
      <c r="AA461" s="27" t="s">
        <v>396</v>
      </c>
      <c r="AB461" s="27" t="s">
        <v>396</v>
      </c>
      <c r="AC461" s="27" t="s">
        <v>396</v>
      </c>
      <c r="AD461" s="27" t="s">
        <v>396</v>
      </c>
      <c r="AE461" s="27" t="s">
        <v>396</v>
      </c>
      <c r="AF461" s="27" t="s">
        <v>396</v>
      </c>
      <c r="AG461" s="27" t="s">
        <v>396</v>
      </c>
      <c r="AH461" s="27" t="s">
        <v>396</v>
      </c>
      <c r="AI461" s="27" t="s">
        <v>396</v>
      </c>
      <c r="AJ461" s="27" t="s">
        <v>396</v>
      </c>
      <c r="AK461" s="6" t="s">
        <v>395</v>
      </c>
      <c r="AL461" s="17">
        <v>5413218563666</v>
      </c>
      <c r="AM461" s="15" t="s">
        <v>395</v>
      </c>
      <c r="AN461" s="5">
        <v>76109090</v>
      </c>
      <c r="AO461" s="6"/>
      <c r="AP461" s="6"/>
      <c r="AQ461" s="6" t="s">
        <v>1178</v>
      </c>
      <c r="AR461" s="6" t="s">
        <v>1177</v>
      </c>
      <c r="AS461" s="6" t="s">
        <v>1176</v>
      </c>
    </row>
    <row r="462" spans="1:45" s="5" customFormat="1" ht="12.75" customHeight="1">
      <c r="A462" s="32" t="s">
        <v>1175</v>
      </c>
      <c r="B462" s="6" t="s">
        <v>396</v>
      </c>
      <c r="C462" s="31" t="s">
        <v>403</v>
      </c>
      <c r="D462" s="5" t="s">
        <v>1148</v>
      </c>
      <c r="E462" s="5" t="s">
        <v>1147</v>
      </c>
      <c r="F462" s="5" t="s">
        <v>1150</v>
      </c>
      <c r="G462" s="5" t="s">
        <v>1149</v>
      </c>
      <c r="H462" s="27" t="s">
        <v>937</v>
      </c>
      <c r="I462" s="27" t="s">
        <v>937</v>
      </c>
      <c r="J462" s="5" t="s">
        <v>1148</v>
      </c>
      <c r="K462" s="5" t="s">
        <v>1147</v>
      </c>
      <c r="L462" s="27" t="s">
        <v>399</v>
      </c>
      <c r="M462" s="27" t="s">
        <v>396</v>
      </c>
      <c r="N462" s="27" t="s">
        <v>396</v>
      </c>
      <c r="O462" s="27" t="s">
        <v>396</v>
      </c>
      <c r="P462" s="27" t="s">
        <v>399</v>
      </c>
      <c r="Q462" s="27" t="s">
        <v>396</v>
      </c>
      <c r="S462" s="27" t="s">
        <v>396</v>
      </c>
      <c r="T462" s="53">
        <v>2</v>
      </c>
      <c r="U462" s="5">
        <v>400</v>
      </c>
      <c r="V462" s="5">
        <v>400</v>
      </c>
      <c r="W462" s="27" t="s">
        <v>396</v>
      </c>
      <c r="X462" s="27">
        <v>12.5</v>
      </c>
      <c r="Y462" s="5" t="s">
        <v>396</v>
      </c>
      <c r="Z462" s="28" t="s">
        <v>396</v>
      </c>
      <c r="AA462" s="27" t="s">
        <v>396</v>
      </c>
      <c r="AB462" s="27" t="s">
        <v>396</v>
      </c>
      <c r="AC462" s="27" t="s">
        <v>396</v>
      </c>
      <c r="AD462" s="27" t="s">
        <v>396</v>
      </c>
      <c r="AE462" s="27" t="s">
        <v>396</v>
      </c>
      <c r="AF462" s="27" t="s">
        <v>396</v>
      </c>
      <c r="AG462" s="27" t="s">
        <v>396</v>
      </c>
      <c r="AH462" s="27" t="s">
        <v>396</v>
      </c>
      <c r="AI462" s="27" t="s">
        <v>396</v>
      </c>
      <c r="AJ462" s="27" t="s">
        <v>396</v>
      </c>
      <c r="AK462" s="6" t="s">
        <v>395</v>
      </c>
      <c r="AL462" s="17">
        <v>5413218563673</v>
      </c>
      <c r="AM462" s="15" t="s">
        <v>395</v>
      </c>
      <c r="AN462" s="5">
        <v>76109090</v>
      </c>
      <c r="AO462" s="6"/>
      <c r="AP462" s="6"/>
      <c r="AQ462" s="6" t="s">
        <v>1174</v>
      </c>
      <c r="AR462" s="6" t="s">
        <v>1173</v>
      </c>
      <c r="AS462" s="6" t="s">
        <v>1172</v>
      </c>
    </row>
    <row r="463" spans="1:45" s="5" customFormat="1" ht="12.75" customHeight="1">
      <c r="A463" s="32" t="s">
        <v>1171</v>
      </c>
      <c r="B463" s="6" t="s">
        <v>396</v>
      </c>
      <c r="C463" s="31" t="s">
        <v>403</v>
      </c>
      <c r="D463" s="5" t="s">
        <v>1148</v>
      </c>
      <c r="E463" s="5" t="s">
        <v>1147</v>
      </c>
      <c r="F463" s="5" t="s">
        <v>1150</v>
      </c>
      <c r="G463" s="5" t="s">
        <v>1149</v>
      </c>
      <c r="H463" s="27" t="s">
        <v>937</v>
      </c>
      <c r="I463" s="27" t="s">
        <v>937</v>
      </c>
      <c r="J463" s="5" t="s">
        <v>1148</v>
      </c>
      <c r="K463" s="5" t="s">
        <v>1147</v>
      </c>
      <c r="L463" s="27" t="s">
        <v>399</v>
      </c>
      <c r="M463" s="27" t="s">
        <v>396</v>
      </c>
      <c r="N463" s="27" t="s">
        <v>396</v>
      </c>
      <c r="O463" s="27" t="s">
        <v>396</v>
      </c>
      <c r="P463" s="27" t="s">
        <v>399</v>
      </c>
      <c r="Q463" s="27" t="s">
        <v>396</v>
      </c>
      <c r="S463" s="27" t="s">
        <v>396</v>
      </c>
      <c r="T463" s="53">
        <v>2</v>
      </c>
      <c r="U463" s="5">
        <v>500</v>
      </c>
      <c r="V463" s="5">
        <v>500</v>
      </c>
      <c r="W463" s="27" t="s">
        <v>396</v>
      </c>
      <c r="X463" s="27">
        <v>12.5</v>
      </c>
      <c r="Y463" s="5" t="s">
        <v>396</v>
      </c>
      <c r="Z463" s="28" t="s">
        <v>396</v>
      </c>
      <c r="AA463" s="27" t="s">
        <v>396</v>
      </c>
      <c r="AB463" s="27" t="s">
        <v>396</v>
      </c>
      <c r="AC463" s="27" t="s">
        <v>396</v>
      </c>
      <c r="AD463" s="27" t="s">
        <v>396</v>
      </c>
      <c r="AE463" s="27" t="s">
        <v>396</v>
      </c>
      <c r="AF463" s="27" t="s">
        <v>396</v>
      </c>
      <c r="AG463" s="27" t="s">
        <v>396</v>
      </c>
      <c r="AH463" s="27" t="s">
        <v>396</v>
      </c>
      <c r="AI463" s="27" t="s">
        <v>396</v>
      </c>
      <c r="AJ463" s="27" t="s">
        <v>396</v>
      </c>
      <c r="AK463" s="6" t="s">
        <v>395</v>
      </c>
      <c r="AL463" s="17">
        <v>5413218563680</v>
      </c>
      <c r="AM463" s="15" t="s">
        <v>395</v>
      </c>
      <c r="AN463" s="5">
        <v>76109090</v>
      </c>
      <c r="AO463" s="6"/>
      <c r="AP463" s="6"/>
      <c r="AQ463" s="6" t="s">
        <v>1170</v>
      </c>
      <c r="AR463" s="6" t="s">
        <v>1169</v>
      </c>
      <c r="AS463" s="6" t="s">
        <v>1168</v>
      </c>
    </row>
    <row r="464" spans="1:45" s="5" customFormat="1" ht="12.75" customHeight="1">
      <c r="A464" s="32" t="s">
        <v>1167</v>
      </c>
      <c r="B464" s="6" t="s">
        <v>396</v>
      </c>
      <c r="C464" s="31" t="s">
        <v>403</v>
      </c>
      <c r="D464" s="5" t="s">
        <v>1148</v>
      </c>
      <c r="E464" s="5" t="s">
        <v>1147</v>
      </c>
      <c r="F464" s="5" t="s">
        <v>1150</v>
      </c>
      <c r="G464" s="5" t="s">
        <v>1149</v>
      </c>
      <c r="H464" s="27" t="s">
        <v>937</v>
      </c>
      <c r="I464" s="27" t="s">
        <v>937</v>
      </c>
      <c r="J464" s="5" t="s">
        <v>1148</v>
      </c>
      <c r="K464" s="5" t="s">
        <v>1147</v>
      </c>
      <c r="L464" s="27" t="s">
        <v>399</v>
      </c>
      <c r="M464" s="27" t="s">
        <v>396</v>
      </c>
      <c r="N464" s="27" t="s">
        <v>396</v>
      </c>
      <c r="O464" s="27" t="s">
        <v>396</v>
      </c>
      <c r="P464" s="27" t="s">
        <v>399</v>
      </c>
      <c r="Q464" s="27" t="s">
        <v>396</v>
      </c>
      <c r="S464" s="27" t="s">
        <v>396</v>
      </c>
      <c r="T464" s="53">
        <v>2</v>
      </c>
      <c r="U464" s="5">
        <v>600</v>
      </c>
      <c r="V464" s="5">
        <v>600</v>
      </c>
      <c r="W464" s="27" t="s">
        <v>396</v>
      </c>
      <c r="X464" s="27">
        <v>12.5</v>
      </c>
      <c r="Y464" s="5" t="s">
        <v>396</v>
      </c>
      <c r="Z464" s="28" t="s">
        <v>396</v>
      </c>
      <c r="AA464" s="27" t="s">
        <v>396</v>
      </c>
      <c r="AB464" s="27" t="s">
        <v>396</v>
      </c>
      <c r="AC464" s="27" t="s">
        <v>396</v>
      </c>
      <c r="AD464" s="27" t="s">
        <v>396</v>
      </c>
      <c r="AE464" s="27" t="s">
        <v>396</v>
      </c>
      <c r="AF464" s="27" t="s">
        <v>396</v>
      </c>
      <c r="AG464" s="27" t="s">
        <v>396</v>
      </c>
      <c r="AH464" s="27" t="s">
        <v>396</v>
      </c>
      <c r="AI464" s="27" t="s">
        <v>396</v>
      </c>
      <c r="AJ464" s="27" t="s">
        <v>396</v>
      </c>
      <c r="AK464" s="6" t="s">
        <v>395</v>
      </c>
      <c r="AL464" s="17">
        <v>5413218563697</v>
      </c>
      <c r="AM464" s="15" t="s">
        <v>395</v>
      </c>
      <c r="AN464" s="5">
        <v>76109090</v>
      </c>
      <c r="AO464" s="6"/>
      <c r="AP464" s="6"/>
      <c r="AQ464" s="6" t="s">
        <v>1166</v>
      </c>
      <c r="AR464" s="6" t="s">
        <v>1165</v>
      </c>
      <c r="AS464" s="6" t="s">
        <v>1164</v>
      </c>
    </row>
    <row r="465" spans="1:45" s="5" customFormat="1" ht="12.75" customHeight="1">
      <c r="A465" s="32" t="s">
        <v>1163</v>
      </c>
      <c r="B465" s="6" t="s">
        <v>396</v>
      </c>
      <c r="C465" s="31" t="s">
        <v>403</v>
      </c>
      <c r="D465" s="5" t="s">
        <v>1148</v>
      </c>
      <c r="E465" s="5" t="s">
        <v>1147</v>
      </c>
      <c r="F465" s="5" t="s">
        <v>1150</v>
      </c>
      <c r="G465" s="5" t="s">
        <v>1149</v>
      </c>
      <c r="H465" s="27" t="s">
        <v>937</v>
      </c>
      <c r="I465" s="27" t="s">
        <v>937</v>
      </c>
      <c r="J465" s="5" t="s">
        <v>1148</v>
      </c>
      <c r="K465" s="5" t="s">
        <v>1147</v>
      </c>
      <c r="L465" s="27" t="s">
        <v>399</v>
      </c>
      <c r="M465" s="27" t="s">
        <v>396</v>
      </c>
      <c r="N465" s="27" t="s">
        <v>396</v>
      </c>
      <c r="O465" s="27" t="s">
        <v>396</v>
      </c>
      <c r="P465" s="27" t="s">
        <v>399</v>
      </c>
      <c r="Q465" s="27" t="s">
        <v>396</v>
      </c>
      <c r="S465" s="27" t="s">
        <v>396</v>
      </c>
      <c r="T465" s="53">
        <v>2</v>
      </c>
      <c r="U465" s="5">
        <v>600</v>
      </c>
      <c r="V465" s="5">
        <v>800</v>
      </c>
      <c r="W465" s="27" t="s">
        <v>396</v>
      </c>
      <c r="X465" s="27">
        <v>12.5</v>
      </c>
      <c r="Y465" s="5" t="s">
        <v>396</v>
      </c>
      <c r="Z465" s="28" t="s">
        <v>396</v>
      </c>
      <c r="AA465" s="27" t="s">
        <v>396</v>
      </c>
      <c r="AB465" s="27" t="s">
        <v>396</v>
      </c>
      <c r="AC465" s="27" t="s">
        <v>396</v>
      </c>
      <c r="AD465" s="27" t="s">
        <v>396</v>
      </c>
      <c r="AE465" s="27" t="s">
        <v>396</v>
      </c>
      <c r="AF465" s="27" t="s">
        <v>396</v>
      </c>
      <c r="AG465" s="27" t="s">
        <v>396</v>
      </c>
      <c r="AH465" s="27" t="s">
        <v>396</v>
      </c>
      <c r="AI465" s="27" t="s">
        <v>396</v>
      </c>
      <c r="AJ465" s="27" t="s">
        <v>396</v>
      </c>
      <c r="AK465" s="6" t="s">
        <v>395</v>
      </c>
      <c r="AL465" s="17">
        <v>5413218565752</v>
      </c>
      <c r="AM465" s="15" t="s">
        <v>395</v>
      </c>
      <c r="AN465" s="5">
        <v>76109090</v>
      </c>
      <c r="AO465" s="6"/>
      <c r="AP465" s="6"/>
      <c r="AQ465" s="6" t="s">
        <v>1162</v>
      </c>
      <c r="AR465" s="6" t="s">
        <v>1161</v>
      </c>
      <c r="AS465" s="6" t="s">
        <v>1160</v>
      </c>
    </row>
    <row r="466" spans="1:45" s="5" customFormat="1" ht="12.75" customHeight="1">
      <c r="A466" s="32" t="s">
        <v>1159</v>
      </c>
      <c r="B466" s="6" t="s">
        <v>396</v>
      </c>
      <c r="C466" s="31" t="s">
        <v>403</v>
      </c>
      <c r="D466" s="5" t="s">
        <v>1148</v>
      </c>
      <c r="E466" s="5" t="s">
        <v>1147</v>
      </c>
      <c r="F466" s="5" t="s">
        <v>1150</v>
      </c>
      <c r="G466" s="5" t="s">
        <v>1149</v>
      </c>
      <c r="H466" s="27" t="s">
        <v>937</v>
      </c>
      <c r="I466" s="27" t="s">
        <v>937</v>
      </c>
      <c r="J466" s="5" t="s">
        <v>1148</v>
      </c>
      <c r="K466" s="5" t="s">
        <v>1147</v>
      </c>
      <c r="L466" s="27" t="s">
        <v>399</v>
      </c>
      <c r="M466" s="27" t="s">
        <v>396</v>
      </c>
      <c r="N466" s="27" t="s">
        <v>396</v>
      </c>
      <c r="O466" s="27" t="s">
        <v>396</v>
      </c>
      <c r="P466" s="27" t="s">
        <v>399</v>
      </c>
      <c r="Q466" s="27" t="s">
        <v>396</v>
      </c>
      <c r="S466" s="27" t="s">
        <v>396</v>
      </c>
      <c r="T466" s="53">
        <v>2</v>
      </c>
      <c r="U466" s="5">
        <v>600</v>
      </c>
      <c r="V466" s="5">
        <v>1200</v>
      </c>
      <c r="W466" s="27" t="s">
        <v>396</v>
      </c>
      <c r="X466" s="27">
        <v>12.5</v>
      </c>
      <c r="Y466" s="5" t="s">
        <v>396</v>
      </c>
      <c r="Z466" s="28" t="s">
        <v>396</v>
      </c>
      <c r="AA466" s="27" t="s">
        <v>396</v>
      </c>
      <c r="AB466" s="27" t="s">
        <v>396</v>
      </c>
      <c r="AC466" s="27" t="s">
        <v>396</v>
      </c>
      <c r="AD466" s="27" t="s">
        <v>396</v>
      </c>
      <c r="AE466" s="27" t="s">
        <v>396</v>
      </c>
      <c r="AF466" s="27" t="s">
        <v>396</v>
      </c>
      <c r="AG466" s="27" t="s">
        <v>396</v>
      </c>
      <c r="AH466" s="27" t="s">
        <v>396</v>
      </c>
      <c r="AI466" s="27" t="s">
        <v>396</v>
      </c>
      <c r="AJ466" s="27" t="s">
        <v>396</v>
      </c>
      <c r="AK466" s="6" t="s">
        <v>395</v>
      </c>
      <c r="AL466" s="17">
        <v>5413218565769</v>
      </c>
      <c r="AM466" s="15" t="s">
        <v>395</v>
      </c>
      <c r="AN466" s="5">
        <v>76109090</v>
      </c>
      <c r="AO466" s="6"/>
      <c r="AP466" s="6"/>
      <c r="AQ466" s="6" t="s">
        <v>1158</v>
      </c>
      <c r="AR466" s="6" t="s">
        <v>1157</v>
      </c>
      <c r="AS466" s="6" t="s">
        <v>1156</v>
      </c>
    </row>
    <row r="467" spans="1:45" s="5" customFormat="1" ht="12.75" customHeight="1">
      <c r="A467" s="32" t="s">
        <v>1155</v>
      </c>
      <c r="B467" s="6" t="s">
        <v>396</v>
      </c>
      <c r="C467" s="31" t="s">
        <v>403</v>
      </c>
      <c r="D467" s="5" t="s">
        <v>1148</v>
      </c>
      <c r="E467" s="5" t="s">
        <v>1147</v>
      </c>
      <c r="F467" s="5" t="s">
        <v>1150</v>
      </c>
      <c r="G467" s="5" t="s">
        <v>1149</v>
      </c>
      <c r="H467" s="27" t="s">
        <v>937</v>
      </c>
      <c r="I467" s="27" t="s">
        <v>937</v>
      </c>
      <c r="J467" s="5" t="s">
        <v>1148</v>
      </c>
      <c r="K467" s="5" t="s">
        <v>1147</v>
      </c>
      <c r="L467" s="27" t="s">
        <v>399</v>
      </c>
      <c r="M467" s="27" t="s">
        <v>396</v>
      </c>
      <c r="N467" s="27" t="s">
        <v>396</v>
      </c>
      <c r="O467" s="27" t="s">
        <v>396</v>
      </c>
      <c r="P467" s="27" t="s">
        <v>399</v>
      </c>
      <c r="Q467" s="27" t="s">
        <v>396</v>
      </c>
      <c r="S467" s="27" t="s">
        <v>396</v>
      </c>
      <c r="T467" s="53">
        <v>2</v>
      </c>
      <c r="U467" s="5">
        <v>800</v>
      </c>
      <c r="V467" s="5">
        <v>800</v>
      </c>
      <c r="W467" s="27" t="s">
        <v>396</v>
      </c>
      <c r="X467" s="27">
        <v>12.5</v>
      </c>
      <c r="Y467" s="5" t="s">
        <v>396</v>
      </c>
      <c r="Z467" s="28" t="s">
        <v>396</v>
      </c>
      <c r="AA467" s="27" t="s">
        <v>396</v>
      </c>
      <c r="AB467" s="27" t="s">
        <v>396</v>
      </c>
      <c r="AC467" s="27" t="s">
        <v>396</v>
      </c>
      <c r="AD467" s="27" t="s">
        <v>396</v>
      </c>
      <c r="AE467" s="27" t="s">
        <v>396</v>
      </c>
      <c r="AF467" s="27" t="s">
        <v>396</v>
      </c>
      <c r="AG467" s="27" t="s">
        <v>396</v>
      </c>
      <c r="AH467" s="27" t="s">
        <v>396</v>
      </c>
      <c r="AI467" s="27" t="s">
        <v>396</v>
      </c>
      <c r="AJ467" s="27" t="s">
        <v>396</v>
      </c>
      <c r="AK467" s="6" t="s">
        <v>395</v>
      </c>
      <c r="AL467" s="17">
        <v>5413218565776</v>
      </c>
      <c r="AM467" s="15" t="s">
        <v>395</v>
      </c>
      <c r="AN467" s="5">
        <v>76109090</v>
      </c>
      <c r="AO467" s="6"/>
      <c r="AP467" s="6"/>
      <c r="AQ467" s="6" t="s">
        <v>1154</v>
      </c>
      <c r="AR467" s="6" t="s">
        <v>1153</v>
      </c>
      <c r="AS467" s="6" t="s">
        <v>1152</v>
      </c>
    </row>
    <row r="468" spans="1:45" s="5" customFormat="1" ht="12.75" customHeight="1">
      <c r="A468" s="32" t="s">
        <v>1151</v>
      </c>
      <c r="B468" s="6" t="s">
        <v>396</v>
      </c>
      <c r="C468" s="31" t="s">
        <v>403</v>
      </c>
      <c r="D468" s="5" t="s">
        <v>1148</v>
      </c>
      <c r="E468" s="5" t="s">
        <v>1147</v>
      </c>
      <c r="F468" s="5" t="s">
        <v>1150</v>
      </c>
      <c r="G468" s="5" t="s">
        <v>1149</v>
      </c>
      <c r="H468" s="27" t="s">
        <v>937</v>
      </c>
      <c r="I468" s="27" t="s">
        <v>937</v>
      </c>
      <c r="J468" s="5" t="s">
        <v>1148</v>
      </c>
      <c r="K468" s="5" t="s">
        <v>1147</v>
      </c>
      <c r="L468" s="27" t="s">
        <v>399</v>
      </c>
      <c r="M468" s="27" t="s">
        <v>396</v>
      </c>
      <c r="N468" s="27" t="s">
        <v>396</v>
      </c>
      <c r="O468" s="27" t="s">
        <v>396</v>
      </c>
      <c r="P468" s="27" t="s">
        <v>399</v>
      </c>
      <c r="Q468" s="27" t="s">
        <v>396</v>
      </c>
      <c r="S468" s="27" t="s">
        <v>396</v>
      </c>
      <c r="T468" s="53">
        <v>2</v>
      </c>
      <c r="U468" s="5">
        <v>1000</v>
      </c>
      <c r="V468" s="5">
        <v>1000</v>
      </c>
      <c r="W468" s="27" t="s">
        <v>396</v>
      </c>
      <c r="X468" s="27">
        <v>12.5</v>
      </c>
      <c r="Y468" s="5" t="s">
        <v>396</v>
      </c>
      <c r="Z468" s="28" t="s">
        <v>396</v>
      </c>
      <c r="AA468" s="27" t="s">
        <v>396</v>
      </c>
      <c r="AB468" s="27" t="s">
        <v>396</v>
      </c>
      <c r="AC468" s="27" t="s">
        <v>396</v>
      </c>
      <c r="AD468" s="27" t="s">
        <v>396</v>
      </c>
      <c r="AE468" s="27" t="s">
        <v>396</v>
      </c>
      <c r="AF468" s="27" t="s">
        <v>396</v>
      </c>
      <c r="AG468" s="27" t="s">
        <v>396</v>
      </c>
      <c r="AH468" s="27" t="s">
        <v>396</v>
      </c>
      <c r="AI468" s="27" t="s">
        <v>396</v>
      </c>
      <c r="AJ468" s="27" t="s">
        <v>396</v>
      </c>
      <c r="AK468" s="6" t="s">
        <v>395</v>
      </c>
      <c r="AL468" s="17">
        <v>5413218565783</v>
      </c>
      <c r="AM468" s="15" t="s">
        <v>395</v>
      </c>
      <c r="AN468" s="5">
        <v>76109090</v>
      </c>
      <c r="AO468" s="6"/>
      <c r="AP468" s="6"/>
      <c r="AQ468" s="6" t="s">
        <v>1146</v>
      </c>
      <c r="AR468" s="6" t="s">
        <v>1145</v>
      </c>
      <c r="AS468" s="6" t="s">
        <v>1144</v>
      </c>
    </row>
    <row r="469" spans="1:45" s="5" customFormat="1" ht="12.75" customHeight="1">
      <c r="A469" s="32" t="s">
        <v>1143</v>
      </c>
      <c r="B469" s="6" t="s">
        <v>396</v>
      </c>
      <c r="C469" s="31" t="s">
        <v>403</v>
      </c>
      <c r="D469" s="5" t="s">
        <v>1124</v>
      </c>
      <c r="E469" s="5" t="s">
        <v>1123</v>
      </c>
      <c r="F469" s="5" t="s">
        <v>1126</v>
      </c>
      <c r="G469" s="5" t="s">
        <v>1125</v>
      </c>
      <c r="H469" s="27" t="s">
        <v>937</v>
      </c>
      <c r="I469" s="27" t="s">
        <v>937</v>
      </c>
      <c r="J469" s="5" t="s">
        <v>1124</v>
      </c>
      <c r="K469" s="5" t="s">
        <v>1123</v>
      </c>
      <c r="L469" s="27" t="s">
        <v>399</v>
      </c>
      <c r="M469" s="27" t="s">
        <v>396</v>
      </c>
      <c r="N469" s="27" t="s">
        <v>396</v>
      </c>
      <c r="O469" s="27" t="s">
        <v>396</v>
      </c>
      <c r="P469" s="27" t="s">
        <v>399</v>
      </c>
      <c r="Q469" s="27" t="s">
        <v>396</v>
      </c>
      <c r="S469" s="27" t="s">
        <v>396</v>
      </c>
      <c r="T469" s="53">
        <v>2</v>
      </c>
      <c r="U469" s="5">
        <v>200</v>
      </c>
      <c r="V469" s="5">
        <v>200</v>
      </c>
      <c r="W469" s="27" t="s">
        <v>396</v>
      </c>
      <c r="X469" s="27">
        <v>25</v>
      </c>
      <c r="Y469" s="5" t="s">
        <v>396</v>
      </c>
      <c r="Z469" s="28" t="s">
        <v>396</v>
      </c>
      <c r="AA469" s="27" t="s">
        <v>396</v>
      </c>
      <c r="AB469" s="27" t="s">
        <v>396</v>
      </c>
      <c r="AC469" s="27" t="s">
        <v>396</v>
      </c>
      <c r="AD469" s="27" t="s">
        <v>396</v>
      </c>
      <c r="AE469" s="27" t="s">
        <v>396</v>
      </c>
      <c r="AF469" s="27" t="s">
        <v>396</v>
      </c>
      <c r="AG469" s="27" t="s">
        <v>396</v>
      </c>
      <c r="AH469" s="27" t="s">
        <v>396</v>
      </c>
      <c r="AI469" s="27" t="s">
        <v>396</v>
      </c>
      <c r="AJ469" s="27" t="s">
        <v>396</v>
      </c>
      <c r="AK469" s="6" t="s">
        <v>395</v>
      </c>
      <c r="AL469" s="17">
        <v>5413218565790</v>
      </c>
      <c r="AM469" s="15" t="s">
        <v>395</v>
      </c>
      <c r="AN469" s="5">
        <v>76109090</v>
      </c>
      <c r="AO469" s="6"/>
      <c r="AP469" s="6"/>
      <c r="AQ469" s="6" t="s">
        <v>1142</v>
      </c>
      <c r="AR469" s="6" t="s">
        <v>1141</v>
      </c>
      <c r="AS469" s="6" t="s">
        <v>1140</v>
      </c>
    </row>
    <row r="470" spans="1:45" s="5" customFormat="1" ht="12.75" customHeight="1">
      <c r="A470" s="32" t="s">
        <v>1139</v>
      </c>
      <c r="B470" s="6" t="s">
        <v>396</v>
      </c>
      <c r="C470" s="31" t="s">
        <v>403</v>
      </c>
      <c r="D470" s="5" t="s">
        <v>1124</v>
      </c>
      <c r="E470" s="5" t="s">
        <v>1123</v>
      </c>
      <c r="F470" s="5" t="s">
        <v>1126</v>
      </c>
      <c r="G470" s="5" t="s">
        <v>1125</v>
      </c>
      <c r="H470" s="27" t="s">
        <v>937</v>
      </c>
      <c r="I470" s="27" t="s">
        <v>937</v>
      </c>
      <c r="J470" s="5" t="s">
        <v>1124</v>
      </c>
      <c r="K470" s="5" t="s">
        <v>1123</v>
      </c>
      <c r="L470" s="27" t="s">
        <v>399</v>
      </c>
      <c r="M470" s="27" t="s">
        <v>396</v>
      </c>
      <c r="N470" s="27" t="s">
        <v>396</v>
      </c>
      <c r="O470" s="27" t="s">
        <v>396</v>
      </c>
      <c r="P470" s="27" t="s">
        <v>399</v>
      </c>
      <c r="Q470" s="27" t="s">
        <v>396</v>
      </c>
      <c r="S470" s="27" t="s">
        <v>396</v>
      </c>
      <c r="T470" s="53">
        <v>2</v>
      </c>
      <c r="U470" s="5">
        <v>300</v>
      </c>
      <c r="V470" s="5">
        <v>300</v>
      </c>
      <c r="W470" s="27" t="s">
        <v>396</v>
      </c>
      <c r="X470" s="27">
        <v>25</v>
      </c>
      <c r="Y470" s="5" t="s">
        <v>396</v>
      </c>
      <c r="Z470" s="28" t="s">
        <v>396</v>
      </c>
      <c r="AA470" s="27" t="s">
        <v>396</v>
      </c>
      <c r="AB470" s="27" t="s">
        <v>396</v>
      </c>
      <c r="AC470" s="27" t="s">
        <v>396</v>
      </c>
      <c r="AD470" s="27" t="s">
        <v>396</v>
      </c>
      <c r="AE470" s="27" t="s">
        <v>396</v>
      </c>
      <c r="AF470" s="27" t="s">
        <v>396</v>
      </c>
      <c r="AG470" s="27" t="s">
        <v>396</v>
      </c>
      <c r="AH470" s="27" t="s">
        <v>396</v>
      </c>
      <c r="AI470" s="27" t="s">
        <v>396</v>
      </c>
      <c r="AJ470" s="27" t="s">
        <v>396</v>
      </c>
      <c r="AK470" s="6" t="s">
        <v>395</v>
      </c>
      <c r="AL470" s="17">
        <v>5413218565806</v>
      </c>
      <c r="AM470" s="15" t="s">
        <v>395</v>
      </c>
      <c r="AN470" s="5">
        <v>76109090</v>
      </c>
      <c r="AO470" s="6"/>
      <c r="AP470" s="6"/>
      <c r="AQ470" s="6" t="s">
        <v>1138</v>
      </c>
      <c r="AR470" s="6" t="s">
        <v>1137</v>
      </c>
      <c r="AS470" s="6" t="s">
        <v>1136</v>
      </c>
    </row>
    <row r="471" spans="1:45" s="5" customFormat="1" ht="12.75" customHeight="1">
      <c r="A471" s="32" t="s">
        <v>1135</v>
      </c>
      <c r="B471" s="6" t="s">
        <v>396</v>
      </c>
      <c r="C471" s="31" t="s">
        <v>403</v>
      </c>
      <c r="D471" s="5" t="s">
        <v>1124</v>
      </c>
      <c r="E471" s="5" t="s">
        <v>1123</v>
      </c>
      <c r="F471" s="5" t="s">
        <v>1126</v>
      </c>
      <c r="G471" s="5" t="s">
        <v>1125</v>
      </c>
      <c r="H471" s="27" t="s">
        <v>937</v>
      </c>
      <c r="I471" s="27" t="s">
        <v>937</v>
      </c>
      <c r="J471" s="5" t="s">
        <v>1124</v>
      </c>
      <c r="K471" s="5" t="s">
        <v>1123</v>
      </c>
      <c r="L471" s="27" t="s">
        <v>399</v>
      </c>
      <c r="M471" s="27" t="s">
        <v>396</v>
      </c>
      <c r="N471" s="27" t="s">
        <v>396</v>
      </c>
      <c r="O471" s="27" t="s">
        <v>396</v>
      </c>
      <c r="P471" s="27" t="s">
        <v>399</v>
      </c>
      <c r="Q471" s="27" t="s">
        <v>396</v>
      </c>
      <c r="S471" s="27" t="s">
        <v>396</v>
      </c>
      <c r="T471" s="53">
        <v>2</v>
      </c>
      <c r="U471" s="5">
        <v>400</v>
      </c>
      <c r="V471" s="5">
        <v>400</v>
      </c>
      <c r="W471" s="27" t="s">
        <v>396</v>
      </c>
      <c r="X471" s="27">
        <v>25</v>
      </c>
      <c r="Y471" s="5" t="s">
        <v>396</v>
      </c>
      <c r="Z471" s="28" t="s">
        <v>396</v>
      </c>
      <c r="AA471" s="27" t="s">
        <v>396</v>
      </c>
      <c r="AB471" s="27" t="s">
        <v>396</v>
      </c>
      <c r="AC471" s="27" t="s">
        <v>396</v>
      </c>
      <c r="AD471" s="27" t="s">
        <v>396</v>
      </c>
      <c r="AE471" s="27" t="s">
        <v>396</v>
      </c>
      <c r="AF471" s="27" t="s">
        <v>396</v>
      </c>
      <c r="AG471" s="27" t="s">
        <v>396</v>
      </c>
      <c r="AH471" s="27" t="s">
        <v>396</v>
      </c>
      <c r="AI471" s="27" t="s">
        <v>396</v>
      </c>
      <c r="AJ471" s="27" t="s">
        <v>396</v>
      </c>
      <c r="AK471" s="6" t="s">
        <v>395</v>
      </c>
      <c r="AL471" s="17">
        <v>5413218565813</v>
      </c>
      <c r="AM471" s="15" t="s">
        <v>395</v>
      </c>
      <c r="AN471" s="5">
        <v>73269091</v>
      </c>
      <c r="AO471" s="6"/>
      <c r="AP471" s="6"/>
      <c r="AQ471" s="6" t="s">
        <v>1134</v>
      </c>
      <c r="AR471" s="6" t="s">
        <v>1133</v>
      </c>
      <c r="AS471" s="6" t="s">
        <v>1132</v>
      </c>
    </row>
    <row r="472" spans="1:45" s="5" customFormat="1" ht="12.75" customHeight="1">
      <c r="A472" s="32" t="s">
        <v>1131</v>
      </c>
      <c r="B472" s="6" t="s">
        <v>396</v>
      </c>
      <c r="C472" s="31" t="s">
        <v>403</v>
      </c>
      <c r="D472" s="5" t="s">
        <v>1124</v>
      </c>
      <c r="E472" s="5" t="s">
        <v>1123</v>
      </c>
      <c r="F472" s="5" t="s">
        <v>1126</v>
      </c>
      <c r="G472" s="5" t="s">
        <v>1125</v>
      </c>
      <c r="H472" s="27" t="s">
        <v>937</v>
      </c>
      <c r="I472" s="27" t="s">
        <v>937</v>
      </c>
      <c r="J472" s="5" t="s">
        <v>1124</v>
      </c>
      <c r="K472" s="5" t="s">
        <v>1123</v>
      </c>
      <c r="L472" s="27" t="s">
        <v>399</v>
      </c>
      <c r="M472" s="27" t="s">
        <v>396</v>
      </c>
      <c r="N472" s="27" t="s">
        <v>396</v>
      </c>
      <c r="O472" s="27" t="s">
        <v>396</v>
      </c>
      <c r="P472" s="27" t="s">
        <v>399</v>
      </c>
      <c r="Q472" s="27" t="s">
        <v>396</v>
      </c>
      <c r="S472" s="27" t="s">
        <v>396</v>
      </c>
      <c r="T472" s="53">
        <v>2</v>
      </c>
      <c r="U472" s="5">
        <v>500</v>
      </c>
      <c r="V472" s="5">
        <v>500</v>
      </c>
      <c r="W472" s="27" t="s">
        <v>396</v>
      </c>
      <c r="X472" s="27">
        <v>25</v>
      </c>
      <c r="Y472" s="5" t="s">
        <v>396</v>
      </c>
      <c r="Z472" s="28" t="s">
        <v>396</v>
      </c>
      <c r="AA472" s="27" t="s">
        <v>396</v>
      </c>
      <c r="AB472" s="27" t="s">
        <v>396</v>
      </c>
      <c r="AC472" s="27" t="s">
        <v>396</v>
      </c>
      <c r="AD472" s="27" t="s">
        <v>396</v>
      </c>
      <c r="AE472" s="27" t="s">
        <v>396</v>
      </c>
      <c r="AF472" s="27" t="s">
        <v>396</v>
      </c>
      <c r="AG472" s="27" t="s">
        <v>396</v>
      </c>
      <c r="AH472" s="27" t="s">
        <v>396</v>
      </c>
      <c r="AI472" s="27" t="s">
        <v>396</v>
      </c>
      <c r="AJ472" s="27" t="s">
        <v>396</v>
      </c>
      <c r="AK472" s="6" t="s">
        <v>395</v>
      </c>
      <c r="AL472" s="17">
        <v>5413218565820</v>
      </c>
      <c r="AM472" s="15" t="s">
        <v>395</v>
      </c>
      <c r="AN472" s="5">
        <v>76109090</v>
      </c>
      <c r="AO472" s="6"/>
      <c r="AP472" s="6"/>
      <c r="AQ472" s="6" t="s">
        <v>1130</v>
      </c>
      <c r="AR472" s="6" t="s">
        <v>1129</v>
      </c>
      <c r="AS472" s="6" t="s">
        <v>1128</v>
      </c>
    </row>
    <row r="473" spans="1:45" s="5" customFormat="1" ht="12.75" customHeight="1">
      <c r="A473" s="32" t="s">
        <v>1127</v>
      </c>
      <c r="B473" s="6" t="s">
        <v>396</v>
      </c>
      <c r="C473" s="31" t="s">
        <v>403</v>
      </c>
      <c r="D473" s="5" t="s">
        <v>1124</v>
      </c>
      <c r="E473" s="5" t="s">
        <v>1123</v>
      </c>
      <c r="F473" s="5" t="s">
        <v>1126</v>
      </c>
      <c r="G473" s="5" t="s">
        <v>1125</v>
      </c>
      <c r="H473" s="27" t="s">
        <v>937</v>
      </c>
      <c r="I473" s="27" t="s">
        <v>937</v>
      </c>
      <c r="J473" s="5" t="s">
        <v>1124</v>
      </c>
      <c r="K473" s="5" t="s">
        <v>1123</v>
      </c>
      <c r="L473" s="27" t="s">
        <v>399</v>
      </c>
      <c r="M473" s="27" t="s">
        <v>396</v>
      </c>
      <c r="N473" s="27" t="s">
        <v>396</v>
      </c>
      <c r="O473" s="27" t="s">
        <v>396</v>
      </c>
      <c r="P473" s="27" t="s">
        <v>399</v>
      </c>
      <c r="Q473" s="27" t="s">
        <v>396</v>
      </c>
      <c r="S473" s="27" t="s">
        <v>396</v>
      </c>
      <c r="T473" s="53">
        <v>2</v>
      </c>
      <c r="U473" s="5">
        <v>600</v>
      </c>
      <c r="V473" s="5">
        <v>600</v>
      </c>
      <c r="W473" s="27" t="s">
        <v>396</v>
      </c>
      <c r="X473" s="27">
        <v>25</v>
      </c>
      <c r="Y473" s="5" t="s">
        <v>396</v>
      </c>
      <c r="Z473" s="28" t="s">
        <v>396</v>
      </c>
      <c r="AA473" s="27" t="s">
        <v>396</v>
      </c>
      <c r="AB473" s="27" t="s">
        <v>396</v>
      </c>
      <c r="AC473" s="27" t="s">
        <v>396</v>
      </c>
      <c r="AD473" s="27" t="s">
        <v>396</v>
      </c>
      <c r="AE473" s="27" t="s">
        <v>396</v>
      </c>
      <c r="AF473" s="27" t="s">
        <v>396</v>
      </c>
      <c r="AG473" s="27" t="s">
        <v>396</v>
      </c>
      <c r="AH473" s="27" t="s">
        <v>396</v>
      </c>
      <c r="AI473" s="27" t="s">
        <v>396</v>
      </c>
      <c r="AJ473" s="27" t="s">
        <v>396</v>
      </c>
      <c r="AK473" s="6" t="s">
        <v>395</v>
      </c>
      <c r="AL473" s="17">
        <v>5413218565837</v>
      </c>
      <c r="AM473" s="15" t="s">
        <v>395</v>
      </c>
      <c r="AN473" s="5">
        <v>76109090</v>
      </c>
      <c r="AO473" s="6"/>
      <c r="AP473" s="6"/>
      <c r="AQ473" s="6" t="s">
        <v>1122</v>
      </c>
      <c r="AR473" s="6" t="s">
        <v>1121</v>
      </c>
      <c r="AS473" s="6" t="s">
        <v>1120</v>
      </c>
    </row>
    <row r="474" spans="1:45" s="5" customFormat="1" ht="12.75" customHeight="1">
      <c r="A474" s="32" t="s">
        <v>1119</v>
      </c>
      <c r="B474" s="6" t="s">
        <v>396</v>
      </c>
      <c r="C474" s="31" t="s">
        <v>403</v>
      </c>
      <c r="D474" s="5" t="s">
        <v>1098</v>
      </c>
      <c r="E474" s="5" t="s">
        <v>1094</v>
      </c>
      <c r="F474" s="5" t="s">
        <v>1097</v>
      </c>
      <c r="G474" s="5" t="s">
        <v>1096</v>
      </c>
      <c r="H474" s="27" t="s">
        <v>937</v>
      </c>
      <c r="I474" s="27" t="s">
        <v>937</v>
      </c>
      <c r="J474" s="5" t="s">
        <v>1095</v>
      </c>
      <c r="K474" s="5" t="s">
        <v>1094</v>
      </c>
      <c r="L474" s="27" t="s">
        <v>399</v>
      </c>
      <c r="M474" s="27" t="s">
        <v>396</v>
      </c>
      <c r="N474" s="27" t="s">
        <v>396</v>
      </c>
      <c r="O474" s="27" t="s">
        <v>396</v>
      </c>
      <c r="P474" s="27" t="s">
        <v>962</v>
      </c>
      <c r="Q474" s="27" t="s">
        <v>396</v>
      </c>
      <c r="S474" s="27" t="s">
        <v>396</v>
      </c>
      <c r="T474" s="53">
        <v>1.5</v>
      </c>
      <c r="U474" s="5">
        <v>200</v>
      </c>
      <c r="V474" s="5">
        <v>200</v>
      </c>
      <c r="W474" s="27" t="s">
        <v>396</v>
      </c>
      <c r="X474" s="27">
        <v>12.5</v>
      </c>
      <c r="Y474" s="5" t="s">
        <v>396</v>
      </c>
      <c r="Z474" s="28" t="s">
        <v>396</v>
      </c>
      <c r="AA474" s="27" t="s">
        <v>396</v>
      </c>
      <c r="AB474" s="27" t="s">
        <v>396</v>
      </c>
      <c r="AC474" s="27" t="s">
        <v>396</v>
      </c>
      <c r="AD474" s="27" t="s">
        <v>396</v>
      </c>
      <c r="AE474" s="27" t="s">
        <v>396</v>
      </c>
      <c r="AF474" s="27" t="s">
        <v>396</v>
      </c>
      <c r="AG474" s="27" t="s">
        <v>396</v>
      </c>
      <c r="AH474" s="27" t="s">
        <v>396</v>
      </c>
      <c r="AI474" s="27" t="s">
        <v>396</v>
      </c>
      <c r="AJ474" s="27" t="s">
        <v>396</v>
      </c>
      <c r="AK474" s="6" t="s">
        <v>395</v>
      </c>
      <c r="AL474" s="17">
        <v>5413218567336</v>
      </c>
      <c r="AM474" s="15" t="s">
        <v>395</v>
      </c>
      <c r="AN474" s="5">
        <v>73269091</v>
      </c>
      <c r="AO474" s="6"/>
      <c r="AP474" s="6"/>
      <c r="AQ474" s="6" t="s">
        <v>1118</v>
      </c>
      <c r="AR474" s="6" t="s">
        <v>1117</v>
      </c>
      <c r="AS474" s="6" t="s">
        <v>1116</v>
      </c>
    </row>
    <row r="475" spans="1:45" s="5" customFormat="1" ht="12.75" customHeight="1">
      <c r="A475" s="32" t="s">
        <v>1115</v>
      </c>
      <c r="B475" s="6" t="s">
        <v>396</v>
      </c>
      <c r="C475" s="31" t="s">
        <v>403</v>
      </c>
      <c r="D475" s="5" t="s">
        <v>1098</v>
      </c>
      <c r="E475" s="5" t="s">
        <v>1094</v>
      </c>
      <c r="F475" s="5" t="s">
        <v>1097</v>
      </c>
      <c r="G475" s="5" t="s">
        <v>1096</v>
      </c>
      <c r="H475" s="27" t="s">
        <v>937</v>
      </c>
      <c r="I475" s="27" t="s">
        <v>937</v>
      </c>
      <c r="J475" s="5" t="s">
        <v>1095</v>
      </c>
      <c r="K475" s="5" t="s">
        <v>1094</v>
      </c>
      <c r="L475" s="27" t="s">
        <v>399</v>
      </c>
      <c r="M475" s="27" t="s">
        <v>396</v>
      </c>
      <c r="N475" s="27" t="s">
        <v>396</v>
      </c>
      <c r="O475" s="27" t="s">
        <v>396</v>
      </c>
      <c r="P475" s="27" t="s">
        <v>962</v>
      </c>
      <c r="Q475" s="27" t="s">
        <v>396</v>
      </c>
      <c r="S475" s="27" t="s">
        <v>396</v>
      </c>
      <c r="T475" s="53">
        <v>1.5</v>
      </c>
      <c r="U475" s="5">
        <v>300</v>
      </c>
      <c r="V475" s="5">
        <v>300</v>
      </c>
      <c r="W475" s="27" t="s">
        <v>396</v>
      </c>
      <c r="X475" s="27">
        <v>12.5</v>
      </c>
      <c r="Y475" s="5" t="s">
        <v>396</v>
      </c>
      <c r="Z475" s="28" t="s">
        <v>396</v>
      </c>
      <c r="AA475" s="27" t="s">
        <v>396</v>
      </c>
      <c r="AB475" s="27" t="s">
        <v>396</v>
      </c>
      <c r="AC475" s="27" t="s">
        <v>396</v>
      </c>
      <c r="AD475" s="27" t="s">
        <v>396</v>
      </c>
      <c r="AE475" s="27" t="s">
        <v>396</v>
      </c>
      <c r="AF475" s="27" t="s">
        <v>396</v>
      </c>
      <c r="AG475" s="27" t="s">
        <v>396</v>
      </c>
      <c r="AH475" s="27" t="s">
        <v>396</v>
      </c>
      <c r="AI475" s="27" t="s">
        <v>396</v>
      </c>
      <c r="AJ475" s="27" t="s">
        <v>396</v>
      </c>
      <c r="AK475" s="6" t="s">
        <v>395</v>
      </c>
      <c r="AL475" s="17">
        <v>5413218567343</v>
      </c>
      <c r="AM475" s="15" t="s">
        <v>395</v>
      </c>
      <c r="AN475" s="5">
        <v>73269091</v>
      </c>
      <c r="AO475" s="6"/>
      <c r="AP475" s="6"/>
      <c r="AQ475" s="6" t="s">
        <v>1114</v>
      </c>
      <c r="AR475" s="6" t="s">
        <v>1113</v>
      </c>
      <c r="AS475" s="6" t="s">
        <v>1112</v>
      </c>
    </row>
    <row r="476" spans="1:45" s="5" customFormat="1" ht="12.75" customHeight="1">
      <c r="A476" s="32" t="s">
        <v>1111</v>
      </c>
      <c r="B476" s="6" t="s">
        <v>396</v>
      </c>
      <c r="C476" s="31" t="s">
        <v>403</v>
      </c>
      <c r="D476" s="5" t="s">
        <v>1098</v>
      </c>
      <c r="E476" s="5" t="s">
        <v>1094</v>
      </c>
      <c r="F476" s="5" t="s">
        <v>1097</v>
      </c>
      <c r="G476" s="5" t="s">
        <v>1096</v>
      </c>
      <c r="H476" s="27" t="s">
        <v>937</v>
      </c>
      <c r="I476" s="27" t="s">
        <v>937</v>
      </c>
      <c r="J476" s="5" t="s">
        <v>1095</v>
      </c>
      <c r="K476" s="5" t="s">
        <v>1094</v>
      </c>
      <c r="L476" s="27" t="s">
        <v>399</v>
      </c>
      <c r="M476" s="27" t="s">
        <v>396</v>
      </c>
      <c r="N476" s="27" t="s">
        <v>396</v>
      </c>
      <c r="O476" s="27" t="s">
        <v>396</v>
      </c>
      <c r="P476" s="27" t="s">
        <v>962</v>
      </c>
      <c r="Q476" s="27" t="s">
        <v>396</v>
      </c>
      <c r="S476" s="27" t="s">
        <v>396</v>
      </c>
      <c r="T476" s="53">
        <v>1.5</v>
      </c>
      <c r="U476" s="5">
        <v>400</v>
      </c>
      <c r="V476" s="5">
        <v>400</v>
      </c>
      <c r="W476" s="27" t="s">
        <v>396</v>
      </c>
      <c r="X476" s="27">
        <v>12.5</v>
      </c>
      <c r="Y476" s="5" t="s">
        <v>396</v>
      </c>
      <c r="Z476" s="28" t="s">
        <v>396</v>
      </c>
      <c r="AA476" s="27" t="s">
        <v>396</v>
      </c>
      <c r="AB476" s="27" t="s">
        <v>396</v>
      </c>
      <c r="AC476" s="27" t="s">
        <v>396</v>
      </c>
      <c r="AD476" s="27" t="s">
        <v>396</v>
      </c>
      <c r="AE476" s="27" t="s">
        <v>396</v>
      </c>
      <c r="AF476" s="27" t="s">
        <v>396</v>
      </c>
      <c r="AG476" s="27" t="s">
        <v>396</v>
      </c>
      <c r="AH476" s="27" t="s">
        <v>396</v>
      </c>
      <c r="AI476" s="27" t="s">
        <v>396</v>
      </c>
      <c r="AJ476" s="27" t="s">
        <v>396</v>
      </c>
      <c r="AK476" s="6" t="s">
        <v>395</v>
      </c>
      <c r="AL476" s="17">
        <v>5413218567350</v>
      </c>
      <c r="AM476" s="15" t="s">
        <v>395</v>
      </c>
      <c r="AN476" s="5">
        <v>73269060</v>
      </c>
      <c r="AO476" s="6"/>
      <c r="AP476" s="6"/>
      <c r="AQ476" s="6" t="s">
        <v>1110</v>
      </c>
      <c r="AR476" s="6" t="s">
        <v>1109</v>
      </c>
      <c r="AS476" s="6" t="s">
        <v>1108</v>
      </c>
    </row>
    <row r="477" spans="1:45" s="5" customFormat="1" ht="12.75" customHeight="1">
      <c r="A477" s="32" t="s">
        <v>1107</v>
      </c>
      <c r="B477" s="6" t="s">
        <v>396</v>
      </c>
      <c r="C477" s="31" t="s">
        <v>403</v>
      </c>
      <c r="D477" s="5" t="s">
        <v>1098</v>
      </c>
      <c r="E477" s="5" t="s">
        <v>1094</v>
      </c>
      <c r="F477" s="5" t="s">
        <v>1097</v>
      </c>
      <c r="G477" s="5" t="s">
        <v>1096</v>
      </c>
      <c r="H477" s="27" t="s">
        <v>937</v>
      </c>
      <c r="I477" s="27" t="s">
        <v>937</v>
      </c>
      <c r="J477" s="5" t="s">
        <v>1095</v>
      </c>
      <c r="K477" s="5" t="s">
        <v>1094</v>
      </c>
      <c r="L477" s="27" t="s">
        <v>399</v>
      </c>
      <c r="M477" s="27" t="s">
        <v>396</v>
      </c>
      <c r="N477" s="27" t="s">
        <v>396</v>
      </c>
      <c r="O477" s="27" t="s">
        <v>396</v>
      </c>
      <c r="P477" s="27" t="s">
        <v>962</v>
      </c>
      <c r="Q477" s="27" t="s">
        <v>396</v>
      </c>
      <c r="S477" s="27" t="s">
        <v>396</v>
      </c>
      <c r="T477" s="53">
        <v>1.5</v>
      </c>
      <c r="U477" s="5">
        <v>500</v>
      </c>
      <c r="V477" s="5">
        <v>500</v>
      </c>
      <c r="W477" s="27" t="s">
        <v>396</v>
      </c>
      <c r="X477" s="27">
        <v>12.5</v>
      </c>
      <c r="Y477" s="5" t="s">
        <v>396</v>
      </c>
      <c r="Z477" s="28" t="s">
        <v>396</v>
      </c>
      <c r="AA477" s="27" t="s">
        <v>396</v>
      </c>
      <c r="AB477" s="27" t="s">
        <v>396</v>
      </c>
      <c r="AC477" s="27" t="s">
        <v>396</v>
      </c>
      <c r="AD477" s="27" t="s">
        <v>396</v>
      </c>
      <c r="AE477" s="27" t="s">
        <v>396</v>
      </c>
      <c r="AF477" s="27" t="s">
        <v>396</v>
      </c>
      <c r="AG477" s="27" t="s">
        <v>396</v>
      </c>
      <c r="AH477" s="27" t="s">
        <v>396</v>
      </c>
      <c r="AI477" s="27" t="s">
        <v>396</v>
      </c>
      <c r="AJ477" s="27" t="s">
        <v>396</v>
      </c>
      <c r="AK477" s="6" t="s">
        <v>395</v>
      </c>
      <c r="AL477" s="17">
        <v>5413218567367</v>
      </c>
      <c r="AM477" s="15" t="s">
        <v>395</v>
      </c>
      <c r="AN477" s="5">
        <v>73269060</v>
      </c>
      <c r="AO477" s="6"/>
      <c r="AP477" s="6"/>
      <c r="AQ477" s="6" t="s">
        <v>1106</v>
      </c>
      <c r="AR477" s="6" t="s">
        <v>1105</v>
      </c>
      <c r="AS477" s="6" t="s">
        <v>1104</v>
      </c>
    </row>
    <row r="478" spans="1:45" s="5" customFormat="1" ht="12.75" customHeight="1">
      <c r="A478" s="32" t="s">
        <v>1103</v>
      </c>
      <c r="B478" s="6" t="s">
        <v>396</v>
      </c>
      <c r="C478" s="31" t="s">
        <v>403</v>
      </c>
      <c r="D478" s="5" t="s">
        <v>1098</v>
      </c>
      <c r="E478" s="5" t="s">
        <v>1094</v>
      </c>
      <c r="F478" s="5" t="s">
        <v>1097</v>
      </c>
      <c r="G478" s="5" t="s">
        <v>1096</v>
      </c>
      <c r="H478" s="27" t="s">
        <v>937</v>
      </c>
      <c r="I478" s="27" t="s">
        <v>937</v>
      </c>
      <c r="J478" s="5" t="s">
        <v>1095</v>
      </c>
      <c r="K478" s="5" t="s">
        <v>1094</v>
      </c>
      <c r="L478" s="27" t="s">
        <v>399</v>
      </c>
      <c r="M478" s="27" t="s">
        <v>396</v>
      </c>
      <c r="N478" s="27" t="s">
        <v>396</v>
      </c>
      <c r="O478" s="27" t="s">
        <v>396</v>
      </c>
      <c r="P478" s="27" t="s">
        <v>962</v>
      </c>
      <c r="Q478" s="27" t="s">
        <v>396</v>
      </c>
      <c r="S478" s="27" t="s">
        <v>396</v>
      </c>
      <c r="T478" s="53">
        <v>1.5</v>
      </c>
      <c r="U478" s="5">
        <v>600</v>
      </c>
      <c r="V478" s="5">
        <v>600</v>
      </c>
      <c r="W478" s="27" t="s">
        <v>396</v>
      </c>
      <c r="X478" s="27">
        <v>12.5</v>
      </c>
      <c r="Y478" s="5" t="s">
        <v>396</v>
      </c>
      <c r="Z478" s="28" t="s">
        <v>396</v>
      </c>
      <c r="AA478" s="27" t="s">
        <v>396</v>
      </c>
      <c r="AB478" s="27" t="s">
        <v>396</v>
      </c>
      <c r="AC478" s="27" t="s">
        <v>396</v>
      </c>
      <c r="AD478" s="27" t="s">
        <v>396</v>
      </c>
      <c r="AE478" s="27" t="s">
        <v>396</v>
      </c>
      <c r="AF478" s="27" t="s">
        <v>396</v>
      </c>
      <c r="AG478" s="27" t="s">
        <v>396</v>
      </c>
      <c r="AH478" s="27" t="s">
        <v>396</v>
      </c>
      <c r="AI478" s="27" t="s">
        <v>396</v>
      </c>
      <c r="AJ478" s="27" t="s">
        <v>396</v>
      </c>
      <c r="AK478" s="6" t="s">
        <v>395</v>
      </c>
      <c r="AL478" s="17">
        <v>5413218567374</v>
      </c>
      <c r="AM478" s="15" t="s">
        <v>395</v>
      </c>
      <c r="AN478" s="5">
        <v>73269060</v>
      </c>
      <c r="AO478" s="6"/>
      <c r="AP478" s="6"/>
      <c r="AQ478" s="6" t="s">
        <v>1102</v>
      </c>
      <c r="AR478" s="6" t="s">
        <v>1101</v>
      </c>
      <c r="AS478" s="6" t="s">
        <v>1100</v>
      </c>
    </row>
    <row r="479" spans="1:45" s="5" customFormat="1" ht="12.75" customHeight="1">
      <c r="A479" s="32" t="s">
        <v>1099</v>
      </c>
      <c r="B479" s="6" t="s">
        <v>396</v>
      </c>
      <c r="C479" s="31" t="s">
        <v>403</v>
      </c>
      <c r="D479" s="5" t="s">
        <v>1098</v>
      </c>
      <c r="E479" s="5" t="s">
        <v>1094</v>
      </c>
      <c r="F479" s="5" t="s">
        <v>1097</v>
      </c>
      <c r="G479" s="5" t="s">
        <v>1096</v>
      </c>
      <c r="H479" s="27" t="s">
        <v>937</v>
      </c>
      <c r="I479" s="27" t="s">
        <v>937</v>
      </c>
      <c r="J479" s="5" t="s">
        <v>1095</v>
      </c>
      <c r="K479" s="5" t="s">
        <v>1094</v>
      </c>
      <c r="L479" s="27" t="s">
        <v>399</v>
      </c>
      <c r="M479" s="27" t="s">
        <v>396</v>
      </c>
      <c r="N479" s="27" t="s">
        <v>396</v>
      </c>
      <c r="O479" s="27" t="s">
        <v>396</v>
      </c>
      <c r="P479" s="27" t="s">
        <v>962</v>
      </c>
      <c r="Q479" s="27" t="s">
        <v>396</v>
      </c>
      <c r="S479" s="27" t="s">
        <v>396</v>
      </c>
      <c r="T479" s="53">
        <v>1.5</v>
      </c>
      <c r="U479" s="5">
        <v>600</v>
      </c>
      <c r="V479" s="5">
        <v>800</v>
      </c>
      <c r="W479" s="27" t="s">
        <v>396</v>
      </c>
      <c r="X479" s="27">
        <v>12.5</v>
      </c>
      <c r="Y479" s="5" t="s">
        <v>396</v>
      </c>
      <c r="Z479" s="28" t="s">
        <v>396</v>
      </c>
      <c r="AA479" s="27" t="s">
        <v>396</v>
      </c>
      <c r="AB479" s="27" t="s">
        <v>396</v>
      </c>
      <c r="AC479" s="27" t="s">
        <v>396</v>
      </c>
      <c r="AD479" s="27" t="s">
        <v>396</v>
      </c>
      <c r="AE479" s="27" t="s">
        <v>396</v>
      </c>
      <c r="AF479" s="27" t="s">
        <v>396</v>
      </c>
      <c r="AG479" s="27" t="s">
        <v>396</v>
      </c>
      <c r="AH479" s="27" t="s">
        <v>396</v>
      </c>
      <c r="AI479" s="27" t="s">
        <v>396</v>
      </c>
      <c r="AJ479" s="27" t="s">
        <v>396</v>
      </c>
      <c r="AK479" s="6" t="s">
        <v>395</v>
      </c>
      <c r="AL479" s="17">
        <v>5413218567381</v>
      </c>
      <c r="AM479" s="15" t="s">
        <v>395</v>
      </c>
      <c r="AN479" s="5">
        <v>73269060</v>
      </c>
      <c r="AO479" s="6"/>
      <c r="AP479" s="6"/>
      <c r="AQ479" s="6" t="s">
        <v>1093</v>
      </c>
      <c r="AR479" s="6" t="s">
        <v>1092</v>
      </c>
      <c r="AS479" s="6" t="s">
        <v>1091</v>
      </c>
    </row>
    <row r="480" spans="1:45" s="5" customFormat="1" ht="12.75" customHeight="1">
      <c r="A480" s="32" t="s">
        <v>1090</v>
      </c>
      <c r="B480" s="6" t="s">
        <v>396</v>
      </c>
      <c r="C480" s="31" t="s">
        <v>403</v>
      </c>
      <c r="D480" s="5" t="s">
        <v>1067</v>
      </c>
      <c r="E480" s="5" t="s">
        <v>1066</v>
      </c>
      <c r="F480" s="5" t="s">
        <v>1069</v>
      </c>
      <c r="G480" s="5" t="s">
        <v>1068</v>
      </c>
      <c r="H480" s="27" t="s">
        <v>937</v>
      </c>
      <c r="I480" s="27" t="s">
        <v>937</v>
      </c>
      <c r="J480" s="5" t="s">
        <v>1067</v>
      </c>
      <c r="K480" s="5" t="s">
        <v>1066</v>
      </c>
      <c r="L480" s="27" t="s">
        <v>399</v>
      </c>
      <c r="M480" s="27" t="s">
        <v>396</v>
      </c>
      <c r="N480" s="27" t="s">
        <v>396</v>
      </c>
      <c r="O480" s="27" t="s">
        <v>396</v>
      </c>
      <c r="P480" s="27" t="s">
        <v>934</v>
      </c>
      <c r="Q480" s="27" t="s">
        <v>396</v>
      </c>
      <c r="S480" s="27" t="s">
        <v>396</v>
      </c>
      <c r="T480" s="53">
        <v>1.5</v>
      </c>
      <c r="U480" s="5">
        <v>200</v>
      </c>
      <c r="V480" s="5">
        <v>200</v>
      </c>
      <c r="W480" s="27" t="s">
        <v>396</v>
      </c>
      <c r="X480" s="27">
        <v>25</v>
      </c>
      <c r="Y480" s="5" t="s">
        <v>396</v>
      </c>
      <c r="Z480" s="28" t="s">
        <v>396</v>
      </c>
      <c r="AA480" s="27" t="s">
        <v>396</v>
      </c>
      <c r="AB480" s="27" t="s">
        <v>396</v>
      </c>
      <c r="AC480" s="27" t="s">
        <v>396</v>
      </c>
      <c r="AD480" s="27" t="s">
        <v>396</v>
      </c>
      <c r="AE480" s="27" t="s">
        <v>396</v>
      </c>
      <c r="AF480" s="27" t="s">
        <v>396</v>
      </c>
      <c r="AG480" s="27" t="s">
        <v>396</v>
      </c>
      <c r="AH480" s="27" t="s">
        <v>396</v>
      </c>
      <c r="AI480" s="27" t="s">
        <v>396</v>
      </c>
      <c r="AJ480" s="27" t="s">
        <v>396</v>
      </c>
      <c r="AK480" s="6" t="s">
        <v>395</v>
      </c>
      <c r="AL480" s="17">
        <v>5413218567398</v>
      </c>
      <c r="AM480" s="15" t="s">
        <v>395</v>
      </c>
      <c r="AN480" s="5">
        <v>73269091</v>
      </c>
      <c r="AO480" s="6"/>
      <c r="AP480" s="6"/>
      <c r="AQ480" s="6" t="s">
        <v>1089</v>
      </c>
      <c r="AR480" s="6" t="s">
        <v>1088</v>
      </c>
      <c r="AS480" s="6" t="s">
        <v>1087</v>
      </c>
    </row>
    <row r="481" spans="1:45" s="5" customFormat="1" ht="12.75" customHeight="1">
      <c r="A481" s="32" t="s">
        <v>1086</v>
      </c>
      <c r="B481" s="6" t="s">
        <v>396</v>
      </c>
      <c r="C481" s="31" t="s">
        <v>403</v>
      </c>
      <c r="D481" s="5" t="s">
        <v>1067</v>
      </c>
      <c r="E481" s="5" t="s">
        <v>1066</v>
      </c>
      <c r="F481" s="5" t="s">
        <v>1069</v>
      </c>
      <c r="G481" s="5" t="s">
        <v>1068</v>
      </c>
      <c r="H481" s="27" t="s">
        <v>937</v>
      </c>
      <c r="I481" s="27" t="s">
        <v>937</v>
      </c>
      <c r="J481" s="5" t="s">
        <v>1067</v>
      </c>
      <c r="K481" s="5" t="s">
        <v>1066</v>
      </c>
      <c r="L481" s="27" t="s">
        <v>399</v>
      </c>
      <c r="M481" s="27" t="s">
        <v>396</v>
      </c>
      <c r="N481" s="27" t="s">
        <v>396</v>
      </c>
      <c r="O481" s="27" t="s">
        <v>396</v>
      </c>
      <c r="P481" s="27" t="s">
        <v>934</v>
      </c>
      <c r="Q481" s="27" t="s">
        <v>396</v>
      </c>
      <c r="S481" s="27" t="s">
        <v>396</v>
      </c>
      <c r="T481" s="53">
        <v>1.5</v>
      </c>
      <c r="U481" s="5">
        <v>300</v>
      </c>
      <c r="V481" s="5">
        <v>300</v>
      </c>
      <c r="W481" s="27" t="s">
        <v>396</v>
      </c>
      <c r="X481" s="27">
        <v>25</v>
      </c>
      <c r="Y481" s="5" t="s">
        <v>396</v>
      </c>
      <c r="Z481" s="28" t="s">
        <v>396</v>
      </c>
      <c r="AA481" s="27" t="s">
        <v>396</v>
      </c>
      <c r="AB481" s="27" t="s">
        <v>396</v>
      </c>
      <c r="AC481" s="27" t="s">
        <v>396</v>
      </c>
      <c r="AD481" s="27" t="s">
        <v>396</v>
      </c>
      <c r="AE481" s="27" t="s">
        <v>396</v>
      </c>
      <c r="AF481" s="27" t="s">
        <v>396</v>
      </c>
      <c r="AG481" s="27" t="s">
        <v>396</v>
      </c>
      <c r="AH481" s="27" t="s">
        <v>396</v>
      </c>
      <c r="AI481" s="27" t="s">
        <v>396</v>
      </c>
      <c r="AJ481" s="27" t="s">
        <v>396</v>
      </c>
      <c r="AK481" s="6" t="s">
        <v>395</v>
      </c>
      <c r="AL481" s="17">
        <v>5413218567404</v>
      </c>
      <c r="AM481" s="15" t="s">
        <v>395</v>
      </c>
      <c r="AN481" s="5">
        <v>73269091</v>
      </c>
      <c r="AO481" s="6"/>
      <c r="AP481" s="6"/>
      <c r="AQ481" s="6" t="s">
        <v>1085</v>
      </c>
      <c r="AR481" s="6" t="s">
        <v>1084</v>
      </c>
      <c r="AS481" s="6" t="s">
        <v>1083</v>
      </c>
    </row>
    <row r="482" spans="1:45" s="5" customFormat="1" ht="12.75" customHeight="1">
      <c r="A482" s="32" t="s">
        <v>1082</v>
      </c>
      <c r="B482" s="6" t="s">
        <v>396</v>
      </c>
      <c r="C482" s="31" t="s">
        <v>403</v>
      </c>
      <c r="D482" s="5" t="s">
        <v>1067</v>
      </c>
      <c r="E482" s="5" t="s">
        <v>1066</v>
      </c>
      <c r="F482" s="5" t="s">
        <v>1069</v>
      </c>
      <c r="G482" s="5" t="s">
        <v>1068</v>
      </c>
      <c r="H482" s="27" t="s">
        <v>937</v>
      </c>
      <c r="I482" s="27" t="s">
        <v>937</v>
      </c>
      <c r="J482" s="5" t="s">
        <v>1067</v>
      </c>
      <c r="K482" s="5" t="s">
        <v>1066</v>
      </c>
      <c r="L482" s="27" t="s">
        <v>399</v>
      </c>
      <c r="M482" s="27" t="s">
        <v>396</v>
      </c>
      <c r="N482" s="27" t="s">
        <v>396</v>
      </c>
      <c r="O482" s="27" t="s">
        <v>396</v>
      </c>
      <c r="P482" s="27" t="s">
        <v>934</v>
      </c>
      <c r="Q482" s="27" t="s">
        <v>396</v>
      </c>
      <c r="S482" s="27" t="s">
        <v>396</v>
      </c>
      <c r="T482" s="53">
        <v>1.5</v>
      </c>
      <c r="U482" s="5">
        <v>400</v>
      </c>
      <c r="V482" s="5">
        <v>400</v>
      </c>
      <c r="W482" s="27" t="s">
        <v>396</v>
      </c>
      <c r="X482" s="27">
        <v>25</v>
      </c>
      <c r="Y482" s="5" t="s">
        <v>396</v>
      </c>
      <c r="Z482" s="28" t="s">
        <v>396</v>
      </c>
      <c r="AA482" s="27" t="s">
        <v>396</v>
      </c>
      <c r="AB482" s="27" t="s">
        <v>396</v>
      </c>
      <c r="AC482" s="27" t="s">
        <v>396</v>
      </c>
      <c r="AD482" s="27" t="s">
        <v>396</v>
      </c>
      <c r="AE482" s="27" t="s">
        <v>396</v>
      </c>
      <c r="AF482" s="27" t="s">
        <v>396</v>
      </c>
      <c r="AG482" s="27" t="s">
        <v>396</v>
      </c>
      <c r="AH482" s="27" t="s">
        <v>396</v>
      </c>
      <c r="AI482" s="27" t="s">
        <v>396</v>
      </c>
      <c r="AJ482" s="27" t="s">
        <v>396</v>
      </c>
      <c r="AK482" s="6" t="s">
        <v>395</v>
      </c>
      <c r="AL482" s="17">
        <v>5413218567411</v>
      </c>
      <c r="AM482" s="15" t="s">
        <v>395</v>
      </c>
      <c r="AN482" s="5">
        <v>73269060</v>
      </c>
      <c r="AO482" s="6"/>
      <c r="AP482" s="6"/>
      <c r="AQ482" s="6" t="s">
        <v>1081</v>
      </c>
      <c r="AR482" s="6" t="s">
        <v>1080</v>
      </c>
      <c r="AS482" s="6" t="s">
        <v>1079</v>
      </c>
    </row>
    <row r="483" spans="1:45" s="5" customFormat="1" ht="12.75" customHeight="1">
      <c r="A483" s="32" t="s">
        <v>1078</v>
      </c>
      <c r="B483" s="6" t="s">
        <v>396</v>
      </c>
      <c r="C483" s="31" t="s">
        <v>403</v>
      </c>
      <c r="D483" s="5" t="s">
        <v>1067</v>
      </c>
      <c r="E483" s="5" t="s">
        <v>1066</v>
      </c>
      <c r="F483" s="5" t="s">
        <v>1069</v>
      </c>
      <c r="G483" s="5" t="s">
        <v>1068</v>
      </c>
      <c r="H483" s="27" t="s">
        <v>937</v>
      </c>
      <c r="I483" s="27" t="s">
        <v>937</v>
      </c>
      <c r="J483" s="5" t="s">
        <v>1067</v>
      </c>
      <c r="K483" s="5" t="s">
        <v>1066</v>
      </c>
      <c r="L483" s="27" t="s">
        <v>399</v>
      </c>
      <c r="M483" s="27" t="s">
        <v>396</v>
      </c>
      <c r="N483" s="27" t="s">
        <v>396</v>
      </c>
      <c r="O483" s="27" t="s">
        <v>396</v>
      </c>
      <c r="P483" s="27" t="s">
        <v>934</v>
      </c>
      <c r="Q483" s="27" t="s">
        <v>396</v>
      </c>
      <c r="S483" s="27" t="s">
        <v>396</v>
      </c>
      <c r="T483" s="53">
        <v>1.5</v>
      </c>
      <c r="U483" s="5">
        <v>500</v>
      </c>
      <c r="V483" s="5">
        <v>500</v>
      </c>
      <c r="W483" s="27" t="s">
        <v>396</v>
      </c>
      <c r="X483" s="27">
        <v>25</v>
      </c>
      <c r="Y483" s="5" t="s">
        <v>396</v>
      </c>
      <c r="Z483" s="28" t="s">
        <v>396</v>
      </c>
      <c r="AA483" s="27" t="s">
        <v>396</v>
      </c>
      <c r="AB483" s="27" t="s">
        <v>396</v>
      </c>
      <c r="AC483" s="27" t="s">
        <v>396</v>
      </c>
      <c r="AD483" s="27" t="s">
        <v>396</v>
      </c>
      <c r="AE483" s="27" t="s">
        <v>396</v>
      </c>
      <c r="AF483" s="27" t="s">
        <v>396</v>
      </c>
      <c r="AG483" s="27" t="s">
        <v>396</v>
      </c>
      <c r="AH483" s="27" t="s">
        <v>396</v>
      </c>
      <c r="AI483" s="27" t="s">
        <v>396</v>
      </c>
      <c r="AJ483" s="27" t="s">
        <v>396</v>
      </c>
      <c r="AK483" s="6" t="s">
        <v>395</v>
      </c>
      <c r="AL483" s="17">
        <v>5413218567428</v>
      </c>
      <c r="AM483" s="15" t="s">
        <v>395</v>
      </c>
      <c r="AN483" s="5">
        <v>73269091</v>
      </c>
      <c r="AO483" s="6"/>
      <c r="AP483" s="6"/>
      <c r="AQ483" s="6" t="s">
        <v>1077</v>
      </c>
      <c r="AR483" s="6" t="s">
        <v>1076</v>
      </c>
      <c r="AS483" s="6" t="s">
        <v>1075</v>
      </c>
    </row>
    <row r="484" spans="1:45" s="5" customFormat="1" ht="12.75" customHeight="1">
      <c r="A484" s="32" t="s">
        <v>1074</v>
      </c>
      <c r="B484" s="6" t="s">
        <v>396</v>
      </c>
      <c r="C484" s="31" t="s">
        <v>403</v>
      </c>
      <c r="D484" s="5" t="s">
        <v>1067</v>
      </c>
      <c r="E484" s="5" t="s">
        <v>1066</v>
      </c>
      <c r="F484" s="5" t="s">
        <v>1069</v>
      </c>
      <c r="G484" s="5" t="s">
        <v>1068</v>
      </c>
      <c r="H484" s="27" t="s">
        <v>937</v>
      </c>
      <c r="I484" s="27" t="s">
        <v>937</v>
      </c>
      <c r="J484" s="5" t="s">
        <v>1067</v>
      </c>
      <c r="K484" s="5" t="s">
        <v>1066</v>
      </c>
      <c r="L484" s="27" t="s">
        <v>399</v>
      </c>
      <c r="M484" s="27" t="s">
        <v>396</v>
      </c>
      <c r="N484" s="27" t="s">
        <v>396</v>
      </c>
      <c r="O484" s="27" t="s">
        <v>396</v>
      </c>
      <c r="P484" s="27" t="s">
        <v>934</v>
      </c>
      <c r="Q484" s="27" t="s">
        <v>396</v>
      </c>
      <c r="S484" s="27" t="s">
        <v>396</v>
      </c>
      <c r="T484" s="53">
        <v>1.5</v>
      </c>
      <c r="U484" s="5">
        <v>600</v>
      </c>
      <c r="V484" s="5">
        <v>600</v>
      </c>
      <c r="W484" s="27" t="s">
        <v>396</v>
      </c>
      <c r="X484" s="27">
        <v>25</v>
      </c>
      <c r="Y484" s="5" t="s">
        <v>396</v>
      </c>
      <c r="Z484" s="28" t="s">
        <v>396</v>
      </c>
      <c r="AA484" s="27" t="s">
        <v>396</v>
      </c>
      <c r="AB484" s="27" t="s">
        <v>396</v>
      </c>
      <c r="AC484" s="27" t="s">
        <v>396</v>
      </c>
      <c r="AD484" s="27" t="s">
        <v>396</v>
      </c>
      <c r="AE484" s="27" t="s">
        <v>396</v>
      </c>
      <c r="AF484" s="27" t="s">
        <v>396</v>
      </c>
      <c r="AG484" s="27" t="s">
        <v>396</v>
      </c>
      <c r="AH484" s="27" t="s">
        <v>396</v>
      </c>
      <c r="AI484" s="27" t="s">
        <v>396</v>
      </c>
      <c r="AJ484" s="27" t="s">
        <v>396</v>
      </c>
      <c r="AK484" s="6" t="s">
        <v>395</v>
      </c>
      <c r="AL484" s="17">
        <v>5413218567435</v>
      </c>
      <c r="AM484" s="15" t="s">
        <v>395</v>
      </c>
      <c r="AN484" s="5">
        <v>76109090</v>
      </c>
      <c r="AO484" s="6"/>
      <c r="AP484" s="6"/>
      <c r="AQ484" s="6" t="s">
        <v>1073</v>
      </c>
      <c r="AR484" s="6" t="s">
        <v>1072</v>
      </c>
      <c r="AS484" s="6" t="s">
        <v>1071</v>
      </c>
    </row>
    <row r="485" spans="1:45" s="5" customFormat="1" ht="12.75" customHeight="1">
      <c r="A485" s="32" t="s">
        <v>1070</v>
      </c>
      <c r="B485" s="6" t="s">
        <v>396</v>
      </c>
      <c r="C485" s="31" t="s">
        <v>403</v>
      </c>
      <c r="D485" s="5" t="s">
        <v>1067</v>
      </c>
      <c r="E485" s="5" t="s">
        <v>1066</v>
      </c>
      <c r="F485" s="5" t="s">
        <v>1069</v>
      </c>
      <c r="G485" s="5" t="s">
        <v>1068</v>
      </c>
      <c r="H485" s="27" t="s">
        <v>937</v>
      </c>
      <c r="I485" s="27" t="s">
        <v>937</v>
      </c>
      <c r="J485" s="5" t="s">
        <v>1067</v>
      </c>
      <c r="K485" s="5" t="s">
        <v>1066</v>
      </c>
      <c r="L485" s="27" t="s">
        <v>399</v>
      </c>
      <c r="M485" s="27" t="s">
        <v>396</v>
      </c>
      <c r="N485" s="27" t="s">
        <v>396</v>
      </c>
      <c r="O485" s="27" t="s">
        <v>396</v>
      </c>
      <c r="P485" s="27" t="s">
        <v>934</v>
      </c>
      <c r="Q485" s="27" t="s">
        <v>396</v>
      </c>
      <c r="S485" s="27" t="s">
        <v>396</v>
      </c>
      <c r="T485" s="53">
        <v>1.5</v>
      </c>
      <c r="U485" s="5">
        <v>600</v>
      </c>
      <c r="V485" s="5">
        <v>800</v>
      </c>
      <c r="W485" s="27" t="s">
        <v>396</v>
      </c>
      <c r="X485" s="27">
        <v>25</v>
      </c>
      <c r="Y485" s="5" t="s">
        <v>396</v>
      </c>
      <c r="Z485" s="28" t="s">
        <v>396</v>
      </c>
      <c r="AA485" s="27" t="s">
        <v>396</v>
      </c>
      <c r="AB485" s="27" t="s">
        <v>396</v>
      </c>
      <c r="AC485" s="27" t="s">
        <v>396</v>
      </c>
      <c r="AD485" s="27" t="s">
        <v>396</v>
      </c>
      <c r="AE485" s="27" t="s">
        <v>396</v>
      </c>
      <c r="AF485" s="27" t="s">
        <v>396</v>
      </c>
      <c r="AG485" s="27" t="s">
        <v>396</v>
      </c>
      <c r="AH485" s="27" t="s">
        <v>396</v>
      </c>
      <c r="AI485" s="27" t="s">
        <v>396</v>
      </c>
      <c r="AJ485" s="27" t="s">
        <v>396</v>
      </c>
      <c r="AK485" s="6" t="s">
        <v>395</v>
      </c>
      <c r="AL485" s="17">
        <v>5413218567442</v>
      </c>
      <c r="AM485" s="15" t="s">
        <v>395</v>
      </c>
      <c r="AN485" s="5">
        <v>76109090</v>
      </c>
      <c r="AO485" s="6"/>
      <c r="AP485" s="6"/>
      <c r="AQ485" s="6" t="s">
        <v>1065</v>
      </c>
      <c r="AR485" s="6" t="s">
        <v>1064</v>
      </c>
      <c r="AS485" s="6" t="s">
        <v>1063</v>
      </c>
    </row>
    <row r="486" spans="1:45" s="5" customFormat="1" ht="12.75" customHeight="1">
      <c r="A486" s="32" t="s">
        <v>1062</v>
      </c>
      <c r="B486" s="6" t="s">
        <v>396</v>
      </c>
      <c r="C486" s="31" t="s">
        <v>403</v>
      </c>
      <c r="D486" s="5" t="s">
        <v>1049</v>
      </c>
      <c r="E486" s="5" t="s">
        <v>1048</v>
      </c>
      <c r="F486" s="5" t="s">
        <v>1047</v>
      </c>
      <c r="G486" s="5" t="s">
        <v>1046</v>
      </c>
      <c r="H486" s="27" t="s">
        <v>937</v>
      </c>
      <c r="I486" s="27" t="s">
        <v>937</v>
      </c>
      <c r="J486" s="5" t="s">
        <v>1045</v>
      </c>
      <c r="K486" s="5" t="s">
        <v>1044</v>
      </c>
      <c r="L486" s="27" t="s">
        <v>399</v>
      </c>
      <c r="M486" s="27" t="s">
        <v>396</v>
      </c>
      <c r="N486" s="27" t="s">
        <v>396</v>
      </c>
      <c r="O486" s="27" t="s">
        <v>396</v>
      </c>
      <c r="P486" s="27" t="s">
        <v>962</v>
      </c>
      <c r="Q486" s="27" t="s">
        <v>396</v>
      </c>
      <c r="S486" s="27" t="s">
        <v>396</v>
      </c>
      <c r="T486" s="53">
        <v>1.5</v>
      </c>
      <c r="U486" s="5">
        <v>400</v>
      </c>
      <c r="V486" s="5">
        <v>400</v>
      </c>
      <c r="W486" s="27" t="s">
        <v>396</v>
      </c>
      <c r="X486" s="27" t="s">
        <v>1021</v>
      </c>
      <c r="Y486" s="5" t="s">
        <v>396</v>
      </c>
      <c r="Z486" s="28" t="s">
        <v>396</v>
      </c>
      <c r="AA486" s="27" t="s">
        <v>396</v>
      </c>
      <c r="AB486" s="27" t="s">
        <v>396</v>
      </c>
      <c r="AC486" s="27" t="s">
        <v>396</v>
      </c>
      <c r="AD486" s="27" t="s">
        <v>396</v>
      </c>
      <c r="AE486" s="27" t="s">
        <v>396</v>
      </c>
      <c r="AF486" s="27" t="s">
        <v>396</v>
      </c>
      <c r="AG486" s="27" t="s">
        <v>396</v>
      </c>
      <c r="AH486" s="27" t="s">
        <v>396</v>
      </c>
      <c r="AI486" s="27" t="s">
        <v>396</v>
      </c>
      <c r="AJ486" s="27" t="s">
        <v>396</v>
      </c>
      <c r="AK486" s="6" t="s">
        <v>395</v>
      </c>
      <c r="AL486" s="17">
        <v>5413218567459</v>
      </c>
      <c r="AM486" s="15" t="s">
        <v>395</v>
      </c>
      <c r="AN486" s="5">
        <v>73269091</v>
      </c>
      <c r="AO486" s="6"/>
      <c r="AP486" s="6"/>
      <c r="AQ486" s="6" t="s">
        <v>1061</v>
      </c>
      <c r="AR486" s="6" t="s">
        <v>1060</v>
      </c>
      <c r="AS486" s="6" t="s">
        <v>1059</v>
      </c>
    </row>
    <row r="487" spans="1:45" s="5" customFormat="1" ht="12.75" customHeight="1">
      <c r="A487" s="32" t="s">
        <v>1058</v>
      </c>
      <c r="B487" s="6" t="s">
        <v>396</v>
      </c>
      <c r="C487" s="31" t="s">
        <v>403</v>
      </c>
      <c r="D487" s="5" t="s">
        <v>1049</v>
      </c>
      <c r="E487" s="5" t="s">
        <v>1048</v>
      </c>
      <c r="F487" s="5" t="s">
        <v>1047</v>
      </c>
      <c r="G487" s="5" t="s">
        <v>1046</v>
      </c>
      <c r="H487" s="27" t="s">
        <v>937</v>
      </c>
      <c r="I487" s="27" t="s">
        <v>937</v>
      </c>
      <c r="J487" s="5" t="s">
        <v>1045</v>
      </c>
      <c r="K487" s="5" t="s">
        <v>1044</v>
      </c>
      <c r="L487" s="27" t="s">
        <v>399</v>
      </c>
      <c r="M487" s="27" t="s">
        <v>396</v>
      </c>
      <c r="N487" s="27" t="s">
        <v>396</v>
      </c>
      <c r="O487" s="27" t="s">
        <v>396</v>
      </c>
      <c r="P487" s="27" t="s">
        <v>962</v>
      </c>
      <c r="Q487" s="27" t="s">
        <v>396</v>
      </c>
      <c r="S487" s="27" t="s">
        <v>396</v>
      </c>
      <c r="T487" s="53">
        <v>1.5</v>
      </c>
      <c r="U487" s="5">
        <v>500</v>
      </c>
      <c r="V487" s="5">
        <v>500</v>
      </c>
      <c r="W487" s="27" t="s">
        <v>396</v>
      </c>
      <c r="X487" s="27" t="s">
        <v>1021</v>
      </c>
      <c r="Y487" s="5" t="s">
        <v>396</v>
      </c>
      <c r="Z487" s="28" t="s">
        <v>396</v>
      </c>
      <c r="AA487" s="27" t="s">
        <v>396</v>
      </c>
      <c r="AB487" s="27" t="s">
        <v>396</v>
      </c>
      <c r="AC487" s="27" t="s">
        <v>396</v>
      </c>
      <c r="AD487" s="27" t="s">
        <v>396</v>
      </c>
      <c r="AE487" s="27" t="s">
        <v>396</v>
      </c>
      <c r="AF487" s="27" t="s">
        <v>396</v>
      </c>
      <c r="AG487" s="27" t="s">
        <v>396</v>
      </c>
      <c r="AH487" s="27" t="s">
        <v>396</v>
      </c>
      <c r="AI487" s="27" t="s">
        <v>396</v>
      </c>
      <c r="AJ487" s="27" t="s">
        <v>396</v>
      </c>
      <c r="AK487" s="6" t="s">
        <v>395</v>
      </c>
      <c r="AL487" s="17">
        <v>5413218567466</v>
      </c>
      <c r="AM487" s="15" t="s">
        <v>395</v>
      </c>
      <c r="AN487" s="5">
        <v>73269091</v>
      </c>
      <c r="AO487" s="6"/>
      <c r="AP487" s="6"/>
      <c r="AQ487" s="6" t="s">
        <v>1057</v>
      </c>
      <c r="AR487" s="6" t="s">
        <v>1056</v>
      </c>
      <c r="AS487" s="6" t="s">
        <v>1055</v>
      </c>
    </row>
    <row r="488" spans="1:45" s="5" customFormat="1" ht="12.75" customHeight="1">
      <c r="A488" s="32" t="s">
        <v>1054</v>
      </c>
      <c r="B488" s="6" t="s">
        <v>396</v>
      </c>
      <c r="C488" s="31" t="s">
        <v>403</v>
      </c>
      <c r="D488" s="5" t="s">
        <v>1049</v>
      </c>
      <c r="E488" s="5" t="s">
        <v>1048</v>
      </c>
      <c r="F488" s="5" t="s">
        <v>1047</v>
      </c>
      <c r="G488" s="5" t="s">
        <v>1046</v>
      </c>
      <c r="H488" s="27" t="s">
        <v>937</v>
      </c>
      <c r="I488" s="27" t="s">
        <v>937</v>
      </c>
      <c r="J488" s="5" t="s">
        <v>1045</v>
      </c>
      <c r="K488" s="5" t="s">
        <v>1044</v>
      </c>
      <c r="L488" s="27" t="s">
        <v>399</v>
      </c>
      <c r="M488" s="27" t="s">
        <v>396</v>
      </c>
      <c r="N488" s="27" t="s">
        <v>396</v>
      </c>
      <c r="O488" s="27" t="s">
        <v>396</v>
      </c>
      <c r="P488" s="27" t="s">
        <v>962</v>
      </c>
      <c r="Q488" s="27" t="s">
        <v>396</v>
      </c>
      <c r="S488" s="27" t="s">
        <v>396</v>
      </c>
      <c r="T488" s="53">
        <v>1.5</v>
      </c>
      <c r="U488" s="5">
        <v>600</v>
      </c>
      <c r="V488" s="5">
        <v>600</v>
      </c>
      <c r="W488" s="27" t="s">
        <v>396</v>
      </c>
      <c r="X488" s="27" t="s">
        <v>1021</v>
      </c>
      <c r="Y488" s="5" t="s">
        <v>396</v>
      </c>
      <c r="Z488" s="28" t="s">
        <v>396</v>
      </c>
      <c r="AA488" s="27" t="s">
        <v>396</v>
      </c>
      <c r="AB488" s="27" t="s">
        <v>396</v>
      </c>
      <c r="AC488" s="27" t="s">
        <v>396</v>
      </c>
      <c r="AD488" s="27" t="s">
        <v>396</v>
      </c>
      <c r="AE488" s="27" t="s">
        <v>396</v>
      </c>
      <c r="AF488" s="27" t="s">
        <v>396</v>
      </c>
      <c r="AG488" s="27" t="s">
        <v>396</v>
      </c>
      <c r="AH488" s="27" t="s">
        <v>396</v>
      </c>
      <c r="AI488" s="27" t="s">
        <v>396</v>
      </c>
      <c r="AJ488" s="27" t="s">
        <v>396</v>
      </c>
      <c r="AK488" s="6" t="s">
        <v>395</v>
      </c>
      <c r="AL488" s="17">
        <v>5413218567473</v>
      </c>
      <c r="AM488" s="15" t="s">
        <v>395</v>
      </c>
      <c r="AN488" s="5">
        <v>73269091</v>
      </c>
      <c r="AO488" s="6"/>
      <c r="AP488" s="6"/>
      <c r="AQ488" s="6" t="s">
        <v>1053</v>
      </c>
      <c r="AR488" s="6" t="s">
        <v>1052</v>
      </c>
      <c r="AS488" s="6" t="s">
        <v>1051</v>
      </c>
    </row>
    <row r="489" spans="1:45" s="5" customFormat="1" ht="12.75" customHeight="1">
      <c r="A489" s="32" t="s">
        <v>1050</v>
      </c>
      <c r="B489" s="6" t="s">
        <v>396</v>
      </c>
      <c r="C489" s="31" t="s">
        <v>403</v>
      </c>
      <c r="D489" s="5" t="s">
        <v>1049</v>
      </c>
      <c r="E489" s="5" t="s">
        <v>1048</v>
      </c>
      <c r="F489" s="5" t="s">
        <v>1047</v>
      </c>
      <c r="G489" s="5" t="s">
        <v>1046</v>
      </c>
      <c r="H489" s="27" t="s">
        <v>937</v>
      </c>
      <c r="I489" s="27" t="s">
        <v>937</v>
      </c>
      <c r="J489" s="5" t="s">
        <v>1045</v>
      </c>
      <c r="K489" s="5" t="s">
        <v>1044</v>
      </c>
      <c r="L489" s="27" t="s">
        <v>399</v>
      </c>
      <c r="M489" s="27" t="s">
        <v>396</v>
      </c>
      <c r="N489" s="27" t="s">
        <v>396</v>
      </c>
      <c r="O489" s="27" t="s">
        <v>396</v>
      </c>
      <c r="P489" s="27" t="s">
        <v>962</v>
      </c>
      <c r="Q489" s="27" t="s">
        <v>396</v>
      </c>
      <c r="S489" s="27" t="s">
        <v>396</v>
      </c>
      <c r="T489" s="53">
        <v>1.5</v>
      </c>
      <c r="U489" s="5">
        <v>600</v>
      </c>
      <c r="V489" s="5">
        <v>800</v>
      </c>
      <c r="W489" s="27" t="s">
        <v>396</v>
      </c>
      <c r="X489" s="27" t="s">
        <v>1021</v>
      </c>
      <c r="Y489" s="5" t="s">
        <v>396</v>
      </c>
      <c r="Z489" s="28" t="s">
        <v>396</v>
      </c>
      <c r="AA489" s="27" t="s">
        <v>396</v>
      </c>
      <c r="AB489" s="27" t="s">
        <v>396</v>
      </c>
      <c r="AC489" s="27" t="s">
        <v>396</v>
      </c>
      <c r="AD489" s="27" t="s">
        <v>396</v>
      </c>
      <c r="AE489" s="27" t="s">
        <v>396</v>
      </c>
      <c r="AF489" s="27" t="s">
        <v>396</v>
      </c>
      <c r="AG489" s="27" t="s">
        <v>396</v>
      </c>
      <c r="AH489" s="27" t="s">
        <v>396</v>
      </c>
      <c r="AI489" s="27" t="s">
        <v>396</v>
      </c>
      <c r="AJ489" s="27" t="s">
        <v>396</v>
      </c>
      <c r="AK489" s="6" t="s">
        <v>395</v>
      </c>
      <c r="AL489" s="17">
        <v>5413218567480</v>
      </c>
      <c r="AM489" s="15" t="s">
        <v>395</v>
      </c>
      <c r="AN489" s="5">
        <v>73269091</v>
      </c>
      <c r="AO489" s="6"/>
      <c r="AP489" s="6"/>
      <c r="AQ489" s="6" t="s">
        <v>1043</v>
      </c>
      <c r="AR489" s="6" t="s">
        <v>1042</v>
      </c>
      <c r="AS489" s="6" t="s">
        <v>1041</v>
      </c>
    </row>
    <row r="490" spans="1:45" s="5" customFormat="1" ht="12.75" customHeight="1">
      <c r="A490" s="32" t="s">
        <v>1040</v>
      </c>
      <c r="B490" s="6" t="s">
        <v>396</v>
      </c>
      <c r="C490" s="31" t="s">
        <v>403</v>
      </c>
      <c r="D490" s="5" t="s">
        <v>1027</v>
      </c>
      <c r="E490" s="5" t="s">
        <v>1026</v>
      </c>
      <c r="F490" s="5" t="s">
        <v>1025</v>
      </c>
      <c r="G490" s="5" t="s">
        <v>1024</v>
      </c>
      <c r="H490" s="27" t="s">
        <v>937</v>
      </c>
      <c r="I490" s="27" t="s">
        <v>937</v>
      </c>
      <c r="J490" s="5" t="s">
        <v>1023</v>
      </c>
      <c r="K490" s="5" t="s">
        <v>1022</v>
      </c>
      <c r="L490" s="27" t="s">
        <v>399</v>
      </c>
      <c r="M490" s="27" t="s">
        <v>396</v>
      </c>
      <c r="N490" s="27" t="s">
        <v>396</v>
      </c>
      <c r="O490" s="27" t="s">
        <v>396</v>
      </c>
      <c r="P490" s="27" t="s">
        <v>934</v>
      </c>
      <c r="Q490" s="27" t="s">
        <v>396</v>
      </c>
      <c r="S490" s="27" t="s">
        <v>396</v>
      </c>
      <c r="T490" s="53">
        <v>1.5</v>
      </c>
      <c r="U490" s="5">
        <v>400</v>
      </c>
      <c r="V490" s="5">
        <v>400</v>
      </c>
      <c r="W490" s="27" t="s">
        <v>396</v>
      </c>
      <c r="X490" s="27" t="s">
        <v>1021</v>
      </c>
      <c r="Y490" s="5" t="s">
        <v>396</v>
      </c>
      <c r="Z490" s="28" t="s">
        <v>396</v>
      </c>
      <c r="AA490" s="27" t="s">
        <v>396</v>
      </c>
      <c r="AB490" s="27" t="s">
        <v>396</v>
      </c>
      <c r="AC490" s="27" t="s">
        <v>396</v>
      </c>
      <c r="AD490" s="27" t="s">
        <v>396</v>
      </c>
      <c r="AE490" s="27" t="s">
        <v>396</v>
      </c>
      <c r="AF490" s="27" t="s">
        <v>396</v>
      </c>
      <c r="AG490" s="27" t="s">
        <v>396</v>
      </c>
      <c r="AH490" s="27" t="s">
        <v>396</v>
      </c>
      <c r="AI490" s="27" t="s">
        <v>396</v>
      </c>
      <c r="AJ490" s="27" t="s">
        <v>396</v>
      </c>
      <c r="AK490" s="6" t="s">
        <v>395</v>
      </c>
      <c r="AL490" s="17">
        <v>5413218567497</v>
      </c>
      <c r="AM490" s="15" t="s">
        <v>395</v>
      </c>
      <c r="AN490" s="5">
        <v>73269091</v>
      </c>
      <c r="AO490" s="6"/>
      <c r="AP490" s="6"/>
      <c r="AQ490" s="6" t="s">
        <v>1039</v>
      </c>
      <c r="AR490" s="6" t="s">
        <v>1038</v>
      </c>
      <c r="AS490" s="6" t="s">
        <v>1037</v>
      </c>
    </row>
    <row r="491" spans="1:45" s="5" customFormat="1" ht="12.75" customHeight="1">
      <c r="A491" s="32" t="s">
        <v>1036</v>
      </c>
      <c r="B491" s="6" t="s">
        <v>396</v>
      </c>
      <c r="C491" s="31" t="s">
        <v>403</v>
      </c>
      <c r="D491" s="5" t="s">
        <v>1027</v>
      </c>
      <c r="E491" s="5" t="s">
        <v>1026</v>
      </c>
      <c r="F491" s="5" t="s">
        <v>1025</v>
      </c>
      <c r="G491" s="5" t="s">
        <v>1024</v>
      </c>
      <c r="H491" s="27" t="s">
        <v>937</v>
      </c>
      <c r="I491" s="27" t="s">
        <v>937</v>
      </c>
      <c r="J491" s="5" t="s">
        <v>1023</v>
      </c>
      <c r="K491" s="5" t="s">
        <v>1022</v>
      </c>
      <c r="L491" s="27" t="s">
        <v>399</v>
      </c>
      <c r="M491" s="27" t="s">
        <v>396</v>
      </c>
      <c r="N491" s="27" t="s">
        <v>396</v>
      </c>
      <c r="O491" s="27" t="s">
        <v>396</v>
      </c>
      <c r="P491" s="27" t="s">
        <v>934</v>
      </c>
      <c r="Q491" s="27" t="s">
        <v>396</v>
      </c>
      <c r="S491" s="27" t="s">
        <v>396</v>
      </c>
      <c r="T491" s="53">
        <v>1.5</v>
      </c>
      <c r="U491" s="5">
        <v>500</v>
      </c>
      <c r="V491" s="5">
        <v>500</v>
      </c>
      <c r="W491" s="27" t="s">
        <v>396</v>
      </c>
      <c r="X491" s="27" t="s">
        <v>1021</v>
      </c>
      <c r="Y491" s="5" t="s">
        <v>396</v>
      </c>
      <c r="Z491" s="28" t="s">
        <v>396</v>
      </c>
      <c r="AA491" s="27" t="s">
        <v>396</v>
      </c>
      <c r="AB491" s="27" t="s">
        <v>396</v>
      </c>
      <c r="AC491" s="27" t="s">
        <v>396</v>
      </c>
      <c r="AD491" s="27" t="s">
        <v>396</v>
      </c>
      <c r="AE491" s="27" t="s">
        <v>396</v>
      </c>
      <c r="AF491" s="27" t="s">
        <v>396</v>
      </c>
      <c r="AG491" s="27" t="s">
        <v>396</v>
      </c>
      <c r="AH491" s="27" t="s">
        <v>396</v>
      </c>
      <c r="AI491" s="27" t="s">
        <v>396</v>
      </c>
      <c r="AJ491" s="27" t="s">
        <v>396</v>
      </c>
      <c r="AK491" s="6" t="s">
        <v>395</v>
      </c>
      <c r="AL491" s="17">
        <v>5413218567503</v>
      </c>
      <c r="AM491" s="15" t="s">
        <v>395</v>
      </c>
      <c r="AN491" s="5">
        <v>73269091</v>
      </c>
      <c r="AO491" s="6"/>
      <c r="AP491" s="6"/>
      <c r="AQ491" s="6" t="s">
        <v>1035</v>
      </c>
      <c r="AR491" s="6" t="s">
        <v>1034</v>
      </c>
      <c r="AS491" s="6" t="s">
        <v>1033</v>
      </c>
    </row>
    <row r="492" spans="1:45" s="5" customFormat="1" ht="12.75" customHeight="1">
      <c r="A492" s="32" t="s">
        <v>1032</v>
      </c>
      <c r="B492" s="6" t="s">
        <v>396</v>
      </c>
      <c r="C492" s="31" t="s">
        <v>403</v>
      </c>
      <c r="D492" s="5" t="s">
        <v>1027</v>
      </c>
      <c r="E492" s="5" t="s">
        <v>1026</v>
      </c>
      <c r="F492" s="5" t="s">
        <v>1025</v>
      </c>
      <c r="G492" s="5" t="s">
        <v>1024</v>
      </c>
      <c r="H492" s="27" t="s">
        <v>937</v>
      </c>
      <c r="I492" s="27" t="s">
        <v>937</v>
      </c>
      <c r="J492" s="5" t="s">
        <v>1023</v>
      </c>
      <c r="K492" s="5" t="s">
        <v>1022</v>
      </c>
      <c r="L492" s="27" t="s">
        <v>399</v>
      </c>
      <c r="M492" s="27" t="s">
        <v>396</v>
      </c>
      <c r="N492" s="27" t="s">
        <v>396</v>
      </c>
      <c r="O492" s="27" t="s">
        <v>396</v>
      </c>
      <c r="P492" s="27" t="s">
        <v>934</v>
      </c>
      <c r="Q492" s="27" t="s">
        <v>396</v>
      </c>
      <c r="S492" s="27" t="s">
        <v>396</v>
      </c>
      <c r="T492" s="53">
        <v>1.5</v>
      </c>
      <c r="U492" s="5">
        <v>600</v>
      </c>
      <c r="V492" s="5">
        <v>600</v>
      </c>
      <c r="W492" s="27" t="s">
        <v>396</v>
      </c>
      <c r="X492" s="27" t="s">
        <v>1021</v>
      </c>
      <c r="Y492" s="5" t="s">
        <v>396</v>
      </c>
      <c r="Z492" s="28" t="s">
        <v>396</v>
      </c>
      <c r="AA492" s="27" t="s">
        <v>396</v>
      </c>
      <c r="AB492" s="27" t="s">
        <v>396</v>
      </c>
      <c r="AC492" s="27" t="s">
        <v>396</v>
      </c>
      <c r="AD492" s="27" t="s">
        <v>396</v>
      </c>
      <c r="AE492" s="27" t="s">
        <v>396</v>
      </c>
      <c r="AF492" s="27" t="s">
        <v>396</v>
      </c>
      <c r="AG492" s="27" t="s">
        <v>396</v>
      </c>
      <c r="AH492" s="27" t="s">
        <v>396</v>
      </c>
      <c r="AI492" s="27" t="s">
        <v>396</v>
      </c>
      <c r="AJ492" s="27" t="s">
        <v>396</v>
      </c>
      <c r="AK492" s="6" t="s">
        <v>395</v>
      </c>
      <c r="AL492" s="17">
        <v>5413218567510</v>
      </c>
      <c r="AM492" s="15" t="s">
        <v>395</v>
      </c>
      <c r="AN492" s="5">
        <v>73269091</v>
      </c>
      <c r="AO492" s="6"/>
      <c r="AP492" s="6"/>
      <c r="AQ492" s="6" t="s">
        <v>1031</v>
      </c>
      <c r="AR492" s="6" t="s">
        <v>1030</v>
      </c>
      <c r="AS492" s="6" t="s">
        <v>1029</v>
      </c>
    </row>
    <row r="493" spans="1:45" s="5" customFormat="1" ht="12.75" customHeight="1">
      <c r="A493" s="32" t="s">
        <v>1028</v>
      </c>
      <c r="B493" s="6" t="s">
        <v>396</v>
      </c>
      <c r="C493" s="31" t="s">
        <v>403</v>
      </c>
      <c r="D493" s="5" t="s">
        <v>1027</v>
      </c>
      <c r="E493" s="5" t="s">
        <v>1026</v>
      </c>
      <c r="F493" s="5" t="s">
        <v>1025</v>
      </c>
      <c r="G493" s="5" t="s">
        <v>1024</v>
      </c>
      <c r="H493" s="27" t="s">
        <v>937</v>
      </c>
      <c r="I493" s="27" t="s">
        <v>937</v>
      </c>
      <c r="J493" s="5" t="s">
        <v>1023</v>
      </c>
      <c r="K493" s="5" t="s">
        <v>1022</v>
      </c>
      <c r="L493" s="27" t="s">
        <v>399</v>
      </c>
      <c r="M493" s="27" t="s">
        <v>396</v>
      </c>
      <c r="N493" s="27" t="s">
        <v>396</v>
      </c>
      <c r="O493" s="27" t="s">
        <v>396</v>
      </c>
      <c r="P493" s="27" t="s">
        <v>934</v>
      </c>
      <c r="Q493" s="27" t="s">
        <v>396</v>
      </c>
      <c r="S493" s="27" t="s">
        <v>396</v>
      </c>
      <c r="T493" s="53">
        <v>1.5</v>
      </c>
      <c r="U493" s="5">
        <v>600</v>
      </c>
      <c r="V493" s="5">
        <v>800</v>
      </c>
      <c r="W493" s="27" t="s">
        <v>396</v>
      </c>
      <c r="X493" s="27" t="s">
        <v>1021</v>
      </c>
      <c r="Y493" s="5" t="s">
        <v>396</v>
      </c>
      <c r="Z493" s="28" t="s">
        <v>396</v>
      </c>
      <c r="AA493" s="27" t="s">
        <v>396</v>
      </c>
      <c r="AB493" s="27" t="s">
        <v>396</v>
      </c>
      <c r="AC493" s="27" t="s">
        <v>396</v>
      </c>
      <c r="AD493" s="27" t="s">
        <v>396</v>
      </c>
      <c r="AE493" s="27" t="s">
        <v>396</v>
      </c>
      <c r="AF493" s="27" t="s">
        <v>396</v>
      </c>
      <c r="AG493" s="27" t="s">
        <v>396</v>
      </c>
      <c r="AH493" s="27" t="s">
        <v>396</v>
      </c>
      <c r="AI493" s="27" t="s">
        <v>396</v>
      </c>
      <c r="AJ493" s="27" t="s">
        <v>396</v>
      </c>
      <c r="AK493" s="6" t="s">
        <v>395</v>
      </c>
      <c r="AL493" s="17">
        <v>5413218567527</v>
      </c>
      <c r="AM493" s="15" t="s">
        <v>395</v>
      </c>
      <c r="AN493" s="5">
        <v>73269091</v>
      </c>
      <c r="AO493" s="6"/>
      <c r="AP493" s="6"/>
      <c r="AQ493" s="6" t="s">
        <v>1020</v>
      </c>
      <c r="AR493" s="6" t="s">
        <v>1019</v>
      </c>
      <c r="AS493" s="6" t="s">
        <v>1018</v>
      </c>
    </row>
    <row r="494" spans="1:45" s="5" customFormat="1" ht="12.75" customHeight="1">
      <c r="A494" s="32" t="s">
        <v>1017</v>
      </c>
      <c r="B494" s="6" t="s">
        <v>396</v>
      </c>
      <c r="C494" s="31" t="s">
        <v>403</v>
      </c>
      <c r="D494" s="5" t="s">
        <v>993</v>
      </c>
      <c r="E494" s="5" t="s">
        <v>992</v>
      </c>
      <c r="F494" s="5" t="s">
        <v>991</v>
      </c>
      <c r="G494" s="5" t="s">
        <v>990</v>
      </c>
      <c r="H494" s="27" t="s">
        <v>937</v>
      </c>
      <c r="I494" s="27" t="s">
        <v>937</v>
      </c>
      <c r="J494" s="5" t="s">
        <v>989</v>
      </c>
      <c r="K494" s="5" t="s">
        <v>988</v>
      </c>
      <c r="L494" s="27" t="s">
        <v>399</v>
      </c>
      <c r="M494" s="27" t="s">
        <v>396</v>
      </c>
      <c r="N494" s="27" t="s">
        <v>396</v>
      </c>
      <c r="O494" s="27" t="s">
        <v>396</v>
      </c>
      <c r="P494" s="27" t="s">
        <v>987</v>
      </c>
      <c r="Q494" s="27" t="s">
        <v>396</v>
      </c>
      <c r="S494" s="27" t="s">
        <v>396</v>
      </c>
      <c r="T494" s="53">
        <v>1.5</v>
      </c>
      <c r="U494" s="5">
        <v>200</v>
      </c>
      <c r="V494" s="5">
        <v>200</v>
      </c>
      <c r="W494" s="27" t="s">
        <v>396</v>
      </c>
      <c r="X494" s="27">
        <v>15</v>
      </c>
      <c r="Y494" s="5" t="s">
        <v>396</v>
      </c>
      <c r="Z494" s="28" t="s">
        <v>396</v>
      </c>
      <c r="AA494" s="27" t="s">
        <v>396</v>
      </c>
      <c r="AB494" s="27" t="s">
        <v>396</v>
      </c>
      <c r="AC494" s="27" t="s">
        <v>396</v>
      </c>
      <c r="AD494" s="27" t="s">
        <v>396</v>
      </c>
      <c r="AE494" s="27" t="s">
        <v>396</v>
      </c>
      <c r="AF494" s="27" t="s">
        <v>396</v>
      </c>
      <c r="AG494" s="27" t="s">
        <v>396</v>
      </c>
      <c r="AH494" s="27" t="s">
        <v>396</v>
      </c>
      <c r="AI494" s="27" t="s">
        <v>396</v>
      </c>
      <c r="AJ494" s="27" t="s">
        <v>396</v>
      </c>
      <c r="AK494" s="6" t="s">
        <v>395</v>
      </c>
      <c r="AL494" s="17">
        <v>5413218567596</v>
      </c>
      <c r="AM494" s="15" t="s">
        <v>395</v>
      </c>
      <c r="AN494" s="5">
        <v>73269060</v>
      </c>
      <c r="AO494" s="6"/>
      <c r="AP494" s="6"/>
      <c r="AQ494" s="6" t="s">
        <v>1016</v>
      </c>
      <c r="AR494" s="6" t="s">
        <v>1015</v>
      </c>
      <c r="AS494" s="6" t="s">
        <v>1014</v>
      </c>
    </row>
    <row r="495" spans="1:45" s="5" customFormat="1" ht="12.75" customHeight="1">
      <c r="A495" s="32" t="s">
        <v>1013</v>
      </c>
      <c r="B495" s="6" t="s">
        <v>396</v>
      </c>
      <c r="C495" s="31" t="s">
        <v>403</v>
      </c>
      <c r="D495" s="5" t="s">
        <v>993</v>
      </c>
      <c r="E495" s="5" t="s">
        <v>992</v>
      </c>
      <c r="F495" s="5" t="s">
        <v>991</v>
      </c>
      <c r="G495" s="5" t="s">
        <v>990</v>
      </c>
      <c r="H495" s="27" t="s">
        <v>937</v>
      </c>
      <c r="I495" s="27" t="s">
        <v>937</v>
      </c>
      <c r="J495" s="5" t="s">
        <v>989</v>
      </c>
      <c r="K495" s="5" t="s">
        <v>988</v>
      </c>
      <c r="L495" s="27" t="s">
        <v>399</v>
      </c>
      <c r="M495" s="27" t="s">
        <v>396</v>
      </c>
      <c r="N495" s="27" t="s">
        <v>396</v>
      </c>
      <c r="O495" s="27" t="s">
        <v>396</v>
      </c>
      <c r="P495" s="27" t="s">
        <v>987</v>
      </c>
      <c r="Q495" s="27" t="s">
        <v>396</v>
      </c>
      <c r="S495" s="27" t="s">
        <v>396</v>
      </c>
      <c r="T495" s="53">
        <v>1.5</v>
      </c>
      <c r="U495" s="5">
        <v>300</v>
      </c>
      <c r="V495" s="5">
        <v>300</v>
      </c>
      <c r="W495" s="27" t="s">
        <v>396</v>
      </c>
      <c r="X495" s="27">
        <v>15</v>
      </c>
      <c r="Y495" s="5" t="s">
        <v>396</v>
      </c>
      <c r="Z495" s="28" t="s">
        <v>396</v>
      </c>
      <c r="AA495" s="27" t="s">
        <v>396</v>
      </c>
      <c r="AB495" s="27" t="s">
        <v>396</v>
      </c>
      <c r="AC495" s="27" t="s">
        <v>396</v>
      </c>
      <c r="AD495" s="27" t="s">
        <v>396</v>
      </c>
      <c r="AE495" s="27" t="s">
        <v>396</v>
      </c>
      <c r="AF495" s="27" t="s">
        <v>396</v>
      </c>
      <c r="AG495" s="27" t="s">
        <v>396</v>
      </c>
      <c r="AH495" s="27" t="s">
        <v>396</v>
      </c>
      <c r="AI495" s="27" t="s">
        <v>396</v>
      </c>
      <c r="AJ495" s="27" t="s">
        <v>396</v>
      </c>
      <c r="AK495" s="6" t="s">
        <v>395</v>
      </c>
      <c r="AL495" s="17">
        <v>5413218565844</v>
      </c>
      <c r="AM495" s="15" t="s">
        <v>395</v>
      </c>
      <c r="AN495" s="5">
        <v>73269060</v>
      </c>
      <c r="AO495" s="6"/>
      <c r="AP495" s="6"/>
      <c r="AQ495" s="6" t="s">
        <v>1012</v>
      </c>
      <c r="AR495" s="6" t="s">
        <v>1011</v>
      </c>
      <c r="AS495" s="6" t="s">
        <v>1010</v>
      </c>
    </row>
    <row r="496" spans="1:45" s="5" customFormat="1" ht="12.75" customHeight="1">
      <c r="A496" s="32" t="s">
        <v>1009</v>
      </c>
      <c r="B496" s="6" t="s">
        <v>396</v>
      </c>
      <c r="C496" s="31" t="s">
        <v>403</v>
      </c>
      <c r="D496" s="5" t="s">
        <v>993</v>
      </c>
      <c r="E496" s="5" t="s">
        <v>992</v>
      </c>
      <c r="F496" s="5" t="s">
        <v>991</v>
      </c>
      <c r="G496" s="5" t="s">
        <v>990</v>
      </c>
      <c r="H496" s="27" t="s">
        <v>937</v>
      </c>
      <c r="I496" s="27" t="s">
        <v>937</v>
      </c>
      <c r="J496" s="5" t="s">
        <v>989</v>
      </c>
      <c r="K496" s="5" t="s">
        <v>988</v>
      </c>
      <c r="L496" s="27" t="s">
        <v>399</v>
      </c>
      <c r="M496" s="27" t="s">
        <v>396</v>
      </c>
      <c r="N496" s="27" t="s">
        <v>396</v>
      </c>
      <c r="O496" s="27" t="s">
        <v>396</v>
      </c>
      <c r="P496" s="27" t="s">
        <v>987</v>
      </c>
      <c r="Q496" s="27" t="s">
        <v>396</v>
      </c>
      <c r="S496" s="27" t="s">
        <v>396</v>
      </c>
      <c r="T496" s="53">
        <v>1.5</v>
      </c>
      <c r="U496" s="5">
        <v>400</v>
      </c>
      <c r="V496" s="5">
        <v>400</v>
      </c>
      <c r="W496" s="27" t="s">
        <v>396</v>
      </c>
      <c r="X496" s="27">
        <v>15</v>
      </c>
      <c r="Y496" s="5" t="s">
        <v>396</v>
      </c>
      <c r="Z496" s="28" t="s">
        <v>396</v>
      </c>
      <c r="AA496" s="27" t="s">
        <v>396</v>
      </c>
      <c r="AB496" s="27" t="s">
        <v>396</v>
      </c>
      <c r="AC496" s="27" t="s">
        <v>396</v>
      </c>
      <c r="AD496" s="27" t="s">
        <v>396</v>
      </c>
      <c r="AE496" s="27" t="s">
        <v>396</v>
      </c>
      <c r="AF496" s="27" t="s">
        <v>396</v>
      </c>
      <c r="AG496" s="27" t="s">
        <v>396</v>
      </c>
      <c r="AH496" s="27" t="s">
        <v>396</v>
      </c>
      <c r="AI496" s="27" t="s">
        <v>396</v>
      </c>
      <c r="AJ496" s="27" t="s">
        <v>396</v>
      </c>
      <c r="AK496" s="6" t="s">
        <v>395</v>
      </c>
      <c r="AL496" s="17">
        <v>5413218567602</v>
      </c>
      <c r="AM496" s="15" t="s">
        <v>395</v>
      </c>
      <c r="AN496" s="5">
        <v>73269060</v>
      </c>
      <c r="AO496" s="6"/>
      <c r="AP496" s="6"/>
      <c r="AQ496" s="6" t="s">
        <v>1008</v>
      </c>
      <c r="AR496" s="6" t="s">
        <v>1007</v>
      </c>
      <c r="AS496" s="6" t="s">
        <v>1006</v>
      </c>
    </row>
    <row r="497" spans="1:46" s="5" customFormat="1" ht="12.75" customHeight="1">
      <c r="A497" s="32" t="s">
        <v>1005</v>
      </c>
      <c r="B497" s="6" t="s">
        <v>396</v>
      </c>
      <c r="C497" s="31" t="s">
        <v>403</v>
      </c>
      <c r="D497" s="5" t="s">
        <v>993</v>
      </c>
      <c r="E497" s="5" t="s">
        <v>992</v>
      </c>
      <c r="F497" s="5" t="s">
        <v>991</v>
      </c>
      <c r="G497" s="5" t="s">
        <v>990</v>
      </c>
      <c r="H497" s="27" t="s">
        <v>937</v>
      </c>
      <c r="I497" s="27" t="s">
        <v>937</v>
      </c>
      <c r="J497" s="5" t="s">
        <v>989</v>
      </c>
      <c r="K497" s="5" t="s">
        <v>988</v>
      </c>
      <c r="L497" s="27" t="s">
        <v>399</v>
      </c>
      <c r="M497" s="27" t="s">
        <v>396</v>
      </c>
      <c r="N497" s="27" t="s">
        <v>396</v>
      </c>
      <c r="O497" s="27" t="s">
        <v>396</v>
      </c>
      <c r="P497" s="27" t="s">
        <v>987</v>
      </c>
      <c r="Q497" s="27" t="s">
        <v>396</v>
      </c>
      <c r="S497" s="27" t="s">
        <v>396</v>
      </c>
      <c r="T497" s="53">
        <v>1.5</v>
      </c>
      <c r="U497" s="5">
        <v>500</v>
      </c>
      <c r="V497" s="5">
        <v>500</v>
      </c>
      <c r="W497" s="27" t="s">
        <v>396</v>
      </c>
      <c r="X497" s="27">
        <v>15</v>
      </c>
      <c r="Y497" s="5" t="s">
        <v>396</v>
      </c>
      <c r="Z497" s="28" t="s">
        <v>396</v>
      </c>
      <c r="AA497" s="27" t="s">
        <v>396</v>
      </c>
      <c r="AB497" s="27" t="s">
        <v>396</v>
      </c>
      <c r="AC497" s="27" t="s">
        <v>396</v>
      </c>
      <c r="AD497" s="27" t="s">
        <v>396</v>
      </c>
      <c r="AE497" s="27" t="s">
        <v>396</v>
      </c>
      <c r="AF497" s="27" t="s">
        <v>396</v>
      </c>
      <c r="AG497" s="27" t="s">
        <v>396</v>
      </c>
      <c r="AH497" s="27" t="s">
        <v>396</v>
      </c>
      <c r="AI497" s="27" t="s">
        <v>396</v>
      </c>
      <c r="AJ497" s="27" t="s">
        <v>396</v>
      </c>
      <c r="AK497" s="6" t="s">
        <v>395</v>
      </c>
      <c r="AL497" s="17">
        <v>5413218565868</v>
      </c>
      <c r="AM497" s="15" t="s">
        <v>395</v>
      </c>
      <c r="AN497" s="5">
        <v>73269060</v>
      </c>
      <c r="AO497" s="6"/>
      <c r="AP497" s="6"/>
      <c r="AQ497" s="6" t="s">
        <v>1004</v>
      </c>
      <c r="AR497" s="6" t="s">
        <v>1003</v>
      </c>
      <c r="AS497" s="6" t="s">
        <v>1002</v>
      </c>
    </row>
    <row r="498" spans="1:46" s="5" customFormat="1" ht="12.75" customHeight="1">
      <c r="A498" s="32" t="s">
        <v>1001</v>
      </c>
      <c r="B498" s="6" t="s">
        <v>396</v>
      </c>
      <c r="C498" s="31" t="s">
        <v>403</v>
      </c>
      <c r="D498" s="5" t="s">
        <v>993</v>
      </c>
      <c r="E498" s="5" t="s">
        <v>992</v>
      </c>
      <c r="F498" s="5" t="s">
        <v>991</v>
      </c>
      <c r="G498" s="5" t="s">
        <v>990</v>
      </c>
      <c r="H498" s="27" t="s">
        <v>937</v>
      </c>
      <c r="I498" s="27" t="s">
        <v>937</v>
      </c>
      <c r="J498" s="5" t="s">
        <v>989</v>
      </c>
      <c r="K498" s="5" t="s">
        <v>988</v>
      </c>
      <c r="L498" s="27" t="s">
        <v>399</v>
      </c>
      <c r="M498" s="27" t="s">
        <v>396</v>
      </c>
      <c r="N498" s="27" t="s">
        <v>396</v>
      </c>
      <c r="O498" s="27" t="s">
        <v>396</v>
      </c>
      <c r="P498" s="27" t="s">
        <v>987</v>
      </c>
      <c r="Q498" s="27" t="s">
        <v>396</v>
      </c>
      <c r="S498" s="27" t="s">
        <v>396</v>
      </c>
      <c r="T498" s="53">
        <v>1.5</v>
      </c>
      <c r="U498" s="5">
        <v>600</v>
      </c>
      <c r="V498" s="5">
        <v>600</v>
      </c>
      <c r="W498" s="27" t="s">
        <v>396</v>
      </c>
      <c r="X498" s="27">
        <v>15</v>
      </c>
      <c r="Y498" s="5" t="s">
        <v>396</v>
      </c>
      <c r="Z498" s="28" t="s">
        <v>396</v>
      </c>
      <c r="AA498" s="27" t="s">
        <v>396</v>
      </c>
      <c r="AB498" s="27" t="s">
        <v>396</v>
      </c>
      <c r="AC498" s="27" t="s">
        <v>396</v>
      </c>
      <c r="AD498" s="27" t="s">
        <v>396</v>
      </c>
      <c r="AE498" s="27" t="s">
        <v>396</v>
      </c>
      <c r="AF498" s="27" t="s">
        <v>396</v>
      </c>
      <c r="AG498" s="27" t="s">
        <v>396</v>
      </c>
      <c r="AH498" s="27" t="s">
        <v>396</v>
      </c>
      <c r="AI498" s="27" t="s">
        <v>396</v>
      </c>
      <c r="AJ498" s="27" t="s">
        <v>396</v>
      </c>
      <c r="AK498" s="6" t="s">
        <v>395</v>
      </c>
      <c r="AL498" s="17">
        <v>5413218565851</v>
      </c>
      <c r="AM498" s="15" t="s">
        <v>395</v>
      </c>
      <c r="AN498" s="5">
        <v>73269060</v>
      </c>
      <c r="AO498" s="6"/>
      <c r="AP498" s="6"/>
      <c r="AQ498" s="6" t="s">
        <v>1000</v>
      </c>
      <c r="AR498" s="6" t="s">
        <v>999</v>
      </c>
      <c r="AS498" s="6" t="s">
        <v>998</v>
      </c>
    </row>
    <row r="499" spans="1:46" s="5" customFormat="1" ht="12.75" customHeight="1">
      <c r="A499" s="32" t="s">
        <v>997</v>
      </c>
      <c r="B499" s="6" t="s">
        <v>396</v>
      </c>
      <c r="C499" s="31" t="s">
        <v>403</v>
      </c>
      <c r="D499" s="5" t="s">
        <v>993</v>
      </c>
      <c r="E499" s="5" t="s">
        <v>992</v>
      </c>
      <c r="F499" s="5" t="s">
        <v>991</v>
      </c>
      <c r="G499" s="5" t="s">
        <v>990</v>
      </c>
      <c r="H499" s="27" t="s">
        <v>937</v>
      </c>
      <c r="I499" s="27" t="s">
        <v>937</v>
      </c>
      <c r="J499" s="5" t="s">
        <v>989</v>
      </c>
      <c r="K499" s="5" t="s">
        <v>988</v>
      </c>
      <c r="L499" s="27" t="s">
        <v>399</v>
      </c>
      <c r="M499" s="27" t="s">
        <v>396</v>
      </c>
      <c r="N499" s="27" t="s">
        <v>396</v>
      </c>
      <c r="O499" s="27" t="s">
        <v>396</v>
      </c>
      <c r="P499" s="27" t="s">
        <v>987</v>
      </c>
      <c r="Q499" s="27" t="s">
        <v>396</v>
      </c>
      <c r="S499" s="27" t="s">
        <v>396</v>
      </c>
      <c r="T499" s="53">
        <v>1.5</v>
      </c>
      <c r="U499" s="5">
        <v>600</v>
      </c>
      <c r="V499" s="5">
        <v>800</v>
      </c>
      <c r="W499" s="27" t="s">
        <v>396</v>
      </c>
      <c r="X499" s="27">
        <v>15</v>
      </c>
      <c r="Y499" s="5" t="s">
        <v>396</v>
      </c>
      <c r="Z499" s="28" t="s">
        <v>396</v>
      </c>
      <c r="AA499" s="27" t="s">
        <v>396</v>
      </c>
      <c r="AB499" s="27" t="s">
        <v>396</v>
      </c>
      <c r="AC499" s="27" t="s">
        <v>396</v>
      </c>
      <c r="AD499" s="27" t="s">
        <v>396</v>
      </c>
      <c r="AE499" s="27" t="s">
        <v>396</v>
      </c>
      <c r="AF499" s="27" t="s">
        <v>396</v>
      </c>
      <c r="AG499" s="27" t="s">
        <v>396</v>
      </c>
      <c r="AH499" s="27" t="s">
        <v>396</v>
      </c>
      <c r="AI499" s="27" t="s">
        <v>396</v>
      </c>
      <c r="AJ499" s="27" t="s">
        <v>396</v>
      </c>
      <c r="AK499" s="6" t="s">
        <v>395</v>
      </c>
      <c r="AL499" s="17">
        <v>5413218567619</v>
      </c>
      <c r="AM499" s="15" t="s">
        <v>395</v>
      </c>
      <c r="AN499" s="5">
        <v>73269091</v>
      </c>
      <c r="AO499" s="6"/>
      <c r="AP499" s="6"/>
      <c r="AQ499" s="6" t="s">
        <v>996</v>
      </c>
      <c r="AR499" s="6" t="s">
        <v>995</v>
      </c>
      <c r="AS499" s="6" t="s">
        <v>986</v>
      </c>
    </row>
    <row r="500" spans="1:46" s="16" customFormat="1" ht="12.75" customHeight="1">
      <c r="A500" s="46" t="s">
        <v>994</v>
      </c>
      <c r="B500" s="6" t="s">
        <v>396</v>
      </c>
      <c r="C500" s="18" t="s">
        <v>403</v>
      </c>
      <c r="D500" s="16" t="s">
        <v>993</v>
      </c>
      <c r="E500" s="16" t="s">
        <v>992</v>
      </c>
      <c r="F500" s="16" t="s">
        <v>991</v>
      </c>
      <c r="G500" s="16" t="s">
        <v>990</v>
      </c>
      <c r="H500" s="27" t="s">
        <v>937</v>
      </c>
      <c r="I500" s="27" t="s">
        <v>937</v>
      </c>
      <c r="J500" s="16" t="s">
        <v>989</v>
      </c>
      <c r="K500" s="16" t="s">
        <v>988</v>
      </c>
      <c r="L500" s="19" t="s">
        <v>399</v>
      </c>
      <c r="M500" s="19" t="s">
        <v>396</v>
      </c>
      <c r="N500" s="19" t="s">
        <v>396</v>
      </c>
      <c r="O500" s="19" t="s">
        <v>396</v>
      </c>
      <c r="P500" s="27" t="s">
        <v>987</v>
      </c>
      <c r="Q500" s="19" t="s">
        <v>396</v>
      </c>
      <c r="R500" s="5"/>
      <c r="S500" s="27" t="s">
        <v>396</v>
      </c>
      <c r="T500" s="53">
        <v>1.5</v>
      </c>
      <c r="U500" s="5">
        <v>800</v>
      </c>
      <c r="V500" s="5">
        <v>800</v>
      </c>
      <c r="W500" s="27" t="s">
        <v>396</v>
      </c>
      <c r="X500" s="27">
        <v>15</v>
      </c>
      <c r="Y500" s="5" t="s">
        <v>396</v>
      </c>
      <c r="Z500" s="28" t="s">
        <v>396</v>
      </c>
      <c r="AA500" s="27" t="s">
        <v>396</v>
      </c>
      <c r="AB500" s="27" t="s">
        <v>396</v>
      </c>
      <c r="AC500" s="27" t="s">
        <v>396</v>
      </c>
      <c r="AD500" s="27" t="s">
        <v>396</v>
      </c>
      <c r="AE500" s="27" t="s">
        <v>396</v>
      </c>
      <c r="AF500" s="27" t="s">
        <v>396</v>
      </c>
      <c r="AG500" s="27" t="s">
        <v>396</v>
      </c>
      <c r="AH500" s="27" t="s">
        <v>396</v>
      </c>
      <c r="AI500" s="27" t="s">
        <v>396</v>
      </c>
      <c r="AJ500" s="27" t="s">
        <v>396</v>
      </c>
      <c r="AK500" s="6" t="s">
        <v>395</v>
      </c>
      <c r="AL500" s="17">
        <v>5413218567619</v>
      </c>
      <c r="AM500" s="15" t="s">
        <v>395</v>
      </c>
      <c r="AN500" s="5">
        <v>73269091</v>
      </c>
      <c r="AO500" s="16" t="s">
        <v>396</v>
      </c>
      <c r="AP500" s="16" t="s">
        <v>396</v>
      </c>
      <c r="AR500" s="16" t="s">
        <v>366</v>
      </c>
      <c r="AT500" s="18" t="s">
        <v>986</v>
      </c>
    </row>
    <row r="501" spans="1:46" s="5" customFormat="1" ht="12.75" customHeight="1">
      <c r="A501" s="32" t="s">
        <v>985</v>
      </c>
      <c r="B501" s="6" t="s">
        <v>396</v>
      </c>
      <c r="C501" s="31" t="s">
        <v>403</v>
      </c>
      <c r="D501" s="5" t="s">
        <v>968</v>
      </c>
      <c r="E501" s="5" t="s">
        <v>967</v>
      </c>
      <c r="F501" s="5" t="s">
        <v>966</v>
      </c>
      <c r="G501" s="5" t="s">
        <v>965</v>
      </c>
      <c r="H501" s="27" t="s">
        <v>937</v>
      </c>
      <c r="I501" s="27" t="s">
        <v>937</v>
      </c>
      <c r="J501" s="5" t="s">
        <v>964</v>
      </c>
      <c r="K501" s="5" t="s">
        <v>963</v>
      </c>
      <c r="L501" s="27" t="s">
        <v>399</v>
      </c>
      <c r="M501" s="27" t="s">
        <v>396</v>
      </c>
      <c r="N501" s="27" t="s">
        <v>396</v>
      </c>
      <c r="O501" s="27" t="s">
        <v>396</v>
      </c>
      <c r="P501" s="27" t="s">
        <v>962</v>
      </c>
      <c r="Q501" s="27" t="s">
        <v>396</v>
      </c>
      <c r="S501" s="27" t="s">
        <v>396</v>
      </c>
      <c r="T501" s="53">
        <v>1.5</v>
      </c>
      <c r="U501" s="5">
        <v>400</v>
      </c>
      <c r="V501" s="5">
        <v>400</v>
      </c>
      <c r="W501" s="27" t="s">
        <v>396</v>
      </c>
      <c r="X501" s="27">
        <v>18</v>
      </c>
      <c r="Y501" s="5" t="s">
        <v>396</v>
      </c>
      <c r="Z501" s="28" t="s">
        <v>396</v>
      </c>
      <c r="AA501" s="27" t="s">
        <v>396</v>
      </c>
      <c r="AB501" s="27" t="s">
        <v>396</v>
      </c>
      <c r="AC501" s="27" t="s">
        <v>396</v>
      </c>
      <c r="AD501" s="27" t="s">
        <v>396</v>
      </c>
      <c r="AE501" s="27" t="s">
        <v>396</v>
      </c>
      <c r="AF501" s="27" t="s">
        <v>396</v>
      </c>
      <c r="AG501" s="27" t="s">
        <v>396</v>
      </c>
      <c r="AH501" s="27" t="s">
        <v>396</v>
      </c>
      <c r="AI501" s="27" t="s">
        <v>396</v>
      </c>
      <c r="AJ501" s="27" t="s">
        <v>396</v>
      </c>
      <c r="AK501" s="6" t="s">
        <v>395</v>
      </c>
      <c r="AL501" s="17">
        <v>5413218567626</v>
      </c>
      <c r="AM501" s="15" t="s">
        <v>395</v>
      </c>
      <c r="AN501" s="5">
        <v>73269060</v>
      </c>
      <c r="AO501" s="6"/>
      <c r="AP501" s="6"/>
      <c r="AQ501" s="6" t="s">
        <v>984</v>
      </c>
      <c r="AR501" s="6" t="s">
        <v>983</v>
      </c>
      <c r="AS501" s="6" t="s">
        <v>982</v>
      </c>
    </row>
    <row r="502" spans="1:46" s="5" customFormat="1" ht="12.75" customHeight="1">
      <c r="A502" s="32" t="s">
        <v>981</v>
      </c>
      <c r="B502" s="6" t="s">
        <v>396</v>
      </c>
      <c r="C502" s="31" t="s">
        <v>403</v>
      </c>
      <c r="D502" s="5" t="s">
        <v>968</v>
      </c>
      <c r="E502" s="5" t="s">
        <v>967</v>
      </c>
      <c r="F502" s="5" t="s">
        <v>966</v>
      </c>
      <c r="G502" s="5" t="s">
        <v>965</v>
      </c>
      <c r="H502" s="27" t="s">
        <v>937</v>
      </c>
      <c r="I502" s="27" t="s">
        <v>937</v>
      </c>
      <c r="J502" s="5" t="s">
        <v>964</v>
      </c>
      <c r="K502" s="5" t="s">
        <v>963</v>
      </c>
      <c r="L502" s="27" t="s">
        <v>399</v>
      </c>
      <c r="M502" s="27" t="s">
        <v>396</v>
      </c>
      <c r="N502" s="27" t="s">
        <v>396</v>
      </c>
      <c r="O502" s="27" t="s">
        <v>396</v>
      </c>
      <c r="P502" s="27" t="s">
        <v>962</v>
      </c>
      <c r="Q502" s="27" t="s">
        <v>396</v>
      </c>
      <c r="S502" s="27" t="s">
        <v>396</v>
      </c>
      <c r="T502" s="53">
        <v>1.5</v>
      </c>
      <c r="U502" s="5">
        <v>500</v>
      </c>
      <c r="V502" s="5">
        <v>500</v>
      </c>
      <c r="W502" s="27" t="s">
        <v>396</v>
      </c>
      <c r="X502" s="27">
        <v>18</v>
      </c>
      <c r="Y502" s="5" t="s">
        <v>396</v>
      </c>
      <c r="Z502" s="28" t="s">
        <v>396</v>
      </c>
      <c r="AA502" s="27" t="s">
        <v>396</v>
      </c>
      <c r="AB502" s="27" t="s">
        <v>396</v>
      </c>
      <c r="AC502" s="27" t="s">
        <v>396</v>
      </c>
      <c r="AD502" s="27" t="s">
        <v>396</v>
      </c>
      <c r="AE502" s="27" t="s">
        <v>396</v>
      </c>
      <c r="AF502" s="27" t="s">
        <v>396</v>
      </c>
      <c r="AG502" s="27" t="s">
        <v>396</v>
      </c>
      <c r="AH502" s="27" t="s">
        <v>396</v>
      </c>
      <c r="AI502" s="27" t="s">
        <v>396</v>
      </c>
      <c r="AJ502" s="27" t="s">
        <v>396</v>
      </c>
      <c r="AK502" s="6" t="s">
        <v>395</v>
      </c>
      <c r="AL502" s="17">
        <v>5413218567633</v>
      </c>
      <c r="AM502" s="15" t="s">
        <v>395</v>
      </c>
      <c r="AN502" s="5">
        <v>76109090</v>
      </c>
      <c r="AO502" s="6"/>
      <c r="AP502" s="6"/>
      <c r="AQ502" s="6" t="s">
        <v>980</v>
      </c>
      <c r="AR502" s="6" t="s">
        <v>979</v>
      </c>
      <c r="AS502" s="6" t="s">
        <v>978</v>
      </c>
    </row>
    <row r="503" spans="1:46" s="5" customFormat="1" ht="12.75" customHeight="1">
      <c r="A503" s="32" t="s">
        <v>977</v>
      </c>
      <c r="B503" s="6" t="s">
        <v>396</v>
      </c>
      <c r="C503" s="31" t="s">
        <v>403</v>
      </c>
      <c r="D503" s="5" t="s">
        <v>968</v>
      </c>
      <c r="E503" s="5" t="s">
        <v>967</v>
      </c>
      <c r="F503" s="5" t="s">
        <v>966</v>
      </c>
      <c r="G503" s="5" t="s">
        <v>965</v>
      </c>
      <c r="H503" s="27" t="s">
        <v>937</v>
      </c>
      <c r="I503" s="27" t="s">
        <v>937</v>
      </c>
      <c r="J503" s="5" t="s">
        <v>964</v>
      </c>
      <c r="K503" s="5" t="s">
        <v>963</v>
      </c>
      <c r="L503" s="27" t="s">
        <v>399</v>
      </c>
      <c r="M503" s="27" t="s">
        <v>396</v>
      </c>
      <c r="N503" s="27" t="s">
        <v>396</v>
      </c>
      <c r="O503" s="27" t="s">
        <v>396</v>
      </c>
      <c r="P503" s="27" t="s">
        <v>962</v>
      </c>
      <c r="Q503" s="27" t="s">
        <v>396</v>
      </c>
      <c r="S503" s="27" t="s">
        <v>396</v>
      </c>
      <c r="T503" s="53">
        <v>1.5</v>
      </c>
      <c r="U503" s="5">
        <v>600</v>
      </c>
      <c r="V503" s="5">
        <v>600</v>
      </c>
      <c r="W503" s="27" t="s">
        <v>396</v>
      </c>
      <c r="X503" s="27">
        <v>18</v>
      </c>
      <c r="Y503" s="5" t="s">
        <v>396</v>
      </c>
      <c r="Z503" s="28" t="s">
        <v>396</v>
      </c>
      <c r="AA503" s="27" t="s">
        <v>396</v>
      </c>
      <c r="AB503" s="27" t="s">
        <v>396</v>
      </c>
      <c r="AC503" s="27" t="s">
        <v>396</v>
      </c>
      <c r="AD503" s="27" t="s">
        <v>396</v>
      </c>
      <c r="AE503" s="27" t="s">
        <v>396</v>
      </c>
      <c r="AF503" s="27" t="s">
        <v>396</v>
      </c>
      <c r="AG503" s="27" t="s">
        <v>396</v>
      </c>
      <c r="AH503" s="27" t="s">
        <v>396</v>
      </c>
      <c r="AI503" s="27" t="s">
        <v>396</v>
      </c>
      <c r="AJ503" s="27" t="s">
        <v>396</v>
      </c>
      <c r="AK503" s="6" t="s">
        <v>395</v>
      </c>
      <c r="AL503" s="17">
        <v>5413218567640</v>
      </c>
      <c r="AM503" s="15" t="s">
        <v>395</v>
      </c>
      <c r="AN503" s="5">
        <v>73269060</v>
      </c>
      <c r="AO503" s="6"/>
      <c r="AP503" s="6"/>
      <c r="AQ503" s="6" t="s">
        <v>976</v>
      </c>
      <c r="AR503" s="6" t="s">
        <v>975</v>
      </c>
      <c r="AS503" s="6" t="s">
        <v>974</v>
      </c>
    </row>
    <row r="504" spans="1:46" s="5" customFormat="1" ht="12.75" customHeight="1">
      <c r="A504" s="32" t="s">
        <v>973</v>
      </c>
      <c r="B504" s="6" t="s">
        <v>396</v>
      </c>
      <c r="C504" s="31" t="s">
        <v>403</v>
      </c>
      <c r="D504" s="5" t="s">
        <v>968</v>
      </c>
      <c r="E504" s="5" t="s">
        <v>967</v>
      </c>
      <c r="F504" s="5" t="s">
        <v>966</v>
      </c>
      <c r="G504" s="5" t="s">
        <v>965</v>
      </c>
      <c r="H504" s="27" t="s">
        <v>937</v>
      </c>
      <c r="I504" s="27" t="s">
        <v>937</v>
      </c>
      <c r="J504" s="5" t="s">
        <v>964</v>
      </c>
      <c r="K504" s="5" t="s">
        <v>963</v>
      </c>
      <c r="L504" s="27" t="s">
        <v>399</v>
      </c>
      <c r="M504" s="27" t="s">
        <v>396</v>
      </c>
      <c r="N504" s="27" t="s">
        <v>396</v>
      </c>
      <c r="O504" s="27" t="s">
        <v>396</v>
      </c>
      <c r="P504" s="27" t="s">
        <v>962</v>
      </c>
      <c r="Q504" s="27" t="s">
        <v>396</v>
      </c>
      <c r="S504" s="27" t="s">
        <v>396</v>
      </c>
      <c r="T504" s="53">
        <v>1.5</v>
      </c>
      <c r="U504" s="5">
        <v>600</v>
      </c>
      <c r="V504" s="5">
        <v>800</v>
      </c>
      <c r="W504" s="27" t="s">
        <v>396</v>
      </c>
      <c r="X504" s="27">
        <v>18</v>
      </c>
      <c r="Y504" s="5" t="s">
        <v>396</v>
      </c>
      <c r="Z504" s="28" t="s">
        <v>396</v>
      </c>
      <c r="AA504" s="27" t="s">
        <v>396</v>
      </c>
      <c r="AB504" s="27" t="s">
        <v>396</v>
      </c>
      <c r="AC504" s="27" t="s">
        <v>396</v>
      </c>
      <c r="AD504" s="27" t="s">
        <v>396</v>
      </c>
      <c r="AE504" s="27" t="s">
        <v>396</v>
      </c>
      <c r="AF504" s="27" t="s">
        <v>396</v>
      </c>
      <c r="AG504" s="27" t="s">
        <v>396</v>
      </c>
      <c r="AH504" s="27" t="s">
        <v>396</v>
      </c>
      <c r="AI504" s="27" t="s">
        <v>396</v>
      </c>
      <c r="AJ504" s="27" t="s">
        <v>396</v>
      </c>
      <c r="AK504" s="6" t="s">
        <v>395</v>
      </c>
      <c r="AL504" s="17">
        <v>5413218567657</v>
      </c>
      <c r="AM504" s="15" t="s">
        <v>395</v>
      </c>
      <c r="AN504" s="5">
        <v>73269091</v>
      </c>
      <c r="AO504" s="6"/>
      <c r="AP504" s="6"/>
      <c r="AQ504" s="6" t="s">
        <v>972</v>
      </c>
      <c r="AR504" s="6" t="s">
        <v>971</v>
      </c>
      <c r="AS504" s="6" t="s">
        <v>970</v>
      </c>
    </row>
    <row r="505" spans="1:46" s="5" customFormat="1" ht="12.75" customHeight="1">
      <c r="A505" s="32" t="s">
        <v>969</v>
      </c>
      <c r="B505" s="6" t="s">
        <v>396</v>
      </c>
      <c r="C505" s="31" t="s">
        <v>403</v>
      </c>
      <c r="D505" s="5" t="s">
        <v>968</v>
      </c>
      <c r="E505" s="5" t="s">
        <v>967</v>
      </c>
      <c r="F505" s="5" t="s">
        <v>966</v>
      </c>
      <c r="G505" s="5" t="s">
        <v>965</v>
      </c>
      <c r="H505" s="27" t="s">
        <v>937</v>
      </c>
      <c r="I505" s="27" t="s">
        <v>937</v>
      </c>
      <c r="J505" s="5" t="s">
        <v>964</v>
      </c>
      <c r="K505" s="5" t="s">
        <v>963</v>
      </c>
      <c r="L505" s="27" t="s">
        <v>399</v>
      </c>
      <c r="M505" s="27" t="s">
        <v>396</v>
      </c>
      <c r="N505" s="27" t="s">
        <v>396</v>
      </c>
      <c r="O505" s="27" t="s">
        <v>396</v>
      </c>
      <c r="P505" s="27" t="s">
        <v>962</v>
      </c>
      <c r="Q505" s="27" t="s">
        <v>396</v>
      </c>
      <c r="S505" s="27" t="s">
        <v>396</v>
      </c>
      <c r="T505" s="53">
        <v>1.5</v>
      </c>
      <c r="U505" s="5">
        <v>800</v>
      </c>
      <c r="V505" s="5">
        <v>800</v>
      </c>
      <c r="W505" s="27" t="s">
        <v>396</v>
      </c>
      <c r="X505" s="27">
        <v>18</v>
      </c>
      <c r="Y505" s="5" t="s">
        <v>396</v>
      </c>
      <c r="Z505" s="28" t="s">
        <v>396</v>
      </c>
      <c r="AA505" s="27" t="s">
        <v>396</v>
      </c>
      <c r="AB505" s="27" t="s">
        <v>396</v>
      </c>
      <c r="AC505" s="27" t="s">
        <v>396</v>
      </c>
      <c r="AD505" s="27" t="s">
        <v>396</v>
      </c>
      <c r="AE505" s="27" t="s">
        <v>396</v>
      </c>
      <c r="AF505" s="27" t="s">
        <v>396</v>
      </c>
      <c r="AG505" s="27" t="s">
        <v>396</v>
      </c>
      <c r="AH505" s="27" t="s">
        <v>396</v>
      </c>
      <c r="AI505" s="27" t="s">
        <v>396</v>
      </c>
      <c r="AJ505" s="27" t="s">
        <v>396</v>
      </c>
      <c r="AK505" s="6" t="s">
        <v>395</v>
      </c>
      <c r="AL505" s="17">
        <v>5413218567664</v>
      </c>
      <c r="AM505" s="15" t="s">
        <v>395</v>
      </c>
      <c r="AN505" s="5">
        <v>73269091</v>
      </c>
      <c r="AO505" s="6"/>
      <c r="AP505" s="6"/>
      <c r="AQ505" s="6" t="s">
        <v>961</v>
      </c>
      <c r="AR505" s="6" t="s">
        <v>960</v>
      </c>
      <c r="AS505" s="6" t="s">
        <v>959</v>
      </c>
    </row>
    <row r="506" spans="1:46" s="5" customFormat="1" ht="12.75" customHeight="1">
      <c r="A506" s="32" t="s">
        <v>958</v>
      </c>
      <c r="B506" s="6" t="s">
        <v>396</v>
      </c>
      <c r="C506" s="31" t="s">
        <v>403</v>
      </c>
      <c r="D506" s="5" t="s">
        <v>941</v>
      </c>
      <c r="E506" s="5" t="s">
        <v>940</v>
      </c>
      <c r="F506" s="5" t="s">
        <v>939</v>
      </c>
      <c r="G506" s="5" t="s">
        <v>938</v>
      </c>
      <c r="H506" s="27" t="s">
        <v>937</v>
      </c>
      <c r="I506" s="27" t="s">
        <v>937</v>
      </c>
      <c r="J506" s="5" t="s">
        <v>936</v>
      </c>
      <c r="K506" s="5" t="s">
        <v>935</v>
      </c>
      <c r="L506" s="27" t="s">
        <v>399</v>
      </c>
      <c r="M506" s="27" t="s">
        <v>396</v>
      </c>
      <c r="N506" s="27" t="s">
        <v>396</v>
      </c>
      <c r="O506" s="27" t="s">
        <v>396</v>
      </c>
      <c r="P506" s="27" t="s">
        <v>934</v>
      </c>
      <c r="Q506" s="27" t="s">
        <v>396</v>
      </c>
      <c r="S506" s="27" t="s">
        <v>396</v>
      </c>
      <c r="T506" s="53">
        <v>1.5</v>
      </c>
      <c r="U506" s="5">
        <v>400</v>
      </c>
      <c r="V506" s="5">
        <v>400</v>
      </c>
      <c r="W506" s="27" t="s">
        <v>396</v>
      </c>
      <c r="X506" s="27">
        <v>30</v>
      </c>
      <c r="Y506" s="5" t="s">
        <v>396</v>
      </c>
      <c r="Z506" s="28" t="s">
        <v>396</v>
      </c>
      <c r="AA506" s="27" t="s">
        <v>396</v>
      </c>
      <c r="AB506" s="27" t="s">
        <v>396</v>
      </c>
      <c r="AC506" s="27" t="s">
        <v>396</v>
      </c>
      <c r="AD506" s="27" t="s">
        <v>396</v>
      </c>
      <c r="AE506" s="27" t="s">
        <v>396</v>
      </c>
      <c r="AF506" s="27" t="s">
        <v>396</v>
      </c>
      <c r="AG506" s="27" t="s">
        <v>396</v>
      </c>
      <c r="AH506" s="27" t="s">
        <v>396</v>
      </c>
      <c r="AI506" s="27" t="s">
        <v>396</v>
      </c>
      <c r="AJ506" s="27" t="s">
        <v>396</v>
      </c>
      <c r="AK506" s="6" t="s">
        <v>395</v>
      </c>
      <c r="AL506" s="17">
        <v>5413218567671</v>
      </c>
      <c r="AM506" s="15" t="s">
        <v>395</v>
      </c>
      <c r="AN506" s="5">
        <v>73269060</v>
      </c>
      <c r="AO506" s="6"/>
      <c r="AP506" s="6"/>
      <c r="AQ506" s="6" t="s">
        <v>957</v>
      </c>
      <c r="AR506" s="6" t="s">
        <v>956</v>
      </c>
      <c r="AS506" s="6" t="s">
        <v>955</v>
      </c>
    </row>
    <row r="507" spans="1:46" s="5" customFormat="1" ht="12.75" customHeight="1">
      <c r="A507" s="32" t="s">
        <v>954</v>
      </c>
      <c r="B507" s="6" t="s">
        <v>396</v>
      </c>
      <c r="C507" s="31" t="s">
        <v>403</v>
      </c>
      <c r="D507" s="5" t="s">
        <v>941</v>
      </c>
      <c r="E507" s="5" t="s">
        <v>940</v>
      </c>
      <c r="F507" s="5" t="s">
        <v>939</v>
      </c>
      <c r="G507" s="5" t="s">
        <v>938</v>
      </c>
      <c r="H507" s="27" t="s">
        <v>937</v>
      </c>
      <c r="I507" s="27" t="s">
        <v>937</v>
      </c>
      <c r="J507" s="5" t="s">
        <v>936</v>
      </c>
      <c r="K507" s="5" t="s">
        <v>935</v>
      </c>
      <c r="L507" s="27" t="s">
        <v>399</v>
      </c>
      <c r="M507" s="27" t="s">
        <v>396</v>
      </c>
      <c r="N507" s="27" t="s">
        <v>396</v>
      </c>
      <c r="O507" s="27" t="s">
        <v>396</v>
      </c>
      <c r="P507" s="27" t="s">
        <v>934</v>
      </c>
      <c r="Q507" s="27" t="s">
        <v>396</v>
      </c>
      <c r="S507" s="27" t="s">
        <v>396</v>
      </c>
      <c r="T507" s="53">
        <v>1.5</v>
      </c>
      <c r="U507" s="5">
        <v>500</v>
      </c>
      <c r="V507" s="5">
        <v>500</v>
      </c>
      <c r="W507" s="27" t="s">
        <v>396</v>
      </c>
      <c r="X507" s="27">
        <v>30</v>
      </c>
      <c r="Y507" s="5" t="s">
        <v>396</v>
      </c>
      <c r="Z507" s="28" t="s">
        <v>396</v>
      </c>
      <c r="AA507" s="27" t="s">
        <v>396</v>
      </c>
      <c r="AB507" s="27" t="s">
        <v>396</v>
      </c>
      <c r="AC507" s="27" t="s">
        <v>396</v>
      </c>
      <c r="AD507" s="27" t="s">
        <v>396</v>
      </c>
      <c r="AE507" s="27" t="s">
        <v>396</v>
      </c>
      <c r="AF507" s="27" t="s">
        <v>396</v>
      </c>
      <c r="AG507" s="27" t="s">
        <v>396</v>
      </c>
      <c r="AH507" s="27" t="s">
        <v>396</v>
      </c>
      <c r="AI507" s="27" t="s">
        <v>396</v>
      </c>
      <c r="AJ507" s="27" t="s">
        <v>396</v>
      </c>
      <c r="AK507" s="6" t="s">
        <v>395</v>
      </c>
      <c r="AL507" s="17">
        <v>5413218567688</v>
      </c>
      <c r="AM507" s="15" t="s">
        <v>395</v>
      </c>
      <c r="AN507" s="5">
        <v>76109090</v>
      </c>
      <c r="AO507" s="6"/>
      <c r="AP507" s="6"/>
      <c r="AQ507" s="6" t="s">
        <v>953</v>
      </c>
      <c r="AR507" s="6" t="s">
        <v>952</v>
      </c>
      <c r="AS507" s="6" t="s">
        <v>951</v>
      </c>
    </row>
    <row r="508" spans="1:46" s="5" customFormat="1" ht="12.75" customHeight="1">
      <c r="A508" s="32" t="s">
        <v>950</v>
      </c>
      <c r="B508" s="6" t="s">
        <v>396</v>
      </c>
      <c r="C508" s="31" t="s">
        <v>403</v>
      </c>
      <c r="D508" s="5" t="s">
        <v>941</v>
      </c>
      <c r="E508" s="5" t="s">
        <v>940</v>
      </c>
      <c r="F508" s="5" t="s">
        <v>939</v>
      </c>
      <c r="G508" s="5" t="s">
        <v>938</v>
      </c>
      <c r="H508" s="27" t="s">
        <v>937</v>
      </c>
      <c r="I508" s="27" t="s">
        <v>937</v>
      </c>
      <c r="J508" s="5" t="s">
        <v>936</v>
      </c>
      <c r="K508" s="5" t="s">
        <v>935</v>
      </c>
      <c r="L508" s="27" t="s">
        <v>399</v>
      </c>
      <c r="M508" s="27" t="s">
        <v>396</v>
      </c>
      <c r="N508" s="27" t="s">
        <v>396</v>
      </c>
      <c r="O508" s="27" t="s">
        <v>396</v>
      </c>
      <c r="P508" s="27" t="s">
        <v>934</v>
      </c>
      <c r="Q508" s="27" t="s">
        <v>396</v>
      </c>
      <c r="S508" s="27" t="s">
        <v>396</v>
      </c>
      <c r="T508" s="53">
        <v>1.5</v>
      </c>
      <c r="U508" s="5">
        <v>600</v>
      </c>
      <c r="V508" s="5">
        <v>600</v>
      </c>
      <c r="W508" s="27" t="s">
        <v>396</v>
      </c>
      <c r="X508" s="27">
        <v>30</v>
      </c>
      <c r="Y508" s="5" t="s">
        <v>396</v>
      </c>
      <c r="Z508" s="28" t="s">
        <v>396</v>
      </c>
      <c r="AA508" s="27" t="s">
        <v>396</v>
      </c>
      <c r="AB508" s="27" t="s">
        <v>396</v>
      </c>
      <c r="AC508" s="27" t="s">
        <v>396</v>
      </c>
      <c r="AD508" s="27" t="s">
        <v>396</v>
      </c>
      <c r="AE508" s="27" t="s">
        <v>396</v>
      </c>
      <c r="AF508" s="27" t="s">
        <v>396</v>
      </c>
      <c r="AG508" s="27" t="s">
        <v>396</v>
      </c>
      <c r="AH508" s="27" t="s">
        <v>396</v>
      </c>
      <c r="AI508" s="27" t="s">
        <v>396</v>
      </c>
      <c r="AJ508" s="27" t="s">
        <v>396</v>
      </c>
      <c r="AK508" s="6" t="s">
        <v>395</v>
      </c>
      <c r="AL508" s="17">
        <v>5413218567695</v>
      </c>
      <c r="AM508" s="15" t="s">
        <v>395</v>
      </c>
      <c r="AN508" s="5">
        <v>73269060</v>
      </c>
      <c r="AO508" s="6"/>
      <c r="AP508" s="6"/>
      <c r="AQ508" s="6" t="s">
        <v>949</v>
      </c>
      <c r="AR508" s="6" t="s">
        <v>948</v>
      </c>
      <c r="AS508" s="6" t="s">
        <v>947</v>
      </c>
    </row>
    <row r="509" spans="1:46" s="5" customFormat="1" ht="12.75" customHeight="1">
      <c r="A509" s="32" t="s">
        <v>946</v>
      </c>
      <c r="B509" s="6" t="s">
        <v>396</v>
      </c>
      <c r="C509" s="31" t="s">
        <v>403</v>
      </c>
      <c r="D509" s="5" t="s">
        <v>941</v>
      </c>
      <c r="E509" s="5" t="s">
        <v>940</v>
      </c>
      <c r="F509" s="5" t="s">
        <v>939</v>
      </c>
      <c r="G509" s="5" t="s">
        <v>938</v>
      </c>
      <c r="H509" s="27" t="s">
        <v>937</v>
      </c>
      <c r="I509" s="27" t="s">
        <v>937</v>
      </c>
      <c r="J509" s="5" t="s">
        <v>936</v>
      </c>
      <c r="K509" s="5" t="s">
        <v>935</v>
      </c>
      <c r="L509" s="27" t="s">
        <v>399</v>
      </c>
      <c r="M509" s="27" t="s">
        <v>396</v>
      </c>
      <c r="N509" s="27" t="s">
        <v>396</v>
      </c>
      <c r="O509" s="27" t="s">
        <v>396</v>
      </c>
      <c r="P509" s="27" t="s">
        <v>934</v>
      </c>
      <c r="Q509" s="27" t="s">
        <v>396</v>
      </c>
      <c r="S509" s="27" t="s">
        <v>396</v>
      </c>
      <c r="T509" s="53">
        <v>1.5</v>
      </c>
      <c r="U509" s="5">
        <v>600</v>
      </c>
      <c r="V509" s="5">
        <v>800</v>
      </c>
      <c r="W509" s="27" t="s">
        <v>396</v>
      </c>
      <c r="X509" s="27">
        <v>30</v>
      </c>
      <c r="Y509" s="5" t="s">
        <v>396</v>
      </c>
      <c r="Z509" s="28" t="s">
        <v>396</v>
      </c>
      <c r="AA509" s="27" t="s">
        <v>396</v>
      </c>
      <c r="AB509" s="27" t="s">
        <v>396</v>
      </c>
      <c r="AC509" s="27" t="s">
        <v>396</v>
      </c>
      <c r="AD509" s="27" t="s">
        <v>396</v>
      </c>
      <c r="AE509" s="27" t="s">
        <v>396</v>
      </c>
      <c r="AF509" s="27" t="s">
        <v>396</v>
      </c>
      <c r="AG509" s="27" t="s">
        <v>396</v>
      </c>
      <c r="AH509" s="27" t="s">
        <v>396</v>
      </c>
      <c r="AI509" s="27" t="s">
        <v>396</v>
      </c>
      <c r="AJ509" s="27" t="s">
        <v>396</v>
      </c>
      <c r="AK509" s="6" t="s">
        <v>395</v>
      </c>
      <c r="AL509" s="17">
        <v>5413218567701</v>
      </c>
      <c r="AM509" s="15" t="s">
        <v>395</v>
      </c>
      <c r="AN509" s="5">
        <v>76109090</v>
      </c>
      <c r="AO509" s="6"/>
      <c r="AP509" s="6"/>
      <c r="AQ509" s="6" t="s">
        <v>945</v>
      </c>
      <c r="AR509" s="6" t="s">
        <v>944</v>
      </c>
      <c r="AS509" s="6" t="s">
        <v>943</v>
      </c>
    </row>
    <row r="510" spans="1:46" s="5" customFormat="1" ht="12.75" customHeight="1">
      <c r="A510" s="32" t="s">
        <v>942</v>
      </c>
      <c r="B510" s="6" t="s">
        <v>396</v>
      </c>
      <c r="C510" s="31" t="s">
        <v>403</v>
      </c>
      <c r="D510" s="5" t="s">
        <v>941</v>
      </c>
      <c r="E510" s="5" t="s">
        <v>940</v>
      </c>
      <c r="F510" s="5" t="s">
        <v>939</v>
      </c>
      <c r="G510" s="5" t="s">
        <v>938</v>
      </c>
      <c r="H510" s="27" t="s">
        <v>937</v>
      </c>
      <c r="I510" s="27" t="s">
        <v>937</v>
      </c>
      <c r="J510" s="5" t="s">
        <v>936</v>
      </c>
      <c r="K510" s="5" t="s">
        <v>935</v>
      </c>
      <c r="L510" s="27" t="s">
        <v>399</v>
      </c>
      <c r="M510" s="27" t="s">
        <v>396</v>
      </c>
      <c r="N510" s="27" t="s">
        <v>396</v>
      </c>
      <c r="O510" s="27" t="s">
        <v>396</v>
      </c>
      <c r="P510" s="27" t="s">
        <v>934</v>
      </c>
      <c r="Q510" s="27" t="s">
        <v>396</v>
      </c>
      <c r="S510" s="27" t="s">
        <v>396</v>
      </c>
      <c r="T510" s="53">
        <v>1.5</v>
      </c>
      <c r="U510" s="5">
        <v>800</v>
      </c>
      <c r="V510" s="5">
        <v>800</v>
      </c>
      <c r="W510" s="27" t="s">
        <v>396</v>
      </c>
      <c r="X510" s="27">
        <v>30</v>
      </c>
      <c r="Y510" s="5" t="s">
        <v>396</v>
      </c>
      <c r="Z510" s="28" t="s">
        <v>396</v>
      </c>
      <c r="AA510" s="27" t="s">
        <v>396</v>
      </c>
      <c r="AB510" s="27" t="s">
        <v>396</v>
      </c>
      <c r="AC510" s="27" t="s">
        <v>396</v>
      </c>
      <c r="AD510" s="27" t="s">
        <v>396</v>
      </c>
      <c r="AE510" s="27" t="s">
        <v>396</v>
      </c>
      <c r="AF510" s="27" t="s">
        <v>396</v>
      </c>
      <c r="AG510" s="27" t="s">
        <v>396</v>
      </c>
      <c r="AH510" s="27" t="s">
        <v>396</v>
      </c>
      <c r="AI510" s="27" t="s">
        <v>396</v>
      </c>
      <c r="AJ510" s="27" t="s">
        <v>396</v>
      </c>
      <c r="AK510" s="6" t="s">
        <v>395</v>
      </c>
      <c r="AL510" s="17">
        <v>5413218567718</v>
      </c>
      <c r="AM510" s="15" t="s">
        <v>395</v>
      </c>
      <c r="AN510" s="5">
        <v>73269091</v>
      </c>
      <c r="AO510" s="6"/>
      <c r="AP510" s="6"/>
      <c r="AQ510" s="6" t="s">
        <v>933</v>
      </c>
      <c r="AR510" s="6" t="s">
        <v>932</v>
      </c>
      <c r="AS510" s="6" t="s">
        <v>931</v>
      </c>
    </row>
    <row r="511" spans="1:46" s="5" customFormat="1" ht="12.75" customHeight="1">
      <c r="A511" s="32" t="s">
        <v>930</v>
      </c>
      <c r="B511" s="6" t="s">
        <v>396</v>
      </c>
      <c r="C511" s="31" t="s">
        <v>403</v>
      </c>
      <c r="D511" s="5" t="s">
        <v>573</v>
      </c>
      <c r="E511" s="6" t="s">
        <v>572</v>
      </c>
      <c r="F511" s="5" t="s">
        <v>929</v>
      </c>
      <c r="G511" s="5" t="s">
        <v>928</v>
      </c>
      <c r="H511" s="38"/>
      <c r="I511" s="38"/>
      <c r="J511" s="6" t="s">
        <v>573</v>
      </c>
      <c r="K511" s="6" t="s">
        <v>572</v>
      </c>
      <c r="L511" t="s">
        <v>569</v>
      </c>
      <c r="M511" s="27" t="s">
        <v>399</v>
      </c>
      <c r="N511" s="6" t="s">
        <v>571</v>
      </c>
      <c r="O511" s="6" t="s">
        <v>570</v>
      </c>
      <c r="P511" s="6" t="s">
        <v>479</v>
      </c>
      <c r="Q511" t="s">
        <v>569</v>
      </c>
      <c r="R511" s="6"/>
      <c r="S511" s="27" t="s">
        <v>396</v>
      </c>
      <c r="T511" s="27" t="s">
        <v>396</v>
      </c>
      <c r="U511" s="27" t="s">
        <v>396</v>
      </c>
      <c r="V511" s="27" t="s">
        <v>396</v>
      </c>
      <c r="W511" s="27" t="s">
        <v>396</v>
      </c>
      <c r="X511" s="27" t="s">
        <v>396</v>
      </c>
      <c r="Y511" s="27" t="s">
        <v>396</v>
      </c>
      <c r="Z511" s="39">
        <v>0.25</v>
      </c>
      <c r="AA511" s="27" t="s">
        <v>396</v>
      </c>
      <c r="AB511" s="27" t="s">
        <v>396</v>
      </c>
      <c r="AC511" s="27" t="s">
        <v>396</v>
      </c>
      <c r="AD511" s="27" t="s">
        <v>396</v>
      </c>
      <c r="AE511" s="27" t="s">
        <v>396</v>
      </c>
      <c r="AF511" s="27" t="s">
        <v>396</v>
      </c>
      <c r="AG511" s="27" t="s">
        <v>396</v>
      </c>
      <c r="AH511" s="27" t="s">
        <v>396</v>
      </c>
      <c r="AI511" s="27" t="s">
        <v>396</v>
      </c>
      <c r="AJ511" s="27" t="s">
        <v>396</v>
      </c>
      <c r="AK511" s="6" t="s">
        <v>927</v>
      </c>
      <c r="AL511" s="17">
        <v>5413218563161</v>
      </c>
      <c r="AM511" s="15" t="s">
        <v>927</v>
      </c>
      <c r="AN511" s="5">
        <v>25202000</v>
      </c>
      <c r="AO511" s="6"/>
      <c r="AP511" s="6"/>
      <c r="AQ511" s="6" t="s">
        <v>926</v>
      </c>
      <c r="AR511" s="6" t="s">
        <v>925</v>
      </c>
      <c r="AS511" s="6" t="s">
        <v>924</v>
      </c>
    </row>
    <row r="512" spans="1:46" s="5" customFormat="1" ht="12.75" customHeight="1">
      <c r="A512" s="5" t="s">
        <v>923</v>
      </c>
      <c r="B512" s="6" t="s">
        <v>396</v>
      </c>
      <c r="C512" s="31" t="s">
        <v>403</v>
      </c>
      <c r="D512" s="6" t="s">
        <v>886</v>
      </c>
      <c r="E512" s="6" t="s">
        <v>885</v>
      </c>
      <c r="F512" s="5" t="s">
        <v>884</v>
      </c>
      <c r="G512" s="5" t="s">
        <v>883</v>
      </c>
      <c r="H512" s="27" t="s">
        <v>396</v>
      </c>
      <c r="I512" s="27" t="s">
        <v>396</v>
      </c>
      <c r="J512" s="6" t="s">
        <v>922</v>
      </c>
      <c r="K512" s="6" t="s">
        <v>921</v>
      </c>
      <c r="L512" s="6" t="s">
        <v>478</v>
      </c>
      <c r="M512" s="6" t="s">
        <v>492</v>
      </c>
      <c r="N512" s="6" t="s">
        <v>481</v>
      </c>
      <c r="O512" s="6" t="s">
        <v>480</v>
      </c>
      <c r="P512" s="6" t="s">
        <v>479</v>
      </c>
      <c r="Q512" s="6" t="s">
        <v>478</v>
      </c>
      <c r="R512" s="6"/>
      <c r="S512" s="27" t="s">
        <v>396</v>
      </c>
      <c r="T512" s="6">
        <v>3.5</v>
      </c>
      <c r="U512" s="27" t="s">
        <v>396</v>
      </c>
      <c r="V512" s="6">
        <v>25</v>
      </c>
      <c r="W512" s="27" t="s">
        <v>396</v>
      </c>
      <c r="X512" s="27" t="s">
        <v>396</v>
      </c>
      <c r="Y512" s="27" t="s">
        <v>396</v>
      </c>
      <c r="Z512" s="39">
        <v>50</v>
      </c>
      <c r="AA512" s="27" t="s">
        <v>396</v>
      </c>
      <c r="AB512" s="27" t="s">
        <v>396</v>
      </c>
      <c r="AC512" s="27" t="s">
        <v>396</v>
      </c>
      <c r="AD512" s="27" t="s">
        <v>396</v>
      </c>
      <c r="AE512" s="27" t="s">
        <v>396</v>
      </c>
      <c r="AF512" s="27" t="s">
        <v>396</v>
      </c>
      <c r="AG512" s="27" t="s">
        <v>396</v>
      </c>
      <c r="AH512" s="27" t="s">
        <v>396</v>
      </c>
      <c r="AI512" s="27" t="s">
        <v>396</v>
      </c>
      <c r="AJ512" s="27" t="s">
        <v>396</v>
      </c>
      <c r="AK512" s="6" t="s">
        <v>735</v>
      </c>
      <c r="AL512" s="17">
        <v>5413218563451</v>
      </c>
      <c r="AM512" s="15" t="s">
        <v>735</v>
      </c>
      <c r="AN512" s="5">
        <v>73181410</v>
      </c>
      <c r="AO512" s="6" t="s">
        <v>477</v>
      </c>
      <c r="AP512" s="6" t="s">
        <v>476</v>
      </c>
      <c r="AQ512" s="6" t="s">
        <v>920</v>
      </c>
      <c r="AR512" s="6" t="s">
        <v>919</v>
      </c>
      <c r="AS512" s="6" t="s">
        <v>918</v>
      </c>
    </row>
    <row r="513" spans="1:45" s="5" customFormat="1" ht="12.75" customHeight="1">
      <c r="A513" s="5" t="s">
        <v>917</v>
      </c>
      <c r="B513" s="6" t="s">
        <v>396</v>
      </c>
      <c r="C513" s="31" t="s">
        <v>403</v>
      </c>
      <c r="D513" s="6" t="s">
        <v>886</v>
      </c>
      <c r="E513" s="6" t="s">
        <v>885</v>
      </c>
      <c r="F513" s="5" t="s">
        <v>884</v>
      </c>
      <c r="G513" s="5" t="s">
        <v>883</v>
      </c>
      <c r="H513" s="27" t="s">
        <v>396</v>
      </c>
      <c r="I513" s="27" t="s">
        <v>396</v>
      </c>
      <c r="J513" s="6" t="s">
        <v>916</v>
      </c>
      <c r="K513" s="6" t="s">
        <v>915</v>
      </c>
      <c r="L513" s="6" t="s">
        <v>478</v>
      </c>
      <c r="M513" s="6" t="s">
        <v>492</v>
      </c>
      <c r="N513" s="6" t="s">
        <v>481</v>
      </c>
      <c r="O513" s="6" t="s">
        <v>480</v>
      </c>
      <c r="P513" s="6" t="s">
        <v>479</v>
      </c>
      <c r="Q513" s="6" t="s">
        <v>478</v>
      </c>
      <c r="R513" s="6"/>
      <c r="S513" s="27" t="s">
        <v>396</v>
      </c>
      <c r="T513" s="6">
        <v>3.5</v>
      </c>
      <c r="U513" s="27" t="s">
        <v>396</v>
      </c>
      <c r="V513" s="6">
        <v>35</v>
      </c>
      <c r="W513" s="27" t="s">
        <v>396</v>
      </c>
      <c r="X513" s="27" t="s">
        <v>396</v>
      </c>
      <c r="Y513" s="27" t="s">
        <v>396</v>
      </c>
      <c r="Z513" s="39">
        <v>50</v>
      </c>
      <c r="AA513" s="27" t="s">
        <v>396</v>
      </c>
      <c r="AB513" s="27" t="s">
        <v>396</v>
      </c>
      <c r="AC513" s="27" t="s">
        <v>396</v>
      </c>
      <c r="AD513" s="27" t="s">
        <v>396</v>
      </c>
      <c r="AE513" s="27" t="s">
        <v>396</v>
      </c>
      <c r="AF513" s="27" t="s">
        <v>396</v>
      </c>
      <c r="AG513" s="27" t="s">
        <v>396</v>
      </c>
      <c r="AH513" s="27" t="s">
        <v>396</v>
      </c>
      <c r="AI513" s="27" t="s">
        <v>396</v>
      </c>
      <c r="AJ513" s="27" t="s">
        <v>396</v>
      </c>
      <c r="AK513" s="6" t="s">
        <v>735</v>
      </c>
      <c r="AL513" s="17">
        <v>5413218563468</v>
      </c>
      <c r="AM513" s="15" t="s">
        <v>735</v>
      </c>
      <c r="AN513" s="5">
        <v>73181410</v>
      </c>
      <c r="AO513" s="6" t="s">
        <v>477</v>
      </c>
      <c r="AP513" s="6" t="s">
        <v>476</v>
      </c>
      <c r="AQ513" s="6" t="s">
        <v>914</v>
      </c>
      <c r="AR513" s="6" t="s">
        <v>913</v>
      </c>
      <c r="AS513" s="6" t="s">
        <v>912</v>
      </c>
    </row>
    <row r="514" spans="1:45" s="5" customFormat="1" ht="12.75" customHeight="1">
      <c r="A514" s="5" t="s">
        <v>911</v>
      </c>
      <c r="B514" s="6" t="s">
        <v>396</v>
      </c>
      <c r="C514" s="31" t="s">
        <v>403</v>
      </c>
      <c r="D514" s="6" t="s">
        <v>886</v>
      </c>
      <c r="E514" s="6" t="s">
        <v>885</v>
      </c>
      <c r="F514" s="5" t="s">
        <v>884</v>
      </c>
      <c r="G514" s="5" t="s">
        <v>883</v>
      </c>
      <c r="H514" s="27" t="s">
        <v>396</v>
      </c>
      <c r="I514" s="27" t="s">
        <v>396</v>
      </c>
      <c r="J514" s="6" t="s">
        <v>910</v>
      </c>
      <c r="K514" s="6" t="s">
        <v>909</v>
      </c>
      <c r="L514" s="6" t="s">
        <v>478</v>
      </c>
      <c r="M514" s="6" t="s">
        <v>492</v>
      </c>
      <c r="N514" s="6" t="s">
        <v>481</v>
      </c>
      <c r="O514" s="6" t="s">
        <v>480</v>
      </c>
      <c r="P514" s="6" t="s">
        <v>479</v>
      </c>
      <c r="Q514" s="6" t="s">
        <v>478</v>
      </c>
      <c r="R514" s="6"/>
      <c r="S514" s="27" t="s">
        <v>396</v>
      </c>
      <c r="T514" s="6">
        <v>3.5</v>
      </c>
      <c r="U514" s="27" t="s">
        <v>396</v>
      </c>
      <c r="V514" s="6">
        <v>45</v>
      </c>
      <c r="W514" s="27" t="s">
        <v>396</v>
      </c>
      <c r="X514" s="27" t="s">
        <v>396</v>
      </c>
      <c r="Y514" s="27" t="s">
        <v>396</v>
      </c>
      <c r="Z514" s="39">
        <v>50</v>
      </c>
      <c r="AA514" s="27" t="s">
        <v>396</v>
      </c>
      <c r="AB514" s="27" t="s">
        <v>396</v>
      </c>
      <c r="AC514" s="27" t="s">
        <v>396</v>
      </c>
      <c r="AD514" s="27" t="s">
        <v>396</v>
      </c>
      <c r="AE514" s="27" t="s">
        <v>396</v>
      </c>
      <c r="AF514" s="27" t="s">
        <v>396</v>
      </c>
      <c r="AG514" s="27" t="s">
        <v>396</v>
      </c>
      <c r="AH514" s="27" t="s">
        <v>396</v>
      </c>
      <c r="AI514" s="27" t="s">
        <v>396</v>
      </c>
      <c r="AJ514" s="27" t="s">
        <v>396</v>
      </c>
      <c r="AK514" s="6" t="s">
        <v>735</v>
      </c>
      <c r="AL514" s="17">
        <v>5413218563475</v>
      </c>
      <c r="AM514" s="15" t="s">
        <v>735</v>
      </c>
      <c r="AN514" s="5">
        <v>73181410</v>
      </c>
      <c r="AO514" s="6" t="s">
        <v>477</v>
      </c>
      <c r="AP514" s="6" t="s">
        <v>476</v>
      </c>
      <c r="AQ514" s="6" t="s">
        <v>908</v>
      </c>
      <c r="AR514" s="6" t="s">
        <v>907</v>
      </c>
      <c r="AS514" s="6" t="s">
        <v>906</v>
      </c>
    </row>
    <row r="515" spans="1:45" s="5" customFormat="1" ht="12.75" customHeight="1">
      <c r="A515" s="5" t="s">
        <v>905</v>
      </c>
      <c r="B515" s="6" t="s">
        <v>396</v>
      </c>
      <c r="C515" s="31" t="s">
        <v>403</v>
      </c>
      <c r="D515" s="6" t="s">
        <v>886</v>
      </c>
      <c r="E515" s="6" t="s">
        <v>885</v>
      </c>
      <c r="F515" s="5" t="s">
        <v>884</v>
      </c>
      <c r="G515" s="5" t="s">
        <v>883</v>
      </c>
      <c r="H515" s="27" t="s">
        <v>396</v>
      </c>
      <c r="I515" s="27" t="s">
        <v>396</v>
      </c>
      <c r="J515" s="6" t="s">
        <v>904</v>
      </c>
      <c r="K515" s="6" t="s">
        <v>903</v>
      </c>
      <c r="L515" s="6" t="s">
        <v>478</v>
      </c>
      <c r="M515" s="6" t="s">
        <v>492</v>
      </c>
      <c r="N515" s="6" t="s">
        <v>481</v>
      </c>
      <c r="O515" s="6" t="s">
        <v>480</v>
      </c>
      <c r="P515" s="6" t="s">
        <v>479</v>
      </c>
      <c r="Q515" s="6" t="s">
        <v>478</v>
      </c>
      <c r="R515" s="6"/>
      <c r="S515" s="27" t="s">
        <v>396</v>
      </c>
      <c r="T515" s="6">
        <v>3.5</v>
      </c>
      <c r="U515" s="27" t="s">
        <v>396</v>
      </c>
      <c r="V515" s="6">
        <v>55</v>
      </c>
      <c r="W515" s="27" t="s">
        <v>396</v>
      </c>
      <c r="X515" s="27" t="s">
        <v>396</v>
      </c>
      <c r="Y515" s="27" t="s">
        <v>396</v>
      </c>
      <c r="Z515" s="39">
        <v>50</v>
      </c>
      <c r="AA515" s="27" t="s">
        <v>396</v>
      </c>
      <c r="AB515" s="27" t="s">
        <v>396</v>
      </c>
      <c r="AC515" s="27" t="s">
        <v>396</v>
      </c>
      <c r="AD515" s="27" t="s">
        <v>396</v>
      </c>
      <c r="AE515" s="27" t="s">
        <v>396</v>
      </c>
      <c r="AF515" s="27" t="s">
        <v>396</v>
      </c>
      <c r="AG515" s="27" t="s">
        <v>396</v>
      </c>
      <c r="AH515" s="27" t="s">
        <v>396</v>
      </c>
      <c r="AI515" s="27" t="s">
        <v>396</v>
      </c>
      <c r="AJ515" s="27" t="s">
        <v>396</v>
      </c>
      <c r="AK515" s="6" t="s">
        <v>735</v>
      </c>
      <c r="AL515" s="17">
        <v>5413218563482</v>
      </c>
      <c r="AM515" s="15" t="s">
        <v>735</v>
      </c>
      <c r="AN515" s="5">
        <v>73181541</v>
      </c>
      <c r="AO515" s="6" t="s">
        <v>477</v>
      </c>
      <c r="AP515" s="6" t="s">
        <v>476</v>
      </c>
      <c r="AQ515" s="6" t="s">
        <v>902</v>
      </c>
      <c r="AR515" s="6" t="s">
        <v>901</v>
      </c>
      <c r="AS515" s="6" t="s">
        <v>900</v>
      </c>
    </row>
    <row r="516" spans="1:45" s="5" customFormat="1" ht="12.75" customHeight="1">
      <c r="A516" s="5" t="s">
        <v>899</v>
      </c>
      <c r="B516" s="6" t="s">
        <v>396</v>
      </c>
      <c r="C516" s="31" t="s">
        <v>403</v>
      </c>
      <c r="D516" s="6" t="s">
        <v>886</v>
      </c>
      <c r="E516" s="6" t="s">
        <v>885</v>
      </c>
      <c r="F516" s="5" t="s">
        <v>884</v>
      </c>
      <c r="G516" s="5" t="s">
        <v>883</v>
      </c>
      <c r="H516" s="27" t="s">
        <v>396</v>
      </c>
      <c r="I516" s="27" t="s">
        <v>396</v>
      </c>
      <c r="J516" s="6" t="s">
        <v>898</v>
      </c>
      <c r="K516" s="6" t="s">
        <v>897</v>
      </c>
      <c r="L516" s="6" t="s">
        <v>478</v>
      </c>
      <c r="M516" s="6" t="s">
        <v>492</v>
      </c>
      <c r="N516" s="6" t="s">
        <v>481</v>
      </c>
      <c r="O516" s="6" t="s">
        <v>480</v>
      </c>
      <c r="P516" s="6" t="s">
        <v>479</v>
      </c>
      <c r="Q516" s="6" t="s">
        <v>478</v>
      </c>
      <c r="R516" s="6"/>
      <c r="S516" s="27" t="s">
        <v>396</v>
      </c>
      <c r="T516" s="6">
        <v>3.5</v>
      </c>
      <c r="U516" s="27" t="s">
        <v>396</v>
      </c>
      <c r="V516" s="6">
        <v>70</v>
      </c>
      <c r="W516" s="27" t="s">
        <v>396</v>
      </c>
      <c r="X516" s="27" t="s">
        <v>396</v>
      </c>
      <c r="Y516" s="27" t="s">
        <v>396</v>
      </c>
      <c r="Z516" s="39">
        <v>50</v>
      </c>
      <c r="AA516" s="27" t="s">
        <v>396</v>
      </c>
      <c r="AB516" s="27" t="s">
        <v>396</v>
      </c>
      <c r="AC516" s="27" t="s">
        <v>396</v>
      </c>
      <c r="AD516" s="27" t="s">
        <v>396</v>
      </c>
      <c r="AE516" s="27" t="s">
        <v>396</v>
      </c>
      <c r="AF516" s="27" t="s">
        <v>396</v>
      </c>
      <c r="AG516" s="27" t="s">
        <v>396</v>
      </c>
      <c r="AH516" s="27" t="s">
        <v>396</v>
      </c>
      <c r="AI516" s="27" t="s">
        <v>396</v>
      </c>
      <c r="AJ516" s="27" t="s">
        <v>396</v>
      </c>
      <c r="AK516" s="6" t="s">
        <v>735</v>
      </c>
      <c r="AL516" s="17">
        <v>5413218563499</v>
      </c>
      <c r="AM516" s="15" t="s">
        <v>735</v>
      </c>
      <c r="AN516" s="5">
        <v>73181410</v>
      </c>
      <c r="AO516" s="6" t="s">
        <v>477</v>
      </c>
      <c r="AP516" s="6" t="s">
        <v>476</v>
      </c>
      <c r="AQ516" s="6" t="s">
        <v>896</v>
      </c>
      <c r="AR516" s="6" t="s">
        <v>895</v>
      </c>
      <c r="AS516" s="6" t="s">
        <v>894</v>
      </c>
    </row>
    <row r="517" spans="1:45" s="5" customFormat="1" ht="12.75" customHeight="1">
      <c r="A517" s="5" t="s">
        <v>893</v>
      </c>
      <c r="B517" s="6" t="s">
        <v>396</v>
      </c>
      <c r="C517" s="31" t="s">
        <v>403</v>
      </c>
      <c r="D517" s="6" t="s">
        <v>886</v>
      </c>
      <c r="E517" s="6" t="s">
        <v>885</v>
      </c>
      <c r="F517" s="5" t="s">
        <v>884</v>
      </c>
      <c r="G517" s="5" t="s">
        <v>883</v>
      </c>
      <c r="H517" s="27" t="s">
        <v>396</v>
      </c>
      <c r="I517" s="27" t="s">
        <v>396</v>
      </c>
      <c r="J517" s="6" t="s">
        <v>892</v>
      </c>
      <c r="K517" s="6" t="s">
        <v>891</v>
      </c>
      <c r="L517" s="6" t="s">
        <v>478</v>
      </c>
      <c r="M517" s="6" t="s">
        <v>492</v>
      </c>
      <c r="N517" s="6" t="s">
        <v>481</v>
      </c>
      <c r="O517" s="6" t="s">
        <v>480</v>
      </c>
      <c r="P517" s="6" t="s">
        <v>479</v>
      </c>
      <c r="Q517" s="6" t="s">
        <v>478</v>
      </c>
      <c r="R517" s="6"/>
      <c r="S517" s="27" t="s">
        <v>396</v>
      </c>
      <c r="T517" s="6">
        <v>3.5</v>
      </c>
      <c r="U517" s="27" t="s">
        <v>396</v>
      </c>
      <c r="V517" s="6">
        <v>90</v>
      </c>
      <c r="W517" s="27" t="s">
        <v>396</v>
      </c>
      <c r="X517" s="27" t="s">
        <v>396</v>
      </c>
      <c r="Y517" s="27" t="s">
        <v>396</v>
      </c>
      <c r="Z517" s="39">
        <v>50</v>
      </c>
      <c r="AA517" s="27" t="s">
        <v>396</v>
      </c>
      <c r="AB517" s="27" t="s">
        <v>396</v>
      </c>
      <c r="AC517" s="27" t="s">
        <v>396</v>
      </c>
      <c r="AD517" s="27" t="s">
        <v>396</v>
      </c>
      <c r="AE517" s="27" t="s">
        <v>396</v>
      </c>
      <c r="AF517" s="27" t="s">
        <v>396</v>
      </c>
      <c r="AG517" s="27" t="s">
        <v>396</v>
      </c>
      <c r="AH517" s="27" t="s">
        <v>396</v>
      </c>
      <c r="AI517" s="27" t="s">
        <v>396</v>
      </c>
      <c r="AJ517" s="27" t="s">
        <v>396</v>
      </c>
      <c r="AK517" s="6" t="s">
        <v>735</v>
      </c>
      <c r="AL517" s="17">
        <v>5413218563505</v>
      </c>
      <c r="AM517" s="15" t="s">
        <v>735</v>
      </c>
      <c r="AN517" s="5">
        <v>73181410</v>
      </c>
      <c r="AO517" s="6" t="s">
        <v>477</v>
      </c>
      <c r="AP517" s="6" t="s">
        <v>476</v>
      </c>
      <c r="AQ517" s="6" t="s">
        <v>890</v>
      </c>
      <c r="AR517" s="6" t="s">
        <v>889</v>
      </c>
      <c r="AS517" s="6" t="s">
        <v>888</v>
      </c>
    </row>
    <row r="518" spans="1:45" s="5" customFormat="1" ht="12.75" customHeight="1">
      <c r="A518" s="5" t="s">
        <v>887</v>
      </c>
      <c r="B518" s="6" t="s">
        <v>396</v>
      </c>
      <c r="C518" s="31" t="s">
        <v>403</v>
      </c>
      <c r="D518" s="6" t="s">
        <v>886</v>
      </c>
      <c r="E518" s="6" t="s">
        <v>885</v>
      </c>
      <c r="F518" s="5" t="s">
        <v>884</v>
      </c>
      <c r="G518" s="5" t="s">
        <v>883</v>
      </c>
      <c r="H518" s="27" t="s">
        <v>396</v>
      </c>
      <c r="I518" s="27" t="s">
        <v>396</v>
      </c>
      <c r="J518" s="6" t="s">
        <v>882</v>
      </c>
      <c r="K518" s="6" t="s">
        <v>881</v>
      </c>
      <c r="L518" s="6" t="s">
        <v>478</v>
      </c>
      <c r="M518" s="6" t="s">
        <v>492</v>
      </c>
      <c r="N518" s="6" t="s">
        <v>481</v>
      </c>
      <c r="O518" s="6" t="s">
        <v>480</v>
      </c>
      <c r="P518" s="6" t="s">
        <v>479</v>
      </c>
      <c r="Q518" s="6" t="s">
        <v>478</v>
      </c>
      <c r="R518" s="6"/>
      <c r="S518" s="27" t="s">
        <v>396</v>
      </c>
      <c r="T518" s="6">
        <v>3.5</v>
      </c>
      <c r="U518" s="27" t="s">
        <v>396</v>
      </c>
      <c r="V518" s="6">
        <v>120</v>
      </c>
      <c r="W518" s="27" t="s">
        <v>396</v>
      </c>
      <c r="X518" s="27" t="s">
        <v>396</v>
      </c>
      <c r="Y518" s="27" t="s">
        <v>396</v>
      </c>
      <c r="Z518" s="39">
        <v>50</v>
      </c>
      <c r="AA518" s="27" t="s">
        <v>396</v>
      </c>
      <c r="AB518" s="27" t="s">
        <v>396</v>
      </c>
      <c r="AC518" s="27" t="s">
        <v>396</v>
      </c>
      <c r="AD518" s="27" t="s">
        <v>396</v>
      </c>
      <c r="AE518" s="27" t="s">
        <v>396</v>
      </c>
      <c r="AF518" s="27" t="s">
        <v>396</v>
      </c>
      <c r="AG518" s="27" t="s">
        <v>396</v>
      </c>
      <c r="AH518" s="27" t="s">
        <v>396</v>
      </c>
      <c r="AI518" s="27" t="s">
        <v>396</v>
      </c>
      <c r="AJ518" s="27" t="s">
        <v>396</v>
      </c>
      <c r="AK518" s="6" t="s">
        <v>735</v>
      </c>
      <c r="AL518" s="17">
        <v>5413218563789</v>
      </c>
      <c r="AM518" s="15" t="s">
        <v>735</v>
      </c>
      <c r="AN518" s="5">
        <v>73181410</v>
      </c>
      <c r="AO518" s="6" t="s">
        <v>477</v>
      </c>
      <c r="AP518" s="6" t="s">
        <v>476</v>
      </c>
      <c r="AQ518" s="6" t="s">
        <v>880</v>
      </c>
      <c r="AR518" s="6" t="s">
        <v>879</v>
      </c>
      <c r="AS518" s="6" t="s">
        <v>878</v>
      </c>
    </row>
    <row r="519" spans="1:45" s="16" customFormat="1" ht="12.75" customHeight="1">
      <c r="A519" s="51" t="s">
        <v>877</v>
      </c>
      <c r="B519" s="18" t="s">
        <v>876</v>
      </c>
      <c r="C519" s="18" t="s">
        <v>403</v>
      </c>
      <c r="D519" s="18" t="s">
        <v>861</v>
      </c>
      <c r="E519" s="18" t="s">
        <v>860</v>
      </c>
      <c r="F519" s="16" t="s">
        <v>859</v>
      </c>
      <c r="G519" s="16" t="s">
        <v>858</v>
      </c>
      <c r="H519" s="19" t="s">
        <v>396</v>
      </c>
      <c r="I519" s="19" t="s">
        <v>396</v>
      </c>
      <c r="J519" s="18" t="s">
        <v>875</v>
      </c>
      <c r="K519" s="18" t="s">
        <v>874</v>
      </c>
      <c r="L519" s="18" t="s">
        <v>478</v>
      </c>
      <c r="M519" s="18" t="s">
        <v>482</v>
      </c>
      <c r="N519" s="18" t="s">
        <v>481</v>
      </c>
      <c r="O519" s="18" t="s">
        <v>480</v>
      </c>
      <c r="P519" s="18" t="s">
        <v>479</v>
      </c>
      <c r="Q519" s="18" t="s">
        <v>478</v>
      </c>
      <c r="R519" s="18"/>
      <c r="S519" s="19" t="s">
        <v>396</v>
      </c>
      <c r="T519" s="18">
        <v>3.9</v>
      </c>
      <c r="U519" s="19" t="s">
        <v>396</v>
      </c>
      <c r="V519" s="18">
        <v>25</v>
      </c>
      <c r="W519" s="19" t="s">
        <v>396</v>
      </c>
      <c r="X519" s="19" t="s">
        <v>396</v>
      </c>
      <c r="Y519" s="19" t="s">
        <v>396</v>
      </c>
      <c r="Z519" s="49">
        <v>50</v>
      </c>
      <c r="AA519" s="19" t="s">
        <v>396</v>
      </c>
      <c r="AB519" s="19" t="s">
        <v>396</v>
      </c>
      <c r="AC519" s="19" t="s">
        <v>396</v>
      </c>
      <c r="AD519" s="19" t="s">
        <v>396</v>
      </c>
      <c r="AE519" s="19" t="s">
        <v>396</v>
      </c>
      <c r="AF519" s="19" t="s">
        <v>396</v>
      </c>
      <c r="AG519" s="19" t="s">
        <v>396</v>
      </c>
      <c r="AH519" s="19" t="s">
        <v>396</v>
      </c>
      <c r="AI519" s="19" t="s">
        <v>396</v>
      </c>
      <c r="AJ519" s="19" t="s">
        <v>396</v>
      </c>
      <c r="AK519" s="18" t="s">
        <v>735</v>
      </c>
      <c r="AL519" s="15">
        <v>5413218567732</v>
      </c>
      <c r="AM519" s="15" t="s">
        <v>735</v>
      </c>
      <c r="AN519" s="5"/>
      <c r="AO519" s="6"/>
      <c r="AP519" s="6"/>
      <c r="AQ519" s="6" t="s">
        <v>873</v>
      </c>
      <c r="AR519" s="6" t="s">
        <v>872</v>
      </c>
      <c r="AS519" s="6" t="s">
        <v>871</v>
      </c>
    </row>
    <row r="520" spans="1:45" s="16" customFormat="1" ht="12.75" customHeight="1">
      <c r="A520" s="51" t="s">
        <v>870</v>
      </c>
      <c r="B520" s="18" t="s">
        <v>869</v>
      </c>
      <c r="C520" s="18" t="s">
        <v>403</v>
      </c>
      <c r="D520" s="18" t="s">
        <v>861</v>
      </c>
      <c r="E520" s="18" t="s">
        <v>860</v>
      </c>
      <c r="F520" s="16" t="s">
        <v>859</v>
      </c>
      <c r="G520" s="16" t="s">
        <v>858</v>
      </c>
      <c r="H520" s="19" t="s">
        <v>396</v>
      </c>
      <c r="I520" s="19" t="s">
        <v>396</v>
      </c>
      <c r="J520" s="18" t="s">
        <v>868</v>
      </c>
      <c r="K520" s="18" t="s">
        <v>867</v>
      </c>
      <c r="L520" s="18" t="s">
        <v>478</v>
      </c>
      <c r="M520" s="18" t="s">
        <v>482</v>
      </c>
      <c r="N520" s="18" t="s">
        <v>481</v>
      </c>
      <c r="O520" s="18" t="s">
        <v>480</v>
      </c>
      <c r="P520" s="18" t="s">
        <v>479</v>
      </c>
      <c r="Q520" s="18" t="s">
        <v>478</v>
      </c>
      <c r="R520" s="18"/>
      <c r="S520" s="19" t="s">
        <v>396</v>
      </c>
      <c r="T520" s="18">
        <v>3.9</v>
      </c>
      <c r="U520" s="19" t="s">
        <v>396</v>
      </c>
      <c r="V520" s="18">
        <v>34</v>
      </c>
      <c r="W520" s="19" t="s">
        <v>396</v>
      </c>
      <c r="X520" s="19" t="s">
        <v>396</v>
      </c>
      <c r="Y520" s="19" t="s">
        <v>396</v>
      </c>
      <c r="Z520" s="49">
        <v>50</v>
      </c>
      <c r="AA520" s="19" t="s">
        <v>396</v>
      </c>
      <c r="AB520" s="19" t="s">
        <v>396</v>
      </c>
      <c r="AC520" s="19" t="s">
        <v>396</v>
      </c>
      <c r="AD520" s="19" t="s">
        <v>396</v>
      </c>
      <c r="AE520" s="19" t="s">
        <v>396</v>
      </c>
      <c r="AF520" s="19" t="s">
        <v>396</v>
      </c>
      <c r="AG520" s="19" t="s">
        <v>396</v>
      </c>
      <c r="AH520" s="19" t="s">
        <v>396</v>
      </c>
      <c r="AI520" s="19" t="s">
        <v>396</v>
      </c>
      <c r="AJ520" s="19" t="s">
        <v>396</v>
      </c>
      <c r="AK520" s="18" t="s">
        <v>735</v>
      </c>
      <c r="AL520" s="15">
        <v>5413218567749</v>
      </c>
      <c r="AM520" s="15" t="s">
        <v>735</v>
      </c>
      <c r="AN520" s="5"/>
      <c r="AO520" s="6"/>
      <c r="AP520" s="6"/>
      <c r="AQ520" s="6" t="s">
        <v>866</v>
      </c>
      <c r="AR520" s="6" t="s">
        <v>865</v>
      </c>
      <c r="AS520" s="6" t="s">
        <v>864</v>
      </c>
    </row>
    <row r="521" spans="1:45" s="16" customFormat="1" ht="12.75" customHeight="1">
      <c r="A521" s="51" t="s">
        <v>863</v>
      </c>
      <c r="B521" s="18" t="s">
        <v>862</v>
      </c>
      <c r="C521" s="18" t="s">
        <v>403</v>
      </c>
      <c r="D521" s="18" t="s">
        <v>861</v>
      </c>
      <c r="E521" s="18" t="s">
        <v>860</v>
      </c>
      <c r="F521" s="16" t="s">
        <v>859</v>
      </c>
      <c r="G521" s="16" t="s">
        <v>858</v>
      </c>
      <c r="H521" s="19" t="s">
        <v>396</v>
      </c>
      <c r="I521" s="19" t="s">
        <v>396</v>
      </c>
      <c r="J521" s="18" t="s">
        <v>857</v>
      </c>
      <c r="K521" s="18" t="s">
        <v>856</v>
      </c>
      <c r="L521" s="18" t="s">
        <v>478</v>
      </c>
      <c r="M521" s="18" t="s">
        <v>482</v>
      </c>
      <c r="N521" s="18" t="s">
        <v>481</v>
      </c>
      <c r="O521" s="18" t="s">
        <v>480</v>
      </c>
      <c r="P521" s="18" t="s">
        <v>479</v>
      </c>
      <c r="Q521" s="18" t="s">
        <v>478</v>
      </c>
      <c r="R521" s="18"/>
      <c r="S521" s="19" t="s">
        <v>396</v>
      </c>
      <c r="T521" s="18">
        <v>3.9</v>
      </c>
      <c r="U521" s="19" t="s">
        <v>396</v>
      </c>
      <c r="V521" s="18">
        <v>45</v>
      </c>
      <c r="W521" s="19" t="s">
        <v>396</v>
      </c>
      <c r="X521" s="19" t="s">
        <v>396</v>
      </c>
      <c r="Y521" s="19" t="s">
        <v>396</v>
      </c>
      <c r="Z521" s="49">
        <v>50</v>
      </c>
      <c r="AA521" s="19" t="s">
        <v>396</v>
      </c>
      <c r="AB521" s="19" t="s">
        <v>396</v>
      </c>
      <c r="AC521" s="19" t="s">
        <v>396</v>
      </c>
      <c r="AD521" s="19" t="s">
        <v>396</v>
      </c>
      <c r="AE521" s="19" t="s">
        <v>396</v>
      </c>
      <c r="AF521" s="19" t="s">
        <v>396</v>
      </c>
      <c r="AG521" s="19" t="s">
        <v>396</v>
      </c>
      <c r="AH521" s="19" t="s">
        <v>396</v>
      </c>
      <c r="AI521" s="19" t="s">
        <v>396</v>
      </c>
      <c r="AJ521" s="19" t="s">
        <v>396</v>
      </c>
      <c r="AK521" s="18" t="s">
        <v>735</v>
      </c>
      <c r="AL521" s="15">
        <v>5413218567756</v>
      </c>
      <c r="AM521" s="15" t="s">
        <v>735</v>
      </c>
      <c r="AN521" s="5"/>
      <c r="AO521" s="6"/>
      <c r="AP521" s="6"/>
      <c r="AQ521" s="6" t="s">
        <v>855</v>
      </c>
      <c r="AR521" s="6" t="s">
        <v>854</v>
      </c>
      <c r="AS521" s="6" t="s">
        <v>853</v>
      </c>
    </row>
    <row r="522" spans="1:45" s="5" customFormat="1" ht="12.75" customHeight="1">
      <c r="A522" s="5" t="s">
        <v>852</v>
      </c>
      <c r="B522" s="6" t="s">
        <v>396</v>
      </c>
      <c r="C522" s="31" t="s">
        <v>403</v>
      </c>
      <c r="D522" s="6" t="s">
        <v>839</v>
      </c>
      <c r="E522" s="6" t="s">
        <v>838</v>
      </c>
      <c r="F522" s="5" t="s">
        <v>837</v>
      </c>
      <c r="G522" s="5" t="s">
        <v>836</v>
      </c>
      <c r="H522" s="27" t="s">
        <v>396</v>
      </c>
      <c r="I522" s="27" t="s">
        <v>396</v>
      </c>
      <c r="J522" s="6" t="s">
        <v>851</v>
      </c>
      <c r="K522" s="6" t="s">
        <v>850</v>
      </c>
      <c r="L522" s="6" t="s">
        <v>478</v>
      </c>
      <c r="M522" s="6" t="s">
        <v>833</v>
      </c>
      <c r="N522" s="6" t="s">
        <v>481</v>
      </c>
      <c r="O522" s="6" t="s">
        <v>480</v>
      </c>
      <c r="P522" s="6" t="s">
        <v>479</v>
      </c>
      <c r="Q522" s="6" t="s">
        <v>478</v>
      </c>
      <c r="R522" s="6"/>
      <c r="S522" s="27" t="s">
        <v>396</v>
      </c>
      <c r="T522" s="6">
        <v>3.5</v>
      </c>
      <c r="U522" s="27" t="s">
        <v>396</v>
      </c>
      <c r="V522" s="6">
        <v>25</v>
      </c>
      <c r="W522" s="27" t="s">
        <v>396</v>
      </c>
      <c r="X522" s="27" t="s">
        <v>396</v>
      </c>
      <c r="Y522" s="27" t="s">
        <v>396</v>
      </c>
      <c r="Z522" s="39">
        <v>50</v>
      </c>
      <c r="AA522" s="27" t="s">
        <v>396</v>
      </c>
      <c r="AB522" s="27" t="s">
        <v>396</v>
      </c>
      <c r="AC522" s="27" t="s">
        <v>396</v>
      </c>
      <c r="AD522" s="27" t="s">
        <v>396</v>
      </c>
      <c r="AE522" s="27" t="s">
        <v>396</v>
      </c>
      <c r="AF522" s="27" t="s">
        <v>396</v>
      </c>
      <c r="AG522" s="27" t="s">
        <v>396</v>
      </c>
      <c r="AH522" s="27" t="s">
        <v>396</v>
      </c>
      <c r="AI522" s="27" t="s">
        <v>396</v>
      </c>
      <c r="AJ522" s="27" t="s">
        <v>396</v>
      </c>
      <c r="AK522" s="6" t="s">
        <v>735</v>
      </c>
      <c r="AL522" s="17">
        <v>5413218565646</v>
      </c>
      <c r="AM522" s="15" t="s">
        <v>735</v>
      </c>
      <c r="AN522" s="5">
        <v>73181410</v>
      </c>
      <c r="AO522" s="6" t="s">
        <v>477</v>
      </c>
      <c r="AP522" s="6" t="s">
        <v>476</v>
      </c>
      <c r="AQ522" s="6" t="s">
        <v>849</v>
      </c>
      <c r="AR522" s="6" t="s">
        <v>848</v>
      </c>
      <c r="AS522" s="6" t="s">
        <v>847</v>
      </c>
    </row>
    <row r="523" spans="1:45" s="5" customFormat="1" ht="12.75" customHeight="1">
      <c r="A523" s="5" t="s">
        <v>846</v>
      </c>
      <c r="B523" s="6" t="s">
        <v>396</v>
      </c>
      <c r="C523" s="31" t="s">
        <v>403</v>
      </c>
      <c r="D523" s="6" t="s">
        <v>839</v>
      </c>
      <c r="E523" s="6" t="s">
        <v>838</v>
      </c>
      <c r="F523" s="5" t="s">
        <v>837</v>
      </c>
      <c r="G523" s="5" t="s">
        <v>836</v>
      </c>
      <c r="H523" s="27" t="s">
        <v>396</v>
      </c>
      <c r="I523" s="27" t="s">
        <v>396</v>
      </c>
      <c r="J523" s="6" t="s">
        <v>845</v>
      </c>
      <c r="K523" s="6" t="s">
        <v>844</v>
      </c>
      <c r="L523" s="6" t="s">
        <v>478</v>
      </c>
      <c r="M523" s="6" t="s">
        <v>833</v>
      </c>
      <c r="N523" s="6" t="s">
        <v>481</v>
      </c>
      <c r="O523" s="6" t="s">
        <v>480</v>
      </c>
      <c r="P523" s="6" t="s">
        <v>479</v>
      </c>
      <c r="Q523" s="6" t="s">
        <v>478</v>
      </c>
      <c r="R523" s="6"/>
      <c r="S523" s="27" t="s">
        <v>396</v>
      </c>
      <c r="T523" s="6">
        <v>3.5</v>
      </c>
      <c r="U523" s="27" t="s">
        <v>396</v>
      </c>
      <c r="V523" s="6">
        <v>34</v>
      </c>
      <c r="W523" s="27" t="s">
        <v>396</v>
      </c>
      <c r="X523" s="27" t="s">
        <v>396</v>
      </c>
      <c r="Y523" s="27" t="s">
        <v>396</v>
      </c>
      <c r="Z523" s="39">
        <v>50</v>
      </c>
      <c r="AA523" s="27" t="s">
        <v>396</v>
      </c>
      <c r="AB523" s="27" t="s">
        <v>396</v>
      </c>
      <c r="AC523" s="27" t="s">
        <v>396</v>
      </c>
      <c r="AD523" s="27" t="s">
        <v>396</v>
      </c>
      <c r="AE523" s="27" t="s">
        <v>396</v>
      </c>
      <c r="AF523" s="27" t="s">
        <v>396</v>
      </c>
      <c r="AG523" s="27" t="s">
        <v>396</v>
      </c>
      <c r="AH523" s="27" t="s">
        <v>396</v>
      </c>
      <c r="AI523" s="27" t="s">
        <v>396</v>
      </c>
      <c r="AJ523" s="27" t="s">
        <v>396</v>
      </c>
      <c r="AK523" s="6" t="s">
        <v>735</v>
      </c>
      <c r="AL523" s="17">
        <v>5413218565653</v>
      </c>
      <c r="AM523" s="15" t="s">
        <v>735</v>
      </c>
      <c r="AN523" s="5">
        <v>73181410</v>
      </c>
      <c r="AO523" s="6" t="s">
        <v>477</v>
      </c>
      <c r="AP523" s="6" t="s">
        <v>476</v>
      </c>
      <c r="AQ523" s="6" t="s">
        <v>843</v>
      </c>
      <c r="AR523" s="6" t="s">
        <v>842</v>
      </c>
      <c r="AS523" s="6" t="s">
        <v>841</v>
      </c>
    </row>
    <row r="524" spans="1:45" s="5" customFormat="1" ht="12.75" customHeight="1">
      <c r="A524" s="5" t="s">
        <v>840</v>
      </c>
      <c r="B524" s="6" t="s">
        <v>396</v>
      </c>
      <c r="C524" s="31" t="s">
        <v>403</v>
      </c>
      <c r="D524" s="6" t="s">
        <v>839</v>
      </c>
      <c r="E524" s="6" t="s">
        <v>838</v>
      </c>
      <c r="F524" s="5" t="s">
        <v>837</v>
      </c>
      <c r="G524" s="5" t="s">
        <v>836</v>
      </c>
      <c r="H524" s="27" t="s">
        <v>396</v>
      </c>
      <c r="I524" s="27" t="s">
        <v>396</v>
      </c>
      <c r="J524" s="6" t="s">
        <v>835</v>
      </c>
      <c r="K524" s="6" t="s">
        <v>834</v>
      </c>
      <c r="L524" s="6" t="s">
        <v>478</v>
      </c>
      <c r="M524" s="6" t="s">
        <v>833</v>
      </c>
      <c r="N524" s="6" t="s">
        <v>481</v>
      </c>
      <c r="O524" s="6" t="s">
        <v>480</v>
      </c>
      <c r="P524" s="6" t="s">
        <v>479</v>
      </c>
      <c r="Q524" s="6" t="s">
        <v>478</v>
      </c>
      <c r="R524" s="6"/>
      <c r="S524" s="27" t="s">
        <v>396</v>
      </c>
      <c r="T524" s="6">
        <v>3.5</v>
      </c>
      <c r="U524" s="27" t="s">
        <v>396</v>
      </c>
      <c r="V524" s="6">
        <v>45</v>
      </c>
      <c r="W524" s="27" t="s">
        <v>396</v>
      </c>
      <c r="X524" s="27" t="s">
        <v>396</v>
      </c>
      <c r="Y524" s="27" t="s">
        <v>396</v>
      </c>
      <c r="Z524" s="39">
        <v>50</v>
      </c>
      <c r="AA524" s="27" t="s">
        <v>396</v>
      </c>
      <c r="AB524" s="27" t="s">
        <v>396</v>
      </c>
      <c r="AC524" s="27" t="s">
        <v>396</v>
      </c>
      <c r="AD524" s="27" t="s">
        <v>396</v>
      </c>
      <c r="AE524" s="27" t="s">
        <v>396</v>
      </c>
      <c r="AF524" s="27" t="s">
        <v>396</v>
      </c>
      <c r="AG524" s="27" t="s">
        <v>396</v>
      </c>
      <c r="AH524" s="27" t="s">
        <v>396</v>
      </c>
      <c r="AI524" s="27" t="s">
        <v>396</v>
      </c>
      <c r="AJ524" s="27" t="s">
        <v>396</v>
      </c>
      <c r="AK524" s="6" t="s">
        <v>735</v>
      </c>
      <c r="AL524" s="17">
        <v>5413218565660</v>
      </c>
      <c r="AM524" s="15" t="s">
        <v>735</v>
      </c>
      <c r="AN524" s="5">
        <v>73181410</v>
      </c>
      <c r="AO524" s="6" t="s">
        <v>477</v>
      </c>
      <c r="AP524" s="6" t="s">
        <v>476</v>
      </c>
      <c r="AQ524" s="6" t="s">
        <v>832</v>
      </c>
      <c r="AR524" s="6" t="s">
        <v>831</v>
      </c>
      <c r="AS524" s="6" t="s">
        <v>830</v>
      </c>
    </row>
    <row r="525" spans="1:45" s="5" customFormat="1" ht="12.75" customHeight="1">
      <c r="A525" s="5" t="s">
        <v>829</v>
      </c>
      <c r="B525" s="6" t="s">
        <v>396</v>
      </c>
      <c r="C525" s="31" t="s">
        <v>403</v>
      </c>
      <c r="D525" s="6" t="s">
        <v>816</v>
      </c>
      <c r="E525" s="6" t="s">
        <v>815</v>
      </c>
      <c r="F525" s="5" t="s">
        <v>814</v>
      </c>
      <c r="G525" s="5" t="s">
        <v>813</v>
      </c>
      <c r="H525" s="27" t="s">
        <v>396</v>
      </c>
      <c r="I525" s="27" t="s">
        <v>396</v>
      </c>
      <c r="J525" s="6" t="s">
        <v>828</v>
      </c>
      <c r="K525" s="6" t="s">
        <v>827</v>
      </c>
      <c r="L525" s="6" t="s">
        <v>478</v>
      </c>
      <c r="M525" s="6" t="s">
        <v>810</v>
      </c>
      <c r="N525" s="6" t="s">
        <v>481</v>
      </c>
      <c r="O525" s="6" t="s">
        <v>480</v>
      </c>
      <c r="P525" s="6" t="s">
        <v>479</v>
      </c>
      <c r="Q525" s="6" t="s">
        <v>478</v>
      </c>
      <c r="R525" s="6"/>
      <c r="S525" s="27" t="s">
        <v>396</v>
      </c>
      <c r="T525" s="6">
        <v>3.9</v>
      </c>
      <c r="U525" s="27" t="s">
        <v>396</v>
      </c>
      <c r="V525" s="6">
        <v>19</v>
      </c>
      <c r="W525" s="27" t="s">
        <v>396</v>
      </c>
      <c r="X525" s="27" t="s">
        <v>396</v>
      </c>
      <c r="Y525" s="27" t="s">
        <v>396</v>
      </c>
      <c r="Z525" s="39">
        <v>50</v>
      </c>
      <c r="AA525" s="27" t="s">
        <v>396</v>
      </c>
      <c r="AB525" s="27" t="s">
        <v>396</v>
      </c>
      <c r="AC525" s="27" t="s">
        <v>396</v>
      </c>
      <c r="AD525" s="27" t="s">
        <v>396</v>
      </c>
      <c r="AE525" s="27" t="s">
        <v>396</v>
      </c>
      <c r="AF525" s="27" t="s">
        <v>396</v>
      </c>
      <c r="AG525" s="27" t="s">
        <v>396</v>
      </c>
      <c r="AH525" s="27" t="s">
        <v>396</v>
      </c>
      <c r="AI525" s="27" t="s">
        <v>396</v>
      </c>
      <c r="AJ525" s="27" t="s">
        <v>396</v>
      </c>
      <c r="AK525" s="6" t="s">
        <v>735</v>
      </c>
      <c r="AL525" s="17">
        <v>5413218566803</v>
      </c>
      <c r="AM525" s="15" t="s">
        <v>735</v>
      </c>
      <c r="AN525" s="5">
        <v>73181541</v>
      </c>
      <c r="AO525" s="6" t="s">
        <v>477</v>
      </c>
      <c r="AP525" s="6" t="s">
        <v>476</v>
      </c>
      <c r="AQ525" s="6"/>
      <c r="AR525" s="6"/>
      <c r="AS525" s="6" t="s">
        <v>826</v>
      </c>
    </row>
    <row r="526" spans="1:45" s="5" customFormat="1" ht="12.75" customHeight="1">
      <c r="A526" s="5" t="s">
        <v>825</v>
      </c>
      <c r="B526" s="6" t="s">
        <v>396</v>
      </c>
      <c r="C526" s="31" t="s">
        <v>403</v>
      </c>
      <c r="D526" s="6" t="s">
        <v>816</v>
      </c>
      <c r="E526" s="6" t="s">
        <v>815</v>
      </c>
      <c r="F526" s="5" t="s">
        <v>814</v>
      </c>
      <c r="G526" s="5" t="s">
        <v>813</v>
      </c>
      <c r="H526" s="27" t="s">
        <v>396</v>
      </c>
      <c r="I526" s="27" t="s">
        <v>396</v>
      </c>
      <c r="J526" s="6" t="s">
        <v>824</v>
      </c>
      <c r="K526" s="6" t="s">
        <v>823</v>
      </c>
      <c r="L526" s="6" t="s">
        <v>478</v>
      </c>
      <c r="M526" s="6" t="s">
        <v>810</v>
      </c>
      <c r="N526" s="6" t="s">
        <v>481</v>
      </c>
      <c r="O526" s="6" t="s">
        <v>480</v>
      </c>
      <c r="P526" s="6" t="s">
        <v>479</v>
      </c>
      <c r="Q526" s="6" t="s">
        <v>478</v>
      </c>
      <c r="R526" s="6"/>
      <c r="S526" s="27" t="s">
        <v>396</v>
      </c>
      <c r="T526" s="6">
        <v>3.9</v>
      </c>
      <c r="U526" s="27" t="s">
        <v>396</v>
      </c>
      <c r="V526" s="6">
        <v>22</v>
      </c>
      <c r="W526" s="27" t="s">
        <v>396</v>
      </c>
      <c r="X526" s="27" t="s">
        <v>396</v>
      </c>
      <c r="Y526" s="27" t="s">
        <v>396</v>
      </c>
      <c r="Z526" s="39">
        <v>50</v>
      </c>
      <c r="AA526" s="27" t="s">
        <v>396</v>
      </c>
      <c r="AB526" s="27" t="s">
        <v>396</v>
      </c>
      <c r="AC526" s="27" t="s">
        <v>396</v>
      </c>
      <c r="AD526" s="27" t="s">
        <v>396</v>
      </c>
      <c r="AE526" s="27" t="s">
        <v>396</v>
      </c>
      <c r="AF526" s="27" t="s">
        <v>396</v>
      </c>
      <c r="AG526" s="27" t="s">
        <v>396</v>
      </c>
      <c r="AH526" s="27" t="s">
        <v>396</v>
      </c>
      <c r="AI526" s="27" t="s">
        <v>396</v>
      </c>
      <c r="AJ526" s="27" t="s">
        <v>396</v>
      </c>
      <c r="AK526" s="6" t="s">
        <v>735</v>
      </c>
      <c r="AL526" s="17">
        <v>5413218566810</v>
      </c>
      <c r="AM526" s="15" t="s">
        <v>735</v>
      </c>
      <c r="AN526" s="5">
        <v>73181541</v>
      </c>
      <c r="AO526" s="6" t="s">
        <v>477</v>
      </c>
      <c r="AP526" s="6" t="s">
        <v>476</v>
      </c>
      <c r="AQ526" s="6"/>
      <c r="AR526" s="6"/>
      <c r="AS526" s="6" t="s">
        <v>822</v>
      </c>
    </row>
    <row r="527" spans="1:45" s="16" customFormat="1" ht="12.75" customHeight="1">
      <c r="A527" s="51" t="s">
        <v>821</v>
      </c>
      <c r="B527" s="18" t="s">
        <v>396</v>
      </c>
      <c r="C527" s="18" t="s">
        <v>403</v>
      </c>
      <c r="D527" s="18" t="s">
        <v>816</v>
      </c>
      <c r="E527" s="18" t="s">
        <v>815</v>
      </c>
      <c r="F527" s="16" t="s">
        <v>814</v>
      </c>
      <c r="G527" s="16" t="s">
        <v>813</v>
      </c>
      <c r="H527" s="19" t="s">
        <v>396</v>
      </c>
      <c r="I527" s="19" t="s">
        <v>396</v>
      </c>
      <c r="J527" s="18" t="s">
        <v>820</v>
      </c>
      <c r="K527" s="18" t="s">
        <v>819</v>
      </c>
      <c r="L527" s="18" t="s">
        <v>478</v>
      </c>
      <c r="M527" s="18" t="s">
        <v>810</v>
      </c>
      <c r="N527" s="18" t="s">
        <v>481</v>
      </c>
      <c r="O527" s="18" t="s">
        <v>480</v>
      </c>
      <c r="P527" s="18" t="s">
        <v>479</v>
      </c>
      <c r="Q527" s="18" t="s">
        <v>478</v>
      </c>
      <c r="R527" s="18"/>
      <c r="S527" s="19" t="s">
        <v>396</v>
      </c>
      <c r="T527" s="18">
        <v>3.9</v>
      </c>
      <c r="U527" s="19" t="s">
        <v>396</v>
      </c>
      <c r="V527" s="18">
        <v>30</v>
      </c>
      <c r="W527" s="19" t="s">
        <v>396</v>
      </c>
      <c r="X527" s="19" t="s">
        <v>396</v>
      </c>
      <c r="Y527" s="19" t="s">
        <v>396</v>
      </c>
      <c r="Z527" s="49">
        <v>50</v>
      </c>
      <c r="AA527" s="19" t="s">
        <v>396</v>
      </c>
      <c r="AB527" s="19" t="s">
        <v>396</v>
      </c>
      <c r="AC527" s="19" t="s">
        <v>396</v>
      </c>
      <c r="AD527" s="19" t="s">
        <v>396</v>
      </c>
      <c r="AE527" s="19" t="s">
        <v>396</v>
      </c>
      <c r="AF527" s="19" t="s">
        <v>396</v>
      </c>
      <c r="AG527" s="19" t="s">
        <v>396</v>
      </c>
      <c r="AH527" s="19" t="s">
        <v>396</v>
      </c>
      <c r="AI527" s="19" t="s">
        <v>396</v>
      </c>
      <c r="AJ527" s="19" t="s">
        <v>396</v>
      </c>
      <c r="AK527" s="18" t="s">
        <v>735</v>
      </c>
      <c r="AL527" s="15">
        <v>8711149990498</v>
      </c>
      <c r="AM527" s="15" t="s">
        <v>735</v>
      </c>
      <c r="AN527" s="5"/>
      <c r="AO527" s="6"/>
      <c r="AP527" s="6"/>
      <c r="AQ527" s="6"/>
      <c r="AR527" s="6"/>
      <c r="AS527" s="6" t="s">
        <v>818</v>
      </c>
    </row>
    <row r="528" spans="1:45" s="16" customFormat="1" ht="12.75" customHeight="1">
      <c r="A528" s="51" t="s">
        <v>817</v>
      </c>
      <c r="B528" s="18" t="s">
        <v>396</v>
      </c>
      <c r="C528" s="18" t="s">
        <v>403</v>
      </c>
      <c r="D528" s="18" t="s">
        <v>816</v>
      </c>
      <c r="E528" s="18" t="s">
        <v>815</v>
      </c>
      <c r="F528" s="16" t="s">
        <v>814</v>
      </c>
      <c r="G528" s="16" t="s">
        <v>813</v>
      </c>
      <c r="H528" s="19" t="s">
        <v>396</v>
      </c>
      <c r="I528" s="19" t="s">
        <v>396</v>
      </c>
      <c r="J528" s="18" t="s">
        <v>812</v>
      </c>
      <c r="K528" s="18" t="s">
        <v>811</v>
      </c>
      <c r="L528" s="18" t="s">
        <v>478</v>
      </c>
      <c r="M528" s="18" t="s">
        <v>810</v>
      </c>
      <c r="N528" s="18" t="s">
        <v>481</v>
      </c>
      <c r="O528" s="18" t="s">
        <v>480</v>
      </c>
      <c r="P528" s="18" t="s">
        <v>479</v>
      </c>
      <c r="Q528" s="18" t="s">
        <v>478</v>
      </c>
      <c r="R528" s="18"/>
      <c r="S528" s="19" t="s">
        <v>396</v>
      </c>
      <c r="T528" s="18">
        <v>3.9</v>
      </c>
      <c r="U528" s="19" t="s">
        <v>396</v>
      </c>
      <c r="V528" s="18">
        <v>45</v>
      </c>
      <c r="W528" s="19" t="s">
        <v>396</v>
      </c>
      <c r="X528" s="19" t="s">
        <v>396</v>
      </c>
      <c r="Y528" s="19" t="s">
        <v>396</v>
      </c>
      <c r="Z528" s="49">
        <v>50</v>
      </c>
      <c r="AA528" s="19" t="s">
        <v>396</v>
      </c>
      <c r="AB528" s="19" t="s">
        <v>396</v>
      </c>
      <c r="AC528" s="19" t="s">
        <v>396</v>
      </c>
      <c r="AD528" s="19" t="s">
        <v>396</v>
      </c>
      <c r="AE528" s="19" t="s">
        <v>396</v>
      </c>
      <c r="AF528" s="19" t="s">
        <v>396</v>
      </c>
      <c r="AG528" s="19" t="s">
        <v>396</v>
      </c>
      <c r="AH528" s="19" t="s">
        <v>396</v>
      </c>
      <c r="AI528" s="19" t="s">
        <v>396</v>
      </c>
      <c r="AJ528" s="19" t="s">
        <v>396</v>
      </c>
      <c r="AK528" s="18" t="s">
        <v>735</v>
      </c>
      <c r="AL528" s="15">
        <v>8711149990504</v>
      </c>
      <c r="AM528" s="15" t="s">
        <v>735</v>
      </c>
      <c r="AN528" s="5"/>
      <c r="AO528" s="6"/>
      <c r="AP528" s="6"/>
      <c r="AQ528" s="6"/>
      <c r="AR528" s="6"/>
      <c r="AS528" s="6" t="s">
        <v>809</v>
      </c>
    </row>
    <row r="529" spans="1:45" s="16" customFormat="1" ht="12.75" customHeight="1">
      <c r="A529" s="51" t="s">
        <v>808</v>
      </c>
      <c r="B529" s="18" t="s">
        <v>396</v>
      </c>
      <c r="C529" s="18" t="s">
        <v>403</v>
      </c>
      <c r="D529" s="18" t="s">
        <v>804</v>
      </c>
      <c r="E529" s="18" t="s">
        <v>803</v>
      </c>
      <c r="H529" s="19" t="s">
        <v>396</v>
      </c>
      <c r="I529" s="19" t="s">
        <v>396</v>
      </c>
      <c r="J529" s="18" t="s">
        <v>807</v>
      </c>
      <c r="K529" s="18" t="s">
        <v>806</v>
      </c>
      <c r="L529" s="18" t="s">
        <v>478</v>
      </c>
      <c r="M529" s="18"/>
      <c r="N529" s="18" t="s">
        <v>481</v>
      </c>
      <c r="O529" s="18" t="s">
        <v>480</v>
      </c>
      <c r="P529" s="18" t="s">
        <v>479</v>
      </c>
      <c r="Q529" s="18" t="s">
        <v>478</v>
      </c>
      <c r="R529" s="18"/>
      <c r="S529" s="19" t="s">
        <v>396</v>
      </c>
      <c r="T529" s="18">
        <v>3.5</v>
      </c>
      <c r="U529" s="19" t="s">
        <v>396</v>
      </c>
      <c r="V529" s="18">
        <v>25</v>
      </c>
      <c r="W529" s="19" t="s">
        <v>396</v>
      </c>
      <c r="X529" s="19" t="s">
        <v>396</v>
      </c>
      <c r="Y529" s="19" t="s">
        <v>396</v>
      </c>
      <c r="Z529" s="49">
        <v>50</v>
      </c>
      <c r="AA529" s="19" t="s">
        <v>396</v>
      </c>
      <c r="AB529" s="19" t="s">
        <v>396</v>
      </c>
      <c r="AC529" s="19" t="s">
        <v>396</v>
      </c>
      <c r="AD529" s="19" t="s">
        <v>396</v>
      </c>
      <c r="AE529" s="19" t="s">
        <v>396</v>
      </c>
      <c r="AF529" s="19" t="s">
        <v>396</v>
      </c>
      <c r="AG529" s="19" t="s">
        <v>396</v>
      </c>
      <c r="AH529" s="19" t="s">
        <v>396</v>
      </c>
      <c r="AI529" s="19" t="s">
        <v>396</v>
      </c>
      <c r="AJ529" s="19" t="s">
        <v>396</v>
      </c>
      <c r="AK529" s="18" t="s">
        <v>735</v>
      </c>
      <c r="AL529" s="15">
        <v>4002806927679</v>
      </c>
      <c r="AM529" s="15" t="s">
        <v>735</v>
      </c>
      <c r="AN529" s="5"/>
      <c r="AO529" s="6"/>
      <c r="AP529" s="6"/>
      <c r="AQ529" s="6"/>
      <c r="AR529" s="6"/>
      <c r="AS529" s="6"/>
    </row>
    <row r="530" spans="1:45" s="16" customFormat="1" ht="12.75" customHeight="1">
      <c r="A530" s="51" t="s">
        <v>805</v>
      </c>
      <c r="B530" s="18" t="s">
        <v>396</v>
      </c>
      <c r="C530" s="18" t="s">
        <v>403</v>
      </c>
      <c r="D530" s="18" t="s">
        <v>804</v>
      </c>
      <c r="E530" s="18" t="s">
        <v>803</v>
      </c>
      <c r="H530" s="19" t="s">
        <v>396</v>
      </c>
      <c r="I530" s="19" t="s">
        <v>396</v>
      </c>
      <c r="J530" s="18" t="s">
        <v>802</v>
      </c>
      <c r="K530" s="18" t="s">
        <v>801</v>
      </c>
      <c r="L530" s="18" t="s">
        <v>478</v>
      </c>
      <c r="M530" s="18"/>
      <c r="N530" s="18" t="s">
        <v>481</v>
      </c>
      <c r="O530" s="18" t="s">
        <v>480</v>
      </c>
      <c r="P530" s="18" t="s">
        <v>479</v>
      </c>
      <c r="Q530" s="18" t="s">
        <v>478</v>
      </c>
      <c r="R530" s="18"/>
      <c r="S530" s="19" t="s">
        <v>396</v>
      </c>
      <c r="T530" s="18">
        <v>3.5</v>
      </c>
      <c r="U530" s="19" t="s">
        <v>396</v>
      </c>
      <c r="V530" s="18">
        <v>35</v>
      </c>
      <c r="W530" s="19" t="s">
        <v>396</v>
      </c>
      <c r="X530" s="19" t="s">
        <v>396</v>
      </c>
      <c r="Y530" s="19" t="s">
        <v>396</v>
      </c>
      <c r="Z530" s="49">
        <v>50</v>
      </c>
      <c r="AA530" s="19" t="s">
        <v>396</v>
      </c>
      <c r="AB530" s="19" t="s">
        <v>396</v>
      </c>
      <c r="AC530" s="19" t="s">
        <v>396</v>
      </c>
      <c r="AD530" s="19" t="s">
        <v>396</v>
      </c>
      <c r="AE530" s="19" t="s">
        <v>396</v>
      </c>
      <c r="AF530" s="19" t="s">
        <v>396</v>
      </c>
      <c r="AG530" s="19" t="s">
        <v>396</v>
      </c>
      <c r="AH530" s="19" t="s">
        <v>396</v>
      </c>
      <c r="AI530" s="19" t="s">
        <v>396</v>
      </c>
      <c r="AJ530" s="19" t="s">
        <v>396</v>
      </c>
      <c r="AK530" s="18" t="s">
        <v>735</v>
      </c>
      <c r="AL530" s="15">
        <v>4002806927686</v>
      </c>
      <c r="AM530" s="15" t="s">
        <v>735</v>
      </c>
      <c r="AN530" s="5"/>
      <c r="AO530" s="6"/>
      <c r="AP530" s="6"/>
      <c r="AQ530" s="6"/>
      <c r="AR530" s="6"/>
      <c r="AS530" s="6"/>
    </row>
    <row r="531" spans="1:45" s="5" customFormat="1" ht="12.75" customHeight="1">
      <c r="A531" s="6" t="s">
        <v>800</v>
      </c>
      <c r="B531" s="6" t="s">
        <v>396</v>
      </c>
      <c r="C531" s="31" t="s">
        <v>403</v>
      </c>
      <c r="D531" s="5" t="s">
        <v>799</v>
      </c>
      <c r="E531" s="6" t="s">
        <v>798</v>
      </c>
      <c r="F531" s="6" t="s">
        <v>797</v>
      </c>
      <c r="G531" s="6" t="s">
        <v>796</v>
      </c>
      <c r="H531" s="27" t="s">
        <v>396</v>
      </c>
      <c r="I531" s="27" t="s">
        <v>396</v>
      </c>
      <c r="J531" s="6" t="s">
        <v>795</v>
      </c>
      <c r="K531" s="6" t="s">
        <v>794</v>
      </c>
      <c r="L531" s="6" t="s">
        <v>478</v>
      </c>
      <c r="M531" s="6" t="s">
        <v>777</v>
      </c>
      <c r="N531" s="6" t="s">
        <v>481</v>
      </c>
      <c r="O531" s="6" t="s">
        <v>480</v>
      </c>
      <c r="P531" s="6" t="s">
        <v>479</v>
      </c>
      <c r="Q531" s="6" t="s">
        <v>478</v>
      </c>
      <c r="R531" s="6"/>
      <c r="S531" s="27" t="s">
        <v>396</v>
      </c>
      <c r="T531" s="36"/>
      <c r="U531" s="27" t="s">
        <v>396</v>
      </c>
      <c r="V531" s="6">
        <v>30</v>
      </c>
      <c r="W531" s="27" t="s">
        <v>396</v>
      </c>
      <c r="X531" s="27" t="s">
        <v>396</v>
      </c>
      <c r="Y531" s="27" t="s">
        <v>396</v>
      </c>
      <c r="Z531" s="39">
        <v>50</v>
      </c>
      <c r="AA531" s="27" t="s">
        <v>396</v>
      </c>
      <c r="AB531" s="27" t="s">
        <v>396</v>
      </c>
      <c r="AC531" s="27" t="s">
        <v>396</v>
      </c>
      <c r="AD531" s="27" t="s">
        <v>396</v>
      </c>
      <c r="AE531" s="27" t="s">
        <v>396</v>
      </c>
      <c r="AF531" s="27" t="s">
        <v>396</v>
      </c>
      <c r="AG531" s="27" t="s">
        <v>396</v>
      </c>
      <c r="AH531" s="27" t="s">
        <v>396</v>
      </c>
      <c r="AI531" s="27" t="s">
        <v>396</v>
      </c>
      <c r="AJ531" s="27" t="s">
        <v>396</v>
      </c>
      <c r="AK531" s="6" t="s">
        <v>735</v>
      </c>
      <c r="AL531" s="17">
        <v>4002806056072</v>
      </c>
      <c r="AM531" s="15" t="s">
        <v>735</v>
      </c>
      <c r="AN531" s="5">
        <v>73181541</v>
      </c>
      <c r="AO531" s="6" t="s">
        <v>477</v>
      </c>
      <c r="AP531" s="6" t="s">
        <v>476</v>
      </c>
      <c r="AQ531" s="6"/>
      <c r="AR531" s="6"/>
      <c r="AS531" s="6" t="s">
        <v>793</v>
      </c>
    </row>
    <row r="532" spans="1:45" s="5" customFormat="1" ht="12.75" customHeight="1">
      <c r="A532" s="7" t="s">
        <v>792</v>
      </c>
      <c r="B532" s="6" t="s">
        <v>396</v>
      </c>
      <c r="C532" s="31" t="s">
        <v>403</v>
      </c>
      <c r="D532" s="5" t="s">
        <v>789</v>
      </c>
      <c r="E532" s="6" t="s">
        <v>788</v>
      </c>
      <c r="F532" s="6" t="s">
        <v>791</v>
      </c>
      <c r="G532" s="6" t="s">
        <v>790</v>
      </c>
      <c r="H532" s="27" t="s">
        <v>396</v>
      </c>
      <c r="I532" s="27" t="s">
        <v>396</v>
      </c>
      <c r="J532" s="6" t="s">
        <v>789</v>
      </c>
      <c r="K532" s="6" t="s">
        <v>788</v>
      </c>
      <c r="L532" s="6" t="s">
        <v>478</v>
      </c>
      <c r="M532" s="6" t="s">
        <v>492</v>
      </c>
      <c r="N532" s="6" t="s">
        <v>481</v>
      </c>
      <c r="O532" s="6" t="s">
        <v>480</v>
      </c>
      <c r="P532" s="6" t="s">
        <v>479</v>
      </c>
      <c r="Q532" s="6" t="s">
        <v>478</v>
      </c>
      <c r="R532" s="6"/>
      <c r="S532" s="27" t="s">
        <v>396</v>
      </c>
      <c r="T532" s="6">
        <v>3.5</v>
      </c>
      <c r="U532" s="27" t="s">
        <v>399</v>
      </c>
      <c r="V532" s="6">
        <v>25</v>
      </c>
      <c r="W532" s="27" t="s">
        <v>396</v>
      </c>
      <c r="X532" s="27" t="s">
        <v>396</v>
      </c>
      <c r="Y532" s="27" t="s">
        <v>396</v>
      </c>
      <c r="Z532" s="52">
        <v>17</v>
      </c>
      <c r="AA532" s="27" t="s">
        <v>396</v>
      </c>
      <c r="AB532" s="27" t="s">
        <v>396</v>
      </c>
      <c r="AC532" s="27" t="s">
        <v>396</v>
      </c>
      <c r="AD532" s="27" t="s">
        <v>396</v>
      </c>
      <c r="AE532" s="27" t="s">
        <v>396</v>
      </c>
      <c r="AF532" s="27" t="s">
        <v>396</v>
      </c>
      <c r="AG532" s="27" t="s">
        <v>396</v>
      </c>
      <c r="AH532" s="27" t="s">
        <v>396</v>
      </c>
      <c r="AI532" s="27" t="s">
        <v>396</v>
      </c>
      <c r="AJ532" s="27" t="s">
        <v>396</v>
      </c>
      <c r="AK532" s="6" t="s">
        <v>735</v>
      </c>
      <c r="AL532" s="17">
        <v>4002806056072</v>
      </c>
      <c r="AM532" s="15" t="s">
        <v>735</v>
      </c>
      <c r="AN532" s="5">
        <v>73181410</v>
      </c>
      <c r="AO532" s="6" t="s">
        <v>477</v>
      </c>
      <c r="AP532" s="6" t="s">
        <v>476</v>
      </c>
      <c r="AQ532" s="6"/>
      <c r="AR532" s="6"/>
      <c r="AS532" s="6" t="s">
        <v>787</v>
      </c>
    </row>
    <row r="533" spans="1:45" s="16" customFormat="1" ht="12.75" customHeight="1">
      <c r="A533" s="51" t="s">
        <v>786</v>
      </c>
      <c r="B533" s="18" t="s">
        <v>396</v>
      </c>
      <c r="C533" s="18" t="s">
        <v>403</v>
      </c>
      <c r="D533" s="19" t="s">
        <v>399</v>
      </c>
      <c r="E533" s="19" t="s">
        <v>399</v>
      </c>
      <c r="F533" s="19" t="s">
        <v>399</v>
      </c>
      <c r="G533" s="19" t="s">
        <v>399</v>
      </c>
      <c r="H533" s="19" t="s">
        <v>396</v>
      </c>
      <c r="I533" s="19" t="s">
        <v>396</v>
      </c>
      <c r="J533" s="18" t="s">
        <v>785</v>
      </c>
      <c r="K533" s="18" t="s">
        <v>784</v>
      </c>
      <c r="L533" s="18" t="s">
        <v>478</v>
      </c>
      <c r="M533" s="18" t="s">
        <v>777</v>
      </c>
      <c r="N533" s="18" t="s">
        <v>481</v>
      </c>
      <c r="O533" s="18" t="s">
        <v>480</v>
      </c>
      <c r="P533" s="18" t="s">
        <v>479</v>
      </c>
      <c r="Q533" s="18" t="s">
        <v>478</v>
      </c>
      <c r="R533" s="18"/>
      <c r="S533" s="19" t="s">
        <v>396</v>
      </c>
      <c r="T533" s="18"/>
      <c r="U533" s="19" t="s">
        <v>396</v>
      </c>
      <c r="V533" s="18">
        <v>23</v>
      </c>
      <c r="W533" s="19" t="s">
        <v>396</v>
      </c>
      <c r="X533" s="19" t="s">
        <v>396</v>
      </c>
      <c r="Y533" s="19" t="s">
        <v>396</v>
      </c>
      <c r="Z533" s="49">
        <v>50</v>
      </c>
      <c r="AA533" s="19" t="s">
        <v>396</v>
      </c>
      <c r="AB533" s="19" t="s">
        <v>396</v>
      </c>
      <c r="AC533" s="19" t="s">
        <v>396</v>
      </c>
      <c r="AD533" s="19" t="s">
        <v>396</v>
      </c>
      <c r="AE533" s="19" t="s">
        <v>396</v>
      </c>
      <c r="AF533" s="19" t="s">
        <v>396</v>
      </c>
      <c r="AG533" s="19" t="s">
        <v>396</v>
      </c>
      <c r="AH533" s="19" t="s">
        <v>396</v>
      </c>
      <c r="AI533" s="19" t="s">
        <v>396</v>
      </c>
      <c r="AJ533" s="19" t="s">
        <v>396</v>
      </c>
      <c r="AK533" s="18" t="s">
        <v>735</v>
      </c>
      <c r="AL533" s="15">
        <v>5413218565141</v>
      </c>
      <c r="AM533" s="15" t="s">
        <v>735</v>
      </c>
      <c r="AN533" s="5"/>
      <c r="AO533" s="6"/>
      <c r="AP533" s="6"/>
      <c r="AQ533" s="6" t="s">
        <v>783</v>
      </c>
      <c r="AR533" s="6" t="s">
        <v>782</v>
      </c>
      <c r="AS533" s="6" t="s">
        <v>781</v>
      </c>
    </row>
    <row r="534" spans="1:45" s="16" customFormat="1" ht="12.75" customHeight="1">
      <c r="A534" s="51" t="s">
        <v>780</v>
      </c>
      <c r="B534" s="18" t="s">
        <v>396</v>
      </c>
      <c r="C534" s="18" t="s">
        <v>403</v>
      </c>
      <c r="D534" s="19" t="s">
        <v>399</v>
      </c>
      <c r="E534" s="19" t="s">
        <v>399</v>
      </c>
      <c r="F534" s="19" t="s">
        <v>399</v>
      </c>
      <c r="G534" s="19" t="s">
        <v>399</v>
      </c>
      <c r="H534" s="19" t="s">
        <v>396</v>
      </c>
      <c r="I534" s="19" t="s">
        <v>396</v>
      </c>
      <c r="J534" s="18" t="s">
        <v>779</v>
      </c>
      <c r="K534" s="18" t="s">
        <v>778</v>
      </c>
      <c r="L534" s="18" t="s">
        <v>478</v>
      </c>
      <c r="M534" s="18" t="s">
        <v>777</v>
      </c>
      <c r="N534" s="18" t="s">
        <v>481</v>
      </c>
      <c r="O534" s="18" t="s">
        <v>480</v>
      </c>
      <c r="P534" s="18" t="s">
        <v>479</v>
      </c>
      <c r="Q534" s="18" t="s">
        <v>478</v>
      </c>
      <c r="R534" s="18"/>
      <c r="S534" s="19" t="s">
        <v>396</v>
      </c>
      <c r="T534" s="18"/>
      <c r="U534" s="19" t="s">
        <v>396</v>
      </c>
      <c r="V534" s="18">
        <v>45</v>
      </c>
      <c r="W534" s="19" t="s">
        <v>396</v>
      </c>
      <c r="X534" s="19" t="s">
        <v>396</v>
      </c>
      <c r="Y534" s="19" t="s">
        <v>396</v>
      </c>
      <c r="Z534" s="49">
        <v>50</v>
      </c>
      <c r="AA534" s="19" t="s">
        <v>396</v>
      </c>
      <c r="AB534" s="19" t="s">
        <v>396</v>
      </c>
      <c r="AC534" s="19" t="s">
        <v>396</v>
      </c>
      <c r="AD534" s="19" t="s">
        <v>396</v>
      </c>
      <c r="AE534" s="19" t="s">
        <v>396</v>
      </c>
      <c r="AF534" s="19" t="s">
        <v>396</v>
      </c>
      <c r="AG534" s="19" t="s">
        <v>396</v>
      </c>
      <c r="AH534" s="19" t="s">
        <v>396</v>
      </c>
      <c r="AI534" s="19" t="s">
        <v>396</v>
      </c>
      <c r="AJ534" s="19" t="s">
        <v>396</v>
      </c>
      <c r="AK534" s="18" t="s">
        <v>735</v>
      </c>
      <c r="AL534" s="15">
        <v>4002806927662</v>
      </c>
      <c r="AM534" s="15" t="s">
        <v>735</v>
      </c>
      <c r="AN534" s="5"/>
      <c r="AO534" s="6"/>
      <c r="AP534" s="6"/>
      <c r="AQ534" s="6" t="s">
        <v>776</v>
      </c>
      <c r="AR534" s="6" t="s">
        <v>775</v>
      </c>
      <c r="AS534" s="6" t="s">
        <v>774</v>
      </c>
    </row>
    <row r="535" spans="1:45" s="5" customFormat="1" ht="12.75" customHeight="1">
      <c r="A535" s="5" t="s">
        <v>773</v>
      </c>
      <c r="B535" s="6" t="s">
        <v>396</v>
      </c>
      <c r="C535" s="31" t="s">
        <v>403</v>
      </c>
      <c r="D535" s="5" t="s">
        <v>770</v>
      </c>
      <c r="E535" s="6" t="s">
        <v>769</v>
      </c>
      <c r="F535" s="5" t="s">
        <v>772</v>
      </c>
      <c r="G535" s="5" t="s">
        <v>771</v>
      </c>
      <c r="H535" s="27" t="s">
        <v>396</v>
      </c>
      <c r="I535" s="27" t="s">
        <v>396</v>
      </c>
      <c r="J535" s="6" t="s">
        <v>770</v>
      </c>
      <c r="K535" s="6" t="s">
        <v>769</v>
      </c>
      <c r="L535" s="6" t="s">
        <v>478</v>
      </c>
      <c r="M535" s="6" t="s">
        <v>487</v>
      </c>
      <c r="N535" s="6" t="s">
        <v>481</v>
      </c>
      <c r="O535" s="6" t="s">
        <v>480</v>
      </c>
      <c r="P535" s="6" t="s">
        <v>479</v>
      </c>
      <c r="Q535" s="6" t="s">
        <v>478</v>
      </c>
      <c r="R535" s="6"/>
      <c r="S535" s="27" t="s">
        <v>396</v>
      </c>
      <c r="T535" s="6">
        <v>4.2</v>
      </c>
      <c r="U535" s="27" t="s">
        <v>396</v>
      </c>
      <c r="V535" s="6">
        <v>13</v>
      </c>
      <c r="W535" s="27" t="s">
        <v>396</v>
      </c>
      <c r="X535" s="27" t="s">
        <v>396</v>
      </c>
      <c r="Y535" s="27" t="s">
        <v>396</v>
      </c>
      <c r="Z535" s="39">
        <v>50</v>
      </c>
      <c r="AA535" s="27" t="s">
        <v>396</v>
      </c>
      <c r="AB535" s="27" t="s">
        <v>396</v>
      </c>
      <c r="AC535" s="27" t="s">
        <v>396</v>
      </c>
      <c r="AD535" s="27" t="s">
        <v>396</v>
      </c>
      <c r="AE535" s="27" t="s">
        <v>396</v>
      </c>
      <c r="AF535" s="27" t="s">
        <v>396</v>
      </c>
      <c r="AG535" s="27" t="s">
        <v>396</v>
      </c>
      <c r="AH535" s="27" t="s">
        <v>396</v>
      </c>
      <c r="AI535" s="27" t="s">
        <v>396</v>
      </c>
      <c r="AJ535" s="27" t="s">
        <v>396</v>
      </c>
      <c r="AK535" s="6" t="s">
        <v>735</v>
      </c>
      <c r="AL535" s="17">
        <v>5413218565639</v>
      </c>
      <c r="AM535" s="15" t="s">
        <v>735</v>
      </c>
      <c r="AN535" s="5">
        <v>68091100</v>
      </c>
      <c r="AO535" s="6" t="s">
        <v>477</v>
      </c>
      <c r="AP535" s="6" t="s">
        <v>476</v>
      </c>
      <c r="AQ535" s="6" t="s">
        <v>768</v>
      </c>
      <c r="AR535" s="6" t="s">
        <v>767</v>
      </c>
      <c r="AS535" s="6" t="s">
        <v>766</v>
      </c>
    </row>
    <row r="536" spans="1:45" s="16" customFormat="1" ht="12.75" customHeight="1">
      <c r="A536" s="50" t="s">
        <v>765</v>
      </c>
      <c r="B536" s="18" t="s">
        <v>396</v>
      </c>
      <c r="C536" s="18" t="s">
        <v>403</v>
      </c>
      <c r="D536" s="18" t="s">
        <v>764</v>
      </c>
      <c r="E536" s="18" t="s">
        <v>763</v>
      </c>
      <c r="F536" s="18" t="s">
        <v>396</v>
      </c>
      <c r="G536" s="18" t="s">
        <v>396</v>
      </c>
      <c r="H536" s="19" t="s">
        <v>396</v>
      </c>
      <c r="I536" s="19" t="s">
        <v>396</v>
      </c>
      <c r="J536" s="18" t="s">
        <v>764</v>
      </c>
      <c r="K536" s="18" t="s">
        <v>763</v>
      </c>
      <c r="L536" s="6" t="s">
        <v>478</v>
      </c>
      <c r="M536" s="36" t="s">
        <v>762</v>
      </c>
      <c r="N536" s="18" t="s">
        <v>481</v>
      </c>
      <c r="O536" s="18" t="s">
        <v>480</v>
      </c>
      <c r="P536" s="18" t="s">
        <v>479</v>
      </c>
      <c r="Q536" s="18" t="s">
        <v>478</v>
      </c>
      <c r="R536" s="18"/>
      <c r="S536" s="19" t="s">
        <v>396</v>
      </c>
      <c r="T536" s="18">
        <v>3.5</v>
      </c>
      <c r="U536" s="19" t="s">
        <v>396</v>
      </c>
      <c r="V536" s="18">
        <v>10</v>
      </c>
      <c r="W536" s="19" t="s">
        <v>396</v>
      </c>
      <c r="X536" s="19" t="s">
        <v>396</v>
      </c>
      <c r="Y536" s="19" t="s">
        <v>396</v>
      </c>
      <c r="Z536" s="49">
        <v>17</v>
      </c>
      <c r="AA536" s="19" t="s">
        <v>396</v>
      </c>
      <c r="AB536" s="19"/>
      <c r="AC536" s="19"/>
      <c r="AD536" s="19"/>
      <c r="AE536" s="19" t="s">
        <v>396</v>
      </c>
      <c r="AF536" s="19" t="s">
        <v>396</v>
      </c>
      <c r="AG536" s="19" t="s">
        <v>396</v>
      </c>
      <c r="AH536" s="19" t="s">
        <v>396</v>
      </c>
      <c r="AI536" s="19" t="s">
        <v>396</v>
      </c>
      <c r="AJ536" s="19" t="s">
        <v>396</v>
      </c>
      <c r="AK536" s="18" t="s">
        <v>735</v>
      </c>
      <c r="AL536" s="15">
        <v>4002806907855</v>
      </c>
      <c r="AM536" s="15" t="s">
        <v>735</v>
      </c>
      <c r="AN536" s="5">
        <v>73181410</v>
      </c>
      <c r="AO536" s="6"/>
      <c r="AP536" s="6"/>
      <c r="AQ536" s="6"/>
      <c r="AR536" s="6"/>
      <c r="AS536" s="6" t="s">
        <v>761</v>
      </c>
    </row>
    <row r="537" spans="1:45" s="5" customFormat="1" ht="12.75" customHeight="1">
      <c r="A537" s="7" t="s">
        <v>760</v>
      </c>
      <c r="B537" s="6" t="s">
        <v>396</v>
      </c>
      <c r="C537" s="31" t="s">
        <v>403</v>
      </c>
      <c r="D537" s="5" t="s">
        <v>757</v>
      </c>
      <c r="E537" s="6" t="s">
        <v>757</v>
      </c>
      <c r="F537" s="5" t="s">
        <v>759</v>
      </c>
      <c r="G537" s="5" t="s">
        <v>758</v>
      </c>
      <c r="H537" s="27" t="s">
        <v>396</v>
      </c>
      <c r="I537" s="27" t="s">
        <v>396</v>
      </c>
      <c r="J537" s="6" t="s">
        <v>757</v>
      </c>
      <c r="K537" s="6" t="s">
        <v>757</v>
      </c>
      <c r="L537" s="27" t="s">
        <v>399</v>
      </c>
      <c r="M537" s="27" t="s">
        <v>396</v>
      </c>
      <c r="N537" s="27" t="s">
        <v>396</v>
      </c>
      <c r="O537" s="27" t="s">
        <v>396</v>
      </c>
      <c r="P537" s="27" t="s">
        <v>396</v>
      </c>
      <c r="Q537" s="27" t="s">
        <v>396</v>
      </c>
      <c r="R537" s="6"/>
      <c r="S537" s="27" t="s">
        <v>396</v>
      </c>
      <c r="T537" s="36"/>
      <c r="U537" s="6"/>
      <c r="V537" s="6"/>
      <c r="W537" s="27" t="s">
        <v>396</v>
      </c>
      <c r="X537" s="27" t="s">
        <v>396</v>
      </c>
      <c r="Y537" s="27" t="s">
        <v>396</v>
      </c>
      <c r="Z537" s="39">
        <v>50</v>
      </c>
      <c r="AA537" s="27" t="s">
        <v>396</v>
      </c>
      <c r="AB537" s="27" t="s">
        <v>396</v>
      </c>
      <c r="AC537" s="27" t="s">
        <v>396</v>
      </c>
      <c r="AD537" s="27" t="s">
        <v>396</v>
      </c>
      <c r="AE537" s="27" t="s">
        <v>396</v>
      </c>
      <c r="AF537" s="27" t="s">
        <v>396</v>
      </c>
      <c r="AG537" s="27" t="s">
        <v>396</v>
      </c>
      <c r="AH537" s="27" t="s">
        <v>396</v>
      </c>
      <c r="AI537" s="27" t="s">
        <v>396</v>
      </c>
      <c r="AJ537" s="27" t="s">
        <v>396</v>
      </c>
      <c r="AK537" s="6" t="s">
        <v>756</v>
      </c>
      <c r="AL537" s="17">
        <v>3496250212985</v>
      </c>
      <c r="AM537" s="15" t="s">
        <v>756</v>
      </c>
      <c r="AN537" s="5">
        <v>72166110</v>
      </c>
      <c r="AO537" s="6"/>
      <c r="AP537" s="6"/>
      <c r="AQ537" s="6"/>
      <c r="AR537" s="6"/>
      <c r="AS537" s="6" t="s">
        <v>755</v>
      </c>
    </row>
    <row r="538" spans="1:45" s="5" customFormat="1" ht="12.75" customHeight="1">
      <c r="A538" s="7" t="s">
        <v>754</v>
      </c>
      <c r="B538" s="6" t="s">
        <v>396</v>
      </c>
      <c r="C538" s="31" t="s">
        <v>403</v>
      </c>
      <c r="D538" s="5" t="s">
        <v>751</v>
      </c>
      <c r="E538" s="6" t="s">
        <v>750</v>
      </c>
      <c r="F538" s="5" t="s">
        <v>753</v>
      </c>
      <c r="G538" s="5" t="s">
        <v>752</v>
      </c>
      <c r="H538" s="27" t="s">
        <v>396</v>
      </c>
      <c r="I538" s="27" t="s">
        <v>396</v>
      </c>
      <c r="J538" s="6" t="s">
        <v>751</v>
      </c>
      <c r="K538" s="6" t="s">
        <v>750</v>
      </c>
      <c r="L538" s="27" t="s">
        <v>399</v>
      </c>
      <c r="M538" s="27" t="s">
        <v>396</v>
      </c>
      <c r="N538" s="27" t="s">
        <v>396</v>
      </c>
      <c r="O538" s="27" t="s">
        <v>396</v>
      </c>
      <c r="P538" s="27" t="s">
        <v>396</v>
      </c>
      <c r="Q538" s="27" t="s">
        <v>396</v>
      </c>
      <c r="R538" s="6"/>
      <c r="S538" s="27" t="s">
        <v>396</v>
      </c>
      <c r="T538" s="36"/>
      <c r="U538" s="6"/>
      <c r="V538" s="6"/>
      <c r="W538" s="27" t="s">
        <v>396</v>
      </c>
      <c r="X538" s="27" t="s">
        <v>396</v>
      </c>
      <c r="Y538" s="27" t="s">
        <v>396</v>
      </c>
      <c r="Z538" s="39">
        <v>50</v>
      </c>
      <c r="AA538" s="27" t="s">
        <v>396</v>
      </c>
      <c r="AB538" s="27" t="s">
        <v>396</v>
      </c>
      <c r="AC538" s="27" t="s">
        <v>396</v>
      </c>
      <c r="AD538" s="27" t="s">
        <v>396</v>
      </c>
      <c r="AE538" s="27" t="s">
        <v>396</v>
      </c>
      <c r="AF538" s="27" t="s">
        <v>396</v>
      </c>
      <c r="AG538" s="27" t="s">
        <v>396</v>
      </c>
      <c r="AH538" s="27" t="s">
        <v>396</v>
      </c>
      <c r="AI538" s="27" t="s">
        <v>396</v>
      </c>
      <c r="AJ538" s="27" t="s">
        <v>396</v>
      </c>
      <c r="AK538" s="6" t="s">
        <v>395</v>
      </c>
      <c r="AL538" s="17">
        <v>5413218001571</v>
      </c>
      <c r="AM538" s="15" t="s">
        <v>395</v>
      </c>
      <c r="AN538" s="5">
        <v>68091100</v>
      </c>
      <c r="AO538" s="6"/>
      <c r="AP538" s="6"/>
      <c r="AQ538" s="6" t="s">
        <v>749</v>
      </c>
      <c r="AR538" s="6" t="s">
        <v>748</v>
      </c>
      <c r="AS538" s="6" t="s">
        <v>747</v>
      </c>
    </row>
    <row r="539" spans="1:45" s="5" customFormat="1" ht="12.75" customHeight="1">
      <c r="A539" s="5" t="s">
        <v>746</v>
      </c>
      <c r="B539" s="6" t="s">
        <v>396</v>
      </c>
      <c r="C539" s="31" t="s">
        <v>403</v>
      </c>
      <c r="D539" s="5" t="s">
        <v>743</v>
      </c>
      <c r="E539" s="6" t="s">
        <v>742</v>
      </c>
      <c r="F539" s="5" t="s">
        <v>745</v>
      </c>
      <c r="G539" s="5" t="s">
        <v>744</v>
      </c>
      <c r="H539" s="27" t="s">
        <v>396</v>
      </c>
      <c r="I539" s="27" t="s">
        <v>396</v>
      </c>
      <c r="J539" s="6" t="s">
        <v>743</v>
      </c>
      <c r="K539" s="6" t="s">
        <v>742</v>
      </c>
      <c r="L539" s="27" t="s">
        <v>399</v>
      </c>
      <c r="M539" s="27" t="s">
        <v>396</v>
      </c>
      <c r="N539" s="27" t="s">
        <v>396</v>
      </c>
      <c r="O539" s="27" t="s">
        <v>396</v>
      </c>
      <c r="P539" s="27" t="s">
        <v>396</v>
      </c>
      <c r="Q539" s="27" t="s">
        <v>396</v>
      </c>
      <c r="R539" s="6"/>
      <c r="S539" s="27" t="s">
        <v>396</v>
      </c>
      <c r="T539" s="6">
        <v>6</v>
      </c>
      <c r="U539" s="27" t="s">
        <v>396</v>
      </c>
      <c r="V539" s="6">
        <v>40</v>
      </c>
      <c r="W539" s="27" t="s">
        <v>396</v>
      </c>
      <c r="X539" s="27" t="s">
        <v>396</v>
      </c>
      <c r="Y539" s="27" t="s">
        <v>396</v>
      </c>
      <c r="Z539" s="28" t="s">
        <v>396</v>
      </c>
      <c r="AA539" s="27" t="s">
        <v>396</v>
      </c>
      <c r="AB539" s="27" t="s">
        <v>396</v>
      </c>
      <c r="AC539" s="27" t="s">
        <v>396</v>
      </c>
      <c r="AD539" s="27" t="s">
        <v>396</v>
      </c>
      <c r="AE539" s="27" t="s">
        <v>396</v>
      </c>
      <c r="AF539" s="27" t="s">
        <v>396</v>
      </c>
      <c r="AG539" s="27" t="s">
        <v>396</v>
      </c>
      <c r="AH539" s="27" t="s">
        <v>396</v>
      </c>
      <c r="AI539" s="27" t="s">
        <v>396</v>
      </c>
      <c r="AJ539" s="27" t="s">
        <v>396</v>
      </c>
      <c r="AK539" s="6" t="s">
        <v>735</v>
      </c>
      <c r="AL539" s="17">
        <v>5413218601948</v>
      </c>
      <c r="AM539" s="15" t="s">
        <v>735</v>
      </c>
      <c r="AN539" s="5">
        <v>73170090</v>
      </c>
      <c r="AO539" s="6"/>
      <c r="AP539" s="6"/>
      <c r="AQ539" s="6"/>
      <c r="AR539" s="6"/>
      <c r="AS539" s="6" t="s">
        <v>741</v>
      </c>
    </row>
    <row r="540" spans="1:45" s="5" customFormat="1" ht="12.75" customHeight="1">
      <c r="A540" s="6" t="s">
        <v>740</v>
      </c>
      <c r="B540" s="6" t="s">
        <v>396</v>
      </c>
      <c r="C540" s="31" t="s">
        <v>403</v>
      </c>
      <c r="D540" s="5" t="s">
        <v>737</v>
      </c>
      <c r="E540" s="6" t="s">
        <v>736</v>
      </c>
      <c r="F540" s="5" t="s">
        <v>739</v>
      </c>
      <c r="G540" s="5" t="s">
        <v>738</v>
      </c>
      <c r="H540" s="27" t="s">
        <v>396</v>
      </c>
      <c r="I540" s="27" t="s">
        <v>396</v>
      </c>
      <c r="J540" s="6" t="s">
        <v>737</v>
      </c>
      <c r="K540" s="6" t="s">
        <v>736</v>
      </c>
      <c r="L540" s="27" t="s">
        <v>399</v>
      </c>
      <c r="M540" s="27" t="s">
        <v>396</v>
      </c>
      <c r="N540" s="27" t="s">
        <v>396</v>
      </c>
      <c r="O540" s="27" t="s">
        <v>396</v>
      </c>
      <c r="P540" s="27" t="s">
        <v>396</v>
      </c>
      <c r="Q540" s="27" t="s">
        <v>396</v>
      </c>
      <c r="R540" s="6"/>
      <c r="S540" s="27" t="s">
        <v>396</v>
      </c>
      <c r="T540" s="36"/>
      <c r="U540" s="6"/>
      <c r="V540" s="6"/>
      <c r="W540" s="27" t="s">
        <v>396</v>
      </c>
      <c r="X540" s="27" t="s">
        <v>396</v>
      </c>
      <c r="Y540" s="27" t="s">
        <v>396</v>
      </c>
      <c r="Z540" s="39">
        <v>50</v>
      </c>
      <c r="AA540" s="27" t="s">
        <v>396</v>
      </c>
      <c r="AB540" s="27" t="s">
        <v>396</v>
      </c>
      <c r="AC540" s="27" t="s">
        <v>396</v>
      </c>
      <c r="AD540" s="27" t="s">
        <v>396</v>
      </c>
      <c r="AE540" s="27" t="s">
        <v>396</v>
      </c>
      <c r="AF540" s="27" t="s">
        <v>396</v>
      </c>
      <c r="AG540" s="27" t="s">
        <v>396</v>
      </c>
      <c r="AH540" s="27" t="s">
        <v>396</v>
      </c>
      <c r="AI540" s="27" t="s">
        <v>396</v>
      </c>
      <c r="AJ540" s="27" t="s">
        <v>396</v>
      </c>
      <c r="AK540" s="6" t="s">
        <v>735</v>
      </c>
      <c r="AL540" s="17">
        <v>5413218565295</v>
      </c>
      <c r="AM540" s="15" t="s">
        <v>735</v>
      </c>
      <c r="AN540" s="5">
        <v>73181300</v>
      </c>
      <c r="AO540" s="6"/>
      <c r="AP540" s="6"/>
      <c r="AQ540" s="6"/>
      <c r="AR540" s="6"/>
      <c r="AS540" s="6" t="s">
        <v>734</v>
      </c>
    </row>
    <row r="541" spans="1:45" s="5" customFormat="1" ht="12.75" customHeight="1">
      <c r="A541" s="32" t="s">
        <v>733</v>
      </c>
      <c r="B541" s="6" t="s">
        <v>396</v>
      </c>
      <c r="C541" s="31" t="s">
        <v>403</v>
      </c>
      <c r="D541" s="5" t="s">
        <v>730</v>
      </c>
      <c r="E541" s="5" t="s">
        <v>729</v>
      </c>
      <c r="F541" s="5" t="s">
        <v>732</v>
      </c>
      <c r="G541" s="5" t="s">
        <v>731</v>
      </c>
      <c r="H541" s="27" t="s">
        <v>396</v>
      </c>
      <c r="I541" s="27" t="s">
        <v>396</v>
      </c>
      <c r="J541" s="6" t="s">
        <v>730</v>
      </c>
      <c r="K541" s="5" t="s">
        <v>729</v>
      </c>
      <c r="L541" s="27" t="s">
        <v>399</v>
      </c>
      <c r="M541" s="27" t="s">
        <v>396</v>
      </c>
      <c r="N541" s="27" t="s">
        <v>396</v>
      </c>
      <c r="O541" s="27" t="s">
        <v>396</v>
      </c>
      <c r="P541" s="27" t="s">
        <v>396</v>
      </c>
      <c r="Q541" s="27" t="s">
        <v>396</v>
      </c>
      <c r="R541" s="6"/>
      <c r="S541" s="27" t="s">
        <v>396</v>
      </c>
      <c r="T541" s="30" t="s">
        <v>396</v>
      </c>
      <c r="U541" s="27" t="s">
        <v>396</v>
      </c>
      <c r="V541" s="29" t="s">
        <v>396</v>
      </c>
      <c r="W541" s="27" t="s">
        <v>396</v>
      </c>
      <c r="X541" s="27" t="s">
        <v>396</v>
      </c>
      <c r="Y541" s="27" t="s">
        <v>396</v>
      </c>
      <c r="Z541" s="28" t="s">
        <v>396</v>
      </c>
      <c r="AA541" s="27" t="s">
        <v>396</v>
      </c>
      <c r="AB541" s="27" t="s">
        <v>396</v>
      </c>
      <c r="AC541" s="27" t="s">
        <v>396</v>
      </c>
      <c r="AD541" s="27" t="s">
        <v>396</v>
      </c>
      <c r="AE541" s="27" t="s">
        <v>396</v>
      </c>
      <c r="AF541" s="27" t="s">
        <v>396</v>
      </c>
      <c r="AG541" s="27" t="s">
        <v>396</v>
      </c>
      <c r="AH541" s="27" t="s">
        <v>396</v>
      </c>
      <c r="AI541" s="27" t="s">
        <v>396</v>
      </c>
      <c r="AJ541" s="27" t="s">
        <v>396</v>
      </c>
      <c r="AK541" s="6" t="s">
        <v>395</v>
      </c>
      <c r="AL541" s="17">
        <v>5413218564335</v>
      </c>
      <c r="AM541" s="15" t="s">
        <v>395</v>
      </c>
      <c r="AN541" s="5">
        <v>82032090</v>
      </c>
      <c r="AO541" s="6"/>
      <c r="AP541" s="6"/>
      <c r="AQ541" s="6"/>
      <c r="AR541" s="6"/>
      <c r="AS541" s="6" t="s">
        <v>728</v>
      </c>
    </row>
    <row r="542" spans="1:45" s="16" customFormat="1" ht="12.75" customHeight="1">
      <c r="A542" s="26" t="s">
        <v>727</v>
      </c>
      <c r="B542" s="18" t="s">
        <v>396</v>
      </c>
      <c r="C542" s="18" t="s">
        <v>403</v>
      </c>
      <c r="D542" s="18" t="s">
        <v>722</v>
      </c>
      <c r="E542" s="18" t="s">
        <v>722</v>
      </c>
      <c r="F542" s="16" t="s">
        <v>723</v>
      </c>
      <c r="G542" s="18" t="s">
        <v>722</v>
      </c>
      <c r="H542" s="19" t="s">
        <v>396</v>
      </c>
      <c r="I542" s="19" t="s">
        <v>396</v>
      </c>
      <c r="J542" s="18" t="s">
        <v>726</v>
      </c>
      <c r="K542" s="18" t="s">
        <v>726</v>
      </c>
      <c r="L542" s="19" t="s">
        <v>399</v>
      </c>
      <c r="M542" s="19" t="s">
        <v>396</v>
      </c>
      <c r="N542" s="19" t="s">
        <v>396</v>
      </c>
      <c r="O542" s="19" t="s">
        <v>396</v>
      </c>
      <c r="P542" s="19" t="s">
        <v>396</v>
      </c>
      <c r="Q542" s="19" t="s">
        <v>396</v>
      </c>
      <c r="R542" s="18"/>
      <c r="S542" s="19" t="s">
        <v>396</v>
      </c>
      <c r="T542" s="21" t="s">
        <v>396</v>
      </c>
      <c r="U542" s="19" t="s">
        <v>396</v>
      </c>
      <c r="V542" s="48" t="s">
        <v>396</v>
      </c>
      <c r="W542" s="19" t="s">
        <v>396</v>
      </c>
      <c r="X542" s="19" t="s">
        <v>396</v>
      </c>
      <c r="Y542" s="19" t="s">
        <v>396</v>
      </c>
      <c r="Z542" s="47" t="s">
        <v>396</v>
      </c>
      <c r="AA542" s="19" t="s">
        <v>396</v>
      </c>
      <c r="AB542" s="19" t="s">
        <v>396</v>
      </c>
      <c r="AC542" s="19" t="s">
        <v>396</v>
      </c>
      <c r="AD542" s="19" t="s">
        <v>396</v>
      </c>
      <c r="AE542" s="19" t="s">
        <v>396</v>
      </c>
      <c r="AF542" s="19" t="s">
        <v>396</v>
      </c>
      <c r="AG542" s="19" t="s">
        <v>396</v>
      </c>
      <c r="AH542" s="19" t="s">
        <v>396</v>
      </c>
      <c r="AI542" s="19" t="s">
        <v>396</v>
      </c>
      <c r="AJ542" s="19" t="s">
        <v>396</v>
      </c>
      <c r="AK542" s="18" t="s">
        <v>395</v>
      </c>
      <c r="AL542" s="17">
        <v>8711149001538</v>
      </c>
      <c r="AM542" s="15" t="s">
        <v>395</v>
      </c>
      <c r="AN542" s="5">
        <v>82055990</v>
      </c>
      <c r="AO542" s="6"/>
      <c r="AP542" s="6"/>
      <c r="AQ542" s="6"/>
      <c r="AR542" s="6"/>
      <c r="AS542" s="6" t="s">
        <v>725</v>
      </c>
    </row>
    <row r="543" spans="1:45" s="16" customFormat="1" ht="12.75" customHeight="1">
      <c r="A543" s="26" t="s">
        <v>724</v>
      </c>
      <c r="B543" s="18" t="s">
        <v>396</v>
      </c>
      <c r="C543" s="18" t="s">
        <v>403</v>
      </c>
      <c r="D543" s="18" t="s">
        <v>722</v>
      </c>
      <c r="E543" s="18" t="s">
        <v>722</v>
      </c>
      <c r="F543" s="16" t="s">
        <v>723</v>
      </c>
      <c r="G543" s="18" t="s">
        <v>722</v>
      </c>
      <c r="H543" s="19" t="s">
        <v>396</v>
      </c>
      <c r="I543" s="19" t="s">
        <v>396</v>
      </c>
      <c r="J543" s="18" t="s">
        <v>721</v>
      </c>
      <c r="K543" s="18" t="s">
        <v>721</v>
      </c>
      <c r="L543" s="19" t="s">
        <v>399</v>
      </c>
      <c r="M543" s="19" t="s">
        <v>396</v>
      </c>
      <c r="N543" s="19" t="s">
        <v>396</v>
      </c>
      <c r="O543" s="19" t="s">
        <v>396</v>
      </c>
      <c r="P543" s="19" t="s">
        <v>396</v>
      </c>
      <c r="Q543" s="19" t="s">
        <v>396</v>
      </c>
      <c r="R543" s="18"/>
      <c r="S543" s="19" t="s">
        <v>396</v>
      </c>
      <c r="T543" s="21" t="s">
        <v>396</v>
      </c>
      <c r="U543" s="19" t="s">
        <v>396</v>
      </c>
      <c r="V543" s="48" t="s">
        <v>396</v>
      </c>
      <c r="W543" s="19" t="s">
        <v>396</v>
      </c>
      <c r="X543" s="19" t="s">
        <v>396</v>
      </c>
      <c r="Y543" s="19" t="s">
        <v>396</v>
      </c>
      <c r="Z543" s="47" t="s">
        <v>396</v>
      </c>
      <c r="AA543" s="19" t="s">
        <v>396</v>
      </c>
      <c r="AB543" s="19" t="s">
        <v>396</v>
      </c>
      <c r="AC543" s="19" t="s">
        <v>396</v>
      </c>
      <c r="AD543" s="19" t="s">
        <v>396</v>
      </c>
      <c r="AE543" s="19" t="s">
        <v>396</v>
      </c>
      <c r="AF543" s="19" t="s">
        <v>396</v>
      </c>
      <c r="AG543" s="19" t="s">
        <v>396</v>
      </c>
      <c r="AH543" s="19" t="s">
        <v>396</v>
      </c>
      <c r="AI543" s="19" t="s">
        <v>396</v>
      </c>
      <c r="AJ543" s="19" t="s">
        <v>396</v>
      </c>
      <c r="AK543" s="18" t="s">
        <v>395</v>
      </c>
      <c r="AL543" s="17">
        <v>8711149001545</v>
      </c>
      <c r="AM543" s="15" t="s">
        <v>395</v>
      </c>
      <c r="AN543" s="5">
        <v>82055990</v>
      </c>
      <c r="AO543" s="6"/>
      <c r="AP543" s="6"/>
      <c r="AQ543" s="6"/>
      <c r="AR543" s="6"/>
      <c r="AS543" s="6" t="s">
        <v>720</v>
      </c>
    </row>
    <row r="544" spans="1:45" s="5" customFormat="1" ht="12.75" customHeight="1">
      <c r="A544" s="32" t="s">
        <v>719</v>
      </c>
      <c r="B544" s="6" t="s">
        <v>396</v>
      </c>
      <c r="C544" s="31" t="s">
        <v>403</v>
      </c>
      <c r="D544" s="5" t="s">
        <v>718</v>
      </c>
      <c r="E544" s="6" t="s">
        <v>717</v>
      </c>
      <c r="F544" s="6" t="s">
        <v>396</v>
      </c>
      <c r="G544" s="6" t="s">
        <v>396</v>
      </c>
      <c r="H544" s="27" t="s">
        <v>396</v>
      </c>
      <c r="I544" s="27" t="s">
        <v>396</v>
      </c>
      <c r="J544" s="6" t="s">
        <v>718</v>
      </c>
      <c r="K544" s="6" t="s">
        <v>717</v>
      </c>
      <c r="L544" s="27" t="s">
        <v>399</v>
      </c>
      <c r="M544" s="27" t="s">
        <v>396</v>
      </c>
      <c r="N544" s="27" t="s">
        <v>396</v>
      </c>
      <c r="O544" s="27" t="s">
        <v>396</v>
      </c>
      <c r="P544" s="27" t="s">
        <v>396</v>
      </c>
      <c r="Q544" s="27" t="s">
        <v>396</v>
      </c>
      <c r="R544" s="6"/>
      <c r="S544" s="27" t="s">
        <v>396</v>
      </c>
      <c r="T544" s="30" t="s">
        <v>396</v>
      </c>
      <c r="U544" s="27" t="s">
        <v>396</v>
      </c>
      <c r="V544" s="29" t="s">
        <v>396</v>
      </c>
      <c r="W544" s="27" t="s">
        <v>396</v>
      </c>
      <c r="X544" s="27" t="s">
        <v>396</v>
      </c>
      <c r="Y544" s="27" t="s">
        <v>396</v>
      </c>
      <c r="Z544" s="28" t="s">
        <v>396</v>
      </c>
      <c r="AA544" s="27" t="s">
        <v>396</v>
      </c>
      <c r="AB544" s="27" t="s">
        <v>396</v>
      </c>
      <c r="AC544" s="27" t="s">
        <v>396</v>
      </c>
      <c r="AD544" s="27" t="s">
        <v>396</v>
      </c>
      <c r="AE544" s="27" t="s">
        <v>396</v>
      </c>
      <c r="AF544" s="27" t="s">
        <v>396</v>
      </c>
      <c r="AG544" s="27" t="s">
        <v>396</v>
      </c>
      <c r="AH544" s="27" t="s">
        <v>396</v>
      </c>
      <c r="AI544" s="27" t="s">
        <v>396</v>
      </c>
      <c r="AJ544" s="27" t="s">
        <v>396</v>
      </c>
      <c r="AK544" s="6" t="s">
        <v>395</v>
      </c>
      <c r="AL544" s="17">
        <v>5413218565240</v>
      </c>
      <c r="AM544" s="15" t="s">
        <v>395</v>
      </c>
      <c r="AN544" s="5">
        <v>82055910</v>
      </c>
      <c r="AO544" s="6"/>
      <c r="AP544" s="6"/>
      <c r="AQ544" s="6"/>
      <c r="AR544" s="6"/>
      <c r="AS544" s="6" t="s">
        <v>716</v>
      </c>
    </row>
    <row r="545" spans="1:45" s="5" customFormat="1" ht="12.75" customHeight="1">
      <c r="A545" s="32" t="s">
        <v>715</v>
      </c>
      <c r="B545" s="6" t="s">
        <v>396</v>
      </c>
      <c r="C545" s="31" t="s">
        <v>403</v>
      </c>
      <c r="D545" s="5" t="s">
        <v>714</v>
      </c>
      <c r="E545" s="6" t="s">
        <v>713</v>
      </c>
      <c r="F545" s="6" t="s">
        <v>396</v>
      </c>
      <c r="G545" s="6" t="s">
        <v>396</v>
      </c>
      <c r="H545" s="27" t="s">
        <v>396</v>
      </c>
      <c r="I545" s="27" t="s">
        <v>396</v>
      </c>
      <c r="J545" s="6" t="s">
        <v>714</v>
      </c>
      <c r="K545" s="6" t="s">
        <v>713</v>
      </c>
      <c r="L545" s="27" t="s">
        <v>399</v>
      </c>
      <c r="M545" s="27" t="s">
        <v>396</v>
      </c>
      <c r="N545" s="27" t="s">
        <v>396</v>
      </c>
      <c r="O545" s="27" t="s">
        <v>396</v>
      </c>
      <c r="P545" s="27" t="s">
        <v>396</v>
      </c>
      <c r="Q545" s="27" t="s">
        <v>396</v>
      </c>
      <c r="R545" s="6"/>
      <c r="S545" s="27" t="s">
        <v>396</v>
      </c>
      <c r="T545" s="30" t="s">
        <v>396</v>
      </c>
      <c r="U545" s="27" t="s">
        <v>396</v>
      </c>
      <c r="V545" s="29" t="s">
        <v>396</v>
      </c>
      <c r="W545" s="27" t="s">
        <v>396</v>
      </c>
      <c r="X545" s="27" t="s">
        <v>396</v>
      </c>
      <c r="Y545" s="27" t="s">
        <v>396</v>
      </c>
      <c r="Z545" s="28" t="s">
        <v>396</v>
      </c>
      <c r="AA545" s="27" t="s">
        <v>396</v>
      </c>
      <c r="AB545" s="27" t="s">
        <v>396</v>
      </c>
      <c r="AC545" s="27" t="s">
        <v>396</v>
      </c>
      <c r="AD545" s="27" t="s">
        <v>396</v>
      </c>
      <c r="AE545" s="27" t="s">
        <v>396</v>
      </c>
      <c r="AF545" s="27" t="s">
        <v>396</v>
      </c>
      <c r="AG545" s="27" t="s">
        <v>396</v>
      </c>
      <c r="AH545" s="27" t="s">
        <v>396</v>
      </c>
      <c r="AI545" s="27" t="s">
        <v>396</v>
      </c>
      <c r="AJ545" s="27" t="s">
        <v>396</v>
      </c>
      <c r="AK545" s="6" t="s">
        <v>395</v>
      </c>
      <c r="AL545" s="17">
        <v>5413218563659</v>
      </c>
      <c r="AM545" s="15" t="s">
        <v>395</v>
      </c>
      <c r="AN545" s="5">
        <v>82055910</v>
      </c>
      <c r="AO545" s="6"/>
      <c r="AP545" s="6"/>
      <c r="AQ545" s="6"/>
      <c r="AR545" s="6"/>
      <c r="AS545" s="6" t="s">
        <v>712</v>
      </c>
    </row>
    <row r="546" spans="1:45" s="5" customFormat="1" ht="12.75" customHeight="1">
      <c r="A546" s="32" t="s">
        <v>711</v>
      </c>
      <c r="B546" s="6" t="s">
        <v>396</v>
      </c>
      <c r="C546" s="31" t="s">
        <v>403</v>
      </c>
      <c r="D546" s="5" t="s">
        <v>708</v>
      </c>
      <c r="E546" s="6" t="s">
        <v>707</v>
      </c>
      <c r="F546" s="5" t="s">
        <v>710</v>
      </c>
      <c r="G546" s="5" t="s">
        <v>709</v>
      </c>
      <c r="H546" s="27" t="s">
        <v>396</v>
      </c>
      <c r="I546" s="27" t="s">
        <v>396</v>
      </c>
      <c r="J546" s="6" t="s">
        <v>708</v>
      </c>
      <c r="K546" s="6" t="s">
        <v>707</v>
      </c>
      <c r="L546" s="27" t="s">
        <v>399</v>
      </c>
      <c r="M546" s="27" t="s">
        <v>396</v>
      </c>
      <c r="N546" s="27" t="s">
        <v>396</v>
      </c>
      <c r="O546" s="27" t="s">
        <v>396</v>
      </c>
      <c r="P546" s="27" t="s">
        <v>396</v>
      </c>
      <c r="Q546" s="27" t="s">
        <v>396</v>
      </c>
      <c r="R546" s="6"/>
      <c r="S546" s="27" t="s">
        <v>396</v>
      </c>
      <c r="T546" s="30" t="s">
        <v>396</v>
      </c>
      <c r="U546" s="27" t="s">
        <v>396</v>
      </c>
      <c r="V546" s="29" t="s">
        <v>396</v>
      </c>
      <c r="W546" s="27" t="s">
        <v>396</v>
      </c>
      <c r="X546" s="27" t="s">
        <v>396</v>
      </c>
      <c r="Y546" s="27" t="s">
        <v>396</v>
      </c>
      <c r="Z546" s="28" t="s">
        <v>396</v>
      </c>
      <c r="AA546" s="27" t="s">
        <v>396</v>
      </c>
      <c r="AB546" s="27" t="s">
        <v>396</v>
      </c>
      <c r="AC546" s="27" t="s">
        <v>396</v>
      </c>
      <c r="AD546" s="27" t="s">
        <v>396</v>
      </c>
      <c r="AE546" s="27" t="s">
        <v>396</v>
      </c>
      <c r="AF546" s="27" t="s">
        <v>396</v>
      </c>
      <c r="AG546" s="27" t="s">
        <v>396</v>
      </c>
      <c r="AH546" s="27" t="s">
        <v>396</v>
      </c>
      <c r="AI546" s="27" t="s">
        <v>396</v>
      </c>
      <c r="AJ546" s="27" t="s">
        <v>396</v>
      </c>
      <c r="AK546" s="6" t="s">
        <v>395</v>
      </c>
      <c r="AL546" s="17">
        <v>5413218563635</v>
      </c>
      <c r="AM546" s="15" t="s">
        <v>395</v>
      </c>
      <c r="AN546" s="5">
        <v>82055910</v>
      </c>
      <c r="AO546" s="6"/>
      <c r="AP546" s="6"/>
      <c r="AQ546" s="6"/>
      <c r="AR546" s="6"/>
      <c r="AS546" s="6" t="s">
        <v>706</v>
      </c>
    </row>
    <row r="547" spans="1:45" s="5" customFormat="1" ht="12.75" customHeight="1">
      <c r="A547" s="32" t="s">
        <v>705</v>
      </c>
      <c r="B547" s="6" t="s">
        <v>396</v>
      </c>
      <c r="C547" s="31" t="s">
        <v>403</v>
      </c>
      <c r="D547" s="5" t="s">
        <v>702</v>
      </c>
      <c r="E547" s="6" t="s">
        <v>701</v>
      </c>
      <c r="F547" s="5" t="s">
        <v>704</v>
      </c>
      <c r="G547" s="6" t="s">
        <v>703</v>
      </c>
      <c r="H547" s="27" t="s">
        <v>396</v>
      </c>
      <c r="I547" s="27" t="s">
        <v>396</v>
      </c>
      <c r="J547" s="6" t="s">
        <v>702</v>
      </c>
      <c r="K547" s="6" t="s">
        <v>701</v>
      </c>
      <c r="L547" s="27" t="s">
        <v>399</v>
      </c>
      <c r="M547" s="27" t="s">
        <v>396</v>
      </c>
      <c r="N547" s="27" t="s">
        <v>396</v>
      </c>
      <c r="O547" s="27" t="s">
        <v>396</v>
      </c>
      <c r="P547" s="27" t="s">
        <v>396</v>
      </c>
      <c r="Q547" s="27" t="s">
        <v>396</v>
      </c>
      <c r="R547" s="6"/>
      <c r="S547" s="27" t="s">
        <v>396</v>
      </c>
      <c r="T547" s="30" t="s">
        <v>396</v>
      </c>
      <c r="U547" s="27" t="s">
        <v>396</v>
      </c>
      <c r="V547" s="29" t="s">
        <v>396</v>
      </c>
      <c r="W547" s="27" t="s">
        <v>396</v>
      </c>
      <c r="X547" s="27" t="s">
        <v>396</v>
      </c>
      <c r="Y547" s="27" t="s">
        <v>396</v>
      </c>
      <c r="Z547" s="28" t="s">
        <v>396</v>
      </c>
      <c r="AA547" s="27" t="s">
        <v>396</v>
      </c>
      <c r="AB547" s="27" t="s">
        <v>396</v>
      </c>
      <c r="AC547" s="27" t="s">
        <v>396</v>
      </c>
      <c r="AD547" s="27" t="s">
        <v>396</v>
      </c>
      <c r="AE547" s="27" t="s">
        <v>396</v>
      </c>
      <c r="AF547" s="27" t="s">
        <v>396</v>
      </c>
      <c r="AG547" s="27" t="s">
        <v>396</v>
      </c>
      <c r="AH547" s="27" t="s">
        <v>396</v>
      </c>
      <c r="AI547" s="27" t="s">
        <v>396</v>
      </c>
      <c r="AJ547" s="27" t="s">
        <v>396</v>
      </c>
      <c r="AK547" s="6" t="s">
        <v>395</v>
      </c>
      <c r="AL547" s="17">
        <v>5413218563642</v>
      </c>
      <c r="AM547" s="15" t="s">
        <v>395</v>
      </c>
      <c r="AN547" s="5">
        <v>82055910</v>
      </c>
      <c r="AO547" s="6"/>
      <c r="AP547" s="6"/>
      <c r="AQ547" s="6"/>
      <c r="AR547" s="6"/>
      <c r="AS547" s="6" t="s">
        <v>700</v>
      </c>
    </row>
    <row r="548" spans="1:45" s="16" customFormat="1" ht="12.75" customHeight="1">
      <c r="A548" s="46" t="s">
        <v>699</v>
      </c>
      <c r="B548" s="16" t="s">
        <v>688</v>
      </c>
      <c r="C548" s="18" t="s">
        <v>403</v>
      </c>
      <c r="D548" s="16" t="s">
        <v>698</v>
      </c>
      <c r="E548" s="18" t="s">
        <v>697</v>
      </c>
      <c r="F548" s="16" t="s">
        <v>680</v>
      </c>
      <c r="G548" s="16" t="s">
        <v>679</v>
      </c>
      <c r="H548" s="19" t="s">
        <v>396</v>
      </c>
      <c r="I548" s="19" t="s">
        <v>396</v>
      </c>
      <c r="J548" s="18" t="s">
        <v>698</v>
      </c>
      <c r="K548" s="18" t="s">
        <v>697</v>
      </c>
      <c r="L548" s="19" t="s">
        <v>399</v>
      </c>
      <c r="M548" s="19" t="s">
        <v>396</v>
      </c>
      <c r="N548" s="19" t="s">
        <v>396</v>
      </c>
      <c r="O548" s="19" t="s">
        <v>396</v>
      </c>
      <c r="P548" s="19" t="s">
        <v>396</v>
      </c>
      <c r="Q548" s="19" t="s">
        <v>396</v>
      </c>
      <c r="R548" s="18"/>
      <c r="S548" s="19" t="s">
        <v>396</v>
      </c>
      <c r="T548" s="21" t="s">
        <v>396</v>
      </c>
      <c r="U548" s="19" t="s">
        <v>396</v>
      </c>
      <c r="V548" s="48" t="s">
        <v>396</v>
      </c>
      <c r="W548" s="19" t="s">
        <v>396</v>
      </c>
      <c r="X548" s="19" t="s">
        <v>396</v>
      </c>
      <c r="Y548" s="19" t="s">
        <v>396</v>
      </c>
      <c r="Z548" s="47" t="s">
        <v>396</v>
      </c>
      <c r="AA548" s="19" t="s">
        <v>396</v>
      </c>
      <c r="AB548" s="19" t="s">
        <v>396</v>
      </c>
      <c r="AC548" s="19" t="s">
        <v>396</v>
      </c>
      <c r="AD548" s="19" t="s">
        <v>396</v>
      </c>
      <c r="AE548" s="19" t="s">
        <v>396</v>
      </c>
      <c r="AF548" s="19" t="s">
        <v>396</v>
      </c>
      <c r="AG548" s="19" t="s">
        <v>396</v>
      </c>
      <c r="AH548" s="19" t="s">
        <v>396</v>
      </c>
      <c r="AI548" s="19" t="s">
        <v>396</v>
      </c>
      <c r="AJ548" s="19" t="s">
        <v>396</v>
      </c>
      <c r="AK548" s="18" t="s">
        <v>395</v>
      </c>
      <c r="AL548" s="17">
        <v>7318936654550</v>
      </c>
      <c r="AM548" s="15" t="s">
        <v>395</v>
      </c>
      <c r="AN548" s="5">
        <v>90258099</v>
      </c>
      <c r="AO548" s="6"/>
      <c r="AP548" s="6"/>
      <c r="AQ548" s="6" t="s">
        <v>696</v>
      </c>
      <c r="AR548" s="6" t="s">
        <v>695</v>
      </c>
      <c r="AS548" s="6" t="s">
        <v>694</v>
      </c>
    </row>
    <row r="549" spans="1:45" s="5" customFormat="1" ht="12.75" customHeight="1">
      <c r="A549" s="32" t="s">
        <v>693</v>
      </c>
      <c r="B549" s="6" t="s">
        <v>396</v>
      </c>
      <c r="C549" s="31" t="s">
        <v>403</v>
      </c>
      <c r="D549" s="5" t="s">
        <v>692</v>
      </c>
      <c r="E549" s="5" t="s">
        <v>691</v>
      </c>
      <c r="F549" s="6" t="s">
        <v>396</v>
      </c>
      <c r="G549" s="6" t="s">
        <v>396</v>
      </c>
      <c r="H549" s="27" t="s">
        <v>396</v>
      </c>
      <c r="I549" s="27" t="s">
        <v>396</v>
      </c>
      <c r="J549" s="6" t="s">
        <v>692</v>
      </c>
      <c r="K549" s="5" t="s">
        <v>691</v>
      </c>
      <c r="L549" s="27" t="s">
        <v>399</v>
      </c>
      <c r="M549" s="27" t="s">
        <v>396</v>
      </c>
      <c r="N549" s="27" t="s">
        <v>396</v>
      </c>
      <c r="O549" s="27" t="s">
        <v>396</v>
      </c>
      <c r="P549" s="27" t="s">
        <v>396</v>
      </c>
      <c r="Q549" s="27" t="s">
        <v>396</v>
      </c>
      <c r="R549" s="6"/>
      <c r="S549" s="27" t="s">
        <v>396</v>
      </c>
      <c r="T549" s="30" t="s">
        <v>396</v>
      </c>
      <c r="U549" s="27" t="s">
        <v>396</v>
      </c>
      <c r="V549" s="29" t="s">
        <v>396</v>
      </c>
      <c r="W549" s="27" t="s">
        <v>396</v>
      </c>
      <c r="X549" s="27" t="s">
        <v>396</v>
      </c>
      <c r="Y549" s="27" t="s">
        <v>396</v>
      </c>
      <c r="Z549" s="28" t="s">
        <v>396</v>
      </c>
      <c r="AA549" s="27" t="s">
        <v>396</v>
      </c>
      <c r="AB549" s="27" t="s">
        <v>396</v>
      </c>
      <c r="AC549" s="27" t="s">
        <v>396</v>
      </c>
      <c r="AD549" s="27" t="s">
        <v>396</v>
      </c>
      <c r="AE549" s="27" t="s">
        <v>396</v>
      </c>
      <c r="AF549" s="27" t="s">
        <v>396</v>
      </c>
      <c r="AG549" s="27" t="s">
        <v>396</v>
      </c>
      <c r="AH549" s="27" t="s">
        <v>396</v>
      </c>
      <c r="AI549" s="27" t="s">
        <v>396</v>
      </c>
      <c r="AJ549" s="27" t="s">
        <v>396</v>
      </c>
      <c r="AK549" s="6" t="s">
        <v>395</v>
      </c>
      <c r="AL549" s="17">
        <f>VLOOKUP(A549,[1]Gyproc_2016_12!$A:$BE,57,FALSE)</f>
        <v>5413218564144</v>
      </c>
      <c r="AM549" s="15" t="s">
        <v>395</v>
      </c>
      <c r="AN549" s="5">
        <v>90258099</v>
      </c>
      <c r="AO549" s="6"/>
      <c r="AP549" s="6"/>
      <c r="AQ549" s="6"/>
      <c r="AR549" s="6"/>
      <c r="AS549" s="6" t="s">
        <v>690</v>
      </c>
    </row>
    <row r="550" spans="1:45" s="16" customFormat="1" ht="12.75" customHeight="1">
      <c r="A550" s="46" t="s">
        <v>689</v>
      </c>
      <c r="B550" s="16" t="s">
        <v>688</v>
      </c>
      <c r="C550" s="18" t="s">
        <v>403</v>
      </c>
      <c r="D550" s="16" t="s">
        <v>687</v>
      </c>
      <c r="E550" s="18" t="s">
        <v>686</v>
      </c>
      <c r="F550" s="16" t="s">
        <v>680</v>
      </c>
      <c r="G550" s="16" t="s">
        <v>679</v>
      </c>
      <c r="H550" s="19" t="s">
        <v>396</v>
      </c>
      <c r="I550" s="19" t="s">
        <v>396</v>
      </c>
      <c r="J550" s="18" t="s">
        <v>687</v>
      </c>
      <c r="K550" s="18" t="s">
        <v>686</v>
      </c>
      <c r="L550" s="19" t="s">
        <v>399</v>
      </c>
      <c r="M550" s="19" t="s">
        <v>396</v>
      </c>
      <c r="N550" s="19" t="s">
        <v>396</v>
      </c>
      <c r="O550" s="19" t="s">
        <v>396</v>
      </c>
      <c r="P550" s="19" t="s">
        <v>396</v>
      </c>
      <c r="Q550" s="19" t="s">
        <v>396</v>
      </c>
      <c r="R550" s="18"/>
      <c r="S550" s="19" t="s">
        <v>396</v>
      </c>
      <c r="T550" s="21" t="s">
        <v>396</v>
      </c>
      <c r="U550" s="19" t="s">
        <v>396</v>
      </c>
      <c r="V550" s="48" t="s">
        <v>396</v>
      </c>
      <c r="W550" s="19" t="s">
        <v>396</v>
      </c>
      <c r="X550" s="19" t="s">
        <v>396</v>
      </c>
      <c r="Y550" s="19" t="s">
        <v>396</v>
      </c>
      <c r="Z550" s="47" t="s">
        <v>396</v>
      </c>
      <c r="AA550" s="19" t="s">
        <v>396</v>
      </c>
      <c r="AB550" s="19" t="s">
        <v>396</v>
      </c>
      <c r="AC550" s="19" t="s">
        <v>396</v>
      </c>
      <c r="AD550" s="19" t="s">
        <v>396</v>
      </c>
      <c r="AE550" s="19" t="s">
        <v>396</v>
      </c>
      <c r="AF550" s="19" t="s">
        <v>396</v>
      </c>
      <c r="AG550" s="19" t="s">
        <v>396</v>
      </c>
      <c r="AH550" s="19" t="s">
        <v>396</v>
      </c>
      <c r="AI550" s="19" t="s">
        <v>396</v>
      </c>
      <c r="AJ550" s="19" t="s">
        <v>396</v>
      </c>
      <c r="AK550" s="18" t="s">
        <v>395</v>
      </c>
      <c r="AL550" s="17">
        <v>5413218573672</v>
      </c>
      <c r="AM550" s="15" t="s">
        <v>395</v>
      </c>
      <c r="AN550" s="5">
        <v>90258099</v>
      </c>
      <c r="AO550" s="6"/>
      <c r="AP550" s="6"/>
      <c r="AQ550" s="6" t="s">
        <v>685</v>
      </c>
      <c r="AR550" s="6" t="s">
        <v>684</v>
      </c>
      <c r="AS550" s="6" t="s">
        <v>683</v>
      </c>
    </row>
    <row r="551" spans="1:45" s="16" customFormat="1" ht="12.75" customHeight="1">
      <c r="A551" s="46" t="s">
        <v>682</v>
      </c>
      <c r="B551" s="16" t="s">
        <v>681</v>
      </c>
      <c r="C551" s="18" t="s">
        <v>403</v>
      </c>
      <c r="D551" s="16" t="s">
        <v>678</v>
      </c>
      <c r="E551" s="18" t="s">
        <v>677</v>
      </c>
      <c r="F551" s="16" t="s">
        <v>680</v>
      </c>
      <c r="G551" s="16" t="s">
        <v>679</v>
      </c>
      <c r="H551" s="19" t="s">
        <v>396</v>
      </c>
      <c r="I551" s="19" t="s">
        <v>396</v>
      </c>
      <c r="J551" s="18" t="s">
        <v>678</v>
      </c>
      <c r="K551" s="18" t="s">
        <v>677</v>
      </c>
      <c r="L551" s="19" t="s">
        <v>399</v>
      </c>
      <c r="M551" s="19" t="s">
        <v>396</v>
      </c>
      <c r="N551" s="19" t="s">
        <v>396</v>
      </c>
      <c r="O551" s="19" t="s">
        <v>396</v>
      </c>
      <c r="P551" s="19" t="s">
        <v>396</v>
      </c>
      <c r="Q551" s="19" t="s">
        <v>396</v>
      </c>
      <c r="R551" s="18"/>
      <c r="S551" s="19" t="s">
        <v>396</v>
      </c>
      <c r="T551" s="21" t="s">
        <v>396</v>
      </c>
      <c r="U551" s="19" t="s">
        <v>396</v>
      </c>
      <c r="V551" s="48" t="s">
        <v>396</v>
      </c>
      <c r="W551" s="19" t="s">
        <v>396</v>
      </c>
      <c r="X551" s="19" t="s">
        <v>396</v>
      </c>
      <c r="Y551" s="19" t="s">
        <v>396</v>
      </c>
      <c r="Z551" s="47" t="s">
        <v>396</v>
      </c>
      <c r="AA551" s="19" t="s">
        <v>396</v>
      </c>
      <c r="AB551" s="19" t="s">
        <v>396</v>
      </c>
      <c r="AC551" s="19" t="s">
        <v>396</v>
      </c>
      <c r="AD551" s="19" t="s">
        <v>396</v>
      </c>
      <c r="AE551" s="19" t="s">
        <v>396</v>
      </c>
      <c r="AF551" s="19" t="s">
        <v>396</v>
      </c>
      <c r="AG551" s="19" t="s">
        <v>396</v>
      </c>
      <c r="AH551" s="19" t="s">
        <v>396</v>
      </c>
      <c r="AI551" s="19" t="s">
        <v>396</v>
      </c>
      <c r="AJ551" s="19" t="s">
        <v>396</v>
      </c>
      <c r="AK551" s="18" t="s">
        <v>395</v>
      </c>
      <c r="AL551" s="17">
        <v>7318936671786</v>
      </c>
      <c r="AM551" s="15" t="s">
        <v>395</v>
      </c>
      <c r="AN551" s="5">
        <v>82055990</v>
      </c>
      <c r="AO551" s="6"/>
      <c r="AP551" s="6"/>
      <c r="AQ551" s="6" t="s">
        <v>676</v>
      </c>
      <c r="AR551" s="6" t="s">
        <v>675</v>
      </c>
      <c r="AS551" s="6" t="s">
        <v>674</v>
      </c>
    </row>
    <row r="552" spans="1:45" s="16" customFormat="1" ht="12.75" customHeight="1">
      <c r="A552" s="46" t="s">
        <v>673</v>
      </c>
      <c r="B552" s="18" t="s">
        <v>396</v>
      </c>
      <c r="C552" s="18" t="s">
        <v>403</v>
      </c>
      <c r="D552" s="16" t="s">
        <v>670</v>
      </c>
      <c r="E552" s="18" t="s">
        <v>669</v>
      </c>
      <c r="F552" s="16" t="s">
        <v>672</v>
      </c>
      <c r="G552" s="16" t="s">
        <v>671</v>
      </c>
      <c r="H552" s="19" t="s">
        <v>396</v>
      </c>
      <c r="I552" s="19" t="s">
        <v>396</v>
      </c>
      <c r="J552" s="18" t="s">
        <v>670</v>
      </c>
      <c r="K552" s="18" t="s">
        <v>669</v>
      </c>
      <c r="L552" s="19" t="s">
        <v>399</v>
      </c>
      <c r="M552" s="19" t="s">
        <v>396</v>
      </c>
      <c r="N552" s="19" t="s">
        <v>396</v>
      </c>
      <c r="O552" s="19" t="s">
        <v>396</v>
      </c>
      <c r="P552" s="19" t="s">
        <v>396</v>
      </c>
      <c r="Q552" s="19" t="s">
        <v>396</v>
      </c>
      <c r="R552" s="18"/>
      <c r="S552" s="19" t="s">
        <v>396</v>
      </c>
      <c r="T552" s="21" t="s">
        <v>396</v>
      </c>
      <c r="U552" s="19" t="s">
        <v>396</v>
      </c>
      <c r="V552" s="48" t="s">
        <v>396</v>
      </c>
      <c r="W552" s="19" t="s">
        <v>396</v>
      </c>
      <c r="X552" s="19" t="s">
        <v>396</v>
      </c>
      <c r="Y552" s="19" t="s">
        <v>396</v>
      </c>
      <c r="Z552" s="47" t="s">
        <v>396</v>
      </c>
      <c r="AA552" s="19" t="s">
        <v>396</v>
      </c>
      <c r="AB552" s="19" t="s">
        <v>396</v>
      </c>
      <c r="AC552" s="19" t="s">
        <v>396</v>
      </c>
      <c r="AD552" s="19" t="s">
        <v>396</v>
      </c>
      <c r="AE552" s="19" t="s">
        <v>396</v>
      </c>
      <c r="AF552" s="19" t="s">
        <v>396</v>
      </c>
      <c r="AG552" s="19" t="s">
        <v>396</v>
      </c>
      <c r="AH552" s="19" t="s">
        <v>396</v>
      </c>
      <c r="AI552" s="19" t="s">
        <v>396</v>
      </c>
      <c r="AJ552" s="19" t="s">
        <v>396</v>
      </c>
      <c r="AK552" s="18" t="s">
        <v>395</v>
      </c>
      <c r="AL552" s="17">
        <v>7318936671793</v>
      </c>
      <c r="AM552" s="15" t="s">
        <v>395</v>
      </c>
      <c r="AN552" s="5">
        <v>82055990</v>
      </c>
      <c r="AO552" s="6"/>
      <c r="AP552" s="6"/>
      <c r="AQ552" s="6" t="s">
        <v>668</v>
      </c>
      <c r="AR552" s="6" t="s">
        <v>667</v>
      </c>
      <c r="AS552" s="6" t="s">
        <v>666</v>
      </c>
    </row>
    <row r="553" spans="1:45" s="16" customFormat="1" ht="12.75" customHeight="1">
      <c r="A553" s="46" t="s">
        <v>665</v>
      </c>
      <c r="B553" s="18" t="s">
        <v>396</v>
      </c>
      <c r="C553" s="18" t="s">
        <v>403</v>
      </c>
      <c r="D553" s="16" t="s">
        <v>662</v>
      </c>
      <c r="E553" s="18" t="s">
        <v>661</v>
      </c>
      <c r="F553" s="16" t="s">
        <v>664</v>
      </c>
      <c r="G553" s="16" t="s">
        <v>663</v>
      </c>
      <c r="H553" s="19" t="s">
        <v>396</v>
      </c>
      <c r="I553" s="19" t="s">
        <v>396</v>
      </c>
      <c r="J553" s="18" t="s">
        <v>662</v>
      </c>
      <c r="K553" s="18" t="s">
        <v>661</v>
      </c>
      <c r="L553" s="19" t="s">
        <v>399</v>
      </c>
      <c r="M553" s="19" t="s">
        <v>396</v>
      </c>
      <c r="N553" s="19" t="s">
        <v>396</v>
      </c>
      <c r="O553" s="19" t="s">
        <v>396</v>
      </c>
      <c r="P553" s="19" t="s">
        <v>396</v>
      </c>
      <c r="Q553" s="19" t="s">
        <v>396</v>
      </c>
      <c r="R553" s="18"/>
      <c r="S553" s="19" t="s">
        <v>396</v>
      </c>
      <c r="T553" s="21" t="s">
        <v>396</v>
      </c>
      <c r="U553" s="19" t="s">
        <v>396</v>
      </c>
      <c r="V553" s="48" t="s">
        <v>396</v>
      </c>
      <c r="W553" s="19" t="s">
        <v>396</v>
      </c>
      <c r="X553" s="19" t="s">
        <v>396</v>
      </c>
      <c r="Y553" s="19" t="s">
        <v>396</v>
      </c>
      <c r="Z553" s="47" t="s">
        <v>396</v>
      </c>
      <c r="AA553" s="19" t="s">
        <v>396</v>
      </c>
      <c r="AB553" s="19" t="s">
        <v>396</v>
      </c>
      <c r="AC553" s="19" t="s">
        <v>396</v>
      </c>
      <c r="AD553" s="19" t="s">
        <v>396</v>
      </c>
      <c r="AE553" s="19" t="s">
        <v>396</v>
      </c>
      <c r="AF553" s="19" t="s">
        <v>396</v>
      </c>
      <c r="AG553" s="19" t="s">
        <v>396</v>
      </c>
      <c r="AH553" s="19" t="s">
        <v>396</v>
      </c>
      <c r="AI553" s="19" t="s">
        <v>396</v>
      </c>
      <c r="AJ553" s="19" t="s">
        <v>396</v>
      </c>
      <c r="AK553" s="18" t="s">
        <v>395</v>
      </c>
      <c r="AL553" s="17">
        <v>7318936671922</v>
      </c>
      <c r="AM553" s="15" t="s">
        <v>395</v>
      </c>
      <c r="AN553" s="5">
        <v>82055990</v>
      </c>
      <c r="AO553" s="6"/>
      <c r="AP553" s="6"/>
      <c r="AQ553" s="6" t="s">
        <v>660</v>
      </c>
      <c r="AR553" s="6" t="s">
        <v>659</v>
      </c>
      <c r="AS553" s="6" t="s">
        <v>658</v>
      </c>
    </row>
    <row r="554" spans="1:45" s="16" customFormat="1" ht="12.75" customHeight="1">
      <c r="A554" s="46" t="s">
        <v>657</v>
      </c>
      <c r="B554" s="18" t="s">
        <v>396</v>
      </c>
      <c r="C554" s="18" t="s">
        <v>403</v>
      </c>
      <c r="D554" s="18" t="s">
        <v>656</v>
      </c>
      <c r="E554" s="18" t="s">
        <v>396</v>
      </c>
      <c r="F554" s="18" t="s">
        <v>656</v>
      </c>
      <c r="G554" s="18" t="s">
        <v>656</v>
      </c>
      <c r="H554" s="19" t="s">
        <v>396</v>
      </c>
      <c r="I554" s="19" t="s">
        <v>396</v>
      </c>
      <c r="J554" s="18" t="s">
        <v>396</v>
      </c>
      <c r="K554" s="18" t="s">
        <v>396</v>
      </c>
      <c r="L554" s="18" t="s">
        <v>651</v>
      </c>
      <c r="M554" s="19" t="s">
        <v>655</v>
      </c>
      <c r="N554" s="16" t="s">
        <v>654</v>
      </c>
      <c r="O554" s="18" t="s">
        <v>653</v>
      </c>
      <c r="P554" s="16" t="s">
        <v>652</v>
      </c>
      <c r="Q554" s="16" t="s">
        <v>651</v>
      </c>
      <c r="R554" s="18"/>
      <c r="S554" s="16" t="s">
        <v>650</v>
      </c>
      <c r="T554" s="45">
        <v>9.5</v>
      </c>
      <c r="U554" s="45">
        <v>1200</v>
      </c>
      <c r="V554" s="45">
        <v>2600</v>
      </c>
      <c r="W554" s="19" t="s">
        <v>396</v>
      </c>
      <c r="X554" s="19" t="s">
        <v>396</v>
      </c>
      <c r="Y554" s="42">
        <v>11.076000000000001</v>
      </c>
      <c r="Z554" s="41">
        <v>0.25</v>
      </c>
      <c r="AA554" s="19" t="s">
        <v>396</v>
      </c>
      <c r="AB554" s="18" t="s">
        <v>649</v>
      </c>
      <c r="AC554" s="16" t="s">
        <v>648</v>
      </c>
      <c r="AD554" s="16" t="s">
        <v>647</v>
      </c>
      <c r="AE554" s="16">
        <v>10</v>
      </c>
      <c r="AF554" s="19" t="s">
        <v>399</v>
      </c>
      <c r="AG554" s="44">
        <f>AE554*T554/1000</f>
        <v>9.5000000000000001E-2</v>
      </c>
      <c r="AH554" s="18" t="s">
        <v>646</v>
      </c>
      <c r="AI554" s="19" t="s">
        <v>645</v>
      </c>
      <c r="AJ554" s="19" t="s">
        <v>644</v>
      </c>
      <c r="AK554" s="18" t="s">
        <v>643</v>
      </c>
      <c r="AL554" s="17">
        <v>5413218572729</v>
      </c>
      <c r="AM554" s="15" t="s">
        <v>643</v>
      </c>
      <c r="AN554" s="5">
        <v>68091100</v>
      </c>
      <c r="AO554" s="6"/>
      <c r="AP554" s="6"/>
      <c r="AQ554" s="6"/>
      <c r="AR554" s="6"/>
      <c r="AS554" s="6"/>
    </row>
    <row r="555" spans="1:45" s="16" customFormat="1" ht="12.75" customHeight="1">
      <c r="A555" s="26" t="s">
        <v>642</v>
      </c>
      <c r="B555" s="18" t="s">
        <v>396</v>
      </c>
      <c r="C555" s="18" t="s">
        <v>403</v>
      </c>
      <c r="D555" s="16" t="s">
        <v>641</v>
      </c>
      <c r="E555" s="16" t="s">
        <v>641</v>
      </c>
      <c r="F555" s="16" t="s">
        <v>640</v>
      </c>
      <c r="G555" s="16" t="s">
        <v>639</v>
      </c>
      <c r="H555" s="19" t="s">
        <v>396</v>
      </c>
      <c r="I555" s="19" t="s">
        <v>396</v>
      </c>
      <c r="J555" s="16" t="s">
        <v>638</v>
      </c>
      <c r="K555" s="16" t="s">
        <v>638</v>
      </c>
      <c r="L555" s="43" t="s">
        <v>595</v>
      </c>
      <c r="M555" s="19" t="s">
        <v>12</v>
      </c>
      <c r="N555" s="19" t="s">
        <v>637</v>
      </c>
      <c r="O555" s="19" t="s">
        <v>636</v>
      </c>
      <c r="P555" s="19" t="s">
        <v>479</v>
      </c>
      <c r="Q555" s="43" t="s">
        <v>592</v>
      </c>
      <c r="S555" s="19" t="s">
        <v>396</v>
      </c>
      <c r="T555" s="42">
        <v>0.6</v>
      </c>
      <c r="U555" s="16">
        <v>58</v>
      </c>
      <c r="V555" s="16">
        <v>100</v>
      </c>
      <c r="W555" s="19" t="s">
        <v>396</v>
      </c>
      <c r="X555" s="19" t="s">
        <v>396</v>
      </c>
      <c r="Y555" s="19" t="s">
        <v>396</v>
      </c>
      <c r="Z555" s="41">
        <v>50</v>
      </c>
      <c r="AA555" s="19" t="s">
        <v>396</v>
      </c>
      <c r="AB555" s="19" t="s">
        <v>396</v>
      </c>
      <c r="AC555" s="19" t="s">
        <v>396</v>
      </c>
      <c r="AD555" s="19" t="s">
        <v>396</v>
      </c>
      <c r="AE555" s="19" t="s">
        <v>396</v>
      </c>
      <c r="AF555" s="19" t="s">
        <v>396</v>
      </c>
      <c r="AG555" s="19" t="s">
        <v>396</v>
      </c>
      <c r="AH555" s="19" t="s">
        <v>396</v>
      </c>
      <c r="AI555" s="19" t="s">
        <v>396</v>
      </c>
      <c r="AJ555" s="19" t="s">
        <v>396</v>
      </c>
      <c r="AK555" s="18" t="s">
        <v>591</v>
      </c>
      <c r="AL555" s="17">
        <v>5413218576741</v>
      </c>
      <c r="AM555" s="15" t="s">
        <v>591</v>
      </c>
      <c r="AN555" s="5">
        <v>72166110</v>
      </c>
      <c r="AO555" s="6"/>
      <c r="AP555" s="6"/>
      <c r="AQ555" s="6"/>
      <c r="AR555" s="6"/>
      <c r="AS555" s="6" t="s">
        <v>635</v>
      </c>
    </row>
    <row r="556" spans="1:45" s="16" customFormat="1" ht="12.75" customHeight="1">
      <c r="A556" s="26" t="s">
        <v>634</v>
      </c>
      <c r="B556" s="18" t="s">
        <v>396</v>
      </c>
      <c r="C556" s="18" t="s">
        <v>403</v>
      </c>
      <c r="D556" s="18" t="s">
        <v>633</v>
      </c>
      <c r="E556" s="16" t="s">
        <v>632</v>
      </c>
      <c r="F556" s="16" t="s">
        <v>631</v>
      </c>
      <c r="G556" s="16" t="s">
        <v>630</v>
      </c>
      <c r="H556" s="19" t="s">
        <v>396</v>
      </c>
      <c r="I556" s="19" t="s">
        <v>396</v>
      </c>
      <c r="J556" s="16" t="s">
        <v>629</v>
      </c>
      <c r="K556" s="16" t="s">
        <v>629</v>
      </c>
      <c r="L556" s="43" t="s">
        <v>595</v>
      </c>
      <c r="M556" s="19" t="s">
        <v>399</v>
      </c>
      <c r="N556" s="19" t="s">
        <v>628</v>
      </c>
      <c r="O556" s="19" t="s">
        <v>627</v>
      </c>
      <c r="P556" s="19" t="s">
        <v>479</v>
      </c>
      <c r="Q556" s="43" t="s">
        <v>592</v>
      </c>
      <c r="S556" s="19" t="s">
        <v>396</v>
      </c>
      <c r="T556" s="42">
        <v>0.8</v>
      </c>
      <c r="U556" s="16">
        <v>58</v>
      </c>
      <c r="V556" s="16">
        <v>200</v>
      </c>
      <c r="W556" s="19" t="s">
        <v>396</v>
      </c>
      <c r="X556" s="19" t="s">
        <v>396</v>
      </c>
      <c r="Y556" s="19" t="s">
        <v>396</v>
      </c>
      <c r="Z556" s="41">
        <v>50</v>
      </c>
      <c r="AA556" s="19" t="s">
        <v>396</v>
      </c>
      <c r="AB556" s="19" t="s">
        <v>396</v>
      </c>
      <c r="AC556" s="19" t="s">
        <v>396</v>
      </c>
      <c r="AD556" s="19" t="s">
        <v>396</v>
      </c>
      <c r="AE556" s="19" t="s">
        <v>396</v>
      </c>
      <c r="AF556" s="19" t="s">
        <v>396</v>
      </c>
      <c r="AG556" s="19" t="s">
        <v>396</v>
      </c>
      <c r="AH556" s="19" t="s">
        <v>396</v>
      </c>
      <c r="AI556" s="19" t="s">
        <v>396</v>
      </c>
      <c r="AJ556" s="19" t="s">
        <v>396</v>
      </c>
      <c r="AK556" s="18" t="s">
        <v>591</v>
      </c>
      <c r="AL556" s="17">
        <v>5413218576758</v>
      </c>
      <c r="AM556" s="15" t="s">
        <v>591</v>
      </c>
      <c r="AN556" s="5">
        <v>73269091</v>
      </c>
      <c r="AO556" s="6"/>
      <c r="AP556" s="6"/>
      <c r="AQ556" s="6"/>
      <c r="AR556" s="6"/>
      <c r="AS556" s="6" t="s">
        <v>626</v>
      </c>
    </row>
    <row r="557" spans="1:45" s="16" customFormat="1" ht="12.75" customHeight="1">
      <c r="A557" s="26" t="s">
        <v>625</v>
      </c>
      <c r="B557" s="18" t="s">
        <v>396</v>
      </c>
      <c r="C557" s="18" t="s">
        <v>403</v>
      </c>
      <c r="D557" s="16" t="s">
        <v>624</v>
      </c>
      <c r="E557" s="16" t="s">
        <v>624</v>
      </c>
      <c r="F557" s="16" t="s">
        <v>623</v>
      </c>
      <c r="G557" s="16" t="s">
        <v>622</v>
      </c>
      <c r="H557" s="19" t="s">
        <v>396</v>
      </c>
      <c r="I557" s="19" t="s">
        <v>396</v>
      </c>
      <c r="J557" s="16" t="s">
        <v>621</v>
      </c>
      <c r="K557" s="16" t="s">
        <v>621</v>
      </c>
      <c r="L557" s="43" t="s">
        <v>595</v>
      </c>
      <c r="M557" s="19" t="s">
        <v>399</v>
      </c>
      <c r="N557" s="19" t="s">
        <v>594</v>
      </c>
      <c r="O557" s="19" t="s">
        <v>593</v>
      </c>
      <c r="P557" s="19" t="s">
        <v>479</v>
      </c>
      <c r="Q557" s="43" t="s">
        <v>592</v>
      </c>
      <c r="S557" s="19" t="s">
        <v>396</v>
      </c>
      <c r="T557" s="42">
        <v>0.75</v>
      </c>
      <c r="U557" s="16">
        <v>58</v>
      </c>
      <c r="V557" s="16">
        <v>120</v>
      </c>
      <c r="W557" s="19" t="s">
        <v>396</v>
      </c>
      <c r="X557" s="19" t="s">
        <v>396</v>
      </c>
      <c r="Y557" s="19" t="s">
        <v>396</v>
      </c>
      <c r="Z557" s="41">
        <v>50</v>
      </c>
      <c r="AA557" s="19" t="s">
        <v>396</v>
      </c>
      <c r="AB557" s="19" t="s">
        <v>396</v>
      </c>
      <c r="AC557" s="19" t="s">
        <v>396</v>
      </c>
      <c r="AD557" s="19" t="s">
        <v>396</v>
      </c>
      <c r="AE557" s="19" t="s">
        <v>396</v>
      </c>
      <c r="AF557" s="19" t="s">
        <v>396</v>
      </c>
      <c r="AG557" s="19" t="s">
        <v>396</v>
      </c>
      <c r="AH557" s="19" t="s">
        <v>396</v>
      </c>
      <c r="AI557" s="19" t="s">
        <v>396</v>
      </c>
      <c r="AJ557" s="19" t="s">
        <v>396</v>
      </c>
      <c r="AK557" s="18" t="s">
        <v>591</v>
      </c>
      <c r="AL557" s="17">
        <v>5413218576765</v>
      </c>
      <c r="AM557" s="15" t="s">
        <v>591</v>
      </c>
      <c r="AN557" s="5">
        <v>73269091</v>
      </c>
      <c r="AO557" s="6"/>
      <c r="AP557" s="6"/>
      <c r="AQ557" s="6"/>
      <c r="AR557" s="6"/>
      <c r="AS557" s="6" t="s">
        <v>620</v>
      </c>
    </row>
    <row r="558" spans="1:45" s="16" customFormat="1" ht="12.75" customHeight="1">
      <c r="A558" s="26" t="s">
        <v>619</v>
      </c>
      <c r="B558" s="18" t="s">
        <v>396</v>
      </c>
      <c r="C558" s="18" t="s">
        <v>403</v>
      </c>
      <c r="D558" s="16" t="s">
        <v>618</v>
      </c>
      <c r="E558" s="16" t="s">
        <v>618</v>
      </c>
      <c r="F558" s="16" t="s">
        <v>617</v>
      </c>
      <c r="G558" s="16" t="s">
        <v>616</v>
      </c>
      <c r="H558" s="19" t="s">
        <v>396</v>
      </c>
      <c r="I558" s="19" t="s">
        <v>396</v>
      </c>
      <c r="J558" s="16" t="s">
        <v>615</v>
      </c>
      <c r="K558" s="16" t="s">
        <v>615</v>
      </c>
      <c r="L558" s="43" t="s">
        <v>595</v>
      </c>
      <c r="M558" s="19" t="s">
        <v>399</v>
      </c>
      <c r="N558" s="19" t="s">
        <v>594</v>
      </c>
      <c r="O558" s="19" t="s">
        <v>593</v>
      </c>
      <c r="P558" s="19" t="s">
        <v>479</v>
      </c>
      <c r="Q558" s="43" t="s">
        <v>592</v>
      </c>
      <c r="S558" s="19" t="s">
        <v>396</v>
      </c>
      <c r="T558" s="42">
        <v>1</v>
      </c>
      <c r="U558" s="16">
        <v>30</v>
      </c>
      <c r="V558" s="16">
        <v>305</v>
      </c>
      <c r="W558" s="19" t="s">
        <v>396</v>
      </c>
      <c r="X558" s="19" t="s">
        <v>396</v>
      </c>
      <c r="Y558" s="19" t="s">
        <v>396</v>
      </c>
      <c r="Z558" s="41">
        <v>50</v>
      </c>
      <c r="AA558" s="19" t="s">
        <v>396</v>
      </c>
      <c r="AB558" s="19" t="s">
        <v>396</v>
      </c>
      <c r="AC558" s="19" t="s">
        <v>396</v>
      </c>
      <c r="AD558" s="19" t="s">
        <v>396</v>
      </c>
      <c r="AE558" s="19" t="s">
        <v>396</v>
      </c>
      <c r="AF558" s="19" t="s">
        <v>396</v>
      </c>
      <c r="AG558" s="19" t="s">
        <v>396</v>
      </c>
      <c r="AH558" s="19" t="s">
        <v>396</v>
      </c>
      <c r="AI558" s="19" t="s">
        <v>396</v>
      </c>
      <c r="AJ558" s="19" t="s">
        <v>396</v>
      </c>
      <c r="AK558" s="18" t="s">
        <v>591</v>
      </c>
      <c r="AL558" s="17">
        <v>5413218576772</v>
      </c>
      <c r="AM558" s="15" t="s">
        <v>591</v>
      </c>
      <c r="AN558" s="5">
        <v>73269091</v>
      </c>
      <c r="AO558" s="6"/>
      <c r="AP558" s="6"/>
      <c r="AQ558" s="6"/>
      <c r="AR558" s="6"/>
      <c r="AS558" s="6" t="s">
        <v>614</v>
      </c>
    </row>
    <row r="559" spans="1:45" s="16" customFormat="1" ht="12.75" customHeight="1">
      <c r="A559" s="26" t="s">
        <v>613</v>
      </c>
      <c r="B559" s="18" t="s">
        <v>396</v>
      </c>
      <c r="C559" s="18" t="s">
        <v>403</v>
      </c>
      <c r="D559" s="16" t="s">
        <v>612</v>
      </c>
      <c r="E559" s="16" t="s">
        <v>612</v>
      </c>
      <c r="F559" s="16" t="s">
        <v>611</v>
      </c>
      <c r="G559" s="16" t="s">
        <v>610</v>
      </c>
      <c r="H559" s="19" t="s">
        <v>396</v>
      </c>
      <c r="I559" s="19" t="s">
        <v>396</v>
      </c>
      <c r="J559" s="16" t="s">
        <v>609</v>
      </c>
      <c r="K559" s="16" t="s">
        <v>609</v>
      </c>
      <c r="L559" s="43" t="s">
        <v>595</v>
      </c>
      <c r="M559" s="19" t="s">
        <v>399</v>
      </c>
      <c r="N559" s="19" t="s">
        <v>608</v>
      </c>
      <c r="O559" s="19" t="s">
        <v>607</v>
      </c>
      <c r="P559" s="19" t="s">
        <v>479</v>
      </c>
      <c r="Q559" s="43" t="s">
        <v>592</v>
      </c>
      <c r="S559" s="19" t="s">
        <v>396</v>
      </c>
      <c r="T559" s="42">
        <v>1</v>
      </c>
      <c r="U559" s="16">
        <v>56.6</v>
      </c>
      <c r="V559" s="16">
        <v>61</v>
      </c>
      <c r="W559" s="19" t="s">
        <v>396</v>
      </c>
      <c r="X559" s="19" t="s">
        <v>396</v>
      </c>
      <c r="Y559" s="19" t="s">
        <v>396</v>
      </c>
      <c r="Z559" s="41">
        <v>50</v>
      </c>
      <c r="AA559" s="19" t="s">
        <v>396</v>
      </c>
      <c r="AB559" s="19" t="s">
        <v>396</v>
      </c>
      <c r="AC559" s="19" t="s">
        <v>396</v>
      </c>
      <c r="AD559" s="19" t="s">
        <v>396</v>
      </c>
      <c r="AE559" s="19" t="s">
        <v>396</v>
      </c>
      <c r="AF559" s="19" t="s">
        <v>396</v>
      </c>
      <c r="AG559" s="19" t="s">
        <v>396</v>
      </c>
      <c r="AH559" s="19" t="s">
        <v>396</v>
      </c>
      <c r="AI559" s="19" t="s">
        <v>396</v>
      </c>
      <c r="AJ559" s="19" t="s">
        <v>396</v>
      </c>
      <c r="AK559" s="18" t="s">
        <v>591</v>
      </c>
      <c r="AL559" s="17">
        <v>5413218576789</v>
      </c>
      <c r="AM559" s="15" t="s">
        <v>591</v>
      </c>
      <c r="AN559" s="5">
        <v>72166110</v>
      </c>
      <c r="AO559" s="6"/>
      <c r="AP559" s="6"/>
      <c r="AQ559" s="6"/>
      <c r="AR559" s="6"/>
      <c r="AS559" s="6" t="s">
        <v>606</v>
      </c>
    </row>
    <row r="560" spans="1:45" s="16" customFormat="1" ht="12.75" customHeight="1">
      <c r="A560" s="26" t="s">
        <v>605</v>
      </c>
      <c r="B560" s="18" t="s">
        <v>396</v>
      </c>
      <c r="C560" s="18" t="s">
        <v>403</v>
      </c>
      <c r="D560" s="18" t="s">
        <v>600</v>
      </c>
      <c r="E560" s="16" t="s">
        <v>604</v>
      </c>
      <c r="F560" s="16" t="s">
        <v>598</v>
      </c>
      <c r="G560" s="16" t="s">
        <v>597</v>
      </c>
      <c r="H560" s="19" t="s">
        <v>396</v>
      </c>
      <c r="I560" s="19" t="s">
        <v>396</v>
      </c>
      <c r="J560" s="16" t="s">
        <v>603</v>
      </c>
      <c r="K560" s="16" t="s">
        <v>603</v>
      </c>
      <c r="L560" s="43" t="s">
        <v>595</v>
      </c>
      <c r="M560" s="19" t="s">
        <v>399</v>
      </c>
      <c r="N560" s="19" t="s">
        <v>594</v>
      </c>
      <c r="O560" s="19" t="s">
        <v>593</v>
      </c>
      <c r="P560" s="19" t="s">
        <v>479</v>
      </c>
      <c r="Q560" s="43" t="s">
        <v>592</v>
      </c>
      <c r="S560" s="19" t="s">
        <v>396</v>
      </c>
      <c r="T560" s="42">
        <v>4</v>
      </c>
      <c r="V560" s="16">
        <v>250</v>
      </c>
      <c r="W560" s="19" t="s">
        <v>396</v>
      </c>
      <c r="X560" s="19" t="s">
        <v>396</v>
      </c>
      <c r="Y560" s="19" t="s">
        <v>396</v>
      </c>
      <c r="Z560" s="41">
        <v>50</v>
      </c>
      <c r="AA560" s="19" t="s">
        <v>396</v>
      </c>
      <c r="AB560" s="19" t="s">
        <v>396</v>
      </c>
      <c r="AC560" s="19" t="s">
        <v>396</v>
      </c>
      <c r="AD560" s="19" t="s">
        <v>396</v>
      </c>
      <c r="AE560" s="19" t="s">
        <v>396</v>
      </c>
      <c r="AF560" s="19" t="s">
        <v>396</v>
      </c>
      <c r="AG560" s="19" t="s">
        <v>396</v>
      </c>
      <c r="AH560" s="19" t="s">
        <v>396</v>
      </c>
      <c r="AI560" s="19" t="s">
        <v>396</v>
      </c>
      <c r="AJ560" s="19" t="s">
        <v>396</v>
      </c>
      <c r="AK560" s="18" t="s">
        <v>591</v>
      </c>
      <c r="AL560" s="17">
        <v>5413218576796</v>
      </c>
      <c r="AM560" s="15" t="s">
        <v>591</v>
      </c>
      <c r="AN560" s="5">
        <v>73269091</v>
      </c>
      <c r="AO560" s="6"/>
      <c r="AP560" s="6"/>
      <c r="AQ560" s="6"/>
      <c r="AR560" s="6"/>
      <c r="AS560" s="6" t="s">
        <v>602</v>
      </c>
    </row>
    <row r="561" spans="1:45" s="16" customFormat="1" ht="12.75" customHeight="1">
      <c r="A561" s="26" t="s">
        <v>601</v>
      </c>
      <c r="B561" s="18" t="s">
        <v>396</v>
      </c>
      <c r="C561" s="18" t="s">
        <v>403</v>
      </c>
      <c r="D561" s="18" t="s">
        <v>600</v>
      </c>
      <c r="E561" s="16" t="s">
        <v>599</v>
      </c>
      <c r="F561" s="16" t="s">
        <v>598</v>
      </c>
      <c r="G561" s="16" t="s">
        <v>597</v>
      </c>
      <c r="H561" s="19" t="s">
        <v>396</v>
      </c>
      <c r="I561" s="19" t="s">
        <v>396</v>
      </c>
      <c r="J561" s="16" t="s">
        <v>596</v>
      </c>
      <c r="K561" s="16" t="s">
        <v>596</v>
      </c>
      <c r="L561" s="43" t="s">
        <v>595</v>
      </c>
      <c r="M561" s="19" t="s">
        <v>399</v>
      </c>
      <c r="N561" s="19" t="s">
        <v>594</v>
      </c>
      <c r="O561" s="19" t="s">
        <v>593</v>
      </c>
      <c r="P561" s="19" t="s">
        <v>479</v>
      </c>
      <c r="Q561" s="43" t="s">
        <v>592</v>
      </c>
      <c r="S561" s="19" t="s">
        <v>396</v>
      </c>
      <c r="T561" s="42">
        <v>4</v>
      </c>
      <c r="V561" s="16">
        <v>500</v>
      </c>
      <c r="W561" s="19" t="s">
        <v>396</v>
      </c>
      <c r="X561" s="19" t="s">
        <v>396</v>
      </c>
      <c r="Y561" s="19" t="s">
        <v>396</v>
      </c>
      <c r="Z561" s="41">
        <v>50</v>
      </c>
      <c r="AA561" s="19" t="s">
        <v>396</v>
      </c>
      <c r="AB561" s="19" t="s">
        <v>396</v>
      </c>
      <c r="AC561" s="19" t="s">
        <v>396</v>
      </c>
      <c r="AD561" s="19" t="s">
        <v>396</v>
      </c>
      <c r="AE561" s="19" t="s">
        <v>396</v>
      </c>
      <c r="AF561" s="19" t="s">
        <v>396</v>
      </c>
      <c r="AG561" s="19" t="s">
        <v>396</v>
      </c>
      <c r="AH561" s="19" t="s">
        <v>396</v>
      </c>
      <c r="AI561" s="19" t="s">
        <v>396</v>
      </c>
      <c r="AJ561" s="19" t="s">
        <v>396</v>
      </c>
      <c r="AK561" s="18" t="s">
        <v>591</v>
      </c>
      <c r="AL561" s="17">
        <v>5413218576802</v>
      </c>
      <c r="AM561" s="15" t="s">
        <v>591</v>
      </c>
      <c r="AN561" s="5">
        <v>73269091</v>
      </c>
      <c r="AO561" s="6"/>
      <c r="AP561" s="6"/>
      <c r="AQ561" s="6"/>
      <c r="AR561" s="6"/>
      <c r="AS561" s="6" t="s">
        <v>590</v>
      </c>
    </row>
    <row r="562" spans="1:45" s="5" customFormat="1" ht="12.75" customHeight="1">
      <c r="A562" s="32" t="s">
        <v>589</v>
      </c>
      <c r="B562" s="6" t="s">
        <v>396</v>
      </c>
      <c r="C562" s="31" t="s">
        <v>403</v>
      </c>
      <c r="D562" s="5" t="s">
        <v>588</v>
      </c>
      <c r="E562" s="6" t="s">
        <v>588</v>
      </c>
      <c r="F562" s="6" t="s">
        <v>396</v>
      </c>
      <c r="G562" s="6" t="s">
        <v>396</v>
      </c>
      <c r="H562" s="36"/>
      <c r="I562" s="36"/>
      <c r="J562" s="6" t="s">
        <v>588</v>
      </c>
      <c r="K562" s="6" t="s">
        <v>588</v>
      </c>
      <c r="L562" s="27" t="s">
        <v>434</v>
      </c>
      <c r="M562" s="6" t="s">
        <v>522</v>
      </c>
      <c r="N562" s="6" t="s">
        <v>507</v>
      </c>
      <c r="O562" s="6" t="s">
        <v>506</v>
      </c>
      <c r="P562" s="6" t="s">
        <v>479</v>
      </c>
      <c r="Q562" s="6" t="s">
        <v>434</v>
      </c>
      <c r="R562" s="6"/>
      <c r="S562" s="27" t="s">
        <v>396</v>
      </c>
      <c r="T562" s="30" t="s">
        <v>396</v>
      </c>
      <c r="U562" s="27" t="s">
        <v>396</v>
      </c>
      <c r="V562" s="29" t="s">
        <v>396</v>
      </c>
      <c r="W562" s="27" t="s">
        <v>396</v>
      </c>
      <c r="X562" s="27" t="s">
        <v>396</v>
      </c>
      <c r="Y562" s="27" t="s">
        <v>396</v>
      </c>
      <c r="Z562" s="39">
        <v>0.25</v>
      </c>
      <c r="AA562" s="27" t="s">
        <v>396</v>
      </c>
      <c r="AB562" s="27" t="s">
        <v>396</v>
      </c>
      <c r="AC562" s="27" t="s">
        <v>396</v>
      </c>
      <c r="AD562" s="27" t="s">
        <v>396</v>
      </c>
      <c r="AE562" s="38"/>
      <c r="AF562" s="27" t="s">
        <v>399</v>
      </c>
      <c r="AG562" s="38"/>
      <c r="AH562" s="38"/>
      <c r="AI562" s="38"/>
      <c r="AJ562" s="38"/>
      <c r="AK562" s="6" t="s">
        <v>395</v>
      </c>
      <c r="AL562" s="17">
        <v>5413218561518</v>
      </c>
      <c r="AM562" s="15" t="s">
        <v>395</v>
      </c>
      <c r="AN562" s="5">
        <v>32149000</v>
      </c>
      <c r="AO562" s="6" t="s">
        <v>521</v>
      </c>
      <c r="AP562" s="6" t="s">
        <v>520</v>
      </c>
      <c r="AQ562" s="6"/>
      <c r="AR562" s="6"/>
      <c r="AS562" s="6" t="s">
        <v>587</v>
      </c>
    </row>
    <row r="563" spans="1:45" s="5" customFormat="1" ht="12.75" customHeight="1">
      <c r="A563" s="32" t="s">
        <v>586</v>
      </c>
      <c r="B563" s="6" t="s">
        <v>396</v>
      </c>
      <c r="C563" s="31" t="s">
        <v>403</v>
      </c>
      <c r="D563" s="5" t="s">
        <v>583</v>
      </c>
      <c r="E563" s="6" t="s">
        <v>583</v>
      </c>
      <c r="F563" s="6" t="s">
        <v>396</v>
      </c>
      <c r="G563" s="6" t="s">
        <v>396</v>
      </c>
      <c r="H563" s="36"/>
      <c r="I563" s="36"/>
      <c r="J563" s="6" t="s">
        <v>583</v>
      </c>
      <c r="K563" s="6" t="s">
        <v>583</v>
      </c>
      <c r="L563" s="27" t="s">
        <v>434</v>
      </c>
      <c r="M563" s="6" t="s">
        <v>508</v>
      </c>
      <c r="N563" s="6" t="s">
        <v>507</v>
      </c>
      <c r="O563" s="6" t="s">
        <v>506</v>
      </c>
      <c r="P563" s="6" t="s">
        <v>479</v>
      </c>
      <c r="Q563" s="6" t="s">
        <v>434</v>
      </c>
      <c r="R563" s="6"/>
      <c r="S563" s="27" t="s">
        <v>396</v>
      </c>
      <c r="T563" s="30" t="s">
        <v>396</v>
      </c>
      <c r="U563" s="27" t="s">
        <v>396</v>
      </c>
      <c r="V563" s="29" t="s">
        <v>396</v>
      </c>
      <c r="W563" s="27" t="s">
        <v>396</v>
      </c>
      <c r="X563" s="27" t="s">
        <v>396</v>
      </c>
      <c r="Y563" s="27" t="s">
        <v>396</v>
      </c>
      <c r="Z563" s="39">
        <v>0.25</v>
      </c>
      <c r="AA563" s="27" t="s">
        <v>396</v>
      </c>
      <c r="AB563" s="27" t="s">
        <v>396</v>
      </c>
      <c r="AC563" s="27" t="s">
        <v>396</v>
      </c>
      <c r="AD563" s="27" t="s">
        <v>396</v>
      </c>
      <c r="AE563" s="38"/>
      <c r="AF563" s="27" t="s">
        <v>399</v>
      </c>
      <c r="AG563" s="38"/>
      <c r="AH563" s="38"/>
      <c r="AI563" s="38"/>
      <c r="AJ563" s="38"/>
      <c r="AK563" s="6" t="s">
        <v>395</v>
      </c>
      <c r="AL563" s="17">
        <v>5413218562522</v>
      </c>
      <c r="AM563" s="15" t="s">
        <v>395</v>
      </c>
      <c r="AN563" s="5">
        <v>32149000</v>
      </c>
      <c r="AO563" s="6" t="s">
        <v>504</v>
      </c>
      <c r="AP563" s="6" t="s">
        <v>503</v>
      </c>
      <c r="AQ563" s="6"/>
      <c r="AR563" s="6"/>
      <c r="AS563" s="6" t="s">
        <v>585</v>
      </c>
    </row>
    <row r="564" spans="1:45" s="5" customFormat="1" ht="12.75" customHeight="1">
      <c r="A564" s="32" t="s">
        <v>584</v>
      </c>
      <c r="B564" s="6" t="s">
        <v>396</v>
      </c>
      <c r="C564" s="31" t="s">
        <v>403</v>
      </c>
      <c r="D564" s="5" t="s">
        <v>583</v>
      </c>
      <c r="E564" s="6" t="s">
        <v>583</v>
      </c>
      <c r="F564" s="6" t="s">
        <v>396</v>
      </c>
      <c r="G564" s="6" t="s">
        <v>396</v>
      </c>
      <c r="H564" s="36"/>
      <c r="I564" s="36"/>
      <c r="J564" s="6" t="s">
        <v>583</v>
      </c>
      <c r="K564" s="6" t="s">
        <v>583</v>
      </c>
      <c r="L564" s="27" t="s">
        <v>434</v>
      </c>
      <c r="M564" s="6" t="s">
        <v>508</v>
      </c>
      <c r="N564" s="6" t="s">
        <v>507</v>
      </c>
      <c r="O564" s="6" t="s">
        <v>506</v>
      </c>
      <c r="P564" s="6" t="s">
        <v>479</v>
      </c>
      <c r="Q564" s="6" t="s">
        <v>434</v>
      </c>
      <c r="R564" s="6"/>
      <c r="S564" s="27" t="s">
        <v>396</v>
      </c>
      <c r="T564" s="30" t="s">
        <v>396</v>
      </c>
      <c r="U564" s="27" t="s">
        <v>396</v>
      </c>
      <c r="V564" s="29" t="s">
        <v>396</v>
      </c>
      <c r="W564" s="27" t="s">
        <v>396</v>
      </c>
      <c r="X564" s="27" t="s">
        <v>396</v>
      </c>
      <c r="Y564" s="27" t="s">
        <v>396</v>
      </c>
      <c r="Z564" s="39">
        <v>0.25</v>
      </c>
      <c r="AA564" s="27" t="s">
        <v>396</v>
      </c>
      <c r="AB564" s="27" t="s">
        <v>396</v>
      </c>
      <c r="AC564" s="27" t="s">
        <v>396</v>
      </c>
      <c r="AD564" s="27" t="s">
        <v>396</v>
      </c>
      <c r="AE564" s="38"/>
      <c r="AF564" s="27" t="s">
        <v>399</v>
      </c>
      <c r="AG564" s="38"/>
      <c r="AH564" s="38"/>
      <c r="AI564" s="38"/>
      <c r="AJ564" s="38"/>
      <c r="AK564" s="6" t="s">
        <v>395</v>
      </c>
      <c r="AL564" s="17">
        <v>5413218568722</v>
      </c>
      <c r="AM564" s="15" t="s">
        <v>395</v>
      </c>
      <c r="AN564" s="5">
        <v>32149000</v>
      </c>
      <c r="AO564" s="6" t="s">
        <v>504</v>
      </c>
      <c r="AP564" s="6" t="s">
        <v>503</v>
      </c>
      <c r="AQ564" s="6"/>
      <c r="AR564" s="6"/>
      <c r="AS564" s="6" t="s">
        <v>582</v>
      </c>
    </row>
    <row r="565" spans="1:45" s="5" customFormat="1" ht="12.75" customHeight="1">
      <c r="A565" s="32" t="s">
        <v>581</v>
      </c>
      <c r="B565" s="6" t="s">
        <v>396</v>
      </c>
      <c r="C565" s="31" t="s">
        <v>403</v>
      </c>
      <c r="D565" s="5" t="s">
        <v>580</v>
      </c>
      <c r="E565" s="6" t="s">
        <v>580</v>
      </c>
      <c r="F565" s="6" t="s">
        <v>396</v>
      </c>
      <c r="G565" s="6" t="s">
        <v>396</v>
      </c>
      <c r="H565" s="36"/>
      <c r="I565" s="36"/>
      <c r="J565" s="6" t="s">
        <v>580</v>
      </c>
      <c r="K565" s="6" t="s">
        <v>580</v>
      </c>
      <c r="L565" s="27" t="s">
        <v>434</v>
      </c>
      <c r="M565" s="6" t="s">
        <v>508</v>
      </c>
      <c r="N565" s="6" t="s">
        <v>507</v>
      </c>
      <c r="O565" s="6" t="s">
        <v>506</v>
      </c>
      <c r="P565" s="6" t="s">
        <v>479</v>
      </c>
      <c r="Q565" s="6" t="s">
        <v>434</v>
      </c>
      <c r="R565" s="6"/>
      <c r="S565" s="27" t="s">
        <v>396</v>
      </c>
      <c r="T565" s="30" t="s">
        <v>396</v>
      </c>
      <c r="U565" s="27" t="s">
        <v>396</v>
      </c>
      <c r="V565" s="29" t="s">
        <v>396</v>
      </c>
      <c r="W565" s="27" t="s">
        <v>396</v>
      </c>
      <c r="X565" s="27" t="s">
        <v>396</v>
      </c>
      <c r="Y565" s="27" t="s">
        <v>396</v>
      </c>
      <c r="Z565" s="39">
        <v>0.25</v>
      </c>
      <c r="AA565" s="27" t="s">
        <v>396</v>
      </c>
      <c r="AB565" s="27" t="s">
        <v>396</v>
      </c>
      <c r="AC565" s="27" t="s">
        <v>396</v>
      </c>
      <c r="AD565" s="27" t="s">
        <v>396</v>
      </c>
      <c r="AE565" s="38"/>
      <c r="AF565" s="27" t="s">
        <v>399</v>
      </c>
      <c r="AG565" s="38"/>
      <c r="AH565" s="38"/>
      <c r="AI565" s="38"/>
      <c r="AJ565" s="38"/>
      <c r="AK565" s="5" t="s">
        <v>579</v>
      </c>
      <c r="AL565" s="17">
        <v>3496250209190</v>
      </c>
      <c r="AM565" s="15" t="s">
        <v>579</v>
      </c>
      <c r="AN565" s="5">
        <v>32149000</v>
      </c>
      <c r="AO565" s="6" t="s">
        <v>504</v>
      </c>
      <c r="AP565" s="6" t="s">
        <v>503</v>
      </c>
      <c r="AQ565" s="6"/>
      <c r="AR565" s="6"/>
      <c r="AS565" s="6" t="s">
        <v>578</v>
      </c>
    </row>
    <row r="566" spans="1:45" s="5" customFormat="1" ht="12.75" customHeight="1">
      <c r="A566" s="32" t="s">
        <v>577</v>
      </c>
      <c r="B566" s="6" t="s">
        <v>396</v>
      </c>
      <c r="C566" s="31" t="s">
        <v>403</v>
      </c>
      <c r="D566" s="5" t="s">
        <v>576</v>
      </c>
      <c r="E566" s="6" t="s">
        <v>576</v>
      </c>
      <c r="F566" s="6" t="s">
        <v>396</v>
      </c>
      <c r="G566" s="6" t="s">
        <v>396</v>
      </c>
      <c r="H566" s="36"/>
      <c r="I566" s="36"/>
      <c r="J566" s="6" t="s">
        <v>576</v>
      </c>
      <c r="K566" s="6" t="s">
        <v>576</v>
      </c>
      <c r="L566" s="27" t="s">
        <v>434</v>
      </c>
      <c r="M566" s="6" t="s">
        <v>508</v>
      </c>
      <c r="N566" s="6" t="s">
        <v>507</v>
      </c>
      <c r="O566" s="6" t="s">
        <v>506</v>
      </c>
      <c r="P566" s="6" t="s">
        <v>479</v>
      </c>
      <c r="Q566" s="6" t="s">
        <v>434</v>
      </c>
      <c r="R566" s="6"/>
      <c r="S566" s="27" t="s">
        <v>396</v>
      </c>
      <c r="T566" s="30" t="s">
        <v>396</v>
      </c>
      <c r="U566" s="27" t="s">
        <v>396</v>
      </c>
      <c r="V566" s="29" t="s">
        <v>396</v>
      </c>
      <c r="W566" s="27" t="s">
        <v>396</v>
      </c>
      <c r="X566" s="27" t="s">
        <v>396</v>
      </c>
      <c r="Y566" s="27" t="s">
        <v>396</v>
      </c>
      <c r="Z566" s="39">
        <v>0.25</v>
      </c>
      <c r="AA566" s="27" t="s">
        <v>396</v>
      </c>
      <c r="AB566" s="27" t="s">
        <v>396</v>
      </c>
      <c r="AC566" s="27" t="s">
        <v>396</v>
      </c>
      <c r="AD566" s="27" t="s">
        <v>396</v>
      </c>
      <c r="AE566" s="38"/>
      <c r="AF566" s="27" t="s">
        <v>399</v>
      </c>
      <c r="AG566" s="38"/>
      <c r="AH566" s="38"/>
      <c r="AI566" s="38"/>
      <c r="AJ566" s="38"/>
      <c r="AK566" s="6" t="s">
        <v>395</v>
      </c>
      <c r="AL566" s="17">
        <v>5413218564359</v>
      </c>
      <c r="AM566" s="15" t="s">
        <v>395</v>
      </c>
      <c r="AN566" s="5">
        <v>32149000</v>
      </c>
      <c r="AO566" s="6" t="s">
        <v>504</v>
      </c>
      <c r="AP566" s="6" t="s">
        <v>503</v>
      </c>
      <c r="AQ566" s="6"/>
      <c r="AR566" s="6"/>
      <c r="AS566" s="6" t="s">
        <v>575</v>
      </c>
    </row>
    <row r="567" spans="1:45" s="5" customFormat="1" ht="12.75" customHeight="1">
      <c r="A567" s="32" t="s">
        <v>574</v>
      </c>
      <c r="B567" s="6" t="s">
        <v>396</v>
      </c>
      <c r="C567" s="31" t="s">
        <v>403</v>
      </c>
      <c r="D567" s="5" t="s">
        <v>573</v>
      </c>
      <c r="E567" s="6" t="s">
        <v>572</v>
      </c>
      <c r="F567" s="6" t="s">
        <v>396</v>
      </c>
      <c r="G567" s="6" t="s">
        <v>396</v>
      </c>
      <c r="H567" s="38"/>
      <c r="I567" s="38"/>
      <c r="J567" s="6" t="s">
        <v>573</v>
      </c>
      <c r="K567" s="6" t="s">
        <v>572</v>
      </c>
      <c r="L567" t="s">
        <v>569</v>
      </c>
      <c r="M567" s="27" t="s">
        <v>399</v>
      </c>
      <c r="N567" s="6" t="s">
        <v>571</v>
      </c>
      <c r="O567" s="6" t="s">
        <v>570</v>
      </c>
      <c r="P567" s="6" t="s">
        <v>479</v>
      </c>
      <c r="Q567" t="s">
        <v>569</v>
      </c>
      <c r="R567" s="6"/>
      <c r="S567" s="27" t="s">
        <v>396</v>
      </c>
      <c r="T567" s="27" t="s">
        <v>396</v>
      </c>
      <c r="U567" s="27" t="s">
        <v>396</v>
      </c>
      <c r="V567" s="27" t="s">
        <v>396</v>
      </c>
      <c r="W567" s="27" t="s">
        <v>396</v>
      </c>
      <c r="X567" s="27" t="s">
        <v>396</v>
      </c>
      <c r="Y567" s="27" t="s">
        <v>396</v>
      </c>
      <c r="Z567" s="39">
        <v>0.25</v>
      </c>
      <c r="AA567" s="27" t="s">
        <v>396</v>
      </c>
      <c r="AB567" s="27" t="s">
        <v>396</v>
      </c>
      <c r="AC567" s="27" t="s">
        <v>396</v>
      </c>
      <c r="AD567" s="27" t="s">
        <v>396</v>
      </c>
      <c r="AE567" s="38"/>
      <c r="AF567" s="27" t="s">
        <v>399</v>
      </c>
      <c r="AG567" s="38"/>
      <c r="AH567" s="38"/>
      <c r="AI567" s="38"/>
      <c r="AJ567" s="38"/>
      <c r="AK567" s="6" t="s">
        <v>395</v>
      </c>
      <c r="AL567" s="17">
        <v>5413218562188</v>
      </c>
      <c r="AM567" s="15" t="s">
        <v>395</v>
      </c>
      <c r="AN567" s="5">
        <v>25202000</v>
      </c>
      <c r="AO567" s="6" t="s">
        <v>568</v>
      </c>
      <c r="AP567" s="6" t="s">
        <v>567</v>
      </c>
      <c r="AQ567" s="6"/>
      <c r="AR567" s="6"/>
      <c r="AS567" s="6" t="s">
        <v>566</v>
      </c>
    </row>
    <row r="568" spans="1:45" s="5" customFormat="1" ht="12.75" customHeight="1">
      <c r="A568" s="32" t="s">
        <v>565</v>
      </c>
      <c r="B568" s="6" t="s">
        <v>396</v>
      </c>
      <c r="C568" s="31" t="s">
        <v>403</v>
      </c>
      <c r="D568" s="5" t="s">
        <v>564</v>
      </c>
      <c r="E568" s="6" t="s">
        <v>563</v>
      </c>
      <c r="F568" s="6" t="s">
        <v>396</v>
      </c>
      <c r="G568" s="6" t="s">
        <v>396</v>
      </c>
      <c r="H568" s="36"/>
      <c r="I568" s="36"/>
      <c r="J568" s="6" t="s">
        <v>564</v>
      </c>
      <c r="K568" s="6" t="s">
        <v>563</v>
      </c>
      <c r="L568" t="s">
        <v>555</v>
      </c>
      <c r="M568" s="27" t="s">
        <v>562</v>
      </c>
      <c r="N568" s="38"/>
      <c r="O568" s="38"/>
      <c r="P568" s="6" t="s">
        <v>479</v>
      </c>
      <c r="Q568" s="6" t="s">
        <v>434</v>
      </c>
      <c r="R568" s="6"/>
      <c r="S568" s="27" t="s">
        <v>396</v>
      </c>
      <c r="T568" s="27" t="s">
        <v>396</v>
      </c>
      <c r="U568" s="27" t="s">
        <v>396</v>
      </c>
      <c r="V568" s="27" t="s">
        <v>396</v>
      </c>
      <c r="W568" s="27" t="s">
        <v>396</v>
      </c>
      <c r="X568" s="27" t="s">
        <v>396</v>
      </c>
      <c r="Y568" s="27" t="s">
        <v>396</v>
      </c>
      <c r="Z568" s="39">
        <v>0.25</v>
      </c>
      <c r="AA568" s="27" t="s">
        <v>396</v>
      </c>
      <c r="AB568" s="27" t="s">
        <v>396</v>
      </c>
      <c r="AC568" s="27" t="s">
        <v>396</v>
      </c>
      <c r="AD568" s="27" t="s">
        <v>396</v>
      </c>
      <c r="AE568" s="36"/>
      <c r="AF568" s="27" t="s">
        <v>399</v>
      </c>
      <c r="AG568" s="36"/>
      <c r="AH568" s="6" t="s">
        <v>396</v>
      </c>
      <c r="AI568" s="6" t="s">
        <v>396</v>
      </c>
      <c r="AJ568" s="6" t="s">
        <v>396</v>
      </c>
      <c r="AK568" s="6" t="s">
        <v>395</v>
      </c>
      <c r="AL568" s="17">
        <v>5413218562195</v>
      </c>
      <c r="AM568" s="15" t="s">
        <v>395</v>
      </c>
      <c r="AN568" s="5">
        <v>25202000</v>
      </c>
      <c r="AO568" s="6" t="s">
        <v>561</v>
      </c>
      <c r="AP568" s="6" t="s">
        <v>560</v>
      </c>
      <c r="AQ568" s="6"/>
      <c r="AR568" s="6"/>
      <c r="AS568" s="6" t="s">
        <v>559</v>
      </c>
    </row>
    <row r="569" spans="1:45" s="5" customFormat="1" ht="12.75" customHeight="1">
      <c r="A569" s="32" t="s">
        <v>558</v>
      </c>
      <c r="B569" s="6" t="s">
        <v>396</v>
      </c>
      <c r="C569" s="31" t="s">
        <v>403</v>
      </c>
      <c r="D569" s="5" t="s">
        <v>557</v>
      </c>
      <c r="E569" s="6" t="s">
        <v>556</v>
      </c>
      <c r="F569" s="6" t="s">
        <v>396</v>
      </c>
      <c r="G569" s="6" t="s">
        <v>396</v>
      </c>
      <c r="H569" s="36"/>
      <c r="I569" s="36"/>
      <c r="J569" s="6" t="s">
        <v>557</v>
      </c>
      <c r="K569" s="6" t="s">
        <v>556</v>
      </c>
      <c r="L569" t="s">
        <v>555</v>
      </c>
      <c r="M569" s="27" t="s">
        <v>554</v>
      </c>
      <c r="N569" s="38"/>
      <c r="O569" s="38"/>
      <c r="P569" s="6" t="s">
        <v>479</v>
      </c>
      <c r="Q569" s="6" t="s">
        <v>434</v>
      </c>
      <c r="R569" s="6"/>
      <c r="S569" s="27" t="s">
        <v>396</v>
      </c>
      <c r="T569" s="27" t="s">
        <v>396</v>
      </c>
      <c r="U569" s="27" t="s">
        <v>396</v>
      </c>
      <c r="V569" s="27" t="s">
        <v>396</v>
      </c>
      <c r="W569" s="27" t="s">
        <v>396</v>
      </c>
      <c r="X569" s="27" t="s">
        <v>396</v>
      </c>
      <c r="Y569" s="27" t="s">
        <v>396</v>
      </c>
      <c r="Z569" s="39">
        <v>0.25</v>
      </c>
      <c r="AA569" s="27" t="s">
        <v>396</v>
      </c>
      <c r="AB569" s="27" t="s">
        <v>396</v>
      </c>
      <c r="AC569" s="27" t="s">
        <v>396</v>
      </c>
      <c r="AD569" s="27" t="s">
        <v>396</v>
      </c>
      <c r="AE569" s="36"/>
      <c r="AF569" s="27" t="s">
        <v>399</v>
      </c>
      <c r="AG569" s="36"/>
      <c r="AH569" s="6" t="s">
        <v>396</v>
      </c>
      <c r="AI569" s="6" t="s">
        <v>396</v>
      </c>
      <c r="AJ569" s="6" t="s">
        <v>396</v>
      </c>
      <c r="AK569" s="6" t="s">
        <v>395</v>
      </c>
      <c r="AL569" s="17">
        <v>5413218561556</v>
      </c>
      <c r="AM569" s="15" t="s">
        <v>395</v>
      </c>
      <c r="AN569" s="5">
        <v>25202000</v>
      </c>
      <c r="AO569" s="6" t="s">
        <v>553</v>
      </c>
      <c r="AP569" s="6" t="s">
        <v>552</v>
      </c>
      <c r="AQ569" s="6"/>
      <c r="AR569" s="6"/>
      <c r="AS569" s="6" t="s">
        <v>551</v>
      </c>
    </row>
    <row r="570" spans="1:45" s="5" customFormat="1" ht="12.75" customHeight="1">
      <c r="A570" s="32" t="s">
        <v>550</v>
      </c>
      <c r="B570" s="6" t="s">
        <v>396</v>
      </c>
      <c r="C570" s="31" t="s">
        <v>403</v>
      </c>
      <c r="D570" s="5" t="s">
        <v>549</v>
      </c>
      <c r="E570" s="6" t="s">
        <v>548</v>
      </c>
      <c r="F570" s="6" t="s">
        <v>396</v>
      </c>
      <c r="G570" s="6" t="s">
        <v>396</v>
      </c>
      <c r="H570" s="38"/>
      <c r="I570" s="38"/>
      <c r="J570" s="6" t="s">
        <v>549</v>
      </c>
      <c r="K570" s="6" t="s">
        <v>548</v>
      </c>
      <c r="L570" s="27" t="s">
        <v>399</v>
      </c>
      <c r="M570" s="27" t="s">
        <v>396</v>
      </c>
      <c r="N570" s="27" t="s">
        <v>396</v>
      </c>
      <c r="O570" s="27" t="s">
        <v>396</v>
      </c>
      <c r="P570" s="27" t="s">
        <v>396</v>
      </c>
      <c r="Q570" s="27" t="s">
        <v>396</v>
      </c>
      <c r="R570" s="6"/>
      <c r="S570" s="27" t="s">
        <v>396</v>
      </c>
      <c r="T570" s="27" t="s">
        <v>396</v>
      </c>
      <c r="U570" s="27" t="s">
        <v>396</v>
      </c>
      <c r="V570" s="27" t="s">
        <v>396</v>
      </c>
      <c r="W570" s="27" t="s">
        <v>396</v>
      </c>
      <c r="X570" s="27" t="s">
        <v>396</v>
      </c>
      <c r="Y570" s="27" t="s">
        <v>396</v>
      </c>
      <c r="Z570" s="28" t="s">
        <v>396</v>
      </c>
      <c r="AA570" s="27" t="s">
        <v>396</v>
      </c>
      <c r="AB570" s="27" t="s">
        <v>396</v>
      </c>
      <c r="AC570" s="27" t="s">
        <v>396</v>
      </c>
      <c r="AD570" s="27" t="s">
        <v>396</v>
      </c>
      <c r="AE570" s="27" t="s">
        <v>396</v>
      </c>
      <c r="AF570" s="27" t="s">
        <v>396</v>
      </c>
      <c r="AG570" s="27" t="s">
        <v>396</v>
      </c>
      <c r="AH570" s="27" t="s">
        <v>396</v>
      </c>
      <c r="AI570" s="27" t="s">
        <v>396</v>
      </c>
      <c r="AJ570" s="27" t="s">
        <v>396</v>
      </c>
      <c r="AK570" s="6" t="s">
        <v>395</v>
      </c>
      <c r="AL570" s="17">
        <v>5413218562218</v>
      </c>
      <c r="AM570" s="15" t="s">
        <v>395</v>
      </c>
      <c r="AN570" s="5">
        <v>32091000</v>
      </c>
      <c r="AO570" s="6"/>
      <c r="AP570" s="6"/>
      <c r="AQ570" s="6"/>
      <c r="AR570" s="6"/>
      <c r="AS570" s="6" t="s">
        <v>547</v>
      </c>
    </row>
    <row r="571" spans="1:45" s="5" customFormat="1" ht="12.75" customHeight="1">
      <c r="A571" s="32" t="s">
        <v>546</v>
      </c>
      <c r="B571" s="6" t="s">
        <v>396</v>
      </c>
      <c r="C571" s="31" t="s">
        <v>403</v>
      </c>
      <c r="D571" s="5" t="s">
        <v>545</v>
      </c>
      <c r="E571" s="6" t="s">
        <v>544</v>
      </c>
      <c r="F571" s="6" t="s">
        <v>396</v>
      </c>
      <c r="G571" s="6" t="s">
        <v>396</v>
      </c>
      <c r="H571" s="38"/>
      <c r="I571" s="38"/>
      <c r="J571" s="6" t="s">
        <v>545</v>
      </c>
      <c r="K571" s="6" t="s">
        <v>544</v>
      </c>
      <c r="L571" s="27" t="s">
        <v>399</v>
      </c>
      <c r="M571" s="27" t="s">
        <v>396</v>
      </c>
      <c r="N571" s="27" t="s">
        <v>396</v>
      </c>
      <c r="O571" s="27" t="s">
        <v>396</v>
      </c>
      <c r="P571" s="27" t="s">
        <v>396</v>
      </c>
      <c r="Q571" s="27" t="s">
        <v>396</v>
      </c>
      <c r="R571" s="6"/>
      <c r="S571" s="27" t="s">
        <v>396</v>
      </c>
      <c r="T571" s="27" t="s">
        <v>396</v>
      </c>
      <c r="U571" s="27" t="s">
        <v>396</v>
      </c>
      <c r="V571" s="27" t="s">
        <v>396</v>
      </c>
      <c r="W571" s="27" t="s">
        <v>396</v>
      </c>
      <c r="X571" s="27" t="s">
        <v>396</v>
      </c>
      <c r="Y571" s="27" t="s">
        <v>396</v>
      </c>
      <c r="Z571" s="28" t="s">
        <v>396</v>
      </c>
      <c r="AA571" s="27" t="s">
        <v>396</v>
      </c>
      <c r="AB571" s="27" t="s">
        <v>396</v>
      </c>
      <c r="AC571" s="27" t="s">
        <v>396</v>
      </c>
      <c r="AD571" s="27" t="s">
        <v>396</v>
      </c>
      <c r="AE571" s="27" t="s">
        <v>396</v>
      </c>
      <c r="AF571" s="27" t="s">
        <v>396</v>
      </c>
      <c r="AG571" s="27" t="s">
        <v>396</v>
      </c>
      <c r="AH571" s="27" t="s">
        <v>396</v>
      </c>
      <c r="AI571" s="27" t="s">
        <v>396</v>
      </c>
      <c r="AJ571" s="27" t="s">
        <v>396</v>
      </c>
      <c r="AK571" s="6" t="s">
        <v>395</v>
      </c>
      <c r="AL571" s="17">
        <v>5413218561563</v>
      </c>
      <c r="AM571" s="15" t="s">
        <v>395</v>
      </c>
      <c r="AN571" s="5">
        <v>32091000</v>
      </c>
      <c r="AO571" s="6"/>
      <c r="AP571" s="6"/>
      <c r="AQ571" s="6"/>
      <c r="AR571" s="6"/>
      <c r="AS571" s="6" t="s">
        <v>543</v>
      </c>
    </row>
    <row r="572" spans="1:45" s="5" customFormat="1" ht="12.75" customHeight="1">
      <c r="A572" s="32" t="s">
        <v>542</v>
      </c>
      <c r="B572" s="6" t="s">
        <v>396</v>
      </c>
      <c r="C572" s="31" t="s">
        <v>403</v>
      </c>
      <c r="D572" s="5" t="s">
        <v>539</v>
      </c>
      <c r="E572" s="6" t="s">
        <v>538</v>
      </c>
      <c r="F572" s="6" t="s">
        <v>396</v>
      </c>
      <c r="G572" s="6" t="s">
        <v>396</v>
      </c>
      <c r="H572" s="38"/>
      <c r="I572" s="38"/>
      <c r="J572" s="6" t="s">
        <v>539</v>
      </c>
      <c r="K572" s="6" t="s">
        <v>538</v>
      </c>
      <c r="L572" s="27" t="s">
        <v>399</v>
      </c>
      <c r="M572" s="27" t="s">
        <v>396</v>
      </c>
      <c r="N572" s="27" t="s">
        <v>396</v>
      </c>
      <c r="O572" s="27" t="s">
        <v>396</v>
      </c>
      <c r="P572" s="27" t="s">
        <v>396</v>
      </c>
      <c r="Q572" s="27" t="s">
        <v>396</v>
      </c>
      <c r="R572" s="6"/>
      <c r="S572" s="27" t="s">
        <v>396</v>
      </c>
      <c r="T572" s="27" t="s">
        <v>396</v>
      </c>
      <c r="U572" s="27" t="s">
        <v>396</v>
      </c>
      <c r="V572" s="27" t="s">
        <v>396</v>
      </c>
      <c r="W572" s="27" t="s">
        <v>396</v>
      </c>
      <c r="X572" s="27" t="s">
        <v>396</v>
      </c>
      <c r="Y572" s="27" t="s">
        <v>396</v>
      </c>
      <c r="Z572" s="28" t="s">
        <v>396</v>
      </c>
      <c r="AA572" s="27" t="s">
        <v>396</v>
      </c>
      <c r="AB572" s="27" t="s">
        <v>396</v>
      </c>
      <c r="AC572" s="27" t="s">
        <v>396</v>
      </c>
      <c r="AD572" s="27" t="s">
        <v>396</v>
      </c>
      <c r="AE572" s="27" t="s">
        <v>396</v>
      </c>
      <c r="AF572" s="27" t="s">
        <v>396</v>
      </c>
      <c r="AG572" s="27" t="s">
        <v>396</v>
      </c>
      <c r="AH572" s="27" t="s">
        <v>396</v>
      </c>
      <c r="AI572" s="27" t="s">
        <v>396</v>
      </c>
      <c r="AJ572" s="27" t="s">
        <v>396</v>
      </c>
      <c r="AK572" s="6" t="s">
        <v>395</v>
      </c>
      <c r="AL572" s="17">
        <v>5413218563536</v>
      </c>
      <c r="AM572" s="15" t="s">
        <v>395</v>
      </c>
      <c r="AN572" s="5">
        <v>32091000</v>
      </c>
      <c r="AO572" s="6"/>
      <c r="AP572" s="6"/>
      <c r="AQ572" s="6"/>
      <c r="AR572" s="6"/>
      <c r="AS572" s="6" t="s">
        <v>541</v>
      </c>
    </row>
    <row r="573" spans="1:45" s="5" customFormat="1" ht="12.75" customHeight="1">
      <c r="A573" s="32" t="s">
        <v>540</v>
      </c>
      <c r="B573" s="6" t="s">
        <v>396</v>
      </c>
      <c r="C573" s="31" t="s">
        <v>403</v>
      </c>
      <c r="D573" s="5" t="s">
        <v>539</v>
      </c>
      <c r="E573" s="6" t="s">
        <v>538</v>
      </c>
      <c r="F573" s="6" t="s">
        <v>396</v>
      </c>
      <c r="G573" s="6" t="s">
        <v>396</v>
      </c>
      <c r="H573" s="38"/>
      <c r="I573" s="38"/>
      <c r="J573" s="6" t="s">
        <v>539</v>
      </c>
      <c r="K573" s="6" t="s">
        <v>538</v>
      </c>
      <c r="L573" s="27" t="s">
        <v>399</v>
      </c>
      <c r="M573" s="27" t="s">
        <v>396</v>
      </c>
      <c r="N573" s="27" t="s">
        <v>396</v>
      </c>
      <c r="O573" s="27" t="s">
        <v>396</v>
      </c>
      <c r="P573" s="27" t="s">
        <v>396</v>
      </c>
      <c r="Q573" s="27" t="s">
        <v>396</v>
      </c>
      <c r="R573" s="6"/>
      <c r="S573" s="27" t="s">
        <v>396</v>
      </c>
      <c r="T573" s="27" t="s">
        <v>396</v>
      </c>
      <c r="U573" s="27" t="s">
        <v>396</v>
      </c>
      <c r="V573" s="27" t="s">
        <v>396</v>
      </c>
      <c r="W573" s="27" t="s">
        <v>396</v>
      </c>
      <c r="X573" s="27" t="s">
        <v>396</v>
      </c>
      <c r="Y573" s="27" t="s">
        <v>396</v>
      </c>
      <c r="Z573" s="28" t="s">
        <v>396</v>
      </c>
      <c r="AA573" s="27" t="s">
        <v>396</v>
      </c>
      <c r="AB573" s="27" t="s">
        <v>396</v>
      </c>
      <c r="AC573" s="27" t="s">
        <v>396</v>
      </c>
      <c r="AD573" s="27" t="s">
        <v>396</v>
      </c>
      <c r="AE573" s="27" t="s">
        <v>396</v>
      </c>
      <c r="AF573" s="27" t="s">
        <v>396</v>
      </c>
      <c r="AG573" s="27" t="s">
        <v>396</v>
      </c>
      <c r="AH573" s="27" t="s">
        <v>396</v>
      </c>
      <c r="AI573" s="27" t="s">
        <v>396</v>
      </c>
      <c r="AJ573" s="27" t="s">
        <v>396</v>
      </c>
      <c r="AK573" s="6" t="s">
        <v>395</v>
      </c>
      <c r="AL573" s="17">
        <v>5413218561570</v>
      </c>
      <c r="AM573" s="15" t="s">
        <v>395</v>
      </c>
      <c r="AN573" s="5">
        <v>32091000</v>
      </c>
      <c r="AO573" s="6"/>
      <c r="AP573" s="6"/>
      <c r="AQ573" s="6"/>
      <c r="AR573" s="6"/>
      <c r="AS573" s="6" t="s">
        <v>537</v>
      </c>
    </row>
    <row r="574" spans="1:45" s="5" customFormat="1" ht="12.75" customHeight="1">
      <c r="A574" s="32" t="s">
        <v>536</v>
      </c>
      <c r="B574" s="6" t="s">
        <v>396</v>
      </c>
      <c r="C574" s="31" t="s">
        <v>403</v>
      </c>
      <c r="D574" s="6" t="s">
        <v>533</v>
      </c>
      <c r="E574" s="6" t="s">
        <v>533</v>
      </c>
      <c r="F574" s="6" t="s">
        <v>396</v>
      </c>
      <c r="G574" s="6" t="s">
        <v>396</v>
      </c>
      <c r="H574" s="27" t="s">
        <v>535</v>
      </c>
      <c r="I574" s="27" t="s">
        <v>534</v>
      </c>
      <c r="J574" s="6" t="s">
        <v>533</v>
      </c>
      <c r="K574" s="6" t="s">
        <v>533</v>
      </c>
      <c r="L574" s="27" t="s">
        <v>399</v>
      </c>
      <c r="M574" s="27" t="s">
        <v>396</v>
      </c>
      <c r="N574" s="27" t="s">
        <v>396</v>
      </c>
      <c r="O574" s="27" t="s">
        <v>396</v>
      </c>
      <c r="P574" s="27" t="s">
        <v>396</v>
      </c>
      <c r="Q574" s="27" t="s">
        <v>396</v>
      </c>
      <c r="R574" s="6"/>
      <c r="S574" s="27" t="s">
        <v>396</v>
      </c>
      <c r="T574" s="27" t="s">
        <v>396</v>
      </c>
      <c r="U574" s="27" t="s">
        <v>396</v>
      </c>
      <c r="V574" s="27" t="s">
        <v>396</v>
      </c>
      <c r="W574" s="27" t="s">
        <v>396</v>
      </c>
      <c r="X574" s="27" t="s">
        <v>396</v>
      </c>
      <c r="Y574" s="27" t="s">
        <v>396</v>
      </c>
      <c r="Z574" s="28" t="s">
        <v>396</v>
      </c>
      <c r="AA574" s="27" t="s">
        <v>396</v>
      </c>
      <c r="AB574" s="27" t="s">
        <v>396</v>
      </c>
      <c r="AC574" s="27" t="s">
        <v>396</v>
      </c>
      <c r="AD574" s="27" t="s">
        <v>396</v>
      </c>
      <c r="AE574" s="27" t="s">
        <v>396</v>
      </c>
      <c r="AF574" s="27" t="s">
        <v>396</v>
      </c>
      <c r="AG574" s="27" t="s">
        <v>396</v>
      </c>
      <c r="AH574" s="27" t="s">
        <v>396</v>
      </c>
      <c r="AI574" s="27" t="s">
        <v>396</v>
      </c>
      <c r="AJ574" s="27" t="s">
        <v>396</v>
      </c>
      <c r="AK574" s="6" t="s">
        <v>395</v>
      </c>
      <c r="AL574" s="17">
        <v>5413218563529</v>
      </c>
      <c r="AM574" s="15" t="s">
        <v>395</v>
      </c>
      <c r="AN574" s="5">
        <v>32091000</v>
      </c>
      <c r="AO574" s="6"/>
      <c r="AP574" s="6"/>
      <c r="AQ574" s="6"/>
      <c r="AR574" s="6"/>
      <c r="AS574" s="6" t="s">
        <v>532</v>
      </c>
    </row>
    <row r="575" spans="1:45" s="5" customFormat="1" ht="12.75" customHeight="1">
      <c r="A575" s="32" t="s">
        <v>531</v>
      </c>
      <c r="B575" s="6" t="s">
        <v>396</v>
      </c>
      <c r="C575" s="31" t="s">
        <v>403</v>
      </c>
      <c r="D575" s="5" t="s">
        <v>528</v>
      </c>
      <c r="E575" s="6" t="s">
        <v>527</v>
      </c>
      <c r="F575" s="6" t="s">
        <v>396</v>
      </c>
      <c r="G575" s="6" t="s">
        <v>396</v>
      </c>
      <c r="H575" s="36" t="s">
        <v>396</v>
      </c>
      <c r="I575" s="36" t="s">
        <v>396</v>
      </c>
      <c r="J575" s="6" t="s">
        <v>528</v>
      </c>
      <c r="K575" s="6" t="s">
        <v>527</v>
      </c>
      <c r="L575" s="27" t="s">
        <v>434</v>
      </c>
      <c r="M575" s="36" t="s">
        <v>508</v>
      </c>
      <c r="N575" s="6" t="s">
        <v>507</v>
      </c>
      <c r="O575" s="6" t="s">
        <v>506</v>
      </c>
      <c r="P575" s="6" t="s">
        <v>479</v>
      </c>
      <c r="Q575" s="6" t="s">
        <v>434</v>
      </c>
      <c r="R575" s="6"/>
      <c r="S575" s="27" t="s">
        <v>396</v>
      </c>
      <c r="T575" s="30" t="s">
        <v>396</v>
      </c>
      <c r="U575" s="27" t="s">
        <v>396</v>
      </c>
      <c r="V575" s="29" t="s">
        <v>396</v>
      </c>
      <c r="W575" s="27" t="s">
        <v>396</v>
      </c>
      <c r="X575" s="27" t="s">
        <v>396</v>
      </c>
      <c r="Y575" s="27" t="s">
        <v>396</v>
      </c>
      <c r="Z575" s="39">
        <v>0.25</v>
      </c>
      <c r="AA575" s="27" t="s">
        <v>396</v>
      </c>
      <c r="AB575" s="27" t="s">
        <v>396</v>
      </c>
      <c r="AC575" s="27" t="s">
        <v>396</v>
      </c>
      <c r="AD575" s="27" t="s">
        <v>396</v>
      </c>
      <c r="AE575" s="38" t="s">
        <v>396</v>
      </c>
      <c r="AF575" s="27" t="s">
        <v>399</v>
      </c>
      <c r="AG575" s="38" t="s">
        <v>396</v>
      </c>
      <c r="AH575" s="38" t="s">
        <v>396</v>
      </c>
      <c r="AI575" s="38" t="s">
        <v>396</v>
      </c>
      <c r="AJ575" s="38" t="s">
        <v>396</v>
      </c>
      <c r="AK575" s="6" t="s">
        <v>395</v>
      </c>
      <c r="AL575" s="17">
        <v>5413218561624</v>
      </c>
      <c r="AM575" s="15" t="s">
        <v>395</v>
      </c>
      <c r="AN575" s="5">
        <v>32149000</v>
      </c>
      <c r="AO575" s="6" t="s">
        <v>504</v>
      </c>
      <c r="AP575" s="6" t="s">
        <v>503</v>
      </c>
      <c r="AQ575" s="6"/>
      <c r="AR575" s="6"/>
      <c r="AS575" s="6" t="s">
        <v>530</v>
      </c>
    </row>
    <row r="576" spans="1:45" s="5" customFormat="1" ht="12.75" customHeight="1">
      <c r="A576" s="32" t="s">
        <v>529</v>
      </c>
      <c r="B576" s="6" t="s">
        <v>396</v>
      </c>
      <c r="C576" s="31" t="s">
        <v>403</v>
      </c>
      <c r="D576" s="5" t="s">
        <v>528</v>
      </c>
      <c r="E576" s="6" t="s">
        <v>527</v>
      </c>
      <c r="F576" s="6" t="s">
        <v>396</v>
      </c>
      <c r="G576" s="6" t="s">
        <v>396</v>
      </c>
      <c r="H576" s="36" t="s">
        <v>396</v>
      </c>
      <c r="I576" s="36" t="s">
        <v>396</v>
      </c>
      <c r="J576" s="6" t="s">
        <v>528</v>
      </c>
      <c r="K576" s="6" t="s">
        <v>527</v>
      </c>
      <c r="L576" s="27" t="s">
        <v>434</v>
      </c>
      <c r="M576" s="36" t="s">
        <v>508</v>
      </c>
      <c r="N576" s="6" t="s">
        <v>507</v>
      </c>
      <c r="O576" s="6" t="s">
        <v>506</v>
      </c>
      <c r="P576" s="6" t="s">
        <v>479</v>
      </c>
      <c r="Q576" s="6" t="s">
        <v>434</v>
      </c>
      <c r="R576" s="6"/>
      <c r="S576" s="27" t="s">
        <v>396</v>
      </c>
      <c r="T576" s="30" t="s">
        <v>396</v>
      </c>
      <c r="U576" s="27" t="s">
        <v>396</v>
      </c>
      <c r="V576" s="29" t="s">
        <v>396</v>
      </c>
      <c r="W576" s="27" t="s">
        <v>396</v>
      </c>
      <c r="X576" s="27" t="s">
        <v>396</v>
      </c>
      <c r="Y576" s="27" t="s">
        <v>396</v>
      </c>
      <c r="Z576" s="39">
        <v>0.25</v>
      </c>
      <c r="AA576" s="27" t="s">
        <v>396</v>
      </c>
      <c r="AB576" s="27" t="s">
        <v>396</v>
      </c>
      <c r="AC576" s="27" t="s">
        <v>396</v>
      </c>
      <c r="AD576" s="27" t="s">
        <v>396</v>
      </c>
      <c r="AE576" s="38" t="s">
        <v>396</v>
      </c>
      <c r="AF576" s="27" t="s">
        <v>399</v>
      </c>
      <c r="AG576" s="38" t="s">
        <v>396</v>
      </c>
      <c r="AH576" s="38" t="s">
        <v>396</v>
      </c>
      <c r="AI576" s="38" t="s">
        <v>396</v>
      </c>
      <c r="AJ576" s="38" t="s">
        <v>396</v>
      </c>
      <c r="AK576" s="6" t="s">
        <v>395</v>
      </c>
      <c r="AL576" s="17">
        <v>5413218561631</v>
      </c>
      <c r="AM576" s="15" t="s">
        <v>395</v>
      </c>
      <c r="AN576" s="5">
        <v>25202000</v>
      </c>
      <c r="AO576" s="6" t="s">
        <v>504</v>
      </c>
      <c r="AP576" s="6" t="s">
        <v>503</v>
      </c>
      <c r="AQ576" s="6"/>
      <c r="AR576" s="6"/>
      <c r="AS576" s="6" t="s">
        <v>526</v>
      </c>
    </row>
    <row r="577" spans="1:45" s="5" customFormat="1" ht="12.75" customHeight="1">
      <c r="A577" s="32" t="s">
        <v>525</v>
      </c>
      <c r="B577" s="6" t="s">
        <v>396</v>
      </c>
      <c r="C577" s="31" t="s">
        <v>403</v>
      </c>
      <c r="D577" s="5" t="s">
        <v>524</v>
      </c>
      <c r="E577" s="6" t="s">
        <v>523</v>
      </c>
      <c r="F577" s="6" t="s">
        <v>396</v>
      </c>
      <c r="G577" s="6" t="s">
        <v>396</v>
      </c>
      <c r="H577" s="36" t="s">
        <v>396</v>
      </c>
      <c r="I577" s="36" t="s">
        <v>396</v>
      </c>
      <c r="J577" s="6" t="s">
        <v>524</v>
      </c>
      <c r="K577" s="6" t="s">
        <v>523</v>
      </c>
      <c r="L577" s="27" t="s">
        <v>434</v>
      </c>
      <c r="M577" s="6" t="s">
        <v>522</v>
      </c>
      <c r="N577" s="6" t="s">
        <v>507</v>
      </c>
      <c r="O577" s="6" t="s">
        <v>506</v>
      </c>
      <c r="P577" s="6" t="s">
        <v>479</v>
      </c>
      <c r="Q577" s="6" t="s">
        <v>434</v>
      </c>
      <c r="R577" s="6"/>
      <c r="S577" s="27" t="s">
        <v>396</v>
      </c>
      <c r="T577" s="30" t="s">
        <v>396</v>
      </c>
      <c r="U577" s="27" t="s">
        <v>396</v>
      </c>
      <c r="V577" s="29" t="s">
        <v>396</v>
      </c>
      <c r="W577" s="27" t="s">
        <v>396</v>
      </c>
      <c r="X577" s="27" t="s">
        <v>396</v>
      </c>
      <c r="Y577" s="27" t="s">
        <v>396</v>
      </c>
      <c r="Z577" s="39">
        <v>0.25</v>
      </c>
      <c r="AA577" s="27" t="s">
        <v>396</v>
      </c>
      <c r="AB577" s="27" t="s">
        <v>396</v>
      </c>
      <c r="AC577" s="27" t="s">
        <v>396</v>
      </c>
      <c r="AD577" s="27" t="s">
        <v>396</v>
      </c>
      <c r="AE577" s="38" t="s">
        <v>396</v>
      </c>
      <c r="AF577" s="27" t="s">
        <v>399</v>
      </c>
      <c r="AG577" s="38" t="s">
        <v>396</v>
      </c>
      <c r="AH577" s="38" t="s">
        <v>396</v>
      </c>
      <c r="AI577" s="38" t="s">
        <v>396</v>
      </c>
      <c r="AJ577" s="38" t="s">
        <v>396</v>
      </c>
      <c r="AK577" s="6" t="s">
        <v>395</v>
      </c>
      <c r="AL577" s="17">
        <v>5413218561655</v>
      </c>
      <c r="AM577" s="15" t="s">
        <v>395</v>
      </c>
      <c r="AN577" s="5">
        <v>25202000</v>
      </c>
      <c r="AO577" s="6" t="s">
        <v>521</v>
      </c>
      <c r="AP577" s="6" t="s">
        <v>520</v>
      </c>
      <c r="AQ577" s="6"/>
      <c r="AR577" s="6"/>
      <c r="AS577" s="6" t="s">
        <v>519</v>
      </c>
    </row>
    <row r="578" spans="1:45" s="5" customFormat="1" ht="12.75" customHeight="1">
      <c r="A578" s="32" t="s">
        <v>518</v>
      </c>
      <c r="B578" s="6" t="s">
        <v>396</v>
      </c>
      <c r="C578" s="31" t="s">
        <v>403</v>
      </c>
      <c r="D578" s="5" t="s">
        <v>515</v>
      </c>
      <c r="E578" s="6" t="s">
        <v>514</v>
      </c>
      <c r="F578" s="6" t="s">
        <v>396</v>
      </c>
      <c r="G578" s="6" t="s">
        <v>396</v>
      </c>
      <c r="H578" s="36" t="s">
        <v>396</v>
      </c>
      <c r="I578" s="36" t="s">
        <v>396</v>
      </c>
      <c r="J578" s="6" t="s">
        <v>515</v>
      </c>
      <c r="K578" s="6" t="s">
        <v>514</v>
      </c>
      <c r="L578" s="27" t="s">
        <v>434</v>
      </c>
      <c r="M578" s="36" t="s">
        <v>508</v>
      </c>
      <c r="N578" s="6" t="s">
        <v>507</v>
      </c>
      <c r="O578" s="6" t="s">
        <v>506</v>
      </c>
      <c r="P578" s="6" t="s">
        <v>479</v>
      </c>
      <c r="Q578" s="6" t="s">
        <v>434</v>
      </c>
      <c r="R578" s="6"/>
      <c r="S578" s="27" t="s">
        <v>396</v>
      </c>
      <c r="T578" s="30" t="s">
        <v>396</v>
      </c>
      <c r="U578" s="27" t="s">
        <v>396</v>
      </c>
      <c r="V578" s="29" t="s">
        <v>396</v>
      </c>
      <c r="W578" s="27" t="s">
        <v>396</v>
      </c>
      <c r="X578" s="27" t="s">
        <v>396</v>
      </c>
      <c r="Y578" s="27" t="s">
        <v>396</v>
      </c>
      <c r="Z578" s="39">
        <v>0.25</v>
      </c>
      <c r="AA578" s="27" t="s">
        <v>396</v>
      </c>
      <c r="AB578" s="27" t="s">
        <v>396</v>
      </c>
      <c r="AC578" s="27" t="s">
        <v>396</v>
      </c>
      <c r="AD578" s="27" t="s">
        <v>396</v>
      </c>
      <c r="AE578" s="38" t="s">
        <v>396</v>
      </c>
      <c r="AF578" s="27" t="s">
        <v>399</v>
      </c>
      <c r="AG578" s="38" t="s">
        <v>396</v>
      </c>
      <c r="AH578" s="38" t="s">
        <v>396</v>
      </c>
      <c r="AI578" s="38" t="s">
        <v>396</v>
      </c>
      <c r="AJ578" s="38" t="s">
        <v>396</v>
      </c>
      <c r="AK578" s="6" t="s">
        <v>395</v>
      </c>
      <c r="AL578" s="17">
        <v>5413218561662</v>
      </c>
      <c r="AM578" s="15" t="s">
        <v>395</v>
      </c>
      <c r="AN578" s="5">
        <v>25202000</v>
      </c>
      <c r="AO578" s="6" t="s">
        <v>504</v>
      </c>
      <c r="AP578" s="6" t="s">
        <v>503</v>
      </c>
      <c r="AQ578" s="6"/>
      <c r="AR578" s="6"/>
      <c r="AS578" s="6" t="s">
        <v>517</v>
      </c>
    </row>
    <row r="579" spans="1:45" s="5" customFormat="1" ht="12.75" customHeight="1">
      <c r="A579" s="32" t="s">
        <v>516</v>
      </c>
      <c r="B579" s="6" t="s">
        <v>396</v>
      </c>
      <c r="C579" s="31" t="s">
        <v>403</v>
      </c>
      <c r="D579" s="5" t="s">
        <v>515</v>
      </c>
      <c r="E579" s="6" t="s">
        <v>514</v>
      </c>
      <c r="F579" s="6" t="s">
        <v>396</v>
      </c>
      <c r="G579" s="6" t="s">
        <v>396</v>
      </c>
      <c r="H579" s="36" t="s">
        <v>396</v>
      </c>
      <c r="I579" s="36" t="s">
        <v>396</v>
      </c>
      <c r="J579" s="6" t="s">
        <v>515</v>
      </c>
      <c r="K579" s="6" t="s">
        <v>514</v>
      </c>
      <c r="L579" s="27" t="s">
        <v>434</v>
      </c>
      <c r="M579" s="36" t="s">
        <v>508</v>
      </c>
      <c r="N579" s="6" t="s">
        <v>507</v>
      </c>
      <c r="O579" s="6" t="s">
        <v>506</v>
      </c>
      <c r="P579" s="6" t="s">
        <v>479</v>
      </c>
      <c r="Q579" s="6" t="s">
        <v>434</v>
      </c>
      <c r="R579" s="6"/>
      <c r="S579" s="27" t="s">
        <v>396</v>
      </c>
      <c r="T579" s="30" t="s">
        <v>396</v>
      </c>
      <c r="U579" s="27" t="s">
        <v>396</v>
      </c>
      <c r="V579" s="29" t="s">
        <v>396</v>
      </c>
      <c r="W579" s="27" t="s">
        <v>396</v>
      </c>
      <c r="X579" s="27" t="s">
        <v>396</v>
      </c>
      <c r="Y579" s="27" t="s">
        <v>396</v>
      </c>
      <c r="Z579" s="39">
        <v>0.25</v>
      </c>
      <c r="AA579" s="27" t="s">
        <v>396</v>
      </c>
      <c r="AB579" s="27" t="s">
        <v>396</v>
      </c>
      <c r="AC579" s="27" t="s">
        <v>396</v>
      </c>
      <c r="AD579" s="27" t="s">
        <v>396</v>
      </c>
      <c r="AE579" s="38" t="s">
        <v>396</v>
      </c>
      <c r="AF579" s="27" t="s">
        <v>399</v>
      </c>
      <c r="AG579" s="38" t="s">
        <v>396</v>
      </c>
      <c r="AH579" s="38" t="s">
        <v>396</v>
      </c>
      <c r="AI579" s="38" t="s">
        <v>396</v>
      </c>
      <c r="AJ579" s="38" t="s">
        <v>396</v>
      </c>
      <c r="AK579" s="6" t="s">
        <v>395</v>
      </c>
      <c r="AL579" s="17">
        <v>5413218561679</v>
      </c>
      <c r="AM579" s="15" t="s">
        <v>395</v>
      </c>
      <c r="AN579" s="5">
        <v>25202000</v>
      </c>
      <c r="AO579" s="6" t="s">
        <v>504</v>
      </c>
      <c r="AP579" s="6" t="s">
        <v>503</v>
      </c>
      <c r="AQ579" s="6"/>
      <c r="AR579" s="6"/>
      <c r="AS579" s="6" t="s">
        <v>513</v>
      </c>
    </row>
    <row r="580" spans="1:45" s="5" customFormat="1" ht="12.75" customHeight="1">
      <c r="A580" s="32" t="s">
        <v>512</v>
      </c>
      <c r="B580" s="6" t="s">
        <v>396</v>
      </c>
      <c r="C580" s="31" t="s">
        <v>403</v>
      </c>
      <c r="D580" s="5" t="s">
        <v>509</v>
      </c>
      <c r="E580" s="6" t="s">
        <v>509</v>
      </c>
      <c r="F580" s="6" t="s">
        <v>396</v>
      </c>
      <c r="G580" s="6" t="s">
        <v>396</v>
      </c>
      <c r="H580" s="36" t="s">
        <v>396</v>
      </c>
      <c r="I580" s="36" t="s">
        <v>396</v>
      </c>
      <c r="J580" s="6" t="s">
        <v>509</v>
      </c>
      <c r="K580" s="6" t="s">
        <v>509</v>
      </c>
      <c r="L580" s="27" t="s">
        <v>434</v>
      </c>
      <c r="M580" s="36" t="s">
        <v>508</v>
      </c>
      <c r="N580" s="6" t="s">
        <v>507</v>
      </c>
      <c r="O580" s="6" t="s">
        <v>506</v>
      </c>
      <c r="P580" s="6" t="s">
        <v>479</v>
      </c>
      <c r="Q580" s="6" t="s">
        <v>434</v>
      </c>
      <c r="R580" s="6"/>
      <c r="S580" s="27" t="s">
        <v>396</v>
      </c>
      <c r="T580" s="30" t="s">
        <v>396</v>
      </c>
      <c r="U580" s="27" t="s">
        <v>396</v>
      </c>
      <c r="V580" s="29" t="s">
        <v>396</v>
      </c>
      <c r="W580" s="27" t="s">
        <v>396</v>
      </c>
      <c r="X580" s="27" t="s">
        <v>396</v>
      </c>
      <c r="Y580" s="27" t="s">
        <v>396</v>
      </c>
      <c r="Z580" s="40" t="s">
        <v>505</v>
      </c>
      <c r="AA580" s="27" t="s">
        <v>396</v>
      </c>
      <c r="AB580" s="27" t="s">
        <v>396</v>
      </c>
      <c r="AC580" s="27" t="s">
        <v>396</v>
      </c>
      <c r="AD580" s="27" t="s">
        <v>396</v>
      </c>
      <c r="AE580" s="38" t="s">
        <v>396</v>
      </c>
      <c r="AF580" s="27" t="s">
        <v>399</v>
      </c>
      <c r="AG580" s="38" t="s">
        <v>396</v>
      </c>
      <c r="AH580" s="38" t="s">
        <v>396</v>
      </c>
      <c r="AI580" s="38" t="s">
        <v>396</v>
      </c>
      <c r="AJ580" s="38" t="s">
        <v>396</v>
      </c>
      <c r="AK580" s="6" t="s">
        <v>395</v>
      </c>
      <c r="AL580" s="17">
        <v>5413218567787</v>
      </c>
      <c r="AM580" s="15" t="s">
        <v>395</v>
      </c>
      <c r="AN580" s="5">
        <v>32091000</v>
      </c>
      <c r="AO580" s="6" t="s">
        <v>504</v>
      </c>
      <c r="AP580" s="6" t="s">
        <v>503</v>
      </c>
      <c r="AQ580" s="6"/>
      <c r="AR580" s="6"/>
      <c r="AS580" s="6" t="s">
        <v>511</v>
      </c>
    </row>
    <row r="581" spans="1:45" s="5" customFormat="1" ht="12.75" customHeight="1">
      <c r="A581" s="32" t="s">
        <v>510</v>
      </c>
      <c r="B581" s="6" t="s">
        <v>396</v>
      </c>
      <c r="C581" s="31" t="s">
        <v>403</v>
      </c>
      <c r="D581" s="5" t="s">
        <v>509</v>
      </c>
      <c r="E581" s="6" t="s">
        <v>509</v>
      </c>
      <c r="F581" s="6" t="s">
        <v>396</v>
      </c>
      <c r="G581" s="6" t="s">
        <v>396</v>
      </c>
      <c r="H581" s="36" t="s">
        <v>396</v>
      </c>
      <c r="I581" s="36" t="s">
        <v>396</v>
      </c>
      <c r="J581" s="6" t="s">
        <v>509</v>
      </c>
      <c r="K581" s="6" t="s">
        <v>509</v>
      </c>
      <c r="L581" s="27" t="s">
        <v>434</v>
      </c>
      <c r="M581" s="36" t="s">
        <v>508</v>
      </c>
      <c r="N581" s="6" t="s">
        <v>507</v>
      </c>
      <c r="O581" s="6" t="s">
        <v>506</v>
      </c>
      <c r="P581" s="6" t="s">
        <v>479</v>
      </c>
      <c r="Q581" s="6" t="s">
        <v>434</v>
      </c>
      <c r="R581" s="6"/>
      <c r="S581" s="27" t="s">
        <v>396</v>
      </c>
      <c r="T581" s="30" t="s">
        <v>396</v>
      </c>
      <c r="U581" s="27" t="s">
        <v>396</v>
      </c>
      <c r="V581" s="29" t="s">
        <v>396</v>
      </c>
      <c r="W581" s="27" t="s">
        <v>396</v>
      </c>
      <c r="X581" s="27" t="s">
        <v>396</v>
      </c>
      <c r="Y581" s="27" t="s">
        <v>396</v>
      </c>
      <c r="Z581" s="40" t="s">
        <v>505</v>
      </c>
      <c r="AA581" s="27" t="s">
        <v>396</v>
      </c>
      <c r="AB581" s="27" t="s">
        <v>396</v>
      </c>
      <c r="AC581" s="27" t="s">
        <v>396</v>
      </c>
      <c r="AD581" s="27" t="s">
        <v>396</v>
      </c>
      <c r="AE581" s="38" t="s">
        <v>396</v>
      </c>
      <c r="AF581" s="27" t="s">
        <v>399</v>
      </c>
      <c r="AG581" s="38" t="s">
        <v>396</v>
      </c>
      <c r="AH581" s="38" t="s">
        <v>396</v>
      </c>
      <c r="AI581" s="38" t="s">
        <v>396</v>
      </c>
      <c r="AJ581" s="38" t="s">
        <v>396</v>
      </c>
      <c r="AK581" s="6" t="s">
        <v>395</v>
      </c>
      <c r="AL581" s="17">
        <v>5413218561686</v>
      </c>
      <c r="AM581" s="15" t="s">
        <v>395</v>
      </c>
      <c r="AN581" s="5">
        <v>32091000</v>
      </c>
      <c r="AO581" s="6" t="s">
        <v>504</v>
      </c>
      <c r="AP581" s="6" t="s">
        <v>503</v>
      </c>
      <c r="AQ581" s="6"/>
      <c r="AR581" s="6"/>
      <c r="AS581" s="6" t="s">
        <v>502</v>
      </c>
    </row>
    <row r="582" spans="1:45" s="5" customFormat="1" ht="12.75" customHeight="1">
      <c r="A582" s="7" t="s">
        <v>501</v>
      </c>
      <c r="B582" s="6" t="s">
        <v>396</v>
      </c>
      <c r="C582" s="31" t="s">
        <v>403</v>
      </c>
      <c r="D582" s="6" t="s">
        <v>496</v>
      </c>
      <c r="E582" s="6" t="s">
        <v>495</v>
      </c>
      <c r="F582" s="6" t="s">
        <v>396</v>
      </c>
      <c r="G582" s="6" t="s">
        <v>396</v>
      </c>
      <c r="H582" s="27" t="s">
        <v>396</v>
      </c>
      <c r="I582" s="27" t="s">
        <v>396</v>
      </c>
      <c r="J582" s="6" t="s">
        <v>500</v>
      </c>
      <c r="K582" s="6" t="s">
        <v>499</v>
      </c>
      <c r="L582" s="6" t="s">
        <v>478</v>
      </c>
      <c r="M582" s="6" t="s">
        <v>492</v>
      </c>
      <c r="N582" s="6" t="s">
        <v>481</v>
      </c>
      <c r="O582" s="6" t="s">
        <v>480</v>
      </c>
      <c r="P582" s="6" t="s">
        <v>479</v>
      </c>
      <c r="Q582" s="6" t="s">
        <v>478</v>
      </c>
      <c r="R582" s="6"/>
      <c r="S582" s="27" t="s">
        <v>396</v>
      </c>
      <c r="T582" s="6">
        <v>3.5</v>
      </c>
      <c r="U582" s="27" t="s">
        <v>396</v>
      </c>
      <c r="V582" s="6">
        <v>25</v>
      </c>
      <c r="W582" s="27" t="s">
        <v>396</v>
      </c>
      <c r="X582" s="27" t="s">
        <v>396</v>
      </c>
      <c r="Y582" s="27" t="s">
        <v>396</v>
      </c>
      <c r="Z582" s="39">
        <v>50</v>
      </c>
      <c r="AA582" s="27" t="s">
        <v>396</v>
      </c>
      <c r="AB582" s="27" t="s">
        <v>396</v>
      </c>
      <c r="AC582" s="27" t="s">
        <v>396</v>
      </c>
      <c r="AD582" s="27" t="s">
        <v>396</v>
      </c>
      <c r="AE582" s="27" t="s">
        <v>396</v>
      </c>
      <c r="AF582" s="27" t="s">
        <v>396</v>
      </c>
      <c r="AG582" s="27" t="s">
        <v>396</v>
      </c>
      <c r="AH582" s="27" t="s">
        <v>396</v>
      </c>
      <c r="AI582" s="27" t="s">
        <v>396</v>
      </c>
      <c r="AJ582" s="27" t="s">
        <v>396</v>
      </c>
      <c r="AK582" s="6" t="s">
        <v>455</v>
      </c>
      <c r="AL582" s="17">
        <v>5413218561693</v>
      </c>
      <c r="AM582" s="15" t="s">
        <v>455</v>
      </c>
      <c r="AN582" s="5">
        <v>73181541</v>
      </c>
      <c r="AO582" s="6" t="s">
        <v>477</v>
      </c>
      <c r="AP582" s="6" t="s">
        <v>476</v>
      </c>
      <c r="AQ582" s="6"/>
      <c r="AR582" s="6"/>
      <c r="AS582" s="6" t="s">
        <v>498</v>
      </c>
    </row>
    <row r="583" spans="1:45" s="5" customFormat="1" ht="12.75" customHeight="1">
      <c r="A583" s="7" t="s">
        <v>497</v>
      </c>
      <c r="B583" s="6" t="s">
        <v>396</v>
      </c>
      <c r="C583" s="31" t="s">
        <v>403</v>
      </c>
      <c r="D583" s="6" t="s">
        <v>496</v>
      </c>
      <c r="E583" s="6" t="s">
        <v>495</v>
      </c>
      <c r="F583" s="6" t="s">
        <v>396</v>
      </c>
      <c r="G583" s="6" t="s">
        <v>396</v>
      </c>
      <c r="H583" s="27" t="s">
        <v>396</v>
      </c>
      <c r="I583" s="27" t="s">
        <v>396</v>
      </c>
      <c r="J583" s="6" t="s">
        <v>494</v>
      </c>
      <c r="K583" s="6" t="s">
        <v>493</v>
      </c>
      <c r="L583" s="6" t="s">
        <v>478</v>
      </c>
      <c r="M583" s="6" t="s">
        <v>492</v>
      </c>
      <c r="N583" s="6" t="s">
        <v>481</v>
      </c>
      <c r="O583" s="6" t="s">
        <v>480</v>
      </c>
      <c r="P583" s="6" t="s">
        <v>479</v>
      </c>
      <c r="Q583" s="6" t="s">
        <v>478</v>
      </c>
      <c r="R583" s="6"/>
      <c r="S583" s="27" t="s">
        <v>396</v>
      </c>
      <c r="T583" s="6">
        <v>3.5</v>
      </c>
      <c r="U583" s="27" t="s">
        <v>396</v>
      </c>
      <c r="V583" s="6">
        <v>35</v>
      </c>
      <c r="W583" s="27" t="s">
        <v>396</v>
      </c>
      <c r="X583" s="27" t="s">
        <v>396</v>
      </c>
      <c r="Y583" s="27" t="s">
        <v>396</v>
      </c>
      <c r="Z583" s="39">
        <v>50</v>
      </c>
      <c r="AA583" s="27" t="s">
        <v>396</v>
      </c>
      <c r="AB583" s="27" t="s">
        <v>396</v>
      </c>
      <c r="AC583" s="27" t="s">
        <v>396</v>
      </c>
      <c r="AD583" s="27" t="s">
        <v>396</v>
      </c>
      <c r="AE583" s="27" t="s">
        <v>396</v>
      </c>
      <c r="AF583" s="27" t="s">
        <v>396</v>
      </c>
      <c r="AG583" s="27" t="s">
        <v>396</v>
      </c>
      <c r="AH583" s="27" t="s">
        <v>396</v>
      </c>
      <c r="AI583" s="27" t="s">
        <v>396</v>
      </c>
      <c r="AJ583" s="27" t="s">
        <v>396</v>
      </c>
      <c r="AK583" s="6" t="s">
        <v>455</v>
      </c>
      <c r="AL583" s="17">
        <v>5413218561709</v>
      </c>
      <c r="AM583" s="15" t="s">
        <v>455</v>
      </c>
      <c r="AN583" s="5">
        <v>73181541</v>
      </c>
      <c r="AO583" s="6" t="s">
        <v>477</v>
      </c>
      <c r="AP583" s="6" t="s">
        <v>476</v>
      </c>
      <c r="AQ583" s="6"/>
      <c r="AR583" s="6"/>
      <c r="AS583" s="6" t="s">
        <v>491</v>
      </c>
    </row>
    <row r="584" spans="1:45" s="5" customFormat="1" ht="12.75" customHeight="1">
      <c r="A584" s="5" t="s">
        <v>490</v>
      </c>
      <c r="B584" s="6" t="s">
        <v>396</v>
      </c>
      <c r="C584" s="31" t="s">
        <v>403</v>
      </c>
      <c r="D584" s="5" t="s">
        <v>489</v>
      </c>
      <c r="E584" s="6" t="s">
        <v>488</v>
      </c>
      <c r="F584" s="6" t="s">
        <v>396</v>
      </c>
      <c r="G584" s="6" t="s">
        <v>396</v>
      </c>
      <c r="H584" s="27" t="s">
        <v>396</v>
      </c>
      <c r="I584" s="27" t="s">
        <v>396</v>
      </c>
      <c r="J584" s="6" t="s">
        <v>489</v>
      </c>
      <c r="K584" s="6" t="s">
        <v>488</v>
      </c>
      <c r="L584" s="6" t="s">
        <v>478</v>
      </c>
      <c r="M584" s="6" t="s">
        <v>487</v>
      </c>
      <c r="N584" s="6" t="s">
        <v>481</v>
      </c>
      <c r="O584" s="6" t="s">
        <v>480</v>
      </c>
      <c r="P584" s="6" t="s">
        <v>479</v>
      </c>
      <c r="Q584" s="6" t="s">
        <v>478</v>
      </c>
      <c r="R584" s="6"/>
      <c r="S584" s="27" t="s">
        <v>396</v>
      </c>
      <c r="T584" s="6">
        <v>4.2</v>
      </c>
      <c r="U584" s="27" t="s">
        <v>396</v>
      </c>
      <c r="V584" s="6">
        <v>13</v>
      </c>
      <c r="W584" s="27" t="s">
        <v>396</v>
      </c>
      <c r="X584" s="27" t="s">
        <v>396</v>
      </c>
      <c r="Y584" s="27" t="s">
        <v>396</v>
      </c>
      <c r="Z584" s="39">
        <v>50</v>
      </c>
      <c r="AA584" s="27" t="s">
        <v>396</v>
      </c>
      <c r="AB584" s="27" t="s">
        <v>396</v>
      </c>
      <c r="AC584" s="27" t="s">
        <v>396</v>
      </c>
      <c r="AD584" s="27" t="s">
        <v>396</v>
      </c>
      <c r="AE584" s="27" t="s">
        <v>396</v>
      </c>
      <c r="AF584" s="27" t="s">
        <v>396</v>
      </c>
      <c r="AG584" s="27" t="s">
        <v>396</v>
      </c>
      <c r="AH584" s="27" t="s">
        <v>396</v>
      </c>
      <c r="AI584" s="27" t="s">
        <v>396</v>
      </c>
      <c r="AJ584" s="27" t="s">
        <v>396</v>
      </c>
      <c r="AK584" s="6" t="s">
        <v>455</v>
      </c>
      <c r="AL584" s="17">
        <v>5413218563093</v>
      </c>
      <c r="AM584" s="15" t="s">
        <v>455</v>
      </c>
      <c r="AN584" s="5">
        <v>73181410</v>
      </c>
      <c r="AO584" s="6" t="s">
        <v>477</v>
      </c>
      <c r="AP584" s="6" t="s">
        <v>476</v>
      </c>
      <c r="AQ584" s="6"/>
      <c r="AR584" s="6"/>
      <c r="AS584" s="6" t="s">
        <v>486</v>
      </c>
    </row>
    <row r="585" spans="1:45" s="5" customFormat="1" ht="12.75" customHeight="1">
      <c r="A585" s="5" t="s">
        <v>485</v>
      </c>
      <c r="B585" s="6" t="s">
        <v>396</v>
      </c>
      <c r="C585" s="31" t="s">
        <v>403</v>
      </c>
      <c r="D585" s="5" t="s">
        <v>484</v>
      </c>
      <c r="E585" s="6" t="s">
        <v>483</v>
      </c>
      <c r="F585" s="6" t="s">
        <v>396</v>
      </c>
      <c r="G585" s="6" t="s">
        <v>396</v>
      </c>
      <c r="H585" s="27" t="s">
        <v>396</v>
      </c>
      <c r="I585" s="27" t="s">
        <v>396</v>
      </c>
      <c r="J585" s="6" t="s">
        <v>484</v>
      </c>
      <c r="K585" s="6" t="s">
        <v>483</v>
      </c>
      <c r="L585" s="6" t="s">
        <v>478</v>
      </c>
      <c r="M585" s="6" t="s">
        <v>482</v>
      </c>
      <c r="N585" s="6" t="s">
        <v>481</v>
      </c>
      <c r="O585" s="6" t="s">
        <v>480</v>
      </c>
      <c r="P585" s="6" t="s">
        <v>479</v>
      </c>
      <c r="Q585" s="6" t="s">
        <v>478</v>
      </c>
      <c r="R585" s="6"/>
      <c r="S585" s="27" t="s">
        <v>396</v>
      </c>
      <c r="T585" s="6">
        <v>3.9</v>
      </c>
      <c r="U585" s="27" t="s">
        <v>396</v>
      </c>
      <c r="V585" s="6">
        <v>25</v>
      </c>
      <c r="W585" s="27" t="s">
        <v>396</v>
      </c>
      <c r="X585" s="27" t="s">
        <v>396</v>
      </c>
      <c r="Y585" s="27" t="s">
        <v>396</v>
      </c>
      <c r="Z585" s="39">
        <v>50</v>
      </c>
      <c r="AA585" s="27" t="s">
        <v>396</v>
      </c>
      <c r="AB585" s="27" t="s">
        <v>396</v>
      </c>
      <c r="AC585" s="27" t="s">
        <v>396</v>
      </c>
      <c r="AD585" s="27" t="s">
        <v>396</v>
      </c>
      <c r="AE585" s="27" t="s">
        <v>396</v>
      </c>
      <c r="AF585" s="27" t="s">
        <v>396</v>
      </c>
      <c r="AG585" s="27" t="s">
        <v>396</v>
      </c>
      <c r="AH585" s="27" t="s">
        <v>396</v>
      </c>
      <c r="AI585" s="27" t="s">
        <v>396</v>
      </c>
      <c r="AJ585" s="27" t="s">
        <v>396</v>
      </c>
      <c r="AK585" s="6" t="s">
        <v>455</v>
      </c>
      <c r="AL585" s="17">
        <v>5413218564380</v>
      </c>
      <c r="AM585" s="15" t="s">
        <v>455</v>
      </c>
      <c r="AN585" s="5">
        <v>73181491</v>
      </c>
      <c r="AO585" s="6" t="s">
        <v>477</v>
      </c>
      <c r="AP585" s="6" t="s">
        <v>476</v>
      </c>
      <c r="AQ585" s="6"/>
      <c r="AR585" s="6"/>
      <c r="AS585" s="6" t="s">
        <v>475</v>
      </c>
    </row>
    <row r="586" spans="1:45" s="5" customFormat="1" ht="12.75" customHeight="1">
      <c r="A586" s="32" t="s">
        <v>474</v>
      </c>
      <c r="B586" s="6" t="s">
        <v>396</v>
      </c>
      <c r="C586" s="31" t="s">
        <v>403</v>
      </c>
      <c r="D586" s="5" t="s">
        <v>473</v>
      </c>
      <c r="E586" s="6" t="s">
        <v>472</v>
      </c>
      <c r="F586" s="6" t="s">
        <v>396</v>
      </c>
      <c r="G586" s="6" t="s">
        <v>396</v>
      </c>
      <c r="H586" s="27" t="s">
        <v>396</v>
      </c>
      <c r="I586" s="27" t="s">
        <v>396</v>
      </c>
      <c r="J586" s="6" t="s">
        <v>473</v>
      </c>
      <c r="K586" s="6" t="s">
        <v>472</v>
      </c>
      <c r="L586" s="27" t="s">
        <v>399</v>
      </c>
      <c r="M586" s="27" t="s">
        <v>396</v>
      </c>
      <c r="N586" s="27" t="s">
        <v>396</v>
      </c>
      <c r="O586" s="27" t="s">
        <v>396</v>
      </c>
      <c r="P586" s="27" t="s">
        <v>396</v>
      </c>
      <c r="Q586" s="27" t="s">
        <v>396</v>
      </c>
      <c r="R586" s="6"/>
      <c r="S586" s="27" t="s">
        <v>396</v>
      </c>
      <c r="T586" s="37">
        <v>6</v>
      </c>
      <c r="U586" s="36">
        <v>30</v>
      </c>
      <c r="V586" s="35">
        <v>5200</v>
      </c>
      <c r="W586" s="27" t="s">
        <v>396</v>
      </c>
      <c r="X586" s="27" t="s">
        <v>396</v>
      </c>
      <c r="Y586" s="27" t="s">
        <v>396</v>
      </c>
      <c r="Z586" s="34"/>
      <c r="AA586" s="27" t="s">
        <v>396</v>
      </c>
      <c r="AB586" s="27" t="s">
        <v>396</v>
      </c>
      <c r="AC586" s="27" t="s">
        <v>396</v>
      </c>
      <c r="AD586" s="27" t="s">
        <v>396</v>
      </c>
      <c r="AE586" s="27" t="s">
        <v>396</v>
      </c>
      <c r="AF586" s="27" t="s">
        <v>396</v>
      </c>
      <c r="AG586" s="27" t="s">
        <v>396</v>
      </c>
      <c r="AH586" s="27" t="s">
        <v>396</v>
      </c>
      <c r="AI586" s="27" t="s">
        <v>396</v>
      </c>
      <c r="AJ586" s="27" t="s">
        <v>396</v>
      </c>
      <c r="AK586" s="6" t="s">
        <v>431</v>
      </c>
      <c r="AL586" s="17">
        <v>5413218562256</v>
      </c>
      <c r="AM586" s="15" t="s">
        <v>431</v>
      </c>
      <c r="AN586" s="5">
        <v>68091100</v>
      </c>
      <c r="AO586" s="6"/>
      <c r="AP586" s="6"/>
      <c r="AQ586" s="6"/>
      <c r="AR586" s="6"/>
      <c r="AS586" s="6" t="s">
        <v>471</v>
      </c>
    </row>
    <row r="587" spans="1:45" s="5" customFormat="1" ht="12.75" customHeight="1">
      <c r="A587" s="32" t="s">
        <v>470</v>
      </c>
      <c r="B587" s="6" t="s">
        <v>396</v>
      </c>
      <c r="C587" s="31" t="s">
        <v>403</v>
      </c>
      <c r="D587" s="5" t="s">
        <v>469</v>
      </c>
      <c r="E587" s="7" t="s">
        <v>468</v>
      </c>
      <c r="F587" s="6" t="s">
        <v>396</v>
      </c>
      <c r="G587" s="6" t="s">
        <v>396</v>
      </c>
      <c r="H587" s="27" t="s">
        <v>396</v>
      </c>
      <c r="I587" s="27" t="s">
        <v>396</v>
      </c>
      <c r="J587" s="5" t="s">
        <v>469</v>
      </c>
      <c r="K587" s="7" t="s">
        <v>468</v>
      </c>
      <c r="L587" s="27" t="s">
        <v>399</v>
      </c>
      <c r="M587" s="27" t="s">
        <v>396</v>
      </c>
      <c r="N587" s="27" t="s">
        <v>396</v>
      </c>
      <c r="O587" s="27" t="s">
        <v>396</v>
      </c>
      <c r="P587" s="27" t="s">
        <v>396</v>
      </c>
      <c r="Q587" s="27" t="s">
        <v>396</v>
      </c>
      <c r="R587" s="6"/>
      <c r="S587" s="27" t="s">
        <v>396</v>
      </c>
      <c r="T587" s="36"/>
      <c r="U587" s="27" t="s">
        <v>396</v>
      </c>
      <c r="V587" s="36"/>
      <c r="W587" s="27" t="s">
        <v>396</v>
      </c>
      <c r="X587" s="27" t="s">
        <v>396</v>
      </c>
      <c r="Y587" s="27" t="s">
        <v>396</v>
      </c>
      <c r="Z587" s="28" t="s">
        <v>396</v>
      </c>
      <c r="AA587" s="27" t="s">
        <v>396</v>
      </c>
      <c r="AB587" s="27" t="s">
        <v>396</v>
      </c>
      <c r="AC587" s="27" t="s">
        <v>396</v>
      </c>
      <c r="AD587" s="27" t="s">
        <v>396</v>
      </c>
      <c r="AE587" s="27" t="s">
        <v>396</v>
      </c>
      <c r="AF587" s="27" t="s">
        <v>396</v>
      </c>
      <c r="AG587" s="27" t="s">
        <v>396</v>
      </c>
      <c r="AH587" s="27" t="s">
        <v>396</v>
      </c>
      <c r="AI587" s="27" t="s">
        <v>396</v>
      </c>
      <c r="AJ587" s="27" t="s">
        <v>396</v>
      </c>
      <c r="AK587" s="6" t="s">
        <v>455</v>
      </c>
      <c r="AL587" s="17">
        <v>5413218563109</v>
      </c>
      <c r="AM587" s="15" t="s">
        <v>455</v>
      </c>
      <c r="AN587" s="5">
        <v>73170090</v>
      </c>
      <c r="AO587" s="6"/>
      <c r="AP587" s="6"/>
      <c r="AQ587" s="6"/>
      <c r="AR587" s="6"/>
      <c r="AS587" s="6" t="s">
        <v>467</v>
      </c>
    </row>
    <row r="588" spans="1:45" s="5" customFormat="1" ht="12.75" customHeight="1">
      <c r="A588" s="32" t="s">
        <v>466</v>
      </c>
      <c r="B588" s="6" t="s">
        <v>396</v>
      </c>
      <c r="C588" s="31" t="s">
        <v>403</v>
      </c>
      <c r="D588" s="5" t="s">
        <v>465</v>
      </c>
      <c r="E588" s="7" t="s">
        <v>464</v>
      </c>
      <c r="F588" s="6" t="s">
        <v>396</v>
      </c>
      <c r="G588" s="6" t="s">
        <v>396</v>
      </c>
      <c r="H588" s="27" t="s">
        <v>396</v>
      </c>
      <c r="I588" s="27" t="s">
        <v>396</v>
      </c>
      <c r="J588" s="5" t="s">
        <v>465</v>
      </c>
      <c r="K588" s="7" t="s">
        <v>464</v>
      </c>
      <c r="L588" s="27" t="s">
        <v>399</v>
      </c>
      <c r="M588" s="27" t="s">
        <v>396</v>
      </c>
      <c r="N588" s="27" t="s">
        <v>396</v>
      </c>
      <c r="O588" s="27" t="s">
        <v>396</v>
      </c>
      <c r="P588" s="27" t="s">
        <v>396</v>
      </c>
      <c r="Q588" s="27" t="s">
        <v>396</v>
      </c>
      <c r="R588" s="6"/>
      <c r="S588" s="27" t="s">
        <v>396</v>
      </c>
      <c r="T588" s="36"/>
      <c r="U588" s="27" t="s">
        <v>396</v>
      </c>
      <c r="V588" s="36"/>
      <c r="W588" s="27" t="s">
        <v>396</v>
      </c>
      <c r="X588" s="27" t="s">
        <v>396</v>
      </c>
      <c r="Y588" s="27" t="s">
        <v>396</v>
      </c>
      <c r="Z588" s="28" t="s">
        <v>396</v>
      </c>
      <c r="AA588" s="27" t="s">
        <v>396</v>
      </c>
      <c r="AB588" s="27" t="s">
        <v>396</v>
      </c>
      <c r="AC588" s="27" t="s">
        <v>396</v>
      </c>
      <c r="AD588" s="27" t="s">
        <v>396</v>
      </c>
      <c r="AE588" s="27" t="s">
        <v>396</v>
      </c>
      <c r="AF588" s="27" t="s">
        <v>396</v>
      </c>
      <c r="AG588" s="27" t="s">
        <v>396</v>
      </c>
      <c r="AH588" s="27" t="s">
        <v>396</v>
      </c>
      <c r="AI588" s="27" t="s">
        <v>396</v>
      </c>
      <c r="AJ588" s="27" t="s">
        <v>396</v>
      </c>
      <c r="AK588" s="6" t="s">
        <v>455</v>
      </c>
      <c r="AL588" s="17">
        <v>5413218563123</v>
      </c>
      <c r="AM588" s="15" t="s">
        <v>455</v>
      </c>
      <c r="AN588" s="5">
        <v>73181300</v>
      </c>
      <c r="AO588" s="6"/>
      <c r="AP588" s="6"/>
      <c r="AQ588" s="6"/>
      <c r="AR588" s="6"/>
      <c r="AS588" s="6" t="s">
        <v>463</v>
      </c>
    </row>
    <row r="589" spans="1:45" s="5" customFormat="1" ht="12.75" customHeight="1">
      <c r="A589" s="32" t="s">
        <v>462</v>
      </c>
      <c r="B589" s="6" t="s">
        <v>396</v>
      </c>
      <c r="C589" s="31" t="s">
        <v>403</v>
      </c>
      <c r="D589" s="5" t="s">
        <v>461</v>
      </c>
      <c r="E589" s="7" t="s">
        <v>460</v>
      </c>
      <c r="F589" s="6" t="s">
        <v>396</v>
      </c>
      <c r="G589" s="6" t="s">
        <v>396</v>
      </c>
      <c r="H589" s="27" t="s">
        <v>396</v>
      </c>
      <c r="I589" s="27" t="s">
        <v>396</v>
      </c>
      <c r="J589" s="5" t="s">
        <v>461</v>
      </c>
      <c r="K589" s="7" t="s">
        <v>460</v>
      </c>
      <c r="L589" s="27" t="s">
        <v>399</v>
      </c>
      <c r="M589" s="27" t="s">
        <v>396</v>
      </c>
      <c r="N589" s="27" t="s">
        <v>396</v>
      </c>
      <c r="O589" s="27" t="s">
        <v>396</v>
      </c>
      <c r="P589" s="27" t="s">
        <v>396</v>
      </c>
      <c r="Q589" s="27" t="s">
        <v>396</v>
      </c>
      <c r="R589" s="6"/>
      <c r="S589" s="27" t="s">
        <v>396</v>
      </c>
      <c r="T589" s="36"/>
      <c r="U589" s="27" t="s">
        <v>396</v>
      </c>
      <c r="V589" s="36"/>
      <c r="W589" s="27" t="s">
        <v>396</v>
      </c>
      <c r="X589" s="27" t="s">
        <v>396</v>
      </c>
      <c r="Y589" s="27" t="s">
        <v>396</v>
      </c>
      <c r="Z589" s="28" t="s">
        <v>396</v>
      </c>
      <c r="AA589" s="27" t="s">
        <v>396</v>
      </c>
      <c r="AB589" s="27" t="s">
        <v>396</v>
      </c>
      <c r="AC589" s="27" t="s">
        <v>396</v>
      </c>
      <c r="AD589" s="27" t="s">
        <v>396</v>
      </c>
      <c r="AE589" s="27" t="s">
        <v>396</v>
      </c>
      <c r="AF589" s="27" t="s">
        <v>396</v>
      </c>
      <c r="AG589" s="27" t="s">
        <v>396</v>
      </c>
      <c r="AH589" s="27" t="s">
        <v>396</v>
      </c>
      <c r="AI589" s="27" t="s">
        <v>396</v>
      </c>
      <c r="AJ589" s="27" t="s">
        <v>396</v>
      </c>
      <c r="AK589" s="6" t="s">
        <v>455</v>
      </c>
      <c r="AL589" s="17">
        <v>5413218567794</v>
      </c>
      <c r="AM589" s="15" t="s">
        <v>455</v>
      </c>
      <c r="AN589" s="5">
        <v>73181300</v>
      </c>
      <c r="AO589" s="6"/>
      <c r="AP589" s="6"/>
      <c r="AQ589" s="6"/>
      <c r="AR589" s="6"/>
      <c r="AS589" s="6" t="s">
        <v>459</v>
      </c>
    </row>
    <row r="590" spans="1:45" s="5" customFormat="1" ht="12.75" customHeight="1">
      <c r="A590" s="32" t="s">
        <v>458</v>
      </c>
      <c r="B590" s="6" t="s">
        <v>396</v>
      </c>
      <c r="C590" s="31" t="s">
        <v>403</v>
      </c>
      <c r="D590" s="5" t="s">
        <v>457</v>
      </c>
      <c r="E590" s="7" t="s">
        <v>456</v>
      </c>
      <c r="F590" s="6" t="s">
        <v>396</v>
      </c>
      <c r="G590" s="6" t="s">
        <v>396</v>
      </c>
      <c r="H590" s="27" t="s">
        <v>396</v>
      </c>
      <c r="I590" s="27" t="s">
        <v>396</v>
      </c>
      <c r="J590" s="5" t="s">
        <v>457</v>
      </c>
      <c r="K590" s="7" t="s">
        <v>456</v>
      </c>
      <c r="L590" s="27" t="s">
        <v>399</v>
      </c>
      <c r="M590" s="27" t="s">
        <v>396</v>
      </c>
      <c r="N590" s="27" t="s">
        <v>396</v>
      </c>
      <c r="O590" s="27" t="s">
        <v>396</v>
      </c>
      <c r="P590" s="27" t="s">
        <v>396</v>
      </c>
      <c r="Q590" s="27" t="s">
        <v>396</v>
      </c>
      <c r="R590" s="6"/>
      <c r="S590" s="27" t="s">
        <v>396</v>
      </c>
      <c r="T590" s="36"/>
      <c r="U590" s="27" t="s">
        <v>396</v>
      </c>
      <c r="V590" s="36"/>
      <c r="W590" s="27" t="s">
        <v>396</v>
      </c>
      <c r="X590" s="27" t="s">
        <v>396</v>
      </c>
      <c r="Y590" s="27" t="s">
        <v>396</v>
      </c>
      <c r="Z590" s="28" t="s">
        <v>396</v>
      </c>
      <c r="AA590" s="27" t="s">
        <v>396</v>
      </c>
      <c r="AB590" s="27" t="s">
        <v>396</v>
      </c>
      <c r="AC590" s="27" t="s">
        <v>396</v>
      </c>
      <c r="AD590" s="27" t="s">
        <v>396</v>
      </c>
      <c r="AE590" s="27" t="s">
        <v>396</v>
      </c>
      <c r="AF590" s="27" t="s">
        <v>396</v>
      </c>
      <c r="AG590" s="27" t="s">
        <v>396</v>
      </c>
      <c r="AH590" s="27" t="s">
        <v>396</v>
      </c>
      <c r="AI590" s="27" t="s">
        <v>396</v>
      </c>
      <c r="AJ590" s="27" t="s">
        <v>396</v>
      </c>
      <c r="AK590" s="6" t="s">
        <v>455</v>
      </c>
      <c r="AL590" s="17">
        <v>5413218563116</v>
      </c>
      <c r="AM590" s="15" t="s">
        <v>455</v>
      </c>
      <c r="AN590" s="5">
        <v>73181300</v>
      </c>
      <c r="AO590" s="6"/>
      <c r="AP590" s="6"/>
      <c r="AQ590" s="6"/>
      <c r="AR590" s="6"/>
      <c r="AS590" s="6" t="s">
        <v>454</v>
      </c>
    </row>
    <row r="591" spans="1:45" s="5" customFormat="1" ht="12.75" customHeight="1">
      <c r="A591" s="32" t="s">
        <v>453</v>
      </c>
      <c r="B591" s="6" t="s">
        <v>396</v>
      </c>
      <c r="C591" s="31" t="s">
        <v>403</v>
      </c>
      <c r="D591" s="5" t="s">
        <v>452</v>
      </c>
      <c r="E591" s="6" t="s">
        <v>451</v>
      </c>
      <c r="F591" s="6" t="s">
        <v>396</v>
      </c>
      <c r="G591" s="6" t="s">
        <v>396</v>
      </c>
      <c r="H591" s="6" t="s">
        <v>396</v>
      </c>
      <c r="I591" s="6" t="s">
        <v>396</v>
      </c>
      <c r="J591" s="6" t="s">
        <v>452</v>
      </c>
      <c r="K591" s="6" t="s">
        <v>451</v>
      </c>
      <c r="L591" s="27" t="s">
        <v>434</v>
      </c>
      <c r="M591" s="27" t="s">
        <v>399</v>
      </c>
      <c r="N591" s="27" t="s">
        <v>433</v>
      </c>
      <c r="O591" s="27" t="s">
        <v>432</v>
      </c>
      <c r="P591" s="38"/>
      <c r="Q591" s="38"/>
      <c r="R591" s="6"/>
      <c r="S591" s="27" t="s">
        <v>396</v>
      </c>
      <c r="T591" s="37" t="s">
        <v>396</v>
      </c>
      <c r="U591" s="36">
        <v>50</v>
      </c>
      <c r="V591" s="35">
        <v>30000</v>
      </c>
      <c r="W591" s="27" t="s">
        <v>396</v>
      </c>
      <c r="X591" s="27" t="s">
        <v>396</v>
      </c>
      <c r="Y591" s="27" t="s">
        <v>396</v>
      </c>
      <c r="Z591" s="34" t="s">
        <v>396</v>
      </c>
      <c r="AA591" s="27" t="s">
        <v>396</v>
      </c>
      <c r="AB591" s="27" t="s">
        <v>396</v>
      </c>
      <c r="AC591" s="27" t="s">
        <v>396</v>
      </c>
      <c r="AD591" s="27" t="s">
        <v>396</v>
      </c>
      <c r="AE591" s="27" t="s">
        <v>396</v>
      </c>
      <c r="AF591" s="27" t="s">
        <v>396</v>
      </c>
      <c r="AG591" s="27" t="s">
        <v>396</v>
      </c>
      <c r="AH591" s="27" t="s">
        <v>396</v>
      </c>
      <c r="AI591" s="27" t="s">
        <v>396</v>
      </c>
      <c r="AJ591" s="27" t="s">
        <v>396</v>
      </c>
      <c r="AK591" s="6" t="s">
        <v>431</v>
      </c>
      <c r="AL591" s="17">
        <v>5413218562225</v>
      </c>
      <c r="AM591" s="15" t="s">
        <v>431</v>
      </c>
      <c r="AN591" s="5">
        <v>70191910</v>
      </c>
      <c r="AO591" s="6" t="s">
        <v>430</v>
      </c>
      <c r="AP591" s="6" t="s">
        <v>429</v>
      </c>
      <c r="AQ591" s="6"/>
      <c r="AR591" s="6"/>
      <c r="AS591" s="6" t="s">
        <v>450</v>
      </c>
    </row>
    <row r="592" spans="1:45" s="5" customFormat="1" ht="12.75" customHeight="1">
      <c r="A592" s="32" t="s">
        <v>449</v>
      </c>
      <c r="B592" s="6" t="s">
        <v>396</v>
      </c>
      <c r="C592" s="31" t="s">
        <v>403</v>
      </c>
      <c r="D592" s="5" t="s">
        <v>448</v>
      </c>
      <c r="E592" s="6" t="s">
        <v>447</v>
      </c>
      <c r="F592" s="6" t="s">
        <v>396</v>
      </c>
      <c r="G592" s="6" t="s">
        <v>396</v>
      </c>
      <c r="H592" s="6" t="s">
        <v>396</v>
      </c>
      <c r="I592" s="6" t="s">
        <v>396</v>
      </c>
      <c r="J592" s="6" t="s">
        <v>448</v>
      </c>
      <c r="K592" s="6" t="s">
        <v>447</v>
      </c>
      <c r="L592" s="27" t="s">
        <v>434</v>
      </c>
      <c r="M592" s="27" t="s">
        <v>399</v>
      </c>
      <c r="N592" s="27" t="s">
        <v>433</v>
      </c>
      <c r="O592" s="27" t="s">
        <v>432</v>
      </c>
      <c r="P592" s="38"/>
      <c r="Q592" s="38"/>
      <c r="R592" s="6"/>
      <c r="S592" s="27" t="s">
        <v>396</v>
      </c>
      <c r="T592" s="37" t="s">
        <v>396</v>
      </c>
      <c r="U592" s="36">
        <v>50</v>
      </c>
      <c r="V592" s="35">
        <v>30000</v>
      </c>
      <c r="W592" s="27" t="s">
        <v>396</v>
      </c>
      <c r="X592" s="27" t="s">
        <v>396</v>
      </c>
      <c r="Y592" s="27" t="s">
        <v>396</v>
      </c>
      <c r="Z592" s="34" t="s">
        <v>396</v>
      </c>
      <c r="AA592" s="27" t="s">
        <v>396</v>
      </c>
      <c r="AB592" s="27" t="s">
        <v>396</v>
      </c>
      <c r="AC592" s="27" t="s">
        <v>396</v>
      </c>
      <c r="AD592" s="27" t="s">
        <v>396</v>
      </c>
      <c r="AE592" s="27" t="s">
        <v>396</v>
      </c>
      <c r="AF592" s="27" t="s">
        <v>396</v>
      </c>
      <c r="AG592" s="27" t="s">
        <v>396</v>
      </c>
      <c r="AH592" s="27" t="s">
        <v>396</v>
      </c>
      <c r="AI592" s="27" t="s">
        <v>396</v>
      </c>
      <c r="AJ592" s="27" t="s">
        <v>396</v>
      </c>
      <c r="AK592" s="6" t="s">
        <v>431</v>
      </c>
      <c r="AL592" s="17">
        <v>5413218564373</v>
      </c>
      <c r="AM592" s="15" t="s">
        <v>431</v>
      </c>
      <c r="AN592" s="5">
        <v>70191910</v>
      </c>
      <c r="AO592" s="6" t="s">
        <v>430</v>
      </c>
      <c r="AP592" s="6" t="s">
        <v>429</v>
      </c>
      <c r="AQ592" s="6"/>
      <c r="AR592" s="6"/>
      <c r="AS592" s="6" t="s">
        <v>446</v>
      </c>
    </row>
    <row r="593" spans="1:45" s="5" customFormat="1" ht="12.75" customHeight="1">
      <c r="A593" s="32" t="s">
        <v>445</v>
      </c>
      <c r="B593" s="6" t="s">
        <v>396</v>
      </c>
      <c r="C593" s="31" t="s">
        <v>403</v>
      </c>
      <c r="D593" s="5" t="s">
        <v>444</v>
      </c>
      <c r="E593" s="6" t="s">
        <v>443</v>
      </c>
      <c r="F593" s="6" t="s">
        <v>396</v>
      </c>
      <c r="G593" s="6" t="s">
        <v>396</v>
      </c>
      <c r="H593" s="6" t="s">
        <v>396</v>
      </c>
      <c r="I593" s="6" t="s">
        <v>396</v>
      </c>
      <c r="J593" s="6" t="s">
        <v>444</v>
      </c>
      <c r="K593" s="6" t="s">
        <v>443</v>
      </c>
      <c r="L593" s="27" t="s">
        <v>434</v>
      </c>
      <c r="M593" s="27" t="s">
        <v>399</v>
      </c>
      <c r="N593" s="27" t="s">
        <v>433</v>
      </c>
      <c r="O593" s="27" t="s">
        <v>432</v>
      </c>
      <c r="P593" s="38"/>
      <c r="Q593" s="38"/>
      <c r="R593" s="6"/>
      <c r="S593" s="27" t="s">
        <v>396</v>
      </c>
      <c r="T593" s="37" t="s">
        <v>396</v>
      </c>
      <c r="U593" s="36">
        <v>50</v>
      </c>
      <c r="V593" s="35">
        <v>22000</v>
      </c>
      <c r="W593" s="27" t="s">
        <v>396</v>
      </c>
      <c r="X593" s="27" t="s">
        <v>396</v>
      </c>
      <c r="Y593" s="27" t="s">
        <v>396</v>
      </c>
      <c r="Z593" s="34" t="s">
        <v>396</v>
      </c>
      <c r="AA593" s="27" t="s">
        <v>396</v>
      </c>
      <c r="AB593" s="27" t="s">
        <v>396</v>
      </c>
      <c r="AC593" s="27" t="s">
        <v>396</v>
      </c>
      <c r="AD593" s="27" t="s">
        <v>396</v>
      </c>
      <c r="AE593" s="27" t="s">
        <v>396</v>
      </c>
      <c r="AF593" s="27" t="s">
        <v>396</v>
      </c>
      <c r="AG593" s="27" t="s">
        <v>396</v>
      </c>
      <c r="AH593" s="27" t="s">
        <v>396</v>
      </c>
      <c r="AI593" s="27" t="s">
        <v>396</v>
      </c>
      <c r="AJ593" s="27" t="s">
        <v>396</v>
      </c>
      <c r="AK593" s="6" t="s">
        <v>395</v>
      </c>
      <c r="AL593" s="17">
        <v>5413218562232</v>
      </c>
      <c r="AM593" s="15" t="s">
        <v>395</v>
      </c>
      <c r="AN593" s="5">
        <v>48239095</v>
      </c>
      <c r="AO593" s="6" t="s">
        <v>430</v>
      </c>
      <c r="AP593" s="6" t="s">
        <v>429</v>
      </c>
      <c r="AQ593" s="6"/>
      <c r="AR593" s="6"/>
      <c r="AS593" s="6" t="s">
        <v>442</v>
      </c>
    </row>
    <row r="594" spans="1:45" s="5" customFormat="1" ht="12.75" customHeight="1">
      <c r="A594" s="32" t="s">
        <v>441</v>
      </c>
      <c r="B594" s="6" t="s">
        <v>396</v>
      </c>
      <c r="C594" s="31" t="s">
        <v>403</v>
      </c>
      <c r="D594" s="5" t="s">
        <v>440</v>
      </c>
      <c r="E594" s="6" t="s">
        <v>439</v>
      </c>
      <c r="F594" s="6" t="s">
        <v>396</v>
      </c>
      <c r="G594" s="6" t="s">
        <v>396</v>
      </c>
      <c r="H594" s="6" t="s">
        <v>396</v>
      </c>
      <c r="I594" s="6" t="s">
        <v>396</v>
      </c>
      <c r="J594" s="6" t="s">
        <v>440</v>
      </c>
      <c r="K594" s="6" t="s">
        <v>439</v>
      </c>
      <c r="L594" s="27" t="s">
        <v>434</v>
      </c>
      <c r="M594" s="27" t="s">
        <v>399</v>
      </c>
      <c r="N594" s="27" t="s">
        <v>433</v>
      </c>
      <c r="O594" s="27" t="s">
        <v>432</v>
      </c>
      <c r="P594" s="38"/>
      <c r="Q594" s="38"/>
      <c r="R594" s="6"/>
      <c r="S594" s="27" t="s">
        <v>396</v>
      </c>
      <c r="T594" s="37" t="s">
        <v>396</v>
      </c>
      <c r="U594" s="36">
        <v>50</v>
      </c>
      <c r="V594" s="35">
        <v>2600</v>
      </c>
      <c r="W594" s="27" t="s">
        <v>396</v>
      </c>
      <c r="X594" s="27" t="s">
        <v>396</v>
      </c>
      <c r="Y594" s="27" t="s">
        <v>396</v>
      </c>
      <c r="Z594" s="34" t="s">
        <v>396</v>
      </c>
      <c r="AA594" s="27" t="s">
        <v>396</v>
      </c>
      <c r="AB594" s="27" t="s">
        <v>396</v>
      </c>
      <c r="AC594" s="27" t="s">
        <v>396</v>
      </c>
      <c r="AD594" s="27" t="s">
        <v>396</v>
      </c>
      <c r="AE594" s="27" t="s">
        <v>396</v>
      </c>
      <c r="AF594" s="27" t="s">
        <v>396</v>
      </c>
      <c r="AG594" s="27" t="s">
        <v>396</v>
      </c>
      <c r="AH594" s="27" t="s">
        <v>396</v>
      </c>
      <c r="AI594" s="27" t="s">
        <v>396</v>
      </c>
      <c r="AJ594" s="27" t="s">
        <v>396</v>
      </c>
      <c r="AK594" s="6" t="s">
        <v>395</v>
      </c>
      <c r="AL594" s="17">
        <v>5413218562249</v>
      </c>
      <c r="AM594" s="15" t="s">
        <v>395</v>
      </c>
      <c r="AN594" s="5">
        <v>83024100</v>
      </c>
      <c r="AO594" s="6" t="s">
        <v>430</v>
      </c>
      <c r="AP594" s="6" t="s">
        <v>429</v>
      </c>
      <c r="AQ594" s="6"/>
      <c r="AR594" s="6"/>
      <c r="AS594" s="6" t="s">
        <v>438</v>
      </c>
    </row>
    <row r="595" spans="1:45" s="5" customFormat="1" ht="12.75" customHeight="1">
      <c r="A595" s="32" t="s">
        <v>437</v>
      </c>
      <c r="B595" s="6" t="s">
        <v>396</v>
      </c>
      <c r="C595" s="31" t="s">
        <v>403</v>
      </c>
      <c r="D595" s="5" t="s">
        <v>436</v>
      </c>
      <c r="E595" s="6" t="s">
        <v>435</v>
      </c>
      <c r="F595" s="6" t="s">
        <v>396</v>
      </c>
      <c r="G595" s="6" t="s">
        <v>396</v>
      </c>
      <c r="H595" s="6" t="s">
        <v>396</v>
      </c>
      <c r="I595" s="6" t="s">
        <v>396</v>
      </c>
      <c r="J595" s="6" t="s">
        <v>436</v>
      </c>
      <c r="K595" s="6" t="s">
        <v>435</v>
      </c>
      <c r="L595" s="27" t="s">
        <v>434</v>
      </c>
      <c r="M595" s="27" t="s">
        <v>399</v>
      </c>
      <c r="N595" s="27" t="s">
        <v>433</v>
      </c>
      <c r="O595" s="27" t="s">
        <v>432</v>
      </c>
      <c r="P595" s="38"/>
      <c r="Q595" s="38"/>
      <c r="R595" s="6"/>
      <c r="S595" s="27" t="s">
        <v>396</v>
      </c>
      <c r="T595" s="37" t="s">
        <v>396</v>
      </c>
      <c r="U595" s="36">
        <v>70</v>
      </c>
      <c r="V595" s="35">
        <v>10000</v>
      </c>
      <c r="W595" s="27" t="s">
        <v>396</v>
      </c>
      <c r="X595" s="27" t="s">
        <v>396</v>
      </c>
      <c r="Y595" s="27" t="s">
        <v>396</v>
      </c>
      <c r="Z595" s="34" t="s">
        <v>396</v>
      </c>
      <c r="AA595" s="27" t="s">
        <v>396</v>
      </c>
      <c r="AB595" s="27" t="s">
        <v>396</v>
      </c>
      <c r="AC595" s="27" t="s">
        <v>396</v>
      </c>
      <c r="AD595" s="27" t="s">
        <v>396</v>
      </c>
      <c r="AE595" s="27" t="s">
        <v>396</v>
      </c>
      <c r="AF595" s="27" t="s">
        <v>396</v>
      </c>
      <c r="AG595" s="27" t="s">
        <v>396</v>
      </c>
      <c r="AH595" s="27" t="s">
        <v>396</v>
      </c>
      <c r="AI595" s="27" t="s">
        <v>396</v>
      </c>
      <c r="AJ595" s="27" t="s">
        <v>396</v>
      </c>
      <c r="AK595" s="6" t="s">
        <v>431</v>
      </c>
      <c r="AL595" s="17">
        <v>5413218564601</v>
      </c>
      <c r="AM595" s="15" t="s">
        <v>431</v>
      </c>
      <c r="AN595" s="5">
        <v>70191910</v>
      </c>
      <c r="AO595" s="6" t="s">
        <v>430</v>
      </c>
      <c r="AP595" s="6" t="s">
        <v>429</v>
      </c>
      <c r="AQ595" s="6"/>
      <c r="AR595" s="6"/>
      <c r="AS595" s="6" t="s">
        <v>428</v>
      </c>
    </row>
    <row r="596" spans="1:45" s="5" customFormat="1" ht="12.75" customHeight="1">
      <c r="A596" s="32" t="s">
        <v>427</v>
      </c>
      <c r="B596" s="6" t="s">
        <v>396</v>
      </c>
      <c r="C596" s="31" t="s">
        <v>403</v>
      </c>
      <c r="D596" s="5" t="s">
        <v>426</v>
      </c>
      <c r="E596" s="5" t="s">
        <v>425</v>
      </c>
      <c r="F596" s="6" t="s">
        <v>396</v>
      </c>
      <c r="G596" s="6" t="s">
        <v>396</v>
      </c>
      <c r="H596" s="27" t="s">
        <v>396</v>
      </c>
      <c r="I596" s="27" t="s">
        <v>396</v>
      </c>
      <c r="J596" s="6" t="s">
        <v>426</v>
      </c>
      <c r="K596" s="5" t="s">
        <v>425</v>
      </c>
      <c r="L596" s="27" t="s">
        <v>399</v>
      </c>
      <c r="M596" s="27" t="s">
        <v>396</v>
      </c>
      <c r="N596" s="27" t="s">
        <v>396</v>
      </c>
      <c r="O596" s="27" t="s">
        <v>396</v>
      </c>
      <c r="P596" s="27" t="s">
        <v>396</v>
      </c>
      <c r="Q596" s="27" t="s">
        <v>396</v>
      </c>
      <c r="R596" s="6"/>
      <c r="S596" s="27" t="s">
        <v>396</v>
      </c>
      <c r="T596" s="30" t="s">
        <v>396</v>
      </c>
      <c r="U596" s="27" t="s">
        <v>396</v>
      </c>
      <c r="V596" s="29" t="s">
        <v>396</v>
      </c>
      <c r="W596" s="27" t="s">
        <v>396</v>
      </c>
      <c r="X596" s="27" t="s">
        <v>396</v>
      </c>
      <c r="Y596" s="27" t="s">
        <v>396</v>
      </c>
      <c r="Z596" s="28" t="s">
        <v>396</v>
      </c>
      <c r="AA596" s="27" t="s">
        <v>396</v>
      </c>
      <c r="AB596" s="27" t="s">
        <v>396</v>
      </c>
      <c r="AC596" s="27" t="s">
        <v>396</v>
      </c>
      <c r="AD596" s="27" t="s">
        <v>396</v>
      </c>
      <c r="AE596" s="27" t="s">
        <v>396</v>
      </c>
      <c r="AF596" s="27" t="s">
        <v>396</v>
      </c>
      <c r="AG596" s="27" t="s">
        <v>396</v>
      </c>
      <c r="AH596" s="27" t="s">
        <v>396</v>
      </c>
      <c r="AI596" s="27" t="s">
        <v>396</v>
      </c>
      <c r="AJ596" s="27" t="s">
        <v>396</v>
      </c>
      <c r="AK596" s="6" t="s">
        <v>395</v>
      </c>
      <c r="AL596" s="17">
        <v>5413218562263</v>
      </c>
      <c r="AM596" s="15" t="s">
        <v>395</v>
      </c>
      <c r="AN596" s="5">
        <v>82079078</v>
      </c>
      <c r="AO596" s="6"/>
      <c r="AP596" s="6"/>
      <c r="AQ596" s="6"/>
      <c r="AR596" s="6"/>
      <c r="AS596" s="6" t="s">
        <v>424</v>
      </c>
    </row>
    <row r="597" spans="1:45" s="5" customFormat="1" ht="12.75" customHeight="1">
      <c r="A597" s="32" t="s">
        <v>423</v>
      </c>
      <c r="B597" s="6" t="s">
        <v>396</v>
      </c>
      <c r="C597" s="31" t="s">
        <v>403</v>
      </c>
      <c r="D597" s="5" t="s">
        <v>422</v>
      </c>
      <c r="E597" s="6" t="s">
        <v>421</v>
      </c>
      <c r="F597" s="6" t="s">
        <v>396</v>
      </c>
      <c r="G597" s="6" t="s">
        <v>396</v>
      </c>
      <c r="H597" s="27" t="s">
        <v>396</v>
      </c>
      <c r="I597" s="27" t="s">
        <v>396</v>
      </c>
      <c r="J597" s="6" t="s">
        <v>422</v>
      </c>
      <c r="K597" s="6" t="s">
        <v>421</v>
      </c>
      <c r="L597" s="27" t="s">
        <v>399</v>
      </c>
      <c r="M597" s="27" t="s">
        <v>396</v>
      </c>
      <c r="N597" s="27" t="s">
        <v>396</v>
      </c>
      <c r="O597" s="27" t="s">
        <v>396</v>
      </c>
      <c r="P597" s="27" t="s">
        <v>396</v>
      </c>
      <c r="Q597" s="27" t="s">
        <v>396</v>
      </c>
      <c r="R597" s="6"/>
      <c r="S597" s="27" t="s">
        <v>396</v>
      </c>
      <c r="T597" s="30" t="s">
        <v>396</v>
      </c>
      <c r="U597" s="27" t="s">
        <v>396</v>
      </c>
      <c r="V597" s="29" t="s">
        <v>396</v>
      </c>
      <c r="W597" s="27" t="s">
        <v>396</v>
      </c>
      <c r="X597" s="27" t="s">
        <v>396</v>
      </c>
      <c r="Y597" s="27" t="s">
        <v>396</v>
      </c>
      <c r="Z597" s="28" t="s">
        <v>396</v>
      </c>
      <c r="AA597" s="27" t="s">
        <v>396</v>
      </c>
      <c r="AB597" s="27" t="s">
        <v>396</v>
      </c>
      <c r="AC597" s="27" t="s">
        <v>396</v>
      </c>
      <c r="AD597" s="27" t="s">
        <v>396</v>
      </c>
      <c r="AE597" s="27" t="s">
        <v>396</v>
      </c>
      <c r="AF597" s="27" t="s">
        <v>396</v>
      </c>
      <c r="AG597" s="27" t="s">
        <v>396</v>
      </c>
      <c r="AH597" s="27" t="s">
        <v>396</v>
      </c>
      <c r="AI597" s="27" t="s">
        <v>396</v>
      </c>
      <c r="AJ597" s="27" t="s">
        <v>396</v>
      </c>
      <c r="AK597" s="6" t="s">
        <v>395</v>
      </c>
      <c r="AL597" s="17">
        <v>5413218563628</v>
      </c>
      <c r="AM597" s="15" t="s">
        <v>395</v>
      </c>
      <c r="AN597" s="5">
        <v>82055910</v>
      </c>
      <c r="AO597" s="6"/>
      <c r="AP597" s="6"/>
      <c r="AQ597" s="6"/>
      <c r="AR597" s="6"/>
      <c r="AS597" s="6" t="s">
        <v>420</v>
      </c>
    </row>
    <row r="598" spans="1:45" s="5" customFormat="1" ht="12.75" customHeight="1">
      <c r="A598" s="32" t="s">
        <v>419</v>
      </c>
      <c r="B598" s="6" t="s">
        <v>396</v>
      </c>
      <c r="C598" s="31" t="s">
        <v>403</v>
      </c>
      <c r="D598" s="5" t="s">
        <v>418</v>
      </c>
      <c r="E598" s="5" t="s">
        <v>417</v>
      </c>
      <c r="F598" s="6" t="s">
        <v>396</v>
      </c>
      <c r="G598" s="6" t="s">
        <v>396</v>
      </c>
      <c r="H598" s="27" t="s">
        <v>396</v>
      </c>
      <c r="I598" s="27" t="s">
        <v>396</v>
      </c>
      <c r="J598" s="6" t="s">
        <v>418</v>
      </c>
      <c r="K598" s="5" t="s">
        <v>417</v>
      </c>
      <c r="L598" s="27" t="s">
        <v>399</v>
      </c>
      <c r="M598" s="27" t="s">
        <v>396</v>
      </c>
      <c r="N598" s="27" t="s">
        <v>396</v>
      </c>
      <c r="O598" s="27" t="s">
        <v>396</v>
      </c>
      <c r="P598" s="27" t="s">
        <v>396</v>
      </c>
      <c r="Q598" s="27" t="s">
        <v>396</v>
      </c>
      <c r="R598" s="6"/>
      <c r="S598" s="27" t="s">
        <v>396</v>
      </c>
      <c r="T598" s="30" t="s">
        <v>396</v>
      </c>
      <c r="U598" s="27" t="s">
        <v>396</v>
      </c>
      <c r="V598" s="29" t="s">
        <v>396</v>
      </c>
      <c r="W598" s="27" t="s">
        <v>396</v>
      </c>
      <c r="X598" s="27" t="s">
        <v>396</v>
      </c>
      <c r="Y598" s="27" t="s">
        <v>396</v>
      </c>
      <c r="Z598" s="28" t="s">
        <v>396</v>
      </c>
      <c r="AA598" s="27" t="s">
        <v>396</v>
      </c>
      <c r="AB598" s="27" t="s">
        <v>396</v>
      </c>
      <c r="AC598" s="27" t="s">
        <v>396</v>
      </c>
      <c r="AD598" s="27" t="s">
        <v>396</v>
      </c>
      <c r="AE598" s="27" t="s">
        <v>396</v>
      </c>
      <c r="AF598" s="27" t="s">
        <v>396</v>
      </c>
      <c r="AG598" s="27" t="s">
        <v>396</v>
      </c>
      <c r="AH598" s="27" t="s">
        <v>396</v>
      </c>
      <c r="AI598" s="27" t="s">
        <v>396</v>
      </c>
      <c r="AJ598" s="27" t="s">
        <v>396</v>
      </c>
      <c r="AK598" s="6" t="s">
        <v>395</v>
      </c>
      <c r="AL598" s="17">
        <v>5413218562270</v>
      </c>
      <c r="AM598" s="15" t="s">
        <v>395</v>
      </c>
      <c r="AN598" s="5">
        <v>68051000</v>
      </c>
      <c r="AO598" s="6"/>
      <c r="AP598" s="6"/>
      <c r="AQ598" s="6"/>
      <c r="AR598" s="6"/>
      <c r="AS598" s="6" t="s">
        <v>416</v>
      </c>
    </row>
    <row r="599" spans="1:45" s="5" customFormat="1" ht="12.75" customHeight="1">
      <c r="A599" s="33" t="s">
        <v>415</v>
      </c>
      <c r="B599" s="6" t="s">
        <v>396</v>
      </c>
      <c r="C599" s="31" t="s">
        <v>403</v>
      </c>
      <c r="D599" s="5" t="s">
        <v>414</v>
      </c>
      <c r="E599" s="6" t="s">
        <v>413</v>
      </c>
      <c r="F599" s="6" t="s">
        <v>396</v>
      </c>
      <c r="G599" s="6" t="s">
        <v>396</v>
      </c>
      <c r="H599" s="27" t="s">
        <v>396</v>
      </c>
      <c r="I599" s="27" t="s">
        <v>396</v>
      </c>
      <c r="J599" s="6" t="s">
        <v>414</v>
      </c>
      <c r="K599" s="6" t="s">
        <v>413</v>
      </c>
      <c r="L599" s="27" t="s">
        <v>399</v>
      </c>
      <c r="M599" s="27" t="s">
        <v>396</v>
      </c>
      <c r="N599" s="27" t="s">
        <v>396</v>
      </c>
      <c r="O599" s="27" t="s">
        <v>396</v>
      </c>
      <c r="P599" s="27" t="s">
        <v>396</v>
      </c>
      <c r="Q599" s="27" t="s">
        <v>396</v>
      </c>
      <c r="R599" s="6"/>
      <c r="S599" s="27" t="s">
        <v>396</v>
      </c>
      <c r="T599" s="30" t="s">
        <v>396</v>
      </c>
      <c r="U599" s="27" t="s">
        <v>396</v>
      </c>
      <c r="V599" s="29" t="s">
        <v>396</v>
      </c>
      <c r="W599" s="27" t="s">
        <v>396</v>
      </c>
      <c r="X599" s="27" t="s">
        <v>396</v>
      </c>
      <c r="Y599" s="27" t="s">
        <v>396</v>
      </c>
      <c r="Z599" s="28" t="s">
        <v>396</v>
      </c>
      <c r="AA599" s="27" t="s">
        <v>396</v>
      </c>
      <c r="AB599" s="27" t="s">
        <v>396</v>
      </c>
      <c r="AC599" s="27" t="s">
        <v>396</v>
      </c>
      <c r="AD599" s="27" t="s">
        <v>396</v>
      </c>
      <c r="AE599" s="27" t="s">
        <v>396</v>
      </c>
      <c r="AF599" s="27" t="s">
        <v>396</v>
      </c>
      <c r="AG599" s="27" t="s">
        <v>396</v>
      </c>
      <c r="AH599" s="27" t="s">
        <v>396</v>
      </c>
      <c r="AI599" s="27" t="s">
        <v>396</v>
      </c>
      <c r="AJ599" s="27" t="s">
        <v>396</v>
      </c>
      <c r="AK599" s="6" t="s">
        <v>395</v>
      </c>
      <c r="AL599" s="17">
        <v>5413218563291</v>
      </c>
      <c r="AM599" s="15" t="s">
        <v>395</v>
      </c>
      <c r="AN599" s="5">
        <v>82055910</v>
      </c>
      <c r="AO599" s="6"/>
      <c r="AP599" s="6"/>
      <c r="AQ599" s="6"/>
      <c r="AR599" s="6"/>
      <c r="AS599" s="6" t="s">
        <v>412</v>
      </c>
    </row>
    <row r="600" spans="1:45" s="5" customFormat="1" ht="12.75" customHeight="1">
      <c r="A600" s="32" t="s">
        <v>411</v>
      </c>
      <c r="B600" s="6" t="s">
        <v>396</v>
      </c>
      <c r="C600" s="31" t="s">
        <v>403</v>
      </c>
      <c r="D600" s="5" t="s">
        <v>410</v>
      </c>
      <c r="E600" s="6" t="s">
        <v>409</v>
      </c>
      <c r="F600" s="6" t="s">
        <v>396</v>
      </c>
      <c r="G600" s="6" t="s">
        <v>396</v>
      </c>
      <c r="H600" s="27" t="s">
        <v>396</v>
      </c>
      <c r="I600" s="27" t="s">
        <v>396</v>
      </c>
      <c r="J600" s="6" t="s">
        <v>410</v>
      </c>
      <c r="K600" s="6" t="s">
        <v>409</v>
      </c>
      <c r="L600" s="27" t="s">
        <v>399</v>
      </c>
      <c r="M600" s="27" t="s">
        <v>396</v>
      </c>
      <c r="N600" s="27" t="s">
        <v>396</v>
      </c>
      <c r="O600" s="27" t="s">
        <v>396</v>
      </c>
      <c r="P600" s="27" t="s">
        <v>396</v>
      </c>
      <c r="Q600" s="27" t="s">
        <v>396</v>
      </c>
      <c r="R600" s="6"/>
      <c r="S600" s="27" t="s">
        <v>396</v>
      </c>
      <c r="T600" s="30" t="s">
        <v>396</v>
      </c>
      <c r="U600" s="27" t="s">
        <v>396</v>
      </c>
      <c r="V600" s="29" t="s">
        <v>396</v>
      </c>
      <c r="W600" s="27" t="s">
        <v>396</v>
      </c>
      <c r="X600" s="27" t="s">
        <v>396</v>
      </c>
      <c r="Y600" s="27" t="s">
        <v>396</v>
      </c>
      <c r="Z600" s="28" t="s">
        <v>396</v>
      </c>
      <c r="AA600" s="27" t="s">
        <v>396</v>
      </c>
      <c r="AB600" s="27" t="s">
        <v>396</v>
      </c>
      <c r="AC600" s="27" t="s">
        <v>396</v>
      </c>
      <c r="AD600" s="27" t="s">
        <v>396</v>
      </c>
      <c r="AE600" s="27" t="s">
        <v>396</v>
      </c>
      <c r="AF600" s="27" t="s">
        <v>396</v>
      </c>
      <c r="AG600" s="27" t="s">
        <v>396</v>
      </c>
      <c r="AH600" s="27" t="s">
        <v>396</v>
      </c>
      <c r="AI600" s="27" t="s">
        <v>396</v>
      </c>
      <c r="AJ600" s="27" t="s">
        <v>396</v>
      </c>
      <c r="AK600" s="6" t="s">
        <v>395</v>
      </c>
      <c r="AL600" s="17">
        <v>5413218563918</v>
      </c>
      <c r="AM600" s="15" t="s">
        <v>395</v>
      </c>
      <c r="AN600" s="5">
        <v>82055910</v>
      </c>
      <c r="AO600" s="6"/>
      <c r="AP600" s="6"/>
      <c r="AQ600" s="6"/>
      <c r="AR600" s="6"/>
      <c r="AS600" s="6" t="s">
        <v>408</v>
      </c>
    </row>
    <row r="601" spans="1:45" s="16" customFormat="1" ht="12.75" customHeight="1">
      <c r="A601" s="26" t="s">
        <v>407</v>
      </c>
      <c r="B601" s="18" t="s">
        <v>396</v>
      </c>
      <c r="C601" s="18" t="s">
        <v>403</v>
      </c>
      <c r="D601" s="18" t="s">
        <v>402</v>
      </c>
      <c r="E601" s="25" t="s">
        <v>402</v>
      </c>
      <c r="F601" s="18" t="s">
        <v>396</v>
      </c>
      <c r="G601" s="18" t="s">
        <v>396</v>
      </c>
      <c r="H601" s="19" t="s">
        <v>396</v>
      </c>
      <c r="I601" s="19" t="s">
        <v>396</v>
      </c>
      <c r="J601" s="25" t="s">
        <v>406</v>
      </c>
      <c r="K601" s="25" t="s">
        <v>406</v>
      </c>
      <c r="L601" s="19" t="s">
        <v>400</v>
      </c>
      <c r="M601" s="19" t="s">
        <v>399</v>
      </c>
      <c r="N601" s="24" t="s">
        <v>398</v>
      </c>
      <c r="O601" s="24" t="s">
        <v>397</v>
      </c>
      <c r="P601" s="19"/>
      <c r="Q601" s="19"/>
      <c r="S601" s="19" t="s">
        <v>396</v>
      </c>
      <c r="T601" s="23" t="s">
        <v>396</v>
      </c>
      <c r="U601" s="22">
        <v>67</v>
      </c>
      <c r="V601" s="22">
        <v>2000</v>
      </c>
      <c r="W601" s="19" t="s">
        <v>396</v>
      </c>
      <c r="X601" s="19" t="s">
        <v>396</v>
      </c>
      <c r="Y601" s="21" t="s">
        <v>396</v>
      </c>
      <c r="Z601" s="20"/>
      <c r="AA601" s="19" t="s">
        <v>396</v>
      </c>
      <c r="AB601" s="19" t="s">
        <v>396</v>
      </c>
      <c r="AC601" s="19" t="s">
        <v>396</v>
      </c>
      <c r="AD601" s="19" t="s">
        <v>396</v>
      </c>
      <c r="AE601" s="19" t="s">
        <v>396</v>
      </c>
      <c r="AF601" s="19" t="s">
        <v>396</v>
      </c>
      <c r="AG601" s="19" t="s">
        <v>396</v>
      </c>
      <c r="AH601" s="19" t="s">
        <v>396</v>
      </c>
      <c r="AI601" s="19" t="s">
        <v>396</v>
      </c>
      <c r="AJ601" s="19" t="s">
        <v>396</v>
      </c>
      <c r="AK601" s="18" t="s">
        <v>395</v>
      </c>
      <c r="AL601" s="17">
        <v>5015341080845</v>
      </c>
      <c r="AM601" s="15" t="s">
        <v>395</v>
      </c>
      <c r="AN601" s="5">
        <v>68099000</v>
      </c>
      <c r="AO601" s="6" t="s">
        <v>394</v>
      </c>
      <c r="AP601" s="6" t="s">
        <v>393</v>
      </c>
      <c r="AQ601" s="6"/>
      <c r="AR601" s="6"/>
      <c r="AS601" s="6" t="s">
        <v>405</v>
      </c>
    </row>
    <row r="602" spans="1:45" s="16" customFormat="1" ht="12.75" customHeight="1">
      <c r="A602" s="26" t="s">
        <v>404</v>
      </c>
      <c r="B602" s="18" t="s">
        <v>396</v>
      </c>
      <c r="C602" s="18" t="s">
        <v>403</v>
      </c>
      <c r="D602" s="18" t="s">
        <v>402</v>
      </c>
      <c r="E602" s="25" t="s">
        <v>402</v>
      </c>
      <c r="F602" s="18" t="s">
        <v>396</v>
      </c>
      <c r="G602" s="18" t="s">
        <v>396</v>
      </c>
      <c r="H602" s="19" t="s">
        <v>396</v>
      </c>
      <c r="I602" s="19" t="s">
        <v>396</v>
      </c>
      <c r="J602" s="25" t="s">
        <v>401</v>
      </c>
      <c r="K602" s="25" t="s">
        <v>401</v>
      </c>
      <c r="L602" s="19" t="s">
        <v>400</v>
      </c>
      <c r="M602" s="19" t="s">
        <v>399</v>
      </c>
      <c r="N602" s="24" t="s">
        <v>398</v>
      </c>
      <c r="O602" s="24" t="s">
        <v>397</v>
      </c>
      <c r="P602" s="19"/>
      <c r="Q602" s="19"/>
      <c r="S602" s="19" t="s">
        <v>396</v>
      </c>
      <c r="T602" s="23" t="s">
        <v>396</v>
      </c>
      <c r="U602" s="22">
        <v>85</v>
      </c>
      <c r="V602" s="22">
        <v>2000</v>
      </c>
      <c r="W602" s="19" t="s">
        <v>396</v>
      </c>
      <c r="X602" s="19" t="s">
        <v>396</v>
      </c>
      <c r="Y602" s="21" t="s">
        <v>396</v>
      </c>
      <c r="Z602" s="20"/>
      <c r="AA602" s="19" t="s">
        <v>396</v>
      </c>
      <c r="AB602" s="19" t="s">
        <v>396</v>
      </c>
      <c r="AC602" s="19" t="s">
        <v>396</v>
      </c>
      <c r="AD602" s="19" t="s">
        <v>396</v>
      </c>
      <c r="AE602" s="19" t="s">
        <v>396</v>
      </c>
      <c r="AF602" s="19" t="s">
        <v>396</v>
      </c>
      <c r="AG602" s="19" t="s">
        <v>396</v>
      </c>
      <c r="AH602" s="19" t="s">
        <v>396</v>
      </c>
      <c r="AI602" s="19" t="s">
        <v>396</v>
      </c>
      <c r="AJ602" s="19" t="s">
        <v>396</v>
      </c>
      <c r="AK602" s="18" t="s">
        <v>395</v>
      </c>
      <c r="AL602" s="17">
        <v>5015341080838</v>
      </c>
      <c r="AM602" s="15" t="s">
        <v>395</v>
      </c>
      <c r="AN602" s="5">
        <v>68099000</v>
      </c>
      <c r="AO602" s="6" t="s">
        <v>394</v>
      </c>
      <c r="AP602" s="6" t="s">
        <v>393</v>
      </c>
      <c r="AQ602" s="6"/>
      <c r="AR602" s="6"/>
      <c r="AS602" s="6" t="s">
        <v>392</v>
      </c>
    </row>
    <row r="603" spans="1:45" ht="12.75" customHeight="1">
      <c r="AM603" s="15"/>
      <c r="AO603" s="6"/>
      <c r="AP603" s="6"/>
      <c r="AQ603" s="6"/>
      <c r="AR603" s="6"/>
      <c r="AS603" s="6"/>
    </row>
    <row r="604" spans="1:45" ht="12.75" customHeight="1">
      <c r="AM604" s="15"/>
      <c r="AO604" s="6"/>
      <c r="AP604" s="6"/>
      <c r="AQ604" s="6"/>
      <c r="AR604" s="6"/>
      <c r="AS604" s="6"/>
    </row>
    <row r="605" spans="1:45" ht="12.75" customHeight="1">
      <c r="AM605" s="15"/>
      <c r="AO605" s="6"/>
      <c r="AP605" s="6"/>
      <c r="AQ605" s="6"/>
      <c r="AR605" s="6"/>
      <c r="AS605" s="6"/>
    </row>
    <row r="606" spans="1:45" ht="12.75" customHeight="1">
      <c r="AM606" s="15"/>
      <c r="AO606" s="6"/>
      <c r="AP606" s="6"/>
      <c r="AQ606" s="6"/>
      <c r="AR606" s="6"/>
      <c r="AS606" s="6"/>
    </row>
    <row r="607" spans="1:45" ht="12.75" customHeight="1">
      <c r="AM607" s="15"/>
      <c r="AO607" s="6"/>
      <c r="AP607" s="6"/>
      <c r="AQ607" s="6"/>
      <c r="AR607" s="6"/>
      <c r="AS607" s="6"/>
    </row>
    <row r="608" spans="1:45" ht="12.75" customHeight="1">
      <c r="AM608" s="15"/>
      <c r="AO608" s="6"/>
      <c r="AP608" s="6"/>
      <c r="AQ608" s="6"/>
      <c r="AR608" s="6"/>
      <c r="AS608" s="6"/>
    </row>
    <row r="609" spans="39:45" ht="12.75" customHeight="1">
      <c r="AM609" s="15"/>
      <c r="AO609" s="6"/>
      <c r="AP609" s="6"/>
      <c r="AQ609" s="6"/>
      <c r="AR609" s="6"/>
      <c r="AS609" s="6"/>
    </row>
    <row r="610" spans="39:45" ht="12.75" customHeight="1">
      <c r="AM610" s="15"/>
      <c r="AO610" s="6"/>
      <c r="AP610" s="6"/>
      <c r="AQ610" s="6"/>
      <c r="AR610" s="6"/>
      <c r="AS610" s="6"/>
    </row>
    <row r="611" spans="39:45" ht="12.75" customHeight="1">
      <c r="AM611" s="15"/>
      <c r="AO611" s="6"/>
      <c r="AP611" s="6"/>
      <c r="AQ611" s="6"/>
      <c r="AR611" s="6"/>
      <c r="AS611" s="6"/>
    </row>
    <row r="612" spans="39:45" ht="12.75" customHeight="1">
      <c r="AM612" s="15"/>
      <c r="AO612" s="6"/>
      <c r="AP612" s="6"/>
      <c r="AQ612" s="6"/>
      <c r="AR612" s="6"/>
      <c r="AS612" s="6"/>
    </row>
    <row r="613" spans="39:45" ht="12.75" customHeight="1">
      <c r="AM613" s="15"/>
      <c r="AO613" s="6"/>
      <c r="AP613" s="6"/>
      <c r="AQ613" s="6"/>
      <c r="AR613" s="6"/>
      <c r="AS613" s="6"/>
    </row>
    <row r="614" spans="39:45" ht="12.75" customHeight="1">
      <c r="AM614" s="15"/>
      <c r="AO614" s="6"/>
      <c r="AP614" s="6"/>
      <c r="AQ614" s="6"/>
      <c r="AR614" s="6"/>
      <c r="AS614" s="6"/>
    </row>
    <row r="615" spans="39:45" ht="12.75" customHeight="1">
      <c r="AM615" s="15"/>
      <c r="AO615" s="6"/>
      <c r="AP615" s="6"/>
      <c r="AQ615" s="6"/>
      <c r="AR615" s="6"/>
      <c r="AS615" s="6"/>
    </row>
    <row r="616" spans="39:45" ht="12.75" customHeight="1">
      <c r="AM616" s="15"/>
      <c r="AO616" s="6"/>
      <c r="AP616" s="6"/>
      <c r="AQ616" s="6"/>
      <c r="AR616" s="6"/>
      <c r="AS616" s="6"/>
    </row>
    <row r="617" spans="39:45" ht="12.75" customHeight="1">
      <c r="AM617" s="15"/>
      <c r="AO617" s="6"/>
      <c r="AP617" s="6"/>
      <c r="AQ617" s="6"/>
      <c r="AR617" s="6"/>
      <c r="AS617" s="6"/>
    </row>
    <row r="618" spans="39:45" ht="12.75" customHeight="1">
      <c r="AM618" s="15"/>
      <c r="AO618" s="6"/>
      <c r="AP618" s="6"/>
      <c r="AQ618" s="6"/>
      <c r="AR618" s="6"/>
      <c r="AS618" s="6"/>
    </row>
    <row r="619" spans="39:45" ht="12.75" customHeight="1">
      <c r="AM619" s="15"/>
      <c r="AO619" s="6"/>
      <c r="AP619" s="6"/>
      <c r="AQ619" s="6"/>
      <c r="AR619" s="6"/>
      <c r="AS619" s="6"/>
    </row>
    <row r="620" spans="39:45" ht="12.75" customHeight="1">
      <c r="AM620" s="15"/>
      <c r="AO620" s="6"/>
      <c r="AP620" s="6"/>
      <c r="AQ620" s="6"/>
      <c r="AR620" s="6"/>
      <c r="AS620" s="6"/>
    </row>
    <row r="621" spans="39:45" ht="12.75" customHeight="1">
      <c r="AM621" s="15"/>
      <c r="AO621" s="6"/>
      <c r="AP621" s="6"/>
      <c r="AQ621" s="6"/>
      <c r="AR621" s="6"/>
      <c r="AS621" s="6"/>
    </row>
    <row r="622" spans="39:45" ht="12.75" customHeight="1">
      <c r="AM622" s="15"/>
      <c r="AO622" s="6"/>
      <c r="AP622" s="6"/>
      <c r="AQ622" s="6"/>
      <c r="AR622" s="6"/>
      <c r="AS622" s="6"/>
    </row>
    <row r="623" spans="39:45" ht="12.75" customHeight="1">
      <c r="AM623" s="15"/>
      <c r="AO623" s="6"/>
      <c r="AP623" s="6"/>
      <c r="AQ623" s="6"/>
      <c r="AR623" s="6"/>
      <c r="AS623" s="6"/>
    </row>
    <row r="624" spans="39:45" ht="12.75" customHeight="1">
      <c r="AM624" s="15"/>
      <c r="AO624" s="6"/>
      <c r="AP624" s="6"/>
      <c r="AQ624" s="6"/>
      <c r="AR624" s="6"/>
      <c r="AS624" s="6"/>
    </row>
    <row r="625" spans="39:45" ht="12.75" customHeight="1">
      <c r="AM625" s="15"/>
      <c r="AO625" s="6"/>
      <c r="AP625" s="6"/>
      <c r="AQ625" s="6"/>
      <c r="AR625" s="6"/>
      <c r="AS625" s="6"/>
    </row>
    <row r="626" spans="39:45" ht="12.75" customHeight="1">
      <c r="AM626" s="15"/>
      <c r="AO626" s="6"/>
      <c r="AP626" s="6"/>
      <c r="AQ626" s="6"/>
      <c r="AR626" s="6"/>
      <c r="AS626" s="6"/>
    </row>
    <row r="627" spans="39:45" ht="12.75" customHeight="1">
      <c r="AM627" s="15"/>
      <c r="AO627" s="6"/>
      <c r="AP627" s="6"/>
      <c r="AQ627" s="6"/>
      <c r="AR627" s="6"/>
      <c r="AS627" s="6"/>
    </row>
    <row r="628" spans="39:45" ht="12.75" customHeight="1">
      <c r="AM628" s="15"/>
      <c r="AO628" s="6"/>
      <c r="AP628" s="6"/>
      <c r="AQ628" s="6"/>
      <c r="AR628" s="6"/>
      <c r="AS628" s="6"/>
    </row>
    <row r="629" spans="39:45" ht="12.75" customHeight="1">
      <c r="AM629" s="15"/>
      <c r="AO629" s="6"/>
      <c r="AP629" s="6"/>
      <c r="AQ629" s="6"/>
      <c r="AR629" s="6"/>
      <c r="AS629" s="6"/>
    </row>
    <row r="630" spans="39:45" ht="12.75" customHeight="1">
      <c r="AM630" s="15"/>
      <c r="AO630" s="6"/>
      <c r="AP630" s="6"/>
      <c r="AQ630" s="6"/>
      <c r="AR630" s="6"/>
      <c r="AS630" s="6"/>
    </row>
    <row r="631" spans="39:45" ht="12.75" customHeight="1">
      <c r="AM631" s="15"/>
      <c r="AO631" s="6"/>
      <c r="AP631" s="6"/>
      <c r="AQ631" s="6"/>
      <c r="AR631" s="6"/>
      <c r="AS631" s="6"/>
    </row>
    <row r="632" spans="39:45" ht="12.75" customHeight="1">
      <c r="AM632" s="15"/>
      <c r="AO632" s="6"/>
      <c r="AP632" s="6"/>
      <c r="AQ632" s="6"/>
      <c r="AR632" s="6"/>
      <c r="AS632" s="6"/>
    </row>
    <row r="633" spans="39:45" ht="12.75" customHeight="1">
      <c r="AM633" s="15"/>
      <c r="AO633" s="6"/>
      <c r="AP633" s="6"/>
      <c r="AQ633" s="6"/>
      <c r="AR633" s="6"/>
      <c r="AS633" s="6"/>
    </row>
    <row r="634" spans="39:45" ht="12.75" customHeight="1">
      <c r="AM634" s="15"/>
      <c r="AO634" s="6"/>
      <c r="AP634" s="6"/>
      <c r="AQ634" s="6"/>
      <c r="AR634" s="6"/>
      <c r="AS634" s="6"/>
    </row>
    <row r="635" spans="39:45" ht="12.75" customHeight="1">
      <c r="AM635" s="15"/>
      <c r="AO635" s="6"/>
      <c r="AP635" s="6"/>
      <c r="AQ635" s="6"/>
      <c r="AR635" s="6"/>
      <c r="AS635" s="6"/>
    </row>
    <row r="636" spans="39:45" ht="12.75" customHeight="1">
      <c r="AM636" s="15"/>
      <c r="AO636" s="6"/>
      <c r="AP636" s="6"/>
      <c r="AQ636" s="6"/>
      <c r="AR636" s="6"/>
      <c r="AS636" s="6"/>
    </row>
    <row r="637" spans="39:45" ht="12.75" customHeight="1">
      <c r="AM637" s="15"/>
      <c r="AO637" s="6"/>
      <c r="AP637" s="6"/>
      <c r="AQ637" s="6"/>
      <c r="AR637" s="6"/>
      <c r="AS637" s="6"/>
    </row>
    <row r="638" spans="39:45" ht="12.75" customHeight="1">
      <c r="AM638" s="15"/>
      <c r="AO638" s="6"/>
      <c r="AP638" s="6"/>
      <c r="AQ638" s="6"/>
      <c r="AR638" s="6"/>
      <c r="AS638" s="6"/>
    </row>
    <row r="639" spans="39:45" ht="12.75" customHeight="1">
      <c r="AM639" s="15"/>
      <c r="AO639" s="6"/>
      <c r="AP639" s="6"/>
      <c r="AQ639" s="6"/>
      <c r="AR639" s="6"/>
      <c r="AS639" s="6"/>
    </row>
    <row r="640" spans="39:45" ht="12.75" customHeight="1">
      <c r="AM640" s="15"/>
      <c r="AO640" s="6"/>
      <c r="AP640" s="6"/>
      <c r="AQ640" s="6"/>
      <c r="AR640" s="6"/>
      <c r="AS640" s="6"/>
    </row>
    <row r="641" spans="39:45" ht="12.75" customHeight="1">
      <c r="AM641" s="15"/>
      <c r="AO641" s="6"/>
      <c r="AP641" s="6"/>
      <c r="AQ641" s="6"/>
      <c r="AR641" s="6"/>
      <c r="AS641" s="6"/>
    </row>
    <row r="642" spans="39:45" ht="12.75" customHeight="1">
      <c r="AM642" s="15"/>
      <c r="AO642" s="6"/>
      <c r="AP642" s="6"/>
      <c r="AQ642" s="6"/>
      <c r="AR642" s="6"/>
      <c r="AS642" s="6"/>
    </row>
    <row r="643" spans="39:45" ht="12.75" customHeight="1">
      <c r="AM643" s="15"/>
      <c r="AO643" s="6"/>
      <c r="AP643" s="6"/>
      <c r="AQ643" s="6"/>
      <c r="AR643" s="6"/>
      <c r="AS643" s="6"/>
    </row>
    <row r="644" spans="39:45" ht="12.75" customHeight="1">
      <c r="AM644" s="15"/>
      <c r="AO644" s="6"/>
      <c r="AP644" s="6"/>
      <c r="AQ644" s="6"/>
      <c r="AR644" s="6"/>
      <c r="AS644" s="6"/>
    </row>
    <row r="645" spans="39:45" ht="12.75" customHeight="1">
      <c r="AM645" s="15"/>
      <c r="AO645" s="6"/>
      <c r="AP645" s="6"/>
      <c r="AQ645" s="6"/>
      <c r="AR645" s="6"/>
      <c r="AS645" s="6"/>
    </row>
    <row r="646" spans="39:45" ht="12.75" customHeight="1">
      <c r="AM646" s="15"/>
      <c r="AO646" s="6"/>
      <c r="AP646" s="6"/>
      <c r="AQ646" s="6"/>
      <c r="AR646" s="6"/>
      <c r="AS646" s="6"/>
    </row>
    <row r="647" spans="39:45" ht="12.75" customHeight="1">
      <c r="AM647" s="15"/>
      <c r="AO647" s="6"/>
      <c r="AP647" s="6"/>
      <c r="AQ647" s="6"/>
      <c r="AR647" s="6"/>
      <c r="AS647" s="6"/>
    </row>
    <row r="648" spans="39:45" ht="12.75" customHeight="1">
      <c r="AM648" s="15"/>
      <c r="AO648" s="6"/>
      <c r="AP648" s="6"/>
      <c r="AQ648" s="6"/>
      <c r="AR648" s="6"/>
      <c r="AS648" s="6"/>
    </row>
    <row r="649" spans="39:45" ht="12.75" customHeight="1">
      <c r="AM649" s="15"/>
      <c r="AO649" s="6"/>
      <c r="AP649" s="6"/>
      <c r="AQ649" s="6"/>
      <c r="AR649" s="6"/>
      <c r="AS649" s="6"/>
    </row>
    <row r="650" spans="39:45" ht="12.75" customHeight="1">
      <c r="AM650" s="15"/>
      <c r="AO650" s="6"/>
      <c r="AP650" s="6"/>
      <c r="AQ650" s="6"/>
      <c r="AR650" s="6"/>
      <c r="AS650" s="6"/>
    </row>
    <row r="651" spans="39:45" ht="12.75" customHeight="1">
      <c r="AM651" s="15"/>
      <c r="AO651" s="6"/>
      <c r="AP651" s="6"/>
      <c r="AQ651" s="6"/>
      <c r="AR651" s="6"/>
      <c r="AS651" s="6"/>
    </row>
    <row r="652" spans="39:45" ht="12.75" customHeight="1">
      <c r="AM652" s="15"/>
      <c r="AO652" s="6"/>
      <c r="AP652" s="6"/>
      <c r="AQ652" s="6"/>
      <c r="AR652" s="6"/>
      <c r="AS652" s="6"/>
    </row>
    <row r="653" spans="39:45" ht="12.75" customHeight="1">
      <c r="AM653" s="15"/>
      <c r="AO653" s="6"/>
      <c r="AP653" s="6"/>
      <c r="AQ653" s="6"/>
      <c r="AR653" s="6"/>
      <c r="AS653" s="6"/>
    </row>
    <row r="654" spans="39:45" ht="12.75" customHeight="1">
      <c r="AM654" s="15"/>
      <c r="AO654" s="6"/>
      <c r="AP654" s="6"/>
      <c r="AQ654" s="6"/>
      <c r="AR654" s="6"/>
      <c r="AS654" s="6"/>
    </row>
    <row r="655" spans="39:45" ht="12.75" customHeight="1">
      <c r="AM655" s="15"/>
      <c r="AO655" s="6"/>
      <c r="AP655" s="6"/>
      <c r="AQ655" s="6"/>
      <c r="AR655" s="6"/>
      <c r="AS655" s="6"/>
    </row>
    <row r="656" spans="39:45" ht="12.75" customHeight="1">
      <c r="AM656" s="15"/>
      <c r="AO656" s="6"/>
      <c r="AP656" s="6"/>
      <c r="AQ656" s="6"/>
      <c r="AR656" s="6"/>
      <c r="AS656" s="6"/>
    </row>
    <row r="657" spans="39:45" ht="12.75" customHeight="1">
      <c r="AM657" s="15"/>
      <c r="AO657" s="6"/>
      <c r="AP657" s="6"/>
      <c r="AQ657" s="6"/>
      <c r="AR657" s="6"/>
      <c r="AS657" s="6"/>
    </row>
    <row r="658" spans="39:45" ht="12.75" customHeight="1">
      <c r="AM658" s="15"/>
      <c r="AO658" s="6"/>
      <c r="AP658" s="6"/>
      <c r="AQ658" s="6"/>
      <c r="AR658" s="6"/>
      <c r="AS658" s="6"/>
    </row>
    <row r="659" spans="39:45" ht="12.75" customHeight="1">
      <c r="AM659" s="15"/>
      <c r="AO659" s="6"/>
      <c r="AP659" s="6"/>
      <c r="AQ659" s="6"/>
      <c r="AR659" s="6"/>
      <c r="AS659" s="6"/>
    </row>
    <row r="660" spans="39:45" ht="12.75" customHeight="1">
      <c r="AM660" s="15"/>
      <c r="AO660" s="6"/>
      <c r="AP660" s="6"/>
      <c r="AQ660" s="6"/>
      <c r="AR660" s="6"/>
      <c r="AS660" s="6"/>
    </row>
    <row r="661" spans="39:45" ht="12.75" customHeight="1">
      <c r="AM661" s="15"/>
      <c r="AO661" s="6"/>
      <c r="AP661" s="6"/>
      <c r="AQ661" s="6"/>
      <c r="AR661" s="6"/>
      <c r="AS661" s="6"/>
    </row>
    <row r="662" spans="39:45" ht="12.75" customHeight="1">
      <c r="AM662" s="15"/>
      <c r="AO662" s="6"/>
      <c r="AP662" s="6"/>
      <c r="AQ662" s="6"/>
      <c r="AR662" s="6"/>
      <c r="AS662" s="6"/>
    </row>
    <row r="663" spans="39:45" ht="12.75" customHeight="1">
      <c r="AM663" s="15"/>
      <c r="AO663" s="6"/>
      <c r="AP663" s="6"/>
      <c r="AQ663" s="6"/>
      <c r="AR663" s="6"/>
      <c r="AS663" s="6"/>
    </row>
    <row r="664" spans="39:45" ht="12.75" customHeight="1">
      <c r="AM664" s="15"/>
      <c r="AO664" s="6"/>
      <c r="AP664" s="6"/>
      <c r="AQ664" s="6"/>
      <c r="AR664" s="6"/>
      <c r="AS664" s="6"/>
    </row>
    <row r="665" spans="39:45" ht="12.75" customHeight="1">
      <c r="AM665" s="15"/>
      <c r="AO665" s="6"/>
      <c r="AP665" s="6"/>
      <c r="AQ665" s="6"/>
      <c r="AR665" s="6"/>
      <c r="AS665" s="6"/>
    </row>
    <row r="666" spans="39:45" ht="12.75" customHeight="1">
      <c r="AM666" s="15"/>
      <c r="AO666" s="6"/>
      <c r="AP666" s="6"/>
      <c r="AQ666" s="6"/>
      <c r="AR666" s="6"/>
      <c r="AS666" s="6"/>
    </row>
    <row r="667" spans="39:45" ht="12.75" customHeight="1">
      <c r="AM667" s="15"/>
      <c r="AO667" s="6"/>
      <c r="AP667" s="6"/>
      <c r="AQ667" s="6"/>
      <c r="AR667" s="6"/>
      <c r="AS667" s="6"/>
    </row>
    <row r="668" spans="39:45" ht="12.75" customHeight="1">
      <c r="AM668" s="15"/>
      <c r="AO668" s="6"/>
      <c r="AP668" s="6"/>
      <c r="AQ668" s="6"/>
      <c r="AR668" s="6"/>
      <c r="AS668" s="6"/>
    </row>
    <row r="669" spans="39:45" ht="12.75" customHeight="1">
      <c r="AM669" s="15"/>
      <c r="AO669" s="6"/>
      <c r="AP669" s="6"/>
      <c r="AQ669" s="6"/>
      <c r="AR669" s="6"/>
      <c r="AS669" s="6"/>
    </row>
    <row r="670" spans="39:45" ht="12.75" customHeight="1">
      <c r="AM670" s="15"/>
      <c r="AO670" s="6"/>
      <c r="AP670" s="6"/>
      <c r="AQ670" s="6"/>
      <c r="AR670" s="6"/>
      <c r="AS670" s="6"/>
    </row>
    <row r="671" spans="39:45" ht="12.75" customHeight="1">
      <c r="AM671" s="15"/>
      <c r="AO671" s="6"/>
      <c r="AP671" s="6"/>
      <c r="AQ671" s="6"/>
      <c r="AR671" s="6"/>
      <c r="AS671" s="6"/>
    </row>
    <row r="672" spans="39:45" ht="12.75" customHeight="1">
      <c r="AM672" s="15"/>
      <c r="AO672" s="6"/>
      <c r="AP672" s="6"/>
      <c r="AQ672" s="6"/>
      <c r="AR672" s="6"/>
      <c r="AS672" s="6"/>
    </row>
    <row r="673" spans="39:45" ht="12.75" customHeight="1">
      <c r="AM673" s="15"/>
      <c r="AO673" s="6"/>
      <c r="AP673" s="6"/>
      <c r="AQ673" s="6"/>
      <c r="AR673" s="6"/>
      <c r="AS673" s="6"/>
    </row>
    <row r="674" spans="39:45" ht="12.75" customHeight="1">
      <c r="AM674" s="15"/>
      <c r="AO674" s="6"/>
      <c r="AP674" s="6"/>
      <c r="AQ674" s="6"/>
      <c r="AR674" s="6"/>
      <c r="AS674" s="6"/>
    </row>
    <row r="675" spans="39:45" ht="12.75" customHeight="1">
      <c r="AM675" s="15"/>
      <c r="AO675" s="6"/>
      <c r="AP675" s="6"/>
      <c r="AQ675" s="6"/>
      <c r="AR675" s="6"/>
      <c r="AS675" s="6"/>
    </row>
    <row r="676" spans="39:45" ht="12.75" customHeight="1">
      <c r="AM676" s="15"/>
      <c r="AO676" s="6"/>
      <c r="AP676" s="6"/>
      <c r="AQ676" s="6"/>
      <c r="AR676" s="6"/>
      <c r="AS676" s="6"/>
    </row>
    <row r="677" spans="39:45" ht="12.75" customHeight="1">
      <c r="AM677" s="15"/>
      <c r="AO677" s="6"/>
      <c r="AP677" s="6"/>
      <c r="AQ677" s="6"/>
      <c r="AR677" s="6"/>
      <c r="AS677" s="6"/>
    </row>
    <row r="678" spans="39:45" ht="12.75" customHeight="1">
      <c r="AO678" s="6"/>
      <c r="AP678" s="6"/>
      <c r="AQ678" s="6"/>
      <c r="AR678" s="6"/>
      <c r="AS678" s="6"/>
    </row>
    <row r="679" spans="39:45" ht="12.75" customHeight="1">
      <c r="AO679" s="6"/>
      <c r="AP679" s="6"/>
      <c r="AQ679" s="6"/>
      <c r="AR679" s="6"/>
      <c r="AS679" s="6"/>
    </row>
    <row r="680" spans="39:45" ht="12.75" customHeight="1">
      <c r="AO680" s="6"/>
      <c r="AP680" s="6"/>
      <c r="AQ680" s="6"/>
      <c r="AR680" s="6"/>
      <c r="AS680" s="6"/>
    </row>
    <row r="681" spans="39:45" ht="12.75" customHeight="1">
      <c r="AO681" s="6"/>
      <c r="AP681" s="6"/>
      <c r="AQ681" s="6"/>
      <c r="AR681" s="6"/>
      <c r="AS681" s="6"/>
    </row>
    <row r="682" spans="39:45" ht="12.75" customHeight="1">
      <c r="AO682" s="6"/>
      <c r="AP682" s="6"/>
      <c r="AQ682" s="6"/>
      <c r="AR682" s="6"/>
      <c r="AS682" s="6"/>
    </row>
    <row r="683" spans="39:45" ht="12.75" customHeight="1">
      <c r="AO683" s="6"/>
      <c r="AP683" s="6"/>
      <c r="AQ683" s="6"/>
      <c r="AR683" s="6"/>
      <c r="AS683" s="6"/>
    </row>
  </sheetData>
  <autoFilter ref="A1:AS677"/>
  <pageMargins left="0.75" right="0.75" top="1" bottom="1" header="0.5" footer="0.5"/>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W97"/>
  <sheetViews>
    <sheetView zoomScale="90" zoomScaleNormal="90" workbookViewId="0">
      <pane xSplit="6" ySplit="6" topLeftCell="G7" activePane="bottomRight" state="frozen"/>
      <selection activeCell="E9" sqref="E9"/>
      <selection pane="topRight" activeCell="E9" sqref="E9"/>
      <selection pane="bottomLeft" activeCell="E9" sqref="E9"/>
      <selection pane="bottomRight" activeCell="G7" sqref="G7"/>
    </sheetView>
  </sheetViews>
  <sheetFormatPr defaultColWidth="28.7109375" defaultRowHeight="12.75" outlineLevelRow="1" outlineLevelCol="3"/>
  <cols>
    <col min="1" max="1" width="4.28515625" style="138" bestFit="1" customWidth="1"/>
    <col min="2" max="2" width="28.7109375" style="136" customWidth="1"/>
    <col min="3" max="4" width="28.7109375" style="136" customWidth="1" outlineLevel="1"/>
    <col min="5" max="5" width="10" style="137" customWidth="1" outlineLevel="1" collapsed="1"/>
    <col min="6" max="6" width="10.140625" style="136" bestFit="1" customWidth="1"/>
    <col min="7" max="7" width="18.5703125" style="136" customWidth="1" outlineLevel="1"/>
    <col min="8" max="14" width="10.140625" style="136" customWidth="1" outlineLevel="1"/>
    <col min="15" max="15" width="5.7109375" style="136" customWidth="1"/>
    <col min="16" max="20" width="32.7109375" style="129" customWidth="1" outlineLevel="2"/>
    <col min="21" max="28" width="32.7109375" style="128" customWidth="1" outlineLevel="2"/>
    <col min="29" max="29" width="28.7109375" style="128" customWidth="1" outlineLevel="2"/>
    <col min="30" max="30" width="32.7109375" style="128" customWidth="1" outlineLevel="2"/>
    <col min="31" max="34" width="28.7109375" style="128" customWidth="1" outlineLevel="2"/>
    <col min="35" max="36" width="38.7109375" style="128" customWidth="1" outlineLevel="2"/>
    <col min="37" max="41" width="28.7109375" style="128" customWidth="1" outlineLevel="2"/>
    <col min="42" max="42" width="32" style="128" customWidth="1" outlineLevel="2"/>
    <col min="43" max="43" width="33.85546875" style="128" customWidth="1" outlineLevel="2"/>
    <col min="44" max="44" width="29.5703125" style="128" customWidth="1" outlineLevel="2"/>
    <col min="45" max="45" width="29.42578125" style="128" customWidth="1" outlineLevel="2"/>
    <col min="46" max="46" width="30.140625" style="128" customWidth="1" outlineLevel="2"/>
    <col min="47" max="47" width="32" style="128" customWidth="1" outlineLevel="2"/>
    <col min="48" max="48" width="31.85546875" style="128" customWidth="1" outlineLevel="2"/>
    <col min="49" max="49" width="28.7109375" style="128" customWidth="1" outlineLevel="2"/>
    <col min="50" max="50" width="5.7109375" style="128" customWidth="1" outlineLevel="1"/>
    <col min="51" max="69" width="28.7109375" style="129" customWidth="1" outlineLevel="2"/>
    <col min="70" max="75" width="28.7109375" style="128" customWidth="1" outlineLevel="2"/>
    <col min="76" max="76" width="5.7109375" style="128" customWidth="1" outlineLevel="1"/>
    <col min="77" max="99" width="28.7109375" style="128" customWidth="1" outlineLevel="2"/>
    <col min="100" max="100" width="5.7109375" style="128" customWidth="1" outlineLevel="1"/>
    <col min="101" max="106" width="28.7109375" style="128" customWidth="1" outlineLevel="2"/>
    <col min="107" max="107" width="32.7109375" style="128" customWidth="1" outlineLevel="2"/>
    <col min="108" max="123" width="28.7109375" style="128" customWidth="1" outlineLevel="2"/>
    <col min="124" max="124" width="5.7109375" style="128" customWidth="1" outlineLevel="1"/>
    <col min="125" max="137" width="28.7109375" style="128" customWidth="1" outlineLevel="2"/>
    <col min="138" max="138" width="5.7109375" style="128" customWidth="1" outlineLevel="1"/>
    <col min="139" max="154" width="28.7109375" style="128" customWidth="1" outlineLevel="2"/>
    <col min="155" max="155" width="5.7109375" style="128" customWidth="1" outlineLevel="1"/>
    <col min="156" max="171" width="28.7109375" style="128" customWidth="1" outlineLevel="2"/>
    <col min="172" max="172" width="30.28515625" style="128" customWidth="1" outlineLevel="2"/>
    <col min="173" max="173" width="5.7109375" style="128" customWidth="1" outlineLevel="1"/>
    <col min="174" max="177" width="28.7109375" style="128" customWidth="1" outlineLevel="2"/>
    <col min="178" max="178" width="5.7109375" style="128" customWidth="1" outlineLevel="1"/>
    <col min="179" max="192" width="28.7109375" style="128" customWidth="1" outlineLevel="2"/>
    <col min="193" max="193" width="5.7109375" style="128" customWidth="1" outlineLevel="1"/>
    <col min="194" max="198" width="28.7109375" style="128" customWidth="1" outlineLevel="2"/>
    <col min="199" max="199" width="5.7109375" style="128" customWidth="1" outlineLevel="1"/>
    <col min="200" max="214" width="30.7109375" style="129" customWidth="1" outlineLevel="2"/>
    <col min="215" max="215" width="5.7109375" style="128" customWidth="1" outlineLevel="1"/>
    <col min="216" max="224" width="20.7109375" style="129" customWidth="1" outlineLevel="2"/>
    <col min="225" max="225" width="5.7109375" style="128" customWidth="1" outlineLevel="1"/>
    <col min="226" max="226" width="10.7109375" style="128" customWidth="1"/>
    <col min="227" max="227" width="28.7109375" style="129" customWidth="1" outlineLevel="2"/>
    <col min="228" max="238" width="28.7109375" style="129" customWidth="1" outlineLevel="3"/>
    <col min="239" max="245" width="28.7109375" style="129" customWidth="1" outlineLevel="2"/>
    <col min="246" max="246" width="31.5703125" style="129" customWidth="1" outlineLevel="2"/>
    <col min="247" max="253" width="28.7109375" style="129" customWidth="1" outlineLevel="2"/>
    <col min="254" max="254" width="5.7109375" style="129" customWidth="1" outlineLevel="1"/>
    <col min="255" max="255" width="28.7109375" style="129" customWidth="1" outlineLevel="2"/>
    <col min="256" max="265" width="28.7109375" style="129" customWidth="1" outlineLevel="3"/>
    <col min="266" max="268" width="28.7109375" style="129" customWidth="1" outlineLevel="2"/>
    <col min="269" max="272" width="28.7109375" style="129" customWidth="1" outlineLevel="3"/>
    <col min="273" max="278" width="28.7109375" style="129" customWidth="1" outlineLevel="2"/>
    <col min="279" max="280" width="28.7109375" style="129" customWidth="1" outlineLevel="3"/>
    <col min="281" max="289" width="28.7109375" style="129" customWidth="1" outlineLevel="2"/>
    <col min="290" max="290" width="5.7109375" style="129" customWidth="1" outlineLevel="1"/>
    <col min="291" max="293" width="28.7109375" style="129" customWidth="1" outlineLevel="2"/>
    <col min="294" max="295" width="28.7109375" style="129" customWidth="1" outlineLevel="3"/>
    <col min="296" max="299" width="28.7109375" style="129" customWidth="1" outlineLevel="2"/>
    <col min="300" max="301" width="28.7109375" style="129" customWidth="1" outlineLevel="3"/>
    <col min="302" max="302" width="28.7109375" style="129" customWidth="1" outlineLevel="2"/>
    <col min="303" max="303" width="5.7109375" style="129" customWidth="1" outlineLevel="1"/>
    <col min="304" max="319" width="28.7109375" style="129" customWidth="1" outlineLevel="2"/>
    <col min="320" max="320" width="5.7109375" style="129" customWidth="1" outlineLevel="1"/>
    <col min="321" max="322" width="28.7109375" style="129" customWidth="1" outlineLevel="2"/>
    <col min="323" max="327" width="28.7109375" style="135" customWidth="1" outlineLevel="2"/>
    <col min="328" max="332" width="28.7109375" style="129" customWidth="1" outlineLevel="2"/>
    <col min="333" max="333" width="28.7109375" style="135" customWidth="1" outlineLevel="2"/>
    <col min="334" max="343" width="28.7109375" style="135" customWidth="1" outlineLevel="3"/>
    <col min="344" max="345" width="28.7109375" style="135" customWidth="1" outlineLevel="2"/>
    <col min="346" max="348" width="28.7109375" style="129" customWidth="1" outlineLevel="2"/>
    <col min="349" max="351" width="28.7109375" style="129" customWidth="1" outlineLevel="3"/>
    <col min="352" max="354" width="28.7109375" style="129" customWidth="1" outlineLevel="2"/>
    <col min="355" max="363" width="17.7109375" style="132" customWidth="1" outlineLevel="2"/>
    <col min="364" max="364" width="5.7109375" style="129" customWidth="1" outlineLevel="1"/>
    <col min="365" max="365" width="28.7109375" style="129" customWidth="1" outlineLevel="2"/>
    <col min="366" max="370" width="28.7109375" style="135" customWidth="1" outlineLevel="2"/>
    <col min="371" max="375" width="28.7109375" style="129" customWidth="1" outlineLevel="2"/>
    <col min="376" max="380" width="28.7109375" style="132" customWidth="1" outlineLevel="2"/>
    <col min="381" max="381" width="28.7109375" style="129" customWidth="1" outlineLevel="2"/>
    <col min="382" max="382" width="5.7109375" style="129" customWidth="1" outlineLevel="1"/>
    <col min="383" max="383" width="20.7109375" style="129" customWidth="1" outlineLevel="2" collapsed="1"/>
    <col min="384" max="384" width="20.7109375" style="129" customWidth="1" outlineLevel="2"/>
    <col min="385" max="386" width="20.7109375" style="129" customWidth="1" outlineLevel="2" collapsed="1"/>
    <col min="387" max="387" width="20.7109375" style="129" customWidth="1" outlineLevel="2"/>
    <col min="388" max="389" width="20.7109375" style="129" customWidth="1" outlineLevel="2" collapsed="1"/>
    <col min="390" max="390" width="20.7109375" style="129" customWidth="1" outlineLevel="2"/>
    <col min="391" max="392" width="20.7109375" style="129" customWidth="1" outlineLevel="2" collapsed="1"/>
    <col min="393" max="393" width="20.7109375" style="129" customWidth="1" outlineLevel="2"/>
    <col min="394" max="394" width="20.7109375" style="129" customWidth="1" outlineLevel="2" collapsed="1"/>
    <col min="395" max="395" width="5.7109375" style="129" customWidth="1" outlineLevel="1"/>
    <col min="396" max="396" width="20.7109375" style="129" customWidth="1" outlineLevel="2" collapsed="1"/>
    <col min="397" max="397" width="20.7109375" style="129" customWidth="1" outlineLevel="2"/>
    <col min="398" max="399" width="20.7109375" style="129" customWidth="1" outlineLevel="2" collapsed="1"/>
    <col min="400" max="400" width="20.7109375" style="129" customWidth="1" outlineLevel="2"/>
    <col min="401" max="402" width="20.7109375" style="129" customWidth="1" outlineLevel="2" collapsed="1"/>
    <col min="403" max="403" width="20.7109375" style="129" customWidth="1" outlineLevel="2"/>
    <col min="404" max="404" width="20.7109375" style="129" customWidth="1" outlineLevel="2" collapsed="1"/>
    <col min="405" max="405" width="5.7109375" style="129" customWidth="1" outlineLevel="1"/>
    <col min="406" max="406" width="10.7109375" style="128" customWidth="1"/>
    <col min="407" max="407" width="28.7109375" style="129" customWidth="1" outlineLevel="2"/>
    <col min="408" max="409" width="28.7109375" style="129" customWidth="1" outlineLevel="3"/>
    <col min="410" max="411" width="28.7109375" style="129" customWidth="1" outlineLevel="2"/>
    <col min="412" max="413" width="28.7109375" style="129" customWidth="1" outlineLevel="3"/>
    <col min="414" max="415" width="28.7109375" style="129" customWidth="1" outlineLevel="2"/>
    <col min="416" max="417" width="28.7109375" style="129" customWidth="1" outlineLevel="3"/>
    <col min="418" max="418" width="28.7109375" style="129" customWidth="1" outlineLevel="2"/>
    <col min="419" max="421" width="28.7109375" style="129" customWidth="1" outlineLevel="3"/>
    <col min="422" max="422" width="28.7109375" style="129" customWidth="1" outlineLevel="2"/>
    <col min="423" max="424" width="28.7109375" style="129" customWidth="1" outlineLevel="3"/>
    <col min="425" max="425" width="28.7109375" style="129" customWidth="1" outlineLevel="2"/>
    <col min="426" max="427" width="28.7109375" style="129" customWidth="1" outlineLevel="3"/>
    <col min="428" max="429" width="28.7109375" style="129" customWidth="1" outlineLevel="2"/>
    <col min="430" max="432" width="28.7109375" style="129" customWidth="1" outlineLevel="3"/>
    <col min="433" max="450" width="28.7109375" style="129" customWidth="1" outlineLevel="2"/>
    <col min="451" max="452" width="28.7109375" style="129" customWidth="1" outlineLevel="3"/>
    <col min="453" max="455" width="28.7109375" style="129" customWidth="1" outlineLevel="2"/>
    <col min="456" max="459" width="28.7109375" style="129" customWidth="1" outlineLevel="3"/>
    <col min="460" max="460" width="28.7109375" style="129" customWidth="1" outlineLevel="2"/>
    <col min="461" max="463" width="28.7109375" style="129" customWidth="1" outlineLevel="3"/>
    <col min="464" max="464" width="28.7109375" style="129" customWidth="1" outlineLevel="2"/>
    <col min="465" max="466" width="28.7109375" style="129" customWidth="1" outlineLevel="3"/>
    <col min="467" max="484" width="28.7109375" style="129" customWidth="1" outlineLevel="2"/>
    <col min="485" max="485" width="28.7109375" style="134" customWidth="1" outlineLevel="2"/>
    <col min="486" max="486" width="28.7109375" style="134" customWidth="1" outlineLevel="2" collapsed="1"/>
    <col min="487" max="487" width="28.7109375" style="134" customWidth="1" outlineLevel="2"/>
    <col min="488" max="488" width="28.7109375" style="134" customWidth="1" outlineLevel="2" collapsed="1"/>
    <col min="489" max="489" width="5.7109375" style="129" customWidth="1" outlineLevel="1"/>
    <col min="490" max="507" width="28.7109375" style="129" customWidth="1" outlineLevel="2"/>
    <col min="508" max="508" width="5.7109375" style="129" customWidth="1" outlineLevel="1"/>
    <col min="509" max="516" width="28.7109375" style="129" customWidth="1" outlineLevel="2"/>
    <col min="517" max="517" width="5.7109375" style="129" customWidth="1" outlineLevel="1"/>
    <col min="518" max="523" width="28.7109375" style="129" customWidth="1" outlineLevel="2"/>
    <col min="524" max="524" width="30.7109375" style="133" customWidth="1" outlineLevel="2"/>
    <col min="525" max="526" width="30.7109375" style="132" customWidth="1" outlineLevel="2"/>
    <col min="527" max="529" width="28.7109375" style="129" customWidth="1" outlineLevel="2"/>
    <col min="530" max="530" width="5.7109375" style="129" customWidth="1" outlineLevel="1"/>
    <col min="531" max="540" width="28.7109375" style="129" customWidth="1" outlineLevel="2"/>
    <col min="541" max="542" width="28.7109375" style="129" customWidth="1" outlineLevel="3"/>
    <col min="543" max="543" width="28.7109375" style="129" customWidth="1" outlineLevel="2"/>
    <col min="544" max="546" width="30.7109375" style="132" customWidth="1" outlineLevel="2"/>
    <col min="547" max="547" width="5.7109375" style="129" customWidth="1" outlineLevel="1"/>
    <col min="548" max="557" width="28.7109375" style="129" customWidth="1" outlineLevel="2"/>
    <col min="558" max="558" width="5.7109375" style="129" customWidth="1" outlineLevel="1"/>
    <col min="559" max="561" width="28.7109375" style="129" customWidth="1" outlineLevel="2"/>
    <col min="562" max="564" width="28.7109375" style="129" customWidth="1" outlineLevel="3"/>
    <col min="565" max="566" width="28.7109375" style="129" customWidth="1" outlineLevel="2"/>
    <col min="567" max="568" width="28.7109375" style="129" customWidth="1" outlineLevel="3"/>
    <col min="569" max="573" width="28.7109375" style="129" customWidth="1" outlineLevel="2"/>
    <col min="574" max="574" width="5.7109375" style="129" customWidth="1" outlineLevel="1"/>
    <col min="575" max="582" width="28.7109375" style="129" customWidth="1" outlineLevel="2"/>
    <col min="583" max="583" width="5.7109375" style="129" customWidth="1" outlineLevel="1"/>
    <col min="584" max="584" width="24.7109375" style="132" customWidth="1" outlineLevel="2"/>
    <col min="585" max="585" width="20.5703125" style="132" customWidth="1" outlineLevel="2"/>
    <col min="586" max="587" width="24.7109375" style="132" customWidth="1" outlineLevel="2"/>
    <col min="588" max="588" width="5.7109375" style="129" customWidth="1" outlineLevel="1"/>
    <col min="589" max="589" width="10.7109375" style="128" customWidth="1"/>
    <col min="590" max="592" width="28.7109375" style="131" customWidth="1" outlineLevel="2"/>
    <col min="593" max="593" width="28.7109375" style="131" customWidth="1" outlineLevel="1"/>
    <col min="594" max="599" width="28.7109375" style="131" customWidth="1" outlineLevel="2"/>
    <col min="600" max="600" width="28.7109375" style="131" customWidth="1" outlineLevel="1"/>
    <col min="601" max="603" width="28.7109375" style="131" customWidth="1" outlineLevel="2"/>
    <col min="604" max="604" width="28.7109375" style="131" customWidth="1" outlineLevel="1"/>
    <col min="605" max="610" width="28.7109375" style="131" customWidth="1" outlineLevel="2"/>
    <col min="611" max="611" width="28.7109375" style="131" customWidth="1" outlineLevel="1"/>
    <col min="612" max="614" width="28.7109375" style="131" customWidth="1" outlineLevel="2"/>
    <col min="615" max="615" width="28.7109375" style="131" customWidth="1" outlineLevel="1"/>
    <col min="616" max="621" width="28.7109375" style="131" customWidth="1" outlineLevel="2"/>
    <col min="622" max="622" width="28.7109375" style="131" customWidth="1" outlineLevel="1"/>
    <col min="623" max="625" width="28.7109375" style="131" customWidth="1" outlineLevel="2"/>
    <col min="626" max="626" width="28.7109375" style="131" customWidth="1" outlineLevel="1"/>
    <col min="627" max="632" width="28.7109375" style="131" customWidth="1" outlineLevel="2"/>
    <col min="633" max="633" width="28.7109375" style="131" customWidth="1" outlineLevel="1"/>
    <col min="634" max="636" width="28.7109375" style="131" customWidth="1" outlineLevel="2"/>
    <col min="637" max="637" width="28.7109375" style="131" customWidth="1" outlineLevel="1"/>
    <col min="638" max="643" width="28.7109375" style="131" customWidth="1" outlineLevel="2"/>
    <col min="644" max="644" width="28.7109375" style="131" customWidth="1" outlineLevel="1"/>
    <col min="645" max="647" width="28.7109375" style="131" customWidth="1" outlineLevel="2"/>
    <col min="648" max="648" width="28.7109375" style="131" customWidth="1" outlineLevel="1"/>
    <col min="649" max="654" width="28.7109375" style="131" customWidth="1" outlineLevel="2"/>
    <col min="655" max="655" width="28.7109375" style="131" customWidth="1" outlineLevel="1"/>
    <col min="656" max="658" width="28.7109375" style="131" customWidth="1" outlineLevel="2"/>
    <col min="659" max="659" width="28.7109375" style="131" customWidth="1" outlineLevel="1"/>
    <col min="660" max="665" width="28.7109375" style="131" customWidth="1" outlineLevel="2"/>
    <col min="666" max="666" width="28.7109375" style="131" customWidth="1" outlineLevel="1"/>
    <col min="667" max="669" width="28.7109375" style="131" customWidth="1" outlineLevel="2"/>
    <col min="670" max="670" width="28.7109375" style="131" customWidth="1" outlineLevel="1"/>
    <col min="671" max="676" width="28.7109375" style="131" customWidth="1" outlineLevel="2"/>
    <col min="677" max="677" width="28.7109375" style="131" customWidth="1" outlineLevel="1"/>
    <col min="678" max="680" width="28.7109375" style="131" customWidth="1" outlineLevel="2"/>
    <col min="681" max="681" width="28.7109375" style="131" customWidth="1" outlineLevel="1"/>
    <col min="682" max="687" width="28.7109375" style="131" customWidth="1" outlineLevel="2"/>
    <col min="688" max="688" width="28.7109375" style="131" customWidth="1" outlineLevel="1"/>
    <col min="689" max="691" width="28.7109375" style="131" customWidth="1" outlineLevel="2"/>
    <col min="692" max="692" width="28.7109375" style="131" customWidth="1" outlineLevel="1"/>
    <col min="693" max="698" width="28.7109375" style="131" customWidth="1" outlineLevel="2"/>
    <col min="699" max="699" width="28.7109375" style="131" customWidth="1" outlineLevel="1"/>
    <col min="700" max="702" width="28.7109375" style="131" customWidth="1" outlineLevel="2"/>
    <col min="703" max="703" width="28.7109375" style="131" customWidth="1" outlineLevel="1"/>
    <col min="704" max="709" width="28.7109375" style="131" customWidth="1" outlineLevel="2"/>
    <col min="710" max="710" width="28.7109375" style="131" customWidth="1" outlineLevel="1"/>
    <col min="711" max="711" width="10.7109375" style="128" customWidth="1"/>
    <col min="712" max="714" width="28.7109375" style="131" customWidth="1" outlineLevel="2"/>
    <col min="715" max="715" width="28.7109375" style="131" customWidth="1" outlineLevel="1"/>
    <col min="716" max="721" width="28.7109375" style="131" customWidth="1" outlineLevel="2"/>
    <col min="722" max="722" width="28.7109375" style="131" customWidth="1" outlineLevel="1"/>
    <col min="723" max="725" width="28.7109375" style="131" customWidth="1" outlineLevel="2"/>
    <col min="726" max="726" width="28.7109375" style="131" customWidth="1" outlineLevel="1"/>
    <col min="727" max="732" width="28.7109375" style="131" customWidth="1" outlineLevel="2"/>
    <col min="733" max="733" width="28.7109375" style="131" customWidth="1" outlineLevel="1"/>
    <col min="734" max="736" width="28.7109375" style="131" customWidth="1" outlineLevel="2"/>
    <col min="737" max="737" width="28.7109375" style="131" customWidth="1" outlineLevel="1"/>
    <col min="738" max="743" width="28.7109375" style="131" customWidth="1" outlineLevel="2"/>
    <col min="744" max="744" width="28.7109375" style="131" customWidth="1" outlineLevel="1"/>
    <col min="745" max="747" width="28.7109375" style="131" customWidth="1" outlineLevel="2"/>
    <col min="748" max="748" width="28.7109375" style="131" customWidth="1" outlineLevel="1"/>
    <col min="749" max="754" width="28.7109375" style="131" customWidth="1" outlineLevel="2"/>
    <col min="755" max="755" width="28.7109375" style="131" customWidth="1" outlineLevel="1"/>
    <col min="756" max="758" width="28.7109375" style="131" customWidth="1" outlineLevel="2"/>
    <col min="759" max="759" width="28.7109375" style="131" customWidth="1" outlineLevel="1"/>
    <col min="760" max="765" width="28.7109375" style="131" customWidth="1" outlineLevel="2"/>
    <col min="766" max="766" width="28.7109375" style="131" customWidth="1" outlineLevel="1"/>
    <col min="767" max="769" width="28.7109375" style="131" customWidth="1" outlineLevel="2"/>
    <col min="770" max="770" width="28.7109375" style="131" customWidth="1" outlineLevel="1"/>
    <col min="771" max="776" width="28.7109375" style="131" customWidth="1" outlineLevel="2"/>
    <col min="777" max="777" width="28.7109375" style="131" customWidth="1" outlineLevel="1"/>
    <col min="778" max="780" width="28.7109375" style="131" customWidth="1" outlineLevel="2"/>
    <col min="781" max="781" width="28.7109375" style="131" customWidth="1" outlineLevel="1"/>
    <col min="782" max="787" width="28.7109375" style="131" customWidth="1" outlineLevel="2"/>
    <col min="788" max="788" width="28.7109375" style="131" customWidth="1" outlineLevel="1"/>
    <col min="789" max="791" width="28.7109375" style="131" customWidth="1" outlineLevel="2"/>
    <col min="792" max="792" width="28.7109375" style="131" customWidth="1" outlineLevel="1"/>
    <col min="793" max="798" width="28.7109375" style="131" customWidth="1" outlineLevel="2"/>
    <col min="799" max="799" width="28.7109375" style="131" customWidth="1" outlineLevel="1"/>
    <col min="800" max="802" width="28.7109375" style="131" customWidth="1" outlineLevel="2"/>
    <col min="803" max="803" width="28.7109375" style="131" customWidth="1" outlineLevel="1"/>
    <col min="804" max="809" width="28.7109375" style="131" customWidth="1" outlineLevel="2"/>
    <col min="810" max="810" width="28.7109375" style="131" customWidth="1" outlineLevel="1"/>
    <col min="811" max="813" width="28.7109375" style="131" customWidth="1" outlineLevel="2"/>
    <col min="814" max="814" width="28.7109375" style="131" customWidth="1" outlineLevel="1"/>
    <col min="815" max="820" width="28.7109375" style="131" customWidth="1" outlineLevel="2"/>
    <col min="821" max="821" width="28.7109375" style="131" customWidth="1" outlineLevel="1"/>
    <col min="822" max="824" width="28.7109375" style="131" customWidth="1" outlineLevel="2"/>
    <col min="825" max="825" width="28.7109375" style="131" customWidth="1" outlineLevel="1"/>
    <col min="826" max="831" width="28.7109375" style="131" customWidth="1" outlineLevel="2"/>
    <col min="832" max="832" width="28.7109375" style="131" customWidth="1" outlineLevel="1"/>
    <col min="833" max="835" width="28.7109375" style="131" customWidth="1" outlineLevel="2"/>
    <col min="836" max="836" width="28.7109375" style="131" customWidth="1" outlineLevel="1"/>
    <col min="837" max="842" width="28.7109375" style="131" customWidth="1" outlineLevel="2"/>
    <col min="843" max="843" width="28.7109375" style="131" customWidth="1" outlineLevel="1"/>
    <col min="844" max="844" width="28.7109375" style="129" customWidth="1" outlineLevel="1"/>
    <col min="845" max="845" width="10.7109375" style="128" customWidth="1"/>
    <col min="846" max="849" width="28.7109375" style="129" customWidth="1" outlineLevel="2"/>
    <col min="850" max="850" width="28.7109375" style="129" customWidth="1" outlineLevel="1"/>
    <col min="851" max="854" width="28.7109375" style="129" customWidth="1" outlineLevel="2"/>
    <col min="855" max="855" width="28.7109375" style="129" customWidth="1" outlineLevel="1"/>
    <col min="856" max="859" width="28.7109375" style="129" customWidth="1" outlineLevel="2"/>
    <col min="860" max="860" width="28.7109375" style="129" customWidth="1" outlineLevel="1"/>
    <col min="861" max="864" width="28.7109375" style="129" customWidth="1" outlineLevel="2"/>
    <col min="865" max="865" width="28.7109375" style="129" customWidth="1" outlineLevel="1"/>
    <col min="866" max="869" width="28.7109375" style="129" customWidth="1" outlineLevel="2"/>
    <col min="870" max="870" width="28.7109375" style="129" customWidth="1" outlineLevel="1"/>
    <col min="871" max="874" width="28.7109375" style="129" customWidth="1" outlineLevel="2"/>
    <col min="875" max="875" width="28.7109375" style="129" customWidth="1" outlineLevel="1"/>
    <col min="876" max="878" width="28.7109375" style="129" customWidth="1" outlineLevel="2"/>
    <col min="879" max="879" width="28.7109375" style="129" customWidth="1" outlineLevel="1"/>
    <col min="880" max="885" width="28.7109375" style="129" customWidth="1" outlineLevel="2"/>
    <col min="886" max="886" width="28.7109375" style="129" customWidth="1" outlineLevel="1"/>
    <col min="887" max="889" width="28.7109375" style="129" customWidth="1" outlineLevel="2"/>
    <col min="890" max="890" width="28.7109375" style="129" customWidth="1" outlineLevel="1"/>
    <col min="891" max="896" width="28.7109375" style="129" customWidth="1" outlineLevel="2"/>
    <col min="897" max="897" width="28.7109375" style="129" customWidth="1" outlineLevel="1"/>
    <col min="898" max="900" width="28.7109375" style="129" customWidth="1" outlineLevel="2"/>
    <col min="901" max="901" width="28.7109375" style="129" customWidth="1" outlineLevel="1"/>
    <col min="902" max="907" width="28.7109375" style="129" customWidth="1" outlineLevel="2"/>
    <col min="908" max="908" width="28.7109375" style="129" customWidth="1" outlineLevel="1"/>
    <col min="909" max="911" width="28.7109375" style="129" customWidth="1" outlineLevel="2"/>
    <col min="912" max="912" width="28.7109375" style="129" customWidth="1" outlineLevel="1"/>
    <col min="913" max="918" width="28.7109375" style="129" customWidth="1" outlineLevel="2"/>
    <col min="919" max="919" width="28.7109375" style="129" customWidth="1" outlineLevel="1"/>
    <col min="920" max="922" width="28.7109375" style="129" customWidth="1" outlineLevel="2"/>
    <col min="923" max="923" width="28.7109375" style="129" customWidth="1" outlineLevel="1"/>
    <col min="924" max="929" width="28.7109375" style="129" customWidth="1" outlineLevel="2"/>
    <col min="930" max="930" width="28.7109375" style="129" customWidth="1" outlineLevel="1"/>
    <col min="931" max="933" width="28.7109375" style="129" customWidth="1" outlineLevel="2"/>
    <col min="934" max="934" width="28.7109375" style="129" customWidth="1" outlineLevel="1"/>
    <col min="935" max="940" width="28.7109375" style="129" customWidth="1" outlineLevel="2"/>
    <col min="941" max="941" width="28.7109375" style="129" customWidth="1" outlineLevel="1"/>
    <col min="942" max="942" width="28.7109375" style="129" customWidth="1" outlineLevel="2" collapsed="1"/>
    <col min="943" max="944" width="28.7109375" style="129" customWidth="1" outlineLevel="2"/>
    <col min="945" max="945" width="28.7109375" style="129" customWidth="1" outlineLevel="1"/>
    <col min="946" max="951" width="28.7109375" style="129" customWidth="1" outlineLevel="2"/>
    <col min="952" max="952" width="28.7109375" style="129" customWidth="1" outlineLevel="1"/>
    <col min="953" max="953" width="28.7109375" style="129" customWidth="1" outlineLevel="2" collapsed="1"/>
    <col min="954" max="955" width="28.7109375" style="129" customWidth="1" outlineLevel="2"/>
    <col min="956" max="956" width="28.7109375" style="129" customWidth="1" outlineLevel="1"/>
    <col min="957" max="962" width="28.7109375" style="129" customWidth="1" outlineLevel="2"/>
    <col min="963" max="963" width="28.7109375" style="129" customWidth="1" outlineLevel="1"/>
    <col min="964" max="964" width="28.7109375" style="129" customWidth="1" outlineLevel="2" collapsed="1"/>
    <col min="965" max="966" width="28.7109375" style="129" customWidth="1" outlineLevel="2"/>
    <col min="967" max="967" width="28.7109375" style="129" customWidth="1" outlineLevel="1"/>
    <col min="968" max="973" width="28.7109375" style="129" customWidth="1" outlineLevel="2"/>
    <col min="974" max="974" width="28.7109375" style="129" customWidth="1" outlineLevel="1"/>
    <col min="975" max="977" width="28.7109375" style="129" customWidth="1" outlineLevel="2"/>
    <col min="978" max="978" width="28.7109375" style="129" customWidth="1" outlineLevel="1"/>
    <col min="979" max="984" width="28.7109375" style="129" customWidth="1" outlineLevel="2"/>
    <col min="985" max="985" width="28.7109375" style="129" customWidth="1" outlineLevel="1"/>
    <col min="986" max="988" width="28.7109375" style="129" customWidth="1" outlineLevel="2"/>
    <col min="989" max="989" width="28.7109375" style="129" customWidth="1" outlineLevel="1"/>
    <col min="990" max="995" width="28.7109375" style="129" customWidth="1" outlineLevel="2"/>
    <col min="996" max="996" width="28.7109375" style="129" customWidth="1" outlineLevel="1"/>
    <col min="997" max="999" width="28.7109375" style="129" customWidth="1" outlineLevel="2"/>
    <col min="1000" max="1000" width="28.7109375" style="129" customWidth="1" outlineLevel="1"/>
    <col min="1001" max="1006" width="28.7109375" style="129" customWidth="1" outlineLevel="2"/>
    <col min="1007" max="1007" width="28.7109375" style="129" customWidth="1" outlineLevel="1"/>
    <col min="1008" max="1010" width="28.7109375" style="129" customWidth="1" outlineLevel="2"/>
    <col min="1011" max="1011" width="28.7109375" style="129" customWidth="1" outlineLevel="1"/>
    <col min="1012" max="1017" width="28.7109375" style="129" customWidth="1" outlineLevel="2"/>
    <col min="1018" max="1018" width="28.7109375" style="129" customWidth="1" outlineLevel="1"/>
    <col min="1019" max="1021" width="28.7109375" style="129" customWidth="1" outlineLevel="2"/>
    <col min="1022" max="1022" width="28.7109375" style="129" customWidth="1" outlineLevel="1"/>
    <col min="1023" max="1028" width="28.7109375" style="129" customWidth="1" outlineLevel="2"/>
    <col min="1029" max="1029" width="28.7109375" style="129" customWidth="1" outlineLevel="1"/>
    <col min="1030" max="1032" width="28.7109375" style="129" customWidth="1" outlineLevel="2"/>
    <col min="1033" max="1033" width="28.7109375" style="129" customWidth="1" outlineLevel="1"/>
    <col min="1034" max="1039" width="28.7109375" style="129" customWidth="1" outlineLevel="2"/>
    <col min="1040" max="1040" width="28.7109375" style="129" customWidth="1" outlineLevel="1"/>
    <col min="1041" max="1043" width="28.7109375" style="129" customWidth="1" outlineLevel="2"/>
    <col min="1044" max="1044" width="28.7109375" style="129" customWidth="1" outlineLevel="1"/>
    <col min="1045" max="1050" width="28.7109375" style="129" customWidth="1" outlineLevel="2"/>
    <col min="1051" max="1051" width="28.7109375" style="129" customWidth="1" outlineLevel="1"/>
    <col min="1052" max="1054" width="28.7109375" style="129" customWidth="1" outlineLevel="2"/>
    <col min="1055" max="1055" width="28.7109375" style="129" customWidth="1" outlineLevel="1"/>
    <col min="1056" max="1061" width="28.7109375" style="129" customWidth="1" outlineLevel="2"/>
    <col min="1062" max="1062" width="28.7109375" style="129" customWidth="1" outlineLevel="1"/>
    <col min="1063" max="1065" width="28.7109375" style="129" customWidth="1" outlineLevel="2"/>
    <col min="1066" max="1066" width="28.7109375" style="129" customWidth="1" outlineLevel="1"/>
    <col min="1067" max="1072" width="28.7109375" style="129" customWidth="1" outlineLevel="2"/>
    <col min="1073" max="1073" width="28.7109375" style="129" customWidth="1" outlineLevel="1"/>
    <col min="1074" max="1076" width="28.7109375" style="129" customWidth="1" outlineLevel="2"/>
    <col min="1077" max="1077" width="28.7109375" style="129" customWidth="1" outlineLevel="1"/>
    <col min="1078" max="1083" width="28.7109375" style="129" customWidth="1" outlineLevel="2"/>
    <col min="1084" max="1084" width="28.7109375" style="129" customWidth="1" outlineLevel="1"/>
    <col min="1085" max="1087" width="28.7109375" style="129" customWidth="1" outlineLevel="2"/>
    <col min="1088" max="1088" width="28.7109375" style="129" customWidth="1" outlineLevel="1"/>
    <col min="1089" max="1094" width="28.7109375" style="129" customWidth="1" outlineLevel="2"/>
    <col min="1095" max="1095" width="28.7109375" style="129" customWidth="1" outlineLevel="1"/>
    <col min="1096" max="1098" width="28.7109375" style="129" customWidth="1" outlineLevel="2"/>
    <col min="1099" max="1099" width="28.7109375" style="129" customWidth="1" outlineLevel="1"/>
    <col min="1100" max="1105" width="28.7109375" style="129" customWidth="1" outlineLevel="2"/>
    <col min="1106" max="1106" width="28.7109375" style="129" customWidth="1" outlineLevel="1"/>
    <col min="1107" max="1110" width="28.7109375" style="130" customWidth="1" outlineLevel="2"/>
    <col min="1111" max="1111" width="28.7109375" style="130" customWidth="1" outlineLevel="1"/>
    <col min="1112" max="1115" width="28.7109375" style="130" customWidth="1" outlineLevel="2"/>
    <col min="1116" max="1116" width="28.7109375" style="130" customWidth="1" outlineLevel="1"/>
    <col min="1117" max="1119" width="28.7109375" style="130" customWidth="1" outlineLevel="2"/>
    <col min="1120" max="1120" width="28.7109375" style="130" customWidth="1" outlineLevel="1"/>
    <col min="1121" max="1126" width="28.7109375" style="130" customWidth="1" outlineLevel="2"/>
    <col min="1127" max="1127" width="28.7109375" style="130" customWidth="1" outlineLevel="1"/>
    <col min="1128" max="1130" width="28.7109375" style="130" customWidth="1" outlineLevel="2"/>
    <col min="1131" max="1131" width="28.7109375" style="130" customWidth="1" outlineLevel="1"/>
    <col min="1132" max="1137" width="28.7109375" style="130" customWidth="1" outlineLevel="2"/>
    <col min="1138" max="1138" width="28.7109375" style="130" customWidth="1" outlineLevel="1"/>
    <col min="1139" max="1141" width="28.7109375" style="130" customWidth="1" outlineLevel="2"/>
    <col min="1142" max="1142" width="28.7109375" style="130" customWidth="1" outlineLevel="1"/>
    <col min="1143" max="1148" width="28.7109375" style="130" customWidth="1" outlineLevel="2"/>
    <col min="1149" max="1149" width="28.7109375" style="130" customWidth="1" outlineLevel="1"/>
    <col min="1150" max="1152" width="28.7109375" style="130" customWidth="1" outlineLevel="2"/>
    <col min="1153" max="1153" width="28.7109375" style="130" customWidth="1" outlineLevel="1"/>
    <col min="1154" max="1159" width="28.7109375" style="130" customWidth="1" outlineLevel="2"/>
    <col min="1160" max="1160" width="28.7109375" style="130" customWidth="1" outlineLevel="1"/>
    <col min="1161" max="1163" width="28.7109375" style="130" customWidth="1" outlineLevel="2"/>
    <col min="1164" max="1164" width="28.7109375" style="130" customWidth="1" outlineLevel="1"/>
    <col min="1165" max="1170" width="28.7109375" style="130" customWidth="1" outlineLevel="2"/>
    <col min="1171" max="1171" width="28.7109375" style="130" customWidth="1" outlineLevel="1"/>
    <col min="1172" max="1174" width="28.7109375" style="130" customWidth="1" outlineLevel="2"/>
    <col min="1175" max="1175" width="28.7109375" style="130" customWidth="1" outlineLevel="1"/>
    <col min="1176" max="1181" width="28.7109375" style="130" customWidth="1" outlineLevel="2"/>
    <col min="1182" max="1182" width="28.7109375" style="130" customWidth="1" outlineLevel="1"/>
    <col min="1183" max="1185" width="28.7109375" style="130" customWidth="1" outlineLevel="2"/>
    <col min="1186" max="1186" width="28.7109375" style="130" customWidth="1" outlineLevel="1"/>
    <col min="1187" max="1192" width="28.7109375" style="130" customWidth="1" outlineLevel="2"/>
    <col min="1193" max="1193" width="28.7109375" style="130" customWidth="1" outlineLevel="1"/>
    <col min="1194" max="1197" width="28.7109375" style="129" customWidth="1" outlineLevel="3"/>
    <col min="1198" max="1198" width="28.7109375" style="129" customWidth="1" outlineLevel="2"/>
    <col min="1199" max="1202" width="28.7109375" style="129" customWidth="1" outlineLevel="3"/>
    <col min="1203" max="1203" width="28.7109375" style="129" customWidth="1" outlineLevel="2"/>
    <col min="1204" max="1206" width="28.7109375" style="129" customWidth="1" outlineLevel="3"/>
    <col min="1207" max="1207" width="28.7109375" style="129" customWidth="1" outlineLevel="2"/>
    <col min="1208" max="1213" width="28.7109375" style="129" customWidth="1" outlineLevel="3"/>
    <col min="1214" max="1214" width="28.7109375" style="129" customWidth="1" outlineLevel="2"/>
    <col min="1215" max="1217" width="28.7109375" style="129" customWidth="1" outlineLevel="3"/>
    <col min="1218" max="1218" width="28.7109375" style="129" customWidth="1" outlineLevel="2"/>
    <col min="1219" max="1224" width="28.7109375" style="129" customWidth="1" outlineLevel="3"/>
    <col min="1225" max="1225" width="28.7109375" style="129" customWidth="1" outlineLevel="2"/>
    <col min="1226" max="1228" width="28.7109375" style="129" customWidth="1" outlineLevel="3"/>
    <col min="1229" max="1229" width="28.7109375" style="129" customWidth="1" outlineLevel="2"/>
    <col min="1230" max="1235" width="28.7109375" style="129" customWidth="1" outlineLevel="3"/>
    <col min="1236" max="1236" width="28.7109375" style="129" customWidth="1" outlineLevel="2"/>
    <col min="1237" max="1237" width="5.7109375" style="129" customWidth="1" outlineLevel="1"/>
    <col min="1238" max="1238" width="10.7109375" style="129" customWidth="1"/>
    <col min="1239" max="1240" width="28.7109375" style="129" customWidth="1" outlineLevel="3"/>
    <col min="1241" max="1241" width="28.7109375" style="129" customWidth="1" outlineLevel="2"/>
    <col min="1242" max="1245" width="28.7109375" style="129" customWidth="1" outlineLevel="3"/>
    <col min="1246" max="1246" width="28.7109375" style="129" customWidth="1" outlineLevel="2"/>
    <col min="1247" max="1248" width="28.7109375" style="129" customWidth="1" outlineLevel="3"/>
    <col min="1249" max="1249" width="28.7109375" style="129" customWidth="1" outlineLevel="2"/>
    <col min="1250" max="1253" width="28.7109375" style="129" customWidth="1" outlineLevel="3"/>
    <col min="1254" max="1255" width="28.7109375" style="129" customWidth="1" outlineLevel="2"/>
    <col min="1256" max="1256" width="5.7109375" style="129" customWidth="1" outlineLevel="1"/>
    <col min="1257" max="1257" width="10.7109375" style="128" customWidth="1"/>
    <col min="1258" max="1262" width="28.7109375" style="128" customWidth="1" outlineLevel="2"/>
    <col min="1263" max="1263" width="28.7109375" style="128" customWidth="1" outlineLevel="1"/>
    <col min="1264" max="1268" width="28.7109375" style="128" customWidth="1" outlineLevel="2"/>
    <col min="1269" max="1269" width="28.7109375" style="128" customWidth="1" outlineLevel="1"/>
    <col min="1270" max="1277" width="28.7109375" style="128" customWidth="1" outlineLevel="2"/>
    <col min="1278" max="1278" width="28.7109375" style="128" customWidth="1" outlineLevel="1"/>
    <col min="1279" max="1283" width="28.7109375" style="128" customWidth="1" outlineLevel="2"/>
    <col min="1284" max="1284" width="28.7109375" style="128" customWidth="1" outlineLevel="1"/>
    <col min="1285" max="1289" width="28.7109375" style="128" customWidth="1" outlineLevel="2"/>
    <col min="1290" max="1290" width="28.7109375" style="128" customWidth="1" outlineLevel="1"/>
    <col min="1291" max="1295" width="28.7109375" style="128" customWidth="1" outlineLevel="2"/>
    <col min="1296" max="1296" width="28.7109375" style="128" customWidth="1" outlineLevel="1"/>
    <col min="1297" max="1297" width="10.7109375" style="128" customWidth="1"/>
    <col min="1298" max="16384" width="28.7109375" style="128"/>
  </cols>
  <sheetData>
    <row r="1" spans="1:1297" s="129" customFormat="1">
      <c r="A1" s="138"/>
      <c r="B1" s="138"/>
      <c r="C1" s="138"/>
      <c r="D1" s="138"/>
      <c r="E1" s="137"/>
      <c r="F1" s="138"/>
      <c r="G1" s="138"/>
      <c r="H1" s="138"/>
      <c r="I1" s="138"/>
      <c r="J1" s="138"/>
      <c r="K1" s="138"/>
      <c r="L1" s="138"/>
      <c r="M1" s="138"/>
      <c r="N1" s="138"/>
      <c r="O1" s="138" t="s">
        <v>5490</v>
      </c>
      <c r="AX1" s="129" t="s">
        <v>5032</v>
      </c>
      <c r="BX1" s="129" t="s">
        <v>5430</v>
      </c>
      <c r="CV1" s="129" t="s">
        <v>5406</v>
      </c>
      <c r="DT1" s="129" t="s">
        <v>148</v>
      </c>
      <c r="EH1" s="129" t="s">
        <v>5369</v>
      </c>
      <c r="EY1" s="129" t="s">
        <v>4964</v>
      </c>
      <c r="FQ1" s="129" t="s">
        <v>4940</v>
      </c>
      <c r="FV1" s="129">
        <v>125</v>
      </c>
      <c r="GK1" s="129" t="s">
        <v>5317</v>
      </c>
      <c r="GQ1" s="129" t="s">
        <v>5311</v>
      </c>
      <c r="HG1" s="129" t="s">
        <v>4935</v>
      </c>
      <c r="HQ1" s="129" t="s">
        <v>5115</v>
      </c>
      <c r="HR1" s="129" t="s">
        <v>168</v>
      </c>
      <c r="IT1" s="129" t="s">
        <v>5032</v>
      </c>
      <c r="KD1" s="129" t="s">
        <v>5013</v>
      </c>
      <c r="KQ1" s="129" t="s">
        <v>148</v>
      </c>
      <c r="LH1" s="129" t="s">
        <v>4964</v>
      </c>
      <c r="LK1" s="135"/>
      <c r="LL1" s="135"/>
      <c r="LM1" s="135"/>
      <c r="LN1" s="135"/>
      <c r="LO1" s="135"/>
      <c r="LU1" s="135"/>
      <c r="LV1" s="135"/>
      <c r="LW1" s="135"/>
      <c r="LX1" s="135"/>
      <c r="LY1" s="135"/>
      <c r="LZ1" s="135"/>
      <c r="MA1" s="135"/>
      <c r="MB1" s="135"/>
      <c r="MC1" s="135"/>
      <c r="MD1" s="135"/>
      <c r="ME1" s="135"/>
      <c r="MF1" s="135"/>
      <c r="MG1" s="135"/>
      <c r="MQ1" s="132"/>
      <c r="MR1" s="132"/>
      <c r="MS1" s="132"/>
      <c r="MT1" s="132"/>
      <c r="MU1" s="132"/>
      <c r="MV1" s="132"/>
      <c r="MW1" s="132"/>
      <c r="MX1" s="132"/>
      <c r="MY1" s="132"/>
      <c r="MZ1" s="129" t="s">
        <v>1246</v>
      </c>
      <c r="NB1" s="135"/>
      <c r="NC1" s="135"/>
      <c r="ND1" s="135"/>
      <c r="NE1" s="135"/>
      <c r="NF1" s="135"/>
      <c r="NL1" s="132"/>
      <c r="NM1" s="132"/>
      <c r="NN1" s="132"/>
      <c r="NO1" s="132"/>
      <c r="NP1" s="132"/>
      <c r="NR1" s="129" t="s">
        <v>4940</v>
      </c>
      <c r="OE1" s="129" t="s">
        <v>4935</v>
      </c>
      <c r="OO1" s="129" t="s">
        <v>5115</v>
      </c>
      <c r="OP1" s="129" t="s">
        <v>169</v>
      </c>
      <c r="RQ1" s="196"/>
      <c r="RR1" s="196"/>
      <c r="RS1" s="196"/>
      <c r="RT1" s="196"/>
      <c r="RU1" s="129" t="s">
        <v>5032</v>
      </c>
      <c r="SN1" s="129" t="s">
        <v>5013</v>
      </c>
      <c r="SW1" s="129" t="s">
        <v>148</v>
      </c>
      <c r="TD1" s="133"/>
      <c r="TE1" s="132"/>
      <c r="TF1" s="132"/>
      <c r="TJ1" s="129" t="s">
        <v>4992</v>
      </c>
      <c r="TX1" s="132"/>
      <c r="TY1" s="132"/>
      <c r="TZ1" s="132"/>
      <c r="UA1" s="129" t="s">
        <v>4975</v>
      </c>
      <c r="UL1" s="129" t="s">
        <v>4964</v>
      </c>
      <c r="VB1" s="129" t="s">
        <v>4948</v>
      </c>
      <c r="VK1" s="129" t="s">
        <v>4940</v>
      </c>
      <c r="VL1" s="132"/>
      <c r="VM1" s="132"/>
      <c r="VN1" s="132"/>
      <c r="VO1" s="132"/>
      <c r="VP1" s="129" t="s">
        <v>4935</v>
      </c>
      <c r="VQ1" s="129" t="s">
        <v>4934</v>
      </c>
      <c r="VR1" s="131"/>
      <c r="VS1" s="131"/>
      <c r="VT1" s="131"/>
      <c r="VU1" s="131"/>
      <c r="VV1" s="131"/>
      <c r="VW1" s="131"/>
      <c r="VX1" s="131"/>
      <c r="VY1" s="131"/>
      <c r="VZ1" s="131"/>
      <c r="WA1" s="131"/>
      <c r="WB1" s="131"/>
      <c r="WC1" s="131"/>
      <c r="WD1" s="131"/>
      <c r="WE1" s="131"/>
      <c r="WF1" s="131"/>
      <c r="WG1" s="131"/>
      <c r="WH1" s="131"/>
      <c r="WI1" s="131"/>
      <c r="WJ1" s="131"/>
      <c r="WK1" s="131"/>
      <c r="WL1" s="131"/>
      <c r="WM1" s="131"/>
      <c r="WN1" s="131"/>
      <c r="WO1" s="131"/>
      <c r="WP1" s="131"/>
      <c r="WQ1" s="131"/>
      <c r="WR1" s="131"/>
      <c r="WS1" s="131"/>
      <c r="WT1" s="131"/>
      <c r="WU1" s="131"/>
      <c r="WV1" s="131"/>
      <c r="WW1" s="131"/>
      <c r="WX1" s="131"/>
      <c r="WY1" s="131"/>
      <c r="WZ1" s="131"/>
      <c r="XA1" s="131"/>
      <c r="XB1" s="131"/>
      <c r="XC1" s="131"/>
      <c r="XD1" s="131"/>
      <c r="XE1" s="131"/>
      <c r="XF1" s="131"/>
      <c r="XG1" s="131"/>
      <c r="XH1" s="131"/>
      <c r="XI1" s="131"/>
      <c r="XJ1" s="131"/>
      <c r="XK1" s="131"/>
      <c r="XL1" s="131"/>
      <c r="XM1" s="131"/>
      <c r="XN1" s="131"/>
      <c r="XO1" s="131"/>
      <c r="XP1" s="131"/>
      <c r="XQ1" s="131"/>
      <c r="XR1" s="131"/>
      <c r="XS1" s="131"/>
      <c r="XT1" s="131"/>
      <c r="XU1" s="131"/>
      <c r="XV1" s="131"/>
      <c r="XW1" s="131"/>
      <c r="XX1" s="131"/>
      <c r="XY1" s="131"/>
      <c r="XZ1" s="131"/>
      <c r="YA1" s="131"/>
      <c r="YB1" s="131"/>
      <c r="YC1" s="131"/>
      <c r="YD1" s="131"/>
      <c r="YE1" s="131"/>
      <c r="YF1" s="131"/>
      <c r="YG1" s="131"/>
      <c r="YH1" s="131"/>
      <c r="YI1" s="131"/>
      <c r="YJ1" s="131"/>
      <c r="YK1" s="131"/>
      <c r="YL1" s="131"/>
      <c r="YM1" s="131"/>
      <c r="YN1" s="131"/>
      <c r="YO1" s="131"/>
      <c r="YP1" s="131"/>
      <c r="YQ1" s="131"/>
      <c r="YR1" s="131"/>
      <c r="YS1" s="131"/>
      <c r="YT1" s="131"/>
      <c r="YU1" s="131"/>
      <c r="YV1" s="131"/>
      <c r="YW1" s="131"/>
      <c r="YX1" s="131"/>
      <c r="YY1" s="131"/>
      <c r="YZ1" s="131"/>
      <c r="ZA1" s="131"/>
      <c r="ZB1" s="131"/>
      <c r="ZC1" s="131"/>
      <c r="ZD1" s="131"/>
      <c r="ZE1" s="131"/>
      <c r="ZF1" s="131"/>
      <c r="ZG1" s="131"/>
      <c r="ZH1" s="131"/>
      <c r="ZI1" s="131"/>
      <c r="ZJ1" s="131"/>
      <c r="ZK1" s="131"/>
      <c r="ZL1" s="131"/>
      <c r="ZM1" s="131"/>
      <c r="ZN1" s="131"/>
      <c r="ZO1" s="131"/>
      <c r="ZP1" s="131"/>
      <c r="ZQ1" s="131"/>
      <c r="ZR1" s="131"/>
      <c r="ZS1" s="131"/>
      <c r="ZT1" s="131"/>
      <c r="ZU1" s="131"/>
      <c r="ZV1" s="131"/>
      <c r="ZW1" s="131"/>
      <c r="ZX1" s="131"/>
      <c r="ZY1" s="131"/>
      <c r="ZZ1" s="131"/>
      <c r="AAA1" s="131"/>
      <c r="AAB1" s="131"/>
      <c r="AAC1" s="131"/>
      <c r="AAD1" s="131"/>
      <c r="AAE1" s="131"/>
      <c r="AAF1" s="131"/>
      <c r="AAG1" s="131"/>
      <c r="AAH1" s="131"/>
      <c r="AAI1" s="129" t="s">
        <v>4812</v>
      </c>
      <c r="AAJ1" s="131"/>
      <c r="AAK1" s="131"/>
      <c r="AAL1" s="131"/>
      <c r="AAM1" s="131"/>
      <c r="AAN1" s="131"/>
      <c r="AAO1" s="131"/>
      <c r="AAP1" s="131"/>
      <c r="AAQ1" s="131"/>
      <c r="AAR1" s="131"/>
      <c r="AAS1" s="131"/>
      <c r="AAT1" s="131"/>
      <c r="AAU1" s="131"/>
      <c r="AAV1" s="131"/>
      <c r="AAW1" s="131"/>
      <c r="AAX1" s="131"/>
      <c r="AAY1" s="131"/>
      <c r="AAZ1" s="131"/>
      <c r="ABA1" s="131"/>
      <c r="ABB1" s="131"/>
      <c r="ABC1" s="131"/>
      <c r="ABD1" s="131"/>
      <c r="ABE1" s="131"/>
      <c r="ABF1" s="131"/>
      <c r="ABG1" s="131"/>
      <c r="ABH1" s="131"/>
      <c r="ABI1" s="131"/>
      <c r="ABJ1" s="131"/>
      <c r="ABK1" s="131"/>
      <c r="ABL1" s="131"/>
      <c r="ABM1" s="131"/>
      <c r="ABN1" s="131"/>
      <c r="ABO1" s="131"/>
      <c r="ABP1" s="131"/>
      <c r="ABQ1" s="131"/>
      <c r="ABR1" s="131"/>
      <c r="ABS1" s="131"/>
      <c r="ABT1" s="131"/>
      <c r="ABU1" s="131"/>
      <c r="ABV1" s="131"/>
      <c r="ABW1" s="131"/>
      <c r="ABX1" s="131"/>
      <c r="ABY1" s="131"/>
      <c r="ABZ1" s="131"/>
      <c r="ACA1" s="131"/>
      <c r="ACB1" s="131"/>
      <c r="ACC1" s="131"/>
      <c r="ACD1" s="131"/>
      <c r="ACE1" s="131"/>
      <c r="ACF1" s="131"/>
      <c r="ACG1" s="131"/>
      <c r="ACH1" s="131"/>
      <c r="ACI1" s="131"/>
      <c r="ACJ1" s="131"/>
      <c r="ACK1" s="131"/>
      <c r="ACL1" s="131"/>
      <c r="ACM1" s="131"/>
      <c r="ACN1" s="131"/>
      <c r="ACO1" s="131"/>
      <c r="ACP1" s="131"/>
      <c r="ACQ1" s="131"/>
      <c r="ACR1" s="131"/>
      <c r="ACS1" s="131"/>
      <c r="ACT1" s="131"/>
      <c r="ACU1" s="131"/>
      <c r="ACV1" s="131"/>
      <c r="ACW1" s="131"/>
      <c r="ACX1" s="131"/>
      <c r="ACY1" s="131"/>
      <c r="ACZ1" s="131"/>
      <c r="ADA1" s="131"/>
      <c r="ADB1" s="131"/>
      <c r="ADC1" s="131"/>
      <c r="ADD1" s="131"/>
      <c r="ADE1" s="131"/>
      <c r="ADF1" s="131"/>
      <c r="ADG1" s="131"/>
      <c r="ADH1" s="131"/>
      <c r="ADI1" s="131"/>
      <c r="ADJ1" s="131"/>
      <c r="ADK1" s="131"/>
      <c r="ADL1" s="131"/>
      <c r="ADM1" s="131"/>
      <c r="ADN1" s="131"/>
      <c r="ADO1" s="131"/>
      <c r="ADP1" s="131"/>
      <c r="ADQ1" s="131"/>
      <c r="ADR1" s="131"/>
      <c r="ADS1" s="131"/>
      <c r="ADT1" s="131"/>
      <c r="ADU1" s="131"/>
      <c r="ADV1" s="131"/>
      <c r="ADW1" s="131"/>
      <c r="ADX1" s="131"/>
      <c r="ADY1" s="131"/>
      <c r="ADZ1" s="131"/>
      <c r="AEA1" s="131"/>
      <c r="AEB1" s="131"/>
      <c r="AEC1" s="131"/>
      <c r="AED1" s="131"/>
      <c r="AEE1" s="131"/>
      <c r="AEF1" s="131"/>
      <c r="AEG1" s="131"/>
      <c r="AEH1" s="131"/>
      <c r="AEI1" s="131"/>
      <c r="AEJ1" s="131"/>
      <c r="AEK1" s="131"/>
      <c r="AEL1" s="131"/>
      <c r="AEM1" s="131"/>
      <c r="AEN1" s="131"/>
      <c r="AEO1" s="131"/>
      <c r="AEP1" s="131"/>
      <c r="AEQ1" s="131"/>
      <c r="AER1" s="131"/>
      <c r="AES1" s="131"/>
      <c r="AET1" s="131"/>
      <c r="AEU1" s="131"/>
      <c r="AEV1" s="131"/>
      <c r="AEW1" s="131"/>
      <c r="AEX1" s="131"/>
      <c r="AEY1" s="131"/>
      <c r="AEZ1" s="131"/>
      <c r="AFA1" s="131"/>
      <c r="AFB1" s="131"/>
      <c r="AFC1" s="131"/>
      <c r="AFD1" s="131"/>
      <c r="AFE1" s="131"/>
      <c r="AFF1" s="131"/>
      <c r="AFG1" s="131"/>
      <c r="AFH1" s="131"/>
      <c r="AFI1" s="131"/>
      <c r="AFJ1" s="131"/>
      <c r="AFK1" s="131"/>
      <c r="AFM1" s="129" t="s">
        <v>4678</v>
      </c>
      <c r="APO1" s="130"/>
      <c r="APP1" s="130"/>
      <c r="APQ1" s="130"/>
      <c r="APR1" s="130"/>
      <c r="APS1" s="130"/>
      <c r="APT1" s="130"/>
      <c r="APU1" s="130"/>
      <c r="APV1" s="130"/>
      <c r="APW1" s="130"/>
      <c r="APX1" s="130"/>
      <c r="APY1" s="130"/>
      <c r="APZ1" s="130"/>
      <c r="AQA1" s="130"/>
      <c r="AQB1" s="130"/>
      <c r="AQC1" s="130"/>
      <c r="AQD1" s="130"/>
      <c r="AQE1" s="130"/>
      <c r="AQF1" s="130"/>
      <c r="AQG1" s="130"/>
      <c r="AQH1" s="130"/>
      <c r="AQI1" s="130"/>
      <c r="AQJ1" s="130"/>
      <c r="AQK1" s="130"/>
      <c r="AQL1" s="130"/>
      <c r="AQM1" s="130"/>
      <c r="AQN1" s="130"/>
      <c r="AQO1" s="130"/>
      <c r="AQP1" s="130"/>
      <c r="AQQ1" s="130"/>
      <c r="AQR1" s="130"/>
      <c r="AQS1" s="130"/>
      <c r="AQT1" s="130"/>
      <c r="AQU1" s="130"/>
      <c r="AQV1" s="130"/>
      <c r="AQW1" s="130"/>
      <c r="AQX1" s="130"/>
      <c r="AQY1" s="130"/>
      <c r="AQZ1" s="130"/>
      <c r="ARA1" s="130"/>
      <c r="ARB1" s="130"/>
      <c r="ARC1" s="130"/>
      <c r="ARD1" s="130"/>
      <c r="ARE1" s="130"/>
      <c r="ARF1" s="130"/>
      <c r="ARG1" s="130"/>
      <c r="ARH1" s="130"/>
      <c r="ARI1" s="130"/>
      <c r="ARJ1" s="130"/>
      <c r="ARK1" s="130"/>
      <c r="ARL1" s="130"/>
      <c r="ARM1" s="130"/>
      <c r="ARN1" s="130"/>
      <c r="ARO1" s="130"/>
      <c r="ARP1" s="130"/>
      <c r="ARQ1" s="130"/>
      <c r="ARR1" s="130"/>
      <c r="ARS1" s="130"/>
      <c r="ART1" s="130"/>
      <c r="ARU1" s="130"/>
      <c r="ARV1" s="130"/>
      <c r="ARW1" s="130"/>
      <c r="ARX1" s="130"/>
      <c r="ARY1" s="130"/>
      <c r="ARZ1" s="130"/>
      <c r="ASA1" s="130"/>
      <c r="ASB1" s="130"/>
      <c r="ASC1" s="130"/>
      <c r="ASD1" s="130"/>
      <c r="ASE1" s="130"/>
      <c r="ASF1" s="130"/>
      <c r="ASG1" s="130"/>
      <c r="ASH1" s="130"/>
      <c r="ASI1" s="130"/>
      <c r="ASJ1" s="130"/>
      <c r="ASK1" s="130"/>
      <c r="ASL1" s="130"/>
      <c r="ASM1" s="130"/>
      <c r="ASN1" s="130"/>
      <c r="ASO1" s="130"/>
      <c r="ASP1" s="130"/>
      <c r="ASQ1" s="130"/>
      <c r="ASR1" s="130"/>
      <c r="ASS1" s="130"/>
      <c r="AST1" s="130"/>
      <c r="ASU1" s="130"/>
      <c r="ASV1" s="130"/>
      <c r="ASW1" s="130"/>
      <c r="AUP1" s="129" t="s">
        <v>4285</v>
      </c>
      <c r="AVI1" s="129" t="s">
        <v>4266</v>
      </c>
      <c r="AWW1" s="129" t="s">
        <v>4232</v>
      </c>
    </row>
    <row r="2" spans="1:1297" s="131" customFormat="1" ht="25.5">
      <c r="A2" s="137"/>
      <c r="B2" s="213" t="s">
        <v>163</v>
      </c>
      <c r="C2" s="139" t="s">
        <v>164</v>
      </c>
      <c r="D2" s="139" t="s">
        <v>165</v>
      </c>
      <c r="E2" s="137" t="s">
        <v>4</v>
      </c>
      <c r="F2" s="213" t="s">
        <v>166</v>
      </c>
      <c r="G2" s="137" t="s">
        <v>167</v>
      </c>
      <c r="H2" s="212" t="s">
        <v>168</v>
      </c>
      <c r="I2" s="212" t="s">
        <v>169</v>
      </c>
      <c r="J2" s="212" t="s">
        <v>170</v>
      </c>
      <c r="K2" s="212" t="s">
        <v>171</v>
      </c>
      <c r="L2" s="212" t="s">
        <v>5492</v>
      </c>
      <c r="M2" s="212" t="s">
        <v>5491</v>
      </c>
      <c r="N2" s="212" t="s">
        <v>4232</v>
      </c>
      <c r="O2" s="137" t="s">
        <v>5490</v>
      </c>
      <c r="P2" s="131" t="s">
        <v>5489</v>
      </c>
      <c r="Q2" s="131" t="s">
        <v>5488</v>
      </c>
      <c r="R2" s="131" t="s">
        <v>5487</v>
      </c>
      <c r="S2" s="131" t="s">
        <v>5486</v>
      </c>
      <c r="T2" s="131" t="s">
        <v>5485</v>
      </c>
      <c r="U2" s="131" t="s">
        <v>5484</v>
      </c>
      <c r="V2" s="131" t="s">
        <v>5483</v>
      </c>
      <c r="W2" s="131" t="s">
        <v>5482</v>
      </c>
      <c r="X2" s="131" t="s">
        <v>5481</v>
      </c>
      <c r="Y2" s="131" t="s">
        <v>5480</v>
      </c>
      <c r="Z2" s="131" t="s">
        <v>5479</v>
      </c>
      <c r="AA2" s="131" t="s">
        <v>5478</v>
      </c>
      <c r="AB2" s="131" t="s">
        <v>5477</v>
      </c>
      <c r="AC2" s="131" t="s">
        <v>5476</v>
      </c>
      <c r="AD2" s="131" t="s">
        <v>5475</v>
      </c>
      <c r="AE2" s="209" t="s">
        <v>5474</v>
      </c>
      <c r="AF2" s="131" t="s">
        <v>5473</v>
      </c>
      <c r="AG2" s="210" t="s">
        <v>5472</v>
      </c>
      <c r="AH2" s="210" t="s">
        <v>5471</v>
      </c>
      <c r="AI2" s="211" t="s">
        <v>5470</v>
      </c>
      <c r="AJ2" s="211" t="s">
        <v>5469</v>
      </c>
      <c r="AK2" s="210" t="s">
        <v>5468</v>
      </c>
      <c r="AL2" s="210" t="s">
        <v>5467</v>
      </c>
      <c r="AM2" s="210" t="s">
        <v>5466</v>
      </c>
      <c r="AN2" s="210" t="s">
        <v>5465</v>
      </c>
      <c r="AO2" s="210" t="s">
        <v>5464</v>
      </c>
      <c r="AP2" s="210" t="s">
        <v>5463</v>
      </c>
      <c r="AQ2" s="210" t="s">
        <v>5462</v>
      </c>
      <c r="AR2" s="210" t="s">
        <v>5461</v>
      </c>
      <c r="AS2" s="210" t="s">
        <v>5460</v>
      </c>
      <c r="AT2" s="210" t="s">
        <v>5459</v>
      </c>
      <c r="AU2" s="210" t="s">
        <v>5458</v>
      </c>
      <c r="AV2" s="210" t="s">
        <v>5457</v>
      </c>
      <c r="AW2" s="210" t="s">
        <v>5456</v>
      </c>
      <c r="AX2" s="131" t="s">
        <v>5032</v>
      </c>
      <c r="AY2" s="131" t="s">
        <v>5455</v>
      </c>
      <c r="AZ2" s="131" t="s">
        <v>5454</v>
      </c>
      <c r="BA2" s="131" t="s">
        <v>5453</v>
      </c>
      <c r="BB2" s="131" t="s">
        <v>5452</v>
      </c>
      <c r="BC2" s="131" t="s">
        <v>5451</v>
      </c>
      <c r="BD2" s="131" t="s">
        <v>5450</v>
      </c>
      <c r="BE2" s="131" t="s">
        <v>5449</v>
      </c>
      <c r="BF2" s="131" t="s">
        <v>5448</v>
      </c>
      <c r="BG2" s="131" t="s">
        <v>5447</v>
      </c>
      <c r="BH2" s="131" t="s">
        <v>5446</v>
      </c>
      <c r="BI2" s="131" t="s">
        <v>5445</v>
      </c>
      <c r="BJ2" s="131" t="s">
        <v>5444</v>
      </c>
      <c r="BK2" s="131" t="s">
        <v>5443</v>
      </c>
      <c r="BL2" s="131" t="s">
        <v>5442</v>
      </c>
      <c r="BM2" s="131" t="s">
        <v>5441</v>
      </c>
      <c r="BN2" s="131" t="s">
        <v>5440</v>
      </c>
      <c r="BO2" s="131" t="s">
        <v>5439</v>
      </c>
      <c r="BP2" s="131" t="s">
        <v>5438</v>
      </c>
      <c r="BQ2" s="131" t="s">
        <v>5437</v>
      </c>
      <c r="BR2" s="131" t="s">
        <v>5436</v>
      </c>
      <c r="BS2" s="131" t="s">
        <v>5435</v>
      </c>
      <c r="BT2" s="131" t="s">
        <v>5434</v>
      </c>
      <c r="BU2" s="131" t="s">
        <v>5433</v>
      </c>
      <c r="BV2" s="131" t="s">
        <v>5432</v>
      </c>
      <c r="BW2" s="131" t="s">
        <v>5431</v>
      </c>
      <c r="BX2" s="131" t="s">
        <v>5430</v>
      </c>
      <c r="BY2" s="131" t="s">
        <v>5429</v>
      </c>
      <c r="BZ2" s="131" t="s">
        <v>5428</v>
      </c>
      <c r="CA2" s="131" t="s">
        <v>5427</v>
      </c>
      <c r="CB2" s="131" t="s">
        <v>5426</v>
      </c>
      <c r="CC2" s="131" t="s">
        <v>5425</v>
      </c>
      <c r="CD2" s="131" t="s">
        <v>5424</v>
      </c>
      <c r="CE2" s="131" t="s">
        <v>5423</v>
      </c>
      <c r="CF2" s="131" t="s">
        <v>5422</v>
      </c>
      <c r="CG2" s="131" t="s">
        <v>5421</v>
      </c>
      <c r="CH2" s="131" t="s">
        <v>5420</v>
      </c>
      <c r="CI2" s="131" t="s">
        <v>5419</v>
      </c>
      <c r="CJ2" s="131" t="s">
        <v>5418</v>
      </c>
      <c r="CK2" s="131" t="s">
        <v>5417</v>
      </c>
      <c r="CL2" s="131" t="s">
        <v>5416</v>
      </c>
      <c r="CM2" s="131" t="s">
        <v>5415</v>
      </c>
      <c r="CN2" s="131" t="s">
        <v>5414</v>
      </c>
      <c r="CO2" s="131" t="s">
        <v>5413</v>
      </c>
      <c r="CP2" s="131" t="s">
        <v>5412</v>
      </c>
      <c r="CQ2" s="131" t="s">
        <v>5411</v>
      </c>
      <c r="CR2" s="131" t="s">
        <v>5410</v>
      </c>
      <c r="CS2" s="131" t="s">
        <v>5409</v>
      </c>
      <c r="CT2" s="131" t="s">
        <v>5408</v>
      </c>
      <c r="CU2" s="131" t="s">
        <v>5407</v>
      </c>
      <c r="CV2" s="131" t="s">
        <v>5406</v>
      </c>
      <c r="CW2" s="131" t="s">
        <v>5405</v>
      </c>
      <c r="CX2" s="131" t="s">
        <v>5404</v>
      </c>
      <c r="CY2" s="131" t="s">
        <v>5403</v>
      </c>
      <c r="CZ2" s="131" t="s">
        <v>5402</v>
      </c>
      <c r="DA2" s="131" t="s">
        <v>5401</v>
      </c>
      <c r="DB2" s="131" t="s">
        <v>5400</v>
      </c>
      <c r="DC2" s="131" t="s">
        <v>5399</v>
      </c>
      <c r="DD2" s="131" t="s">
        <v>5398</v>
      </c>
      <c r="DE2" s="131" t="s">
        <v>5397</v>
      </c>
      <c r="DF2" s="209" t="s">
        <v>5396</v>
      </c>
      <c r="DG2" s="131" t="s">
        <v>5395</v>
      </c>
      <c r="DH2" s="209" t="s">
        <v>5394</v>
      </c>
      <c r="DI2" s="131" t="s">
        <v>5393</v>
      </c>
      <c r="DJ2" s="131" t="s">
        <v>5392</v>
      </c>
      <c r="DK2" s="209" t="s">
        <v>5391</v>
      </c>
      <c r="DL2" s="131" t="s">
        <v>5390</v>
      </c>
      <c r="DM2" s="209" t="s">
        <v>5389</v>
      </c>
      <c r="DN2" s="131" t="s">
        <v>5388</v>
      </c>
      <c r="DO2" s="209" t="s">
        <v>5387</v>
      </c>
      <c r="DP2" s="131" t="s">
        <v>5386</v>
      </c>
      <c r="DQ2" s="209" t="s">
        <v>5385</v>
      </c>
      <c r="DR2" s="131" t="s">
        <v>5384</v>
      </c>
      <c r="DS2" s="209" t="s">
        <v>5383</v>
      </c>
      <c r="DT2" s="131" t="s">
        <v>148</v>
      </c>
      <c r="DU2" s="131" t="s">
        <v>5382</v>
      </c>
      <c r="DV2" s="131" t="s">
        <v>5381</v>
      </c>
      <c r="DW2" s="131" t="s">
        <v>5380</v>
      </c>
      <c r="DX2" s="131" t="s">
        <v>5379</v>
      </c>
      <c r="DY2" s="131" t="s">
        <v>5378</v>
      </c>
      <c r="DZ2" s="131" t="s">
        <v>5377</v>
      </c>
      <c r="EA2" s="131" t="s">
        <v>5376</v>
      </c>
      <c r="EB2" s="131" t="s">
        <v>5375</v>
      </c>
      <c r="EC2" s="131" t="s">
        <v>5374</v>
      </c>
      <c r="ED2" s="131" t="s">
        <v>5373</v>
      </c>
      <c r="EE2" s="131" t="s">
        <v>5372</v>
      </c>
      <c r="EF2" s="131" t="s">
        <v>5371</v>
      </c>
      <c r="EG2" s="131" t="s">
        <v>5370</v>
      </c>
      <c r="EH2" s="131" t="s">
        <v>5369</v>
      </c>
      <c r="EI2" s="131" t="s">
        <v>5368</v>
      </c>
      <c r="EJ2" s="131" t="s">
        <v>5367</v>
      </c>
      <c r="EK2" s="131" t="s">
        <v>5366</v>
      </c>
      <c r="EL2" s="131" t="s">
        <v>5365</v>
      </c>
      <c r="EM2" s="131" t="s">
        <v>5364</v>
      </c>
      <c r="EN2" s="131" t="s">
        <v>5363</v>
      </c>
      <c r="EO2" s="131" t="s">
        <v>5362</v>
      </c>
      <c r="EP2" s="131" t="s">
        <v>5361</v>
      </c>
      <c r="EQ2" s="131" t="s">
        <v>5360</v>
      </c>
      <c r="ER2" s="131" t="s">
        <v>5359</v>
      </c>
      <c r="ES2" s="131" t="s">
        <v>5358</v>
      </c>
      <c r="ET2" s="131" t="s">
        <v>5357</v>
      </c>
      <c r="EU2" s="131" t="s">
        <v>5356</v>
      </c>
      <c r="EV2" s="131" t="s">
        <v>5355</v>
      </c>
      <c r="EW2" s="131" t="s">
        <v>5354</v>
      </c>
      <c r="EX2" s="131" t="s">
        <v>5353</v>
      </c>
      <c r="EY2" s="131" t="s">
        <v>4964</v>
      </c>
      <c r="EZ2" s="131" t="s">
        <v>5352</v>
      </c>
      <c r="FA2" s="131" t="s">
        <v>5351</v>
      </c>
      <c r="FB2" s="131" t="s">
        <v>5350</v>
      </c>
      <c r="FC2" s="131" t="s">
        <v>5349</v>
      </c>
      <c r="FD2" s="131" t="s">
        <v>5348</v>
      </c>
      <c r="FE2" s="131" t="s">
        <v>5347</v>
      </c>
      <c r="FF2" s="131" t="s">
        <v>5346</v>
      </c>
      <c r="FG2" s="131" t="s">
        <v>5345</v>
      </c>
      <c r="FH2" s="131" t="s">
        <v>5344</v>
      </c>
      <c r="FI2" s="131" t="s">
        <v>5343</v>
      </c>
      <c r="FJ2" s="131" t="s">
        <v>5342</v>
      </c>
      <c r="FK2" s="131" t="s">
        <v>5341</v>
      </c>
      <c r="FL2" s="131" t="s">
        <v>5340</v>
      </c>
      <c r="FM2" s="131" t="s">
        <v>5339</v>
      </c>
      <c r="FN2" s="131" t="s">
        <v>5338</v>
      </c>
      <c r="FO2" s="131" t="s">
        <v>5337</v>
      </c>
      <c r="FP2" s="208" t="s">
        <v>5336</v>
      </c>
      <c r="FQ2" s="131" t="s">
        <v>4940</v>
      </c>
      <c r="FR2" s="131" t="s">
        <v>5335</v>
      </c>
      <c r="FS2" s="131" t="s">
        <v>5334</v>
      </c>
      <c r="FT2" s="131" t="s">
        <v>5333</v>
      </c>
      <c r="FU2" s="131" t="s">
        <v>5332</v>
      </c>
      <c r="FV2" s="131">
        <v>125</v>
      </c>
      <c r="FW2" s="131" t="s">
        <v>5331</v>
      </c>
      <c r="FX2" s="131" t="s">
        <v>5330</v>
      </c>
      <c r="FY2" s="131" t="s">
        <v>5329</v>
      </c>
      <c r="FZ2" s="131" t="s">
        <v>5328</v>
      </c>
      <c r="GA2" s="131" t="s">
        <v>5327</v>
      </c>
      <c r="GB2" s="131" t="s">
        <v>5326</v>
      </c>
      <c r="GC2" s="131" t="s">
        <v>5325</v>
      </c>
      <c r="GD2" s="131" t="s">
        <v>5324</v>
      </c>
      <c r="GE2" s="131" t="s">
        <v>5323</v>
      </c>
      <c r="GF2" s="131" t="s">
        <v>5322</v>
      </c>
      <c r="GG2" s="131" t="s">
        <v>5321</v>
      </c>
      <c r="GH2" s="131" t="s">
        <v>5320</v>
      </c>
      <c r="GI2" s="131" t="s">
        <v>5319</v>
      </c>
      <c r="GJ2" s="131" t="s">
        <v>5318</v>
      </c>
      <c r="GK2" s="131" t="s">
        <v>5317</v>
      </c>
      <c r="GL2" s="131" t="s">
        <v>5316</v>
      </c>
      <c r="GM2" s="131" t="s">
        <v>5315</v>
      </c>
      <c r="GN2" s="131" t="s">
        <v>5314</v>
      </c>
      <c r="GO2" s="131" t="s">
        <v>5313</v>
      </c>
      <c r="GP2" s="131" t="s">
        <v>5312</v>
      </c>
      <c r="GQ2" s="131" t="s">
        <v>5311</v>
      </c>
      <c r="GR2" s="131" t="s">
        <v>5310</v>
      </c>
      <c r="GS2" s="131" t="s">
        <v>5309</v>
      </c>
      <c r="GT2" s="131" t="s">
        <v>5308</v>
      </c>
      <c r="GU2" s="131" t="s">
        <v>5307</v>
      </c>
      <c r="GV2" s="131" t="s">
        <v>5306</v>
      </c>
      <c r="GW2" s="131" t="s">
        <v>5305</v>
      </c>
      <c r="GX2" s="131" t="s">
        <v>5304</v>
      </c>
      <c r="GY2" s="131" t="s">
        <v>5303</v>
      </c>
      <c r="GZ2" s="131" t="s">
        <v>5302</v>
      </c>
      <c r="HA2" s="131" t="s">
        <v>5301</v>
      </c>
      <c r="HB2" s="131" t="s">
        <v>5300</v>
      </c>
      <c r="HC2" s="131" t="s">
        <v>5299</v>
      </c>
      <c r="HD2" s="131" t="s">
        <v>5298</v>
      </c>
      <c r="HE2" s="131" t="s">
        <v>5297</v>
      </c>
      <c r="HF2" s="131" t="s">
        <v>5296</v>
      </c>
      <c r="HG2" s="131" t="s">
        <v>4935</v>
      </c>
      <c r="HH2" s="131" t="s">
        <v>5295</v>
      </c>
      <c r="HI2" s="131" t="s">
        <v>5294</v>
      </c>
      <c r="HJ2" s="131" t="s">
        <v>5293</v>
      </c>
      <c r="HK2" s="131" t="s">
        <v>5292</v>
      </c>
      <c r="HL2" s="131" t="s">
        <v>5291</v>
      </c>
      <c r="HM2" s="131" t="s">
        <v>5290</v>
      </c>
      <c r="HN2" s="131" t="s">
        <v>5289</v>
      </c>
      <c r="HO2" s="131" t="s">
        <v>5288</v>
      </c>
      <c r="HP2" s="131" t="s">
        <v>5287</v>
      </c>
      <c r="HQ2" s="131" t="s">
        <v>5115</v>
      </c>
      <c r="HR2" s="131" t="s">
        <v>168</v>
      </c>
      <c r="HS2" s="204" t="s">
        <v>5286</v>
      </c>
      <c r="HT2" s="204" t="s">
        <v>5285</v>
      </c>
      <c r="HU2" s="204" t="s">
        <v>5284</v>
      </c>
      <c r="HV2" s="204" t="s">
        <v>5283</v>
      </c>
      <c r="HW2" s="204" t="s">
        <v>5282</v>
      </c>
      <c r="HX2" s="204" t="s">
        <v>5281</v>
      </c>
      <c r="HY2" s="204" t="s">
        <v>5280</v>
      </c>
      <c r="HZ2" s="204" t="s">
        <v>5279</v>
      </c>
      <c r="IA2" s="204" t="s">
        <v>5278</v>
      </c>
      <c r="IB2" s="204" t="s">
        <v>5277</v>
      </c>
      <c r="IC2" s="204" t="s">
        <v>5276</v>
      </c>
      <c r="ID2" s="204" t="s">
        <v>5275</v>
      </c>
      <c r="IE2" s="204" t="s">
        <v>5274</v>
      </c>
      <c r="IF2" s="204" t="s">
        <v>5273</v>
      </c>
      <c r="IG2" s="204" t="s">
        <v>5272</v>
      </c>
      <c r="IH2" s="204" t="s">
        <v>5271</v>
      </c>
      <c r="II2" s="204" t="s">
        <v>5270</v>
      </c>
      <c r="IJ2" s="204" t="s">
        <v>5269</v>
      </c>
      <c r="IK2" s="204" t="s">
        <v>5268</v>
      </c>
      <c r="IL2" s="204" t="s">
        <v>5267</v>
      </c>
      <c r="IM2" s="204" t="s">
        <v>5266</v>
      </c>
      <c r="IN2" s="204" t="s">
        <v>5265</v>
      </c>
      <c r="IO2" s="204" t="s">
        <v>5264</v>
      </c>
      <c r="IP2" s="204" t="s">
        <v>5263</v>
      </c>
      <c r="IQ2" s="204" t="s">
        <v>5262</v>
      </c>
      <c r="IR2" s="204" t="s">
        <v>5261</v>
      </c>
      <c r="IS2" s="204" t="s">
        <v>5260</v>
      </c>
      <c r="IT2" s="188" t="s">
        <v>5032</v>
      </c>
      <c r="IU2" s="204" t="s">
        <v>5259</v>
      </c>
      <c r="IV2" s="204" t="s">
        <v>5258</v>
      </c>
      <c r="IW2" s="204" t="s">
        <v>5257</v>
      </c>
      <c r="IX2" s="204" t="s">
        <v>5256</v>
      </c>
      <c r="IY2" s="204" t="s">
        <v>5255</v>
      </c>
      <c r="IZ2" s="204" t="s">
        <v>5254</v>
      </c>
      <c r="JA2" s="204" t="s">
        <v>5253</v>
      </c>
      <c r="JB2" s="204" t="s">
        <v>5252</v>
      </c>
      <c r="JC2" s="204" t="s">
        <v>5251</v>
      </c>
      <c r="JD2" s="204" t="s">
        <v>5250</v>
      </c>
      <c r="JE2" s="204" t="s">
        <v>5249</v>
      </c>
      <c r="JF2" s="204" t="s">
        <v>5248</v>
      </c>
      <c r="JG2" s="204" t="s">
        <v>5247</v>
      </c>
      <c r="JH2" s="204" t="s">
        <v>5246</v>
      </c>
      <c r="JI2" s="204" t="s">
        <v>5245</v>
      </c>
      <c r="JJ2" s="204" t="s">
        <v>5244</v>
      </c>
      <c r="JK2" s="204" t="s">
        <v>5243</v>
      </c>
      <c r="JL2" s="204" t="s">
        <v>5242</v>
      </c>
      <c r="JM2" s="204" t="s">
        <v>5241</v>
      </c>
      <c r="JN2" s="204" t="s">
        <v>5240</v>
      </c>
      <c r="JO2" s="204" t="s">
        <v>5239</v>
      </c>
      <c r="JP2" s="204" t="s">
        <v>5238</v>
      </c>
      <c r="JQ2" s="204" t="s">
        <v>5237</v>
      </c>
      <c r="JR2" s="204" t="s">
        <v>5236</v>
      </c>
      <c r="JS2" s="204" t="s">
        <v>5235</v>
      </c>
      <c r="JT2" s="204" t="s">
        <v>5234</v>
      </c>
      <c r="JU2" s="204" t="s">
        <v>5233</v>
      </c>
      <c r="JV2" s="204" t="s">
        <v>5232</v>
      </c>
      <c r="JW2" s="204" t="s">
        <v>5231</v>
      </c>
      <c r="JX2" s="204" t="s">
        <v>5230</v>
      </c>
      <c r="JY2" s="204" t="s">
        <v>5229</v>
      </c>
      <c r="JZ2" s="204" t="s">
        <v>5228</v>
      </c>
      <c r="KA2" s="204" t="s">
        <v>5227</v>
      </c>
      <c r="KB2" s="204" t="s">
        <v>5226</v>
      </c>
      <c r="KC2" s="207" t="s">
        <v>5225</v>
      </c>
      <c r="KD2" s="204" t="s">
        <v>5013</v>
      </c>
      <c r="KE2" s="204" t="s">
        <v>5224</v>
      </c>
      <c r="KF2" s="204" t="s">
        <v>5223</v>
      </c>
      <c r="KG2" s="204" t="s">
        <v>5222</v>
      </c>
      <c r="KH2" s="204" t="s">
        <v>5221</v>
      </c>
      <c r="KI2" s="204" t="s">
        <v>5220</v>
      </c>
      <c r="KJ2" s="204" t="s">
        <v>5219</v>
      </c>
      <c r="KK2" s="204" t="s">
        <v>5218</v>
      </c>
      <c r="KL2" s="204" t="s">
        <v>5217</v>
      </c>
      <c r="KM2" s="204" t="s">
        <v>5216</v>
      </c>
      <c r="KN2" s="204" t="s">
        <v>5215</v>
      </c>
      <c r="KO2" s="204" t="s">
        <v>5214</v>
      </c>
      <c r="KP2" s="204" t="s">
        <v>5213</v>
      </c>
      <c r="KQ2" s="204" t="s">
        <v>148</v>
      </c>
      <c r="KR2" s="204" t="s">
        <v>5212</v>
      </c>
      <c r="KS2" s="204" t="s">
        <v>5211</v>
      </c>
      <c r="KT2" s="204" t="s">
        <v>5210</v>
      </c>
      <c r="KU2" s="204" t="s">
        <v>5209</v>
      </c>
      <c r="KV2" s="204" t="s">
        <v>5208</v>
      </c>
      <c r="KW2" s="204" t="s">
        <v>5207</v>
      </c>
      <c r="KX2" s="204" t="s">
        <v>5206</v>
      </c>
      <c r="KY2" s="204" t="s">
        <v>5205</v>
      </c>
      <c r="KZ2" s="204" t="s">
        <v>5204</v>
      </c>
      <c r="LA2" s="204" t="s">
        <v>5203</v>
      </c>
      <c r="LB2" s="204" t="s">
        <v>5202</v>
      </c>
      <c r="LC2" s="204" t="s">
        <v>5201</v>
      </c>
      <c r="LD2" s="204" t="s">
        <v>5200</v>
      </c>
      <c r="LE2" s="204" t="s">
        <v>5199</v>
      </c>
      <c r="LF2" s="204" t="s">
        <v>5198</v>
      </c>
      <c r="LG2" s="204" t="s">
        <v>5197</v>
      </c>
      <c r="LH2" s="204" t="s">
        <v>4964</v>
      </c>
      <c r="LI2" s="204" t="s">
        <v>5196</v>
      </c>
      <c r="LJ2" s="204" t="s">
        <v>5195</v>
      </c>
      <c r="LK2" s="206" t="s">
        <v>5194</v>
      </c>
      <c r="LL2" s="206" t="s">
        <v>5193</v>
      </c>
      <c r="LM2" s="206" t="s">
        <v>5192</v>
      </c>
      <c r="LN2" s="206" t="s">
        <v>5191</v>
      </c>
      <c r="LO2" s="206" t="s">
        <v>5190</v>
      </c>
      <c r="LP2" s="204" t="s">
        <v>5189</v>
      </c>
      <c r="LQ2" s="204" t="s">
        <v>5188</v>
      </c>
      <c r="LR2" s="204" t="s">
        <v>5187</v>
      </c>
      <c r="LS2" s="204" t="s">
        <v>5186</v>
      </c>
      <c r="LT2" s="204" t="s">
        <v>5185</v>
      </c>
      <c r="LU2" s="206" t="s">
        <v>5184</v>
      </c>
      <c r="LV2" s="206" t="s">
        <v>5183</v>
      </c>
      <c r="LW2" s="206" t="s">
        <v>5182</v>
      </c>
      <c r="LX2" s="206" t="s">
        <v>5181</v>
      </c>
      <c r="LY2" s="206" t="s">
        <v>5180</v>
      </c>
      <c r="LZ2" s="206" t="s">
        <v>5179</v>
      </c>
      <c r="MA2" s="206" t="s">
        <v>5178</v>
      </c>
      <c r="MB2" s="206" t="s">
        <v>5177</v>
      </c>
      <c r="MC2" s="206" t="s">
        <v>5176</v>
      </c>
      <c r="MD2" s="206" t="s">
        <v>5175</v>
      </c>
      <c r="ME2" s="206" t="s">
        <v>5174</v>
      </c>
      <c r="MF2" s="206" t="s">
        <v>5173</v>
      </c>
      <c r="MG2" s="206" t="s">
        <v>5172</v>
      </c>
      <c r="MH2" s="204" t="s">
        <v>5171</v>
      </c>
      <c r="MI2" s="204" t="s">
        <v>5170</v>
      </c>
      <c r="MJ2" s="204" t="s">
        <v>5169</v>
      </c>
      <c r="MK2" s="204" t="s">
        <v>5168</v>
      </c>
      <c r="ML2" s="204" t="s">
        <v>5167</v>
      </c>
      <c r="MM2" s="204" t="s">
        <v>5166</v>
      </c>
      <c r="MN2" s="204" t="s">
        <v>5165</v>
      </c>
      <c r="MO2" s="204" t="s">
        <v>5164</v>
      </c>
      <c r="MP2" s="204" t="s">
        <v>5163</v>
      </c>
      <c r="MQ2" s="205" t="s">
        <v>5162</v>
      </c>
      <c r="MR2" s="205" t="s">
        <v>5161</v>
      </c>
      <c r="MS2" s="205" t="s">
        <v>5160</v>
      </c>
      <c r="MT2" s="205" t="s">
        <v>5159</v>
      </c>
      <c r="MU2" s="205" t="s">
        <v>5158</v>
      </c>
      <c r="MV2" s="205" t="s">
        <v>5157</v>
      </c>
      <c r="MW2" s="205" t="s">
        <v>5156</v>
      </c>
      <c r="MX2" s="205" t="s">
        <v>5155</v>
      </c>
      <c r="MY2" s="205" t="s">
        <v>5154</v>
      </c>
      <c r="MZ2" s="204" t="s">
        <v>1246</v>
      </c>
      <c r="NA2" s="204" t="s">
        <v>5153</v>
      </c>
      <c r="NB2" s="206" t="s">
        <v>5152</v>
      </c>
      <c r="NC2" s="206" t="s">
        <v>5151</v>
      </c>
      <c r="ND2" s="206" t="s">
        <v>5150</v>
      </c>
      <c r="NE2" s="206" t="s">
        <v>5149</v>
      </c>
      <c r="NF2" s="206" t="s">
        <v>5148</v>
      </c>
      <c r="NG2" s="204" t="s">
        <v>5147</v>
      </c>
      <c r="NH2" s="204" t="s">
        <v>5146</v>
      </c>
      <c r="NI2" s="204" t="s">
        <v>5145</v>
      </c>
      <c r="NJ2" s="204" t="s">
        <v>5144</v>
      </c>
      <c r="NK2" s="204" t="s">
        <v>5143</v>
      </c>
      <c r="NL2" s="205" t="s">
        <v>5142</v>
      </c>
      <c r="NM2" s="205" t="s">
        <v>5141</v>
      </c>
      <c r="NN2" s="205" t="s">
        <v>5140</v>
      </c>
      <c r="NO2" s="205" t="s">
        <v>5139</v>
      </c>
      <c r="NP2" s="205" t="s">
        <v>5138</v>
      </c>
      <c r="NQ2" s="204" t="s">
        <v>5137</v>
      </c>
      <c r="NR2" s="204" t="s">
        <v>4940</v>
      </c>
      <c r="NS2" s="129" t="s">
        <v>5136</v>
      </c>
      <c r="NT2" s="129" t="s">
        <v>5135</v>
      </c>
      <c r="NU2" s="129" t="s">
        <v>5134</v>
      </c>
      <c r="NV2" s="129" t="s">
        <v>5133</v>
      </c>
      <c r="NW2" s="129" t="s">
        <v>5132</v>
      </c>
      <c r="NX2" s="129" t="s">
        <v>5131</v>
      </c>
      <c r="NY2" s="129" t="s">
        <v>5130</v>
      </c>
      <c r="NZ2" s="129" t="s">
        <v>5129</v>
      </c>
      <c r="OA2" s="129" t="s">
        <v>5128</v>
      </c>
      <c r="OB2" s="129" t="s">
        <v>5127</v>
      </c>
      <c r="OC2" s="129" t="s">
        <v>5126</v>
      </c>
      <c r="OD2" s="129" t="s">
        <v>5125</v>
      </c>
      <c r="OE2" s="129" t="s">
        <v>4935</v>
      </c>
      <c r="OF2" s="129" t="s">
        <v>5124</v>
      </c>
      <c r="OG2" s="129" t="s">
        <v>5123</v>
      </c>
      <c r="OH2" s="129" t="s">
        <v>5122</v>
      </c>
      <c r="OI2" s="129" t="s">
        <v>5121</v>
      </c>
      <c r="OJ2" s="129" t="s">
        <v>5120</v>
      </c>
      <c r="OK2" s="129" t="s">
        <v>5119</v>
      </c>
      <c r="OL2" s="129" t="s">
        <v>5118</v>
      </c>
      <c r="OM2" s="129" t="s">
        <v>5117</v>
      </c>
      <c r="ON2" s="129" t="s">
        <v>5116</v>
      </c>
      <c r="OO2" s="129" t="s">
        <v>5115</v>
      </c>
      <c r="OP2" s="131" t="s">
        <v>169</v>
      </c>
      <c r="OQ2" s="198" t="s">
        <v>5114</v>
      </c>
      <c r="OR2" s="198" t="s">
        <v>5113</v>
      </c>
      <c r="OS2" s="198" t="s">
        <v>5112</v>
      </c>
      <c r="OT2" s="198" t="s">
        <v>5111</v>
      </c>
      <c r="OU2" s="198" t="s">
        <v>5110</v>
      </c>
      <c r="OV2" s="198" t="s">
        <v>5109</v>
      </c>
      <c r="OW2" s="198" t="s">
        <v>5108</v>
      </c>
      <c r="OX2" s="198" t="s">
        <v>5107</v>
      </c>
      <c r="OY2" s="198" t="s">
        <v>5106</v>
      </c>
      <c r="OZ2" s="198" t="s">
        <v>5105</v>
      </c>
      <c r="PA2" s="198" t="s">
        <v>5104</v>
      </c>
      <c r="PB2" s="198" t="s">
        <v>5103</v>
      </c>
      <c r="PC2" s="198" t="s">
        <v>5102</v>
      </c>
      <c r="PD2" s="198" t="s">
        <v>5101</v>
      </c>
      <c r="PE2" s="198" t="s">
        <v>5100</v>
      </c>
      <c r="PF2" s="198" t="s">
        <v>5099</v>
      </c>
      <c r="PG2" s="198" t="s">
        <v>5098</v>
      </c>
      <c r="PH2" s="198" t="s">
        <v>5097</v>
      </c>
      <c r="PI2" s="198" t="s">
        <v>5096</v>
      </c>
      <c r="PJ2" s="198" t="s">
        <v>5095</v>
      </c>
      <c r="PK2" s="198" t="s">
        <v>5094</v>
      </c>
      <c r="PL2" s="198" t="s">
        <v>5093</v>
      </c>
      <c r="PM2" s="198" t="s">
        <v>5092</v>
      </c>
      <c r="PN2" s="198" t="s">
        <v>5091</v>
      </c>
      <c r="PO2" s="198" t="s">
        <v>5090</v>
      </c>
      <c r="PP2" s="198" t="s">
        <v>5089</v>
      </c>
      <c r="PQ2" s="198" t="s">
        <v>5088</v>
      </c>
      <c r="PR2" s="198" t="s">
        <v>5087</v>
      </c>
      <c r="PS2" s="198" t="s">
        <v>5086</v>
      </c>
      <c r="PT2" s="198" t="s">
        <v>5085</v>
      </c>
      <c r="PU2" s="198" t="s">
        <v>5084</v>
      </c>
      <c r="PV2" s="198" t="s">
        <v>5083</v>
      </c>
      <c r="PW2" s="198" t="s">
        <v>5082</v>
      </c>
      <c r="PX2" s="198" t="s">
        <v>5081</v>
      </c>
      <c r="PY2" s="198" t="s">
        <v>5080</v>
      </c>
      <c r="PZ2" s="198" t="s">
        <v>5079</v>
      </c>
      <c r="QA2" s="198" t="s">
        <v>5078</v>
      </c>
      <c r="QB2" s="198" t="s">
        <v>5077</v>
      </c>
      <c r="QC2" s="198" t="s">
        <v>5076</v>
      </c>
      <c r="QD2" s="198" t="s">
        <v>5075</v>
      </c>
      <c r="QE2" s="198" t="s">
        <v>5074</v>
      </c>
      <c r="QF2" s="198" t="s">
        <v>5073</v>
      </c>
      <c r="QG2" s="198" t="s">
        <v>5072</v>
      </c>
      <c r="QH2" s="198" t="s">
        <v>5071</v>
      </c>
      <c r="QI2" s="198" t="s">
        <v>5070</v>
      </c>
      <c r="QJ2" s="198" t="s">
        <v>5069</v>
      </c>
      <c r="QK2" s="198" t="s">
        <v>5068</v>
      </c>
      <c r="QL2" s="198" t="s">
        <v>5067</v>
      </c>
      <c r="QM2" s="198" t="s">
        <v>5066</v>
      </c>
      <c r="QN2" s="198" t="s">
        <v>5065</v>
      </c>
      <c r="QO2" s="198" t="s">
        <v>5064</v>
      </c>
      <c r="QP2" s="198" t="s">
        <v>5063</v>
      </c>
      <c r="QQ2" s="198" t="s">
        <v>5062</v>
      </c>
      <c r="QR2" s="198" t="s">
        <v>5061</v>
      </c>
      <c r="QS2" s="198" t="s">
        <v>5060</v>
      </c>
      <c r="QT2" s="198" t="s">
        <v>5059</v>
      </c>
      <c r="QU2" s="198" t="s">
        <v>5058</v>
      </c>
      <c r="QV2" s="198" t="s">
        <v>5057</v>
      </c>
      <c r="QW2" s="198" t="s">
        <v>5056</v>
      </c>
      <c r="QX2" s="198" t="s">
        <v>5055</v>
      </c>
      <c r="QY2" s="198" t="s">
        <v>5054</v>
      </c>
      <c r="QZ2" s="198" t="s">
        <v>5053</v>
      </c>
      <c r="RA2" s="198" t="s">
        <v>5052</v>
      </c>
      <c r="RB2" s="198" t="s">
        <v>5051</v>
      </c>
      <c r="RC2" s="198" t="s">
        <v>5050</v>
      </c>
      <c r="RD2" s="195" t="s">
        <v>5049</v>
      </c>
      <c r="RE2" s="195" t="s">
        <v>5048</v>
      </c>
      <c r="RF2" s="195" t="s">
        <v>5047</v>
      </c>
      <c r="RG2" s="195" t="s">
        <v>5046</v>
      </c>
      <c r="RH2" s="195" t="s">
        <v>5045</v>
      </c>
      <c r="RI2" s="195" t="s">
        <v>5044</v>
      </c>
      <c r="RJ2" s="195" t="s">
        <v>5043</v>
      </c>
      <c r="RK2" s="198" t="s">
        <v>5042</v>
      </c>
      <c r="RL2" s="203" t="s">
        <v>5041</v>
      </c>
      <c r="RM2" s="202" t="s">
        <v>5040</v>
      </c>
      <c r="RN2" s="134" t="s">
        <v>5039</v>
      </c>
      <c r="RO2" s="134" t="s">
        <v>5038</v>
      </c>
      <c r="RP2" s="134" t="s">
        <v>5037</v>
      </c>
      <c r="RQ2" s="134" t="s">
        <v>5036</v>
      </c>
      <c r="RR2" s="134" t="s">
        <v>5035</v>
      </c>
      <c r="RS2" s="134" t="s">
        <v>5034</v>
      </c>
      <c r="RT2" s="134" t="s">
        <v>5033</v>
      </c>
      <c r="RU2" s="201" t="s">
        <v>5032</v>
      </c>
      <c r="RV2" s="198" t="s">
        <v>5031</v>
      </c>
      <c r="RW2" s="198" t="s">
        <v>5030</v>
      </c>
      <c r="RX2" s="198" t="s">
        <v>5029</v>
      </c>
      <c r="RY2" s="198" t="s">
        <v>5028</v>
      </c>
      <c r="RZ2" s="198" t="s">
        <v>5027</v>
      </c>
      <c r="SA2" s="198" t="s">
        <v>5026</v>
      </c>
      <c r="SB2" s="198" t="s">
        <v>5025</v>
      </c>
      <c r="SC2" s="198" t="s">
        <v>5024</v>
      </c>
      <c r="SD2" s="198" t="s">
        <v>5023</v>
      </c>
      <c r="SE2" s="198" t="s">
        <v>5022</v>
      </c>
      <c r="SF2" s="198" t="s">
        <v>5021</v>
      </c>
      <c r="SG2" s="198" t="s">
        <v>5020</v>
      </c>
      <c r="SH2" s="198" t="s">
        <v>5019</v>
      </c>
      <c r="SI2" s="198" t="s">
        <v>5018</v>
      </c>
      <c r="SJ2" s="198" t="s">
        <v>5017</v>
      </c>
      <c r="SK2" s="198" t="s">
        <v>5016</v>
      </c>
      <c r="SL2" s="198" t="s">
        <v>5015</v>
      </c>
      <c r="SM2" s="198" t="s">
        <v>5014</v>
      </c>
      <c r="SN2" s="198" t="s">
        <v>5013</v>
      </c>
      <c r="SO2" s="198" t="s">
        <v>5012</v>
      </c>
      <c r="SP2" s="198" t="s">
        <v>5011</v>
      </c>
      <c r="SQ2" s="198" t="s">
        <v>5010</v>
      </c>
      <c r="SR2" s="198" t="s">
        <v>5009</v>
      </c>
      <c r="SS2" s="198" t="s">
        <v>5008</v>
      </c>
      <c r="ST2" s="198" t="s">
        <v>5007</v>
      </c>
      <c r="SU2" s="198" t="s">
        <v>5006</v>
      </c>
      <c r="SV2" s="198" t="s">
        <v>5005</v>
      </c>
      <c r="SW2" s="198" t="s">
        <v>148</v>
      </c>
      <c r="SX2" s="198" t="s">
        <v>5004</v>
      </c>
      <c r="SY2" s="198" t="s">
        <v>5003</v>
      </c>
      <c r="SZ2" s="198" t="s">
        <v>5002</v>
      </c>
      <c r="TA2" s="198" t="s">
        <v>5001</v>
      </c>
      <c r="TB2" s="198" t="s">
        <v>5000</v>
      </c>
      <c r="TC2" s="195" t="s">
        <v>4999</v>
      </c>
      <c r="TD2" s="200" t="s">
        <v>4998</v>
      </c>
      <c r="TE2" s="199" t="s">
        <v>4997</v>
      </c>
      <c r="TF2" s="199" t="s">
        <v>4996</v>
      </c>
      <c r="TG2" s="194" t="s">
        <v>4995</v>
      </c>
      <c r="TH2" s="198" t="s">
        <v>4994</v>
      </c>
      <c r="TI2" s="198" t="s">
        <v>4993</v>
      </c>
      <c r="TJ2" s="195" t="s">
        <v>4992</v>
      </c>
      <c r="TK2" s="195" t="s">
        <v>4991</v>
      </c>
      <c r="TL2" s="195" t="s">
        <v>4990</v>
      </c>
      <c r="TM2" s="195" t="s">
        <v>4989</v>
      </c>
      <c r="TN2" s="195" t="s">
        <v>4988</v>
      </c>
      <c r="TO2" s="195" t="s">
        <v>4987</v>
      </c>
      <c r="TP2" s="195" t="s">
        <v>4986</v>
      </c>
      <c r="TQ2" s="195" t="s">
        <v>4985</v>
      </c>
      <c r="TR2" s="198" t="s">
        <v>4984</v>
      </c>
      <c r="TS2" s="198" t="s">
        <v>4983</v>
      </c>
      <c r="TT2" s="198" t="s">
        <v>4982</v>
      </c>
      <c r="TU2" s="198" t="s">
        <v>4981</v>
      </c>
      <c r="TV2" s="198" t="s">
        <v>4980</v>
      </c>
      <c r="TW2" s="198" t="s">
        <v>4979</v>
      </c>
      <c r="TX2" s="199" t="s">
        <v>4978</v>
      </c>
      <c r="TY2" s="199" t="s">
        <v>4977</v>
      </c>
      <c r="TZ2" s="199" t="s">
        <v>4976</v>
      </c>
      <c r="UA2" s="195" t="s">
        <v>4975</v>
      </c>
      <c r="UB2" s="198" t="s">
        <v>4974</v>
      </c>
      <c r="UC2" s="198" t="s">
        <v>4973</v>
      </c>
      <c r="UD2" s="198" t="s">
        <v>4972</v>
      </c>
      <c r="UE2" s="198" t="s">
        <v>4971</v>
      </c>
      <c r="UF2" s="198" t="s">
        <v>4970</v>
      </c>
      <c r="UG2" s="198" t="s">
        <v>4969</v>
      </c>
      <c r="UH2" s="198" t="s">
        <v>4968</v>
      </c>
      <c r="UI2" s="198" t="s">
        <v>4967</v>
      </c>
      <c r="UJ2" s="198" t="s">
        <v>4966</v>
      </c>
      <c r="UK2" s="198" t="s">
        <v>4965</v>
      </c>
      <c r="UL2" s="198" t="s">
        <v>4964</v>
      </c>
      <c r="UM2" s="198" t="s">
        <v>4963</v>
      </c>
      <c r="UN2" s="198" t="s">
        <v>4962</v>
      </c>
      <c r="UO2" s="198" t="s">
        <v>4961</v>
      </c>
      <c r="UP2" s="198" t="s">
        <v>4960</v>
      </c>
      <c r="UQ2" s="198" t="s">
        <v>4959</v>
      </c>
      <c r="UR2" s="198" t="s">
        <v>4958</v>
      </c>
      <c r="US2" s="198" t="s">
        <v>4957</v>
      </c>
      <c r="UT2" s="198" t="s">
        <v>4956</v>
      </c>
      <c r="UU2" s="198" t="s">
        <v>4955</v>
      </c>
      <c r="UV2" s="198" t="s">
        <v>4954</v>
      </c>
      <c r="UW2" s="198" t="s">
        <v>4953</v>
      </c>
      <c r="UX2" s="198" t="s">
        <v>4952</v>
      </c>
      <c r="UY2" s="198" t="s">
        <v>4951</v>
      </c>
      <c r="UZ2" s="198" t="s">
        <v>4950</v>
      </c>
      <c r="VA2" s="198" t="s">
        <v>4949</v>
      </c>
      <c r="VB2" s="198" t="s">
        <v>4948</v>
      </c>
      <c r="VC2" s="198" t="s">
        <v>4947</v>
      </c>
      <c r="VD2" s="198" t="s">
        <v>4946</v>
      </c>
      <c r="VE2" s="198" t="s">
        <v>3943</v>
      </c>
      <c r="VF2" s="198" t="s">
        <v>4945</v>
      </c>
      <c r="VG2" s="198" t="s">
        <v>4944</v>
      </c>
      <c r="VH2" s="198" t="s">
        <v>4943</v>
      </c>
      <c r="VI2" s="198" t="s">
        <v>4942</v>
      </c>
      <c r="VJ2" s="198" t="s">
        <v>4941</v>
      </c>
      <c r="VK2" s="198" t="s">
        <v>4940</v>
      </c>
      <c r="VL2" s="197" t="s">
        <v>4939</v>
      </c>
      <c r="VM2" s="197" t="s">
        <v>4938</v>
      </c>
      <c r="VN2" s="197" t="s">
        <v>4937</v>
      </c>
      <c r="VO2" s="197" t="s">
        <v>4936</v>
      </c>
      <c r="VP2" s="129" t="s">
        <v>4935</v>
      </c>
      <c r="VQ2" s="131" t="s">
        <v>4934</v>
      </c>
      <c r="VR2" s="196" t="s">
        <v>4933</v>
      </c>
      <c r="VS2" s="196" t="s">
        <v>4932</v>
      </c>
      <c r="VT2" s="196" t="s">
        <v>4931</v>
      </c>
      <c r="VU2" s="196" t="s">
        <v>4930</v>
      </c>
      <c r="VV2" s="196" t="s">
        <v>4929</v>
      </c>
      <c r="VW2" s="196" t="s">
        <v>4928</v>
      </c>
      <c r="VX2" s="196" t="s">
        <v>4927</v>
      </c>
      <c r="VY2" s="196" t="s">
        <v>4926</v>
      </c>
      <c r="VZ2" s="196" t="s">
        <v>4925</v>
      </c>
      <c r="WA2" s="196" t="s">
        <v>4924</v>
      </c>
      <c r="WB2" s="196" t="s">
        <v>4923</v>
      </c>
      <c r="WC2" s="196" t="s">
        <v>4922</v>
      </c>
      <c r="WD2" s="196" t="s">
        <v>4921</v>
      </c>
      <c r="WE2" s="196" t="s">
        <v>4920</v>
      </c>
      <c r="WF2" s="196" t="s">
        <v>4919</v>
      </c>
      <c r="WG2" s="196" t="s">
        <v>4918</v>
      </c>
      <c r="WH2" s="196" t="s">
        <v>4917</v>
      </c>
      <c r="WI2" s="196" t="s">
        <v>4916</v>
      </c>
      <c r="WJ2" s="196" t="s">
        <v>4915</v>
      </c>
      <c r="WK2" s="196" t="s">
        <v>4914</v>
      </c>
      <c r="WL2" s="196" t="s">
        <v>4913</v>
      </c>
      <c r="WM2" s="196" t="s">
        <v>4912</v>
      </c>
      <c r="WN2" s="196" t="s">
        <v>4911</v>
      </c>
      <c r="WO2" s="196" t="s">
        <v>4910</v>
      </c>
      <c r="WP2" s="196" t="s">
        <v>4909</v>
      </c>
      <c r="WQ2" s="196" t="s">
        <v>4908</v>
      </c>
      <c r="WR2" s="196" t="s">
        <v>4907</v>
      </c>
      <c r="WS2" s="196" t="s">
        <v>4906</v>
      </c>
      <c r="WT2" s="196" t="s">
        <v>4905</v>
      </c>
      <c r="WU2" s="196" t="s">
        <v>4904</v>
      </c>
      <c r="WV2" s="196" t="s">
        <v>4903</v>
      </c>
      <c r="WW2" s="196" t="s">
        <v>4902</v>
      </c>
      <c r="WX2" s="196" t="s">
        <v>4901</v>
      </c>
      <c r="WY2" s="196" t="s">
        <v>4900</v>
      </c>
      <c r="WZ2" s="196" t="s">
        <v>4899</v>
      </c>
      <c r="XA2" s="196" t="s">
        <v>4898</v>
      </c>
      <c r="XB2" s="196" t="s">
        <v>4897</v>
      </c>
      <c r="XC2" s="196" t="s">
        <v>4896</v>
      </c>
      <c r="XD2" s="196" t="s">
        <v>4895</v>
      </c>
      <c r="XE2" s="196" t="s">
        <v>4894</v>
      </c>
      <c r="XF2" s="196" t="s">
        <v>4893</v>
      </c>
      <c r="XG2" s="196" t="s">
        <v>4892</v>
      </c>
      <c r="XH2" s="196" t="s">
        <v>4891</v>
      </c>
      <c r="XI2" s="196" t="s">
        <v>4890</v>
      </c>
      <c r="XJ2" s="196" t="s">
        <v>4889</v>
      </c>
      <c r="XK2" s="196" t="s">
        <v>4888</v>
      </c>
      <c r="XL2" s="196" t="s">
        <v>4887</v>
      </c>
      <c r="XM2" s="196" t="s">
        <v>4886</v>
      </c>
      <c r="XN2" s="196" t="s">
        <v>4885</v>
      </c>
      <c r="XO2" s="196" t="s">
        <v>4884</v>
      </c>
      <c r="XP2" s="196" t="s">
        <v>4883</v>
      </c>
      <c r="XQ2" s="196" t="s">
        <v>4882</v>
      </c>
      <c r="XR2" s="196" t="s">
        <v>4881</v>
      </c>
      <c r="XS2" s="196" t="s">
        <v>4880</v>
      </c>
      <c r="XT2" s="196" t="s">
        <v>4879</v>
      </c>
      <c r="XU2" s="196" t="s">
        <v>4878</v>
      </c>
      <c r="XV2" s="196" t="s">
        <v>4877</v>
      </c>
      <c r="XW2" s="196" t="s">
        <v>4876</v>
      </c>
      <c r="XX2" s="196" t="s">
        <v>4875</v>
      </c>
      <c r="XY2" s="196" t="s">
        <v>4874</v>
      </c>
      <c r="XZ2" s="196" t="s">
        <v>4873</v>
      </c>
      <c r="YA2" s="196" t="s">
        <v>4872</v>
      </c>
      <c r="YB2" s="196" t="s">
        <v>4871</v>
      </c>
      <c r="YC2" s="196" t="s">
        <v>4870</v>
      </c>
      <c r="YD2" s="196" t="s">
        <v>4869</v>
      </c>
      <c r="YE2" s="196" t="s">
        <v>4868</v>
      </c>
      <c r="YF2" s="196" t="s">
        <v>4867</v>
      </c>
      <c r="YG2" s="196" t="s">
        <v>4866</v>
      </c>
      <c r="YH2" s="196" t="s">
        <v>4865</v>
      </c>
      <c r="YI2" s="196" t="s">
        <v>4864</v>
      </c>
      <c r="YJ2" s="196" t="s">
        <v>4863</v>
      </c>
      <c r="YK2" s="196" t="s">
        <v>4862</v>
      </c>
      <c r="YL2" s="196" t="s">
        <v>4861</v>
      </c>
      <c r="YM2" s="196" t="s">
        <v>4860</v>
      </c>
      <c r="YN2" s="196" t="s">
        <v>4859</v>
      </c>
      <c r="YO2" s="196" t="s">
        <v>4858</v>
      </c>
      <c r="YP2" s="196" t="s">
        <v>4857</v>
      </c>
      <c r="YQ2" s="196" t="s">
        <v>4856</v>
      </c>
      <c r="YR2" s="196" t="s">
        <v>4855</v>
      </c>
      <c r="YS2" s="196" t="s">
        <v>4854</v>
      </c>
      <c r="YT2" s="196" t="s">
        <v>4853</v>
      </c>
      <c r="YU2" s="196" t="s">
        <v>4852</v>
      </c>
      <c r="YV2" s="196" t="s">
        <v>4851</v>
      </c>
      <c r="YW2" s="196" t="s">
        <v>4850</v>
      </c>
      <c r="YX2" s="196" t="s">
        <v>4849</v>
      </c>
      <c r="YY2" s="196" t="s">
        <v>4848</v>
      </c>
      <c r="YZ2" s="196" t="s">
        <v>4847</v>
      </c>
      <c r="ZA2" s="196" t="s">
        <v>4846</v>
      </c>
      <c r="ZB2" s="196" t="s">
        <v>4845</v>
      </c>
      <c r="ZC2" s="196" t="s">
        <v>4844</v>
      </c>
      <c r="ZD2" s="196" t="s">
        <v>4843</v>
      </c>
      <c r="ZE2" s="196" t="s">
        <v>4842</v>
      </c>
      <c r="ZF2" s="196" t="s">
        <v>4841</v>
      </c>
      <c r="ZG2" s="196" t="s">
        <v>4840</v>
      </c>
      <c r="ZH2" s="196" t="s">
        <v>4839</v>
      </c>
      <c r="ZI2" s="196" t="s">
        <v>4838</v>
      </c>
      <c r="ZJ2" s="196" t="s">
        <v>4837</v>
      </c>
      <c r="ZK2" s="196" t="s">
        <v>4836</v>
      </c>
      <c r="ZL2" s="196" t="s">
        <v>4835</v>
      </c>
      <c r="ZM2" s="196" t="s">
        <v>4834</v>
      </c>
      <c r="ZN2" s="196" t="s">
        <v>4833</v>
      </c>
      <c r="ZO2" s="196" t="s">
        <v>4832</v>
      </c>
      <c r="ZP2" s="196" t="s">
        <v>4831</v>
      </c>
      <c r="ZQ2" s="196" t="s">
        <v>4830</v>
      </c>
      <c r="ZR2" s="196" t="s">
        <v>4829</v>
      </c>
      <c r="ZS2" s="196" t="s">
        <v>4828</v>
      </c>
      <c r="ZT2" s="196" t="s">
        <v>4827</v>
      </c>
      <c r="ZU2" s="196" t="s">
        <v>4826</v>
      </c>
      <c r="ZV2" s="196" t="s">
        <v>4825</v>
      </c>
      <c r="ZW2" s="196" t="s">
        <v>4824</v>
      </c>
      <c r="ZX2" s="196" t="s">
        <v>4823</v>
      </c>
      <c r="ZY2" s="196" t="s">
        <v>4822</v>
      </c>
      <c r="ZZ2" s="196" t="s">
        <v>4821</v>
      </c>
      <c r="AAA2" s="196" t="s">
        <v>4820</v>
      </c>
      <c r="AAB2" s="196" t="s">
        <v>4819</v>
      </c>
      <c r="AAC2" s="196" t="s">
        <v>4818</v>
      </c>
      <c r="AAD2" s="196" t="s">
        <v>4817</v>
      </c>
      <c r="AAE2" s="196" t="s">
        <v>4816</v>
      </c>
      <c r="AAF2" s="196" t="s">
        <v>4815</v>
      </c>
      <c r="AAG2" s="196" t="s">
        <v>4814</v>
      </c>
      <c r="AAH2" s="196" t="s">
        <v>4813</v>
      </c>
      <c r="AAI2" s="131" t="s">
        <v>4812</v>
      </c>
      <c r="AAJ2" s="196" t="s">
        <v>4811</v>
      </c>
      <c r="AAK2" s="196" t="s">
        <v>4810</v>
      </c>
      <c r="AAL2" s="196" t="s">
        <v>4809</v>
      </c>
      <c r="AAM2" s="196" t="s">
        <v>4808</v>
      </c>
      <c r="AAN2" s="196" t="s">
        <v>4807</v>
      </c>
      <c r="AAO2" s="196" t="s">
        <v>4806</v>
      </c>
      <c r="AAP2" s="196" t="s">
        <v>4805</v>
      </c>
      <c r="AAQ2" s="196" t="s">
        <v>4804</v>
      </c>
      <c r="AAR2" s="196" t="s">
        <v>4803</v>
      </c>
      <c r="AAS2" s="196" t="s">
        <v>4802</v>
      </c>
      <c r="AAT2" s="196" t="s">
        <v>4801</v>
      </c>
      <c r="AAU2" s="196" t="s">
        <v>4800</v>
      </c>
      <c r="AAV2" s="196" t="s">
        <v>4799</v>
      </c>
      <c r="AAW2" s="196" t="s">
        <v>4798</v>
      </c>
      <c r="AAX2" s="196" t="s">
        <v>4797</v>
      </c>
      <c r="AAY2" s="196" t="s">
        <v>4796</v>
      </c>
      <c r="AAZ2" s="196" t="s">
        <v>4795</v>
      </c>
      <c r="ABA2" s="196" t="s">
        <v>4794</v>
      </c>
      <c r="ABB2" s="196" t="s">
        <v>4793</v>
      </c>
      <c r="ABC2" s="196" t="s">
        <v>4792</v>
      </c>
      <c r="ABD2" s="196" t="s">
        <v>4791</v>
      </c>
      <c r="ABE2" s="196" t="s">
        <v>4790</v>
      </c>
      <c r="ABF2" s="196" t="s">
        <v>4789</v>
      </c>
      <c r="ABG2" s="196" t="s">
        <v>4788</v>
      </c>
      <c r="ABH2" s="196" t="s">
        <v>4787</v>
      </c>
      <c r="ABI2" s="196" t="s">
        <v>4786</v>
      </c>
      <c r="ABJ2" s="196" t="s">
        <v>4785</v>
      </c>
      <c r="ABK2" s="196" t="s">
        <v>4784</v>
      </c>
      <c r="ABL2" s="196" t="s">
        <v>4783</v>
      </c>
      <c r="ABM2" s="196" t="s">
        <v>4782</v>
      </c>
      <c r="ABN2" s="196" t="s">
        <v>4781</v>
      </c>
      <c r="ABO2" s="196" t="s">
        <v>4780</v>
      </c>
      <c r="ABP2" s="196" t="s">
        <v>4779</v>
      </c>
      <c r="ABQ2" s="196" t="s">
        <v>4778</v>
      </c>
      <c r="ABR2" s="196" t="s">
        <v>4777</v>
      </c>
      <c r="ABS2" s="196" t="s">
        <v>4776</v>
      </c>
      <c r="ABT2" s="196" t="s">
        <v>4775</v>
      </c>
      <c r="ABU2" s="196" t="s">
        <v>4774</v>
      </c>
      <c r="ABV2" s="196" t="s">
        <v>4773</v>
      </c>
      <c r="ABW2" s="196" t="s">
        <v>4772</v>
      </c>
      <c r="ABX2" s="196" t="s">
        <v>4771</v>
      </c>
      <c r="ABY2" s="196" t="s">
        <v>4770</v>
      </c>
      <c r="ABZ2" s="196" t="s">
        <v>4769</v>
      </c>
      <c r="ACA2" s="196" t="s">
        <v>4768</v>
      </c>
      <c r="ACB2" s="196" t="s">
        <v>4767</v>
      </c>
      <c r="ACC2" s="196" t="s">
        <v>4766</v>
      </c>
      <c r="ACD2" s="196" t="s">
        <v>4765</v>
      </c>
      <c r="ACE2" s="196" t="s">
        <v>4764</v>
      </c>
      <c r="ACF2" s="196" t="s">
        <v>4763</v>
      </c>
      <c r="ACG2" s="196" t="s">
        <v>4762</v>
      </c>
      <c r="ACH2" s="196" t="s">
        <v>4761</v>
      </c>
      <c r="ACI2" s="196" t="s">
        <v>4760</v>
      </c>
      <c r="ACJ2" s="196" t="s">
        <v>4759</v>
      </c>
      <c r="ACK2" s="196" t="s">
        <v>4758</v>
      </c>
      <c r="ACL2" s="196" t="s">
        <v>4757</v>
      </c>
      <c r="ACM2" s="196" t="s">
        <v>4756</v>
      </c>
      <c r="ACN2" s="196" t="s">
        <v>4755</v>
      </c>
      <c r="ACO2" s="196" t="s">
        <v>4754</v>
      </c>
      <c r="ACP2" s="196" t="s">
        <v>4753</v>
      </c>
      <c r="ACQ2" s="196" t="s">
        <v>4752</v>
      </c>
      <c r="ACR2" s="196" t="s">
        <v>4751</v>
      </c>
      <c r="ACS2" s="196" t="s">
        <v>4750</v>
      </c>
      <c r="ACT2" s="196" t="s">
        <v>4749</v>
      </c>
      <c r="ACU2" s="196" t="s">
        <v>4748</v>
      </c>
      <c r="ACV2" s="196" t="s">
        <v>4747</v>
      </c>
      <c r="ACW2" s="196" t="s">
        <v>4746</v>
      </c>
      <c r="ACX2" s="196" t="s">
        <v>4745</v>
      </c>
      <c r="ACY2" s="196" t="s">
        <v>4744</v>
      </c>
      <c r="ACZ2" s="196" t="s">
        <v>4743</v>
      </c>
      <c r="ADA2" s="196" t="s">
        <v>4742</v>
      </c>
      <c r="ADB2" s="196" t="s">
        <v>4741</v>
      </c>
      <c r="ADC2" s="196" t="s">
        <v>4740</v>
      </c>
      <c r="ADD2" s="196" t="s">
        <v>4739</v>
      </c>
      <c r="ADE2" s="196" t="s">
        <v>4738</v>
      </c>
      <c r="ADF2" s="196" t="s">
        <v>4737</v>
      </c>
      <c r="ADG2" s="196" t="s">
        <v>4736</v>
      </c>
      <c r="ADH2" s="196" t="s">
        <v>4735</v>
      </c>
      <c r="ADI2" s="196" t="s">
        <v>4734</v>
      </c>
      <c r="ADJ2" s="196" t="s">
        <v>4733</v>
      </c>
      <c r="ADK2" s="196" t="s">
        <v>4732</v>
      </c>
      <c r="ADL2" s="196" t="s">
        <v>4731</v>
      </c>
      <c r="ADM2" s="196" t="s">
        <v>4730</v>
      </c>
      <c r="ADN2" s="196" t="s">
        <v>4729</v>
      </c>
      <c r="ADO2" s="196" t="s">
        <v>4728</v>
      </c>
      <c r="ADP2" s="196" t="s">
        <v>4727</v>
      </c>
      <c r="ADQ2" s="196" t="s">
        <v>4726</v>
      </c>
      <c r="ADR2" s="196" t="s">
        <v>4725</v>
      </c>
      <c r="ADS2" s="196" t="s">
        <v>4724</v>
      </c>
      <c r="ADT2" s="196" t="s">
        <v>4723</v>
      </c>
      <c r="ADU2" s="196" t="s">
        <v>4722</v>
      </c>
      <c r="ADV2" s="196" t="s">
        <v>4721</v>
      </c>
      <c r="ADW2" s="196" t="s">
        <v>4720</v>
      </c>
      <c r="ADX2" s="196" t="s">
        <v>4719</v>
      </c>
      <c r="ADY2" s="196" t="s">
        <v>4718</v>
      </c>
      <c r="ADZ2" s="196" t="s">
        <v>4717</v>
      </c>
      <c r="AEA2" s="196" t="s">
        <v>4716</v>
      </c>
      <c r="AEB2" s="196" t="s">
        <v>4715</v>
      </c>
      <c r="AEC2" s="196" t="s">
        <v>4714</v>
      </c>
      <c r="AED2" s="196" t="s">
        <v>4713</v>
      </c>
      <c r="AEE2" s="196" t="s">
        <v>4712</v>
      </c>
      <c r="AEF2" s="196" t="s">
        <v>4711</v>
      </c>
      <c r="AEG2" s="196" t="s">
        <v>4710</v>
      </c>
      <c r="AEH2" s="196" t="s">
        <v>4709</v>
      </c>
      <c r="AEI2" s="196" t="s">
        <v>4708</v>
      </c>
      <c r="AEJ2" s="196" t="s">
        <v>4707</v>
      </c>
      <c r="AEK2" s="196" t="s">
        <v>4706</v>
      </c>
      <c r="AEL2" s="196" t="s">
        <v>4705</v>
      </c>
      <c r="AEM2" s="196" t="s">
        <v>4704</v>
      </c>
      <c r="AEN2" s="196" t="s">
        <v>4703</v>
      </c>
      <c r="AEO2" s="196" t="s">
        <v>4702</v>
      </c>
      <c r="AEP2" s="196" t="s">
        <v>4701</v>
      </c>
      <c r="AEQ2" s="196" t="s">
        <v>4700</v>
      </c>
      <c r="AER2" s="196" t="s">
        <v>4699</v>
      </c>
      <c r="AES2" s="196" t="s">
        <v>4698</v>
      </c>
      <c r="AET2" s="196" t="s">
        <v>4697</v>
      </c>
      <c r="AEU2" s="196" t="s">
        <v>4696</v>
      </c>
      <c r="AEV2" s="196" t="s">
        <v>4695</v>
      </c>
      <c r="AEW2" s="196" t="s">
        <v>4694</v>
      </c>
      <c r="AEX2" s="196" t="s">
        <v>4693</v>
      </c>
      <c r="AEY2" s="196" t="s">
        <v>4692</v>
      </c>
      <c r="AEZ2" s="196" t="s">
        <v>4691</v>
      </c>
      <c r="AFA2" s="196" t="s">
        <v>4690</v>
      </c>
      <c r="AFB2" s="196" t="s">
        <v>4689</v>
      </c>
      <c r="AFC2" s="196" t="s">
        <v>4688</v>
      </c>
      <c r="AFD2" s="196" t="s">
        <v>4687</v>
      </c>
      <c r="AFE2" s="196" t="s">
        <v>4686</v>
      </c>
      <c r="AFF2" s="196" t="s">
        <v>4685</v>
      </c>
      <c r="AFG2" s="196" t="s">
        <v>4684</v>
      </c>
      <c r="AFH2" s="196" t="s">
        <v>4683</v>
      </c>
      <c r="AFI2" s="196" t="s">
        <v>4682</v>
      </c>
      <c r="AFJ2" s="196" t="s">
        <v>4681</v>
      </c>
      <c r="AFK2" s="196" t="s">
        <v>4680</v>
      </c>
      <c r="AFL2" s="195" t="s">
        <v>4679</v>
      </c>
      <c r="AFM2" s="131" t="s">
        <v>4678</v>
      </c>
      <c r="AFN2" s="193" t="s">
        <v>4677</v>
      </c>
      <c r="AFO2" s="193" t="s">
        <v>4676</v>
      </c>
      <c r="AFP2" s="193" t="s">
        <v>4675</v>
      </c>
      <c r="AFQ2" s="193" t="s">
        <v>4674</v>
      </c>
      <c r="AFR2" s="193" t="s">
        <v>4673</v>
      </c>
      <c r="AFS2" s="193" t="s">
        <v>4672</v>
      </c>
      <c r="AFT2" s="193" t="s">
        <v>4671</v>
      </c>
      <c r="AFU2" s="193" t="s">
        <v>4670</v>
      </c>
      <c r="AFV2" s="193" t="s">
        <v>4669</v>
      </c>
      <c r="AFW2" s="193" t="s">
        <v>4668</v>
      </c>
      <c r="AFX2" s="193" t="s">
        <v>4667</v>
      </c>
      <c r="AFY2" s="193" t="s">
        <v>4666</v>
      </c>
      <c r="AFZ2" s="193" t="s">
        <v>4665</v>
      </c>
      <c r="AGA2" s="193" t="s">
        <v>4664</v>
      </c>
      <c r="AGB2" s="193" t="s">
        <v>4663</v>
      </c>
      <c r="AGC2" s="193" t="s">
        <v>4662</v>
      </c>
      <c r="AGD2" s="193" t="s">
        <v>4661</v>
      </c>
      <c r="AGE2" s="193" t="s">
        <v>4660</v>
      </c>
      <c r="AGF2" s="193" t="s">
        <v>4659</v>
      </c>
      <c r="AGG2" s="193" t="s">
        <v>4658</v>
      </c>
      <c r="AGH2" s="193" t="s">
        <v>4657</v>
      </c>
      <c r="AGI2" s="193" t="s">
        <v>4656</v>
      </c>
      <c r="AGJ2" s="193" t="s">
        <v>4655</v>
      </c>
      <c r="AGK2" s="193" t="s">
        <v>4654</v>
      </c>
      <c r="AGL2" s="193" t="s">
        <v>4653</v>
      </c>
      <c r="AGM2" s="193" t="s">
        <v>4652</v>
      </c>
      <c r="AGN2" s="193" t="s">
        <v>4651</v>
      </c>
      <c r="AGO2" s="193" t="s">
        <v>4650</v>
      </c>
      <c r="AGP2" s="193" t="s">
        <v>4649</v>
      </c>
      <c r="AGQ2" s="193" t="s">
        <v>4648</v>
      </c>
      <c r="AGR2" s="193" t="s">
        <v>4647</v>
      </c>
      <c r="AGS2" s="193" t="s">
        <v>4646</v>
      </c>
      <c r="AGT2" s="193" t="s">
        <v>4645</v>
      </c>
      <c r="AGU2" s="193" t="s">
        <v>4644</v>
      </c>
      <c r="AGV2" s="193" t="s">
        <v>4643</v>
      </c>
      <c r="AGW2" s="193" t="s">
        <v>4642</v>
      </c>
      <c r="AGX2" s="193" t="s">
        <v>4641</v>
      </c>
      <c r="AGY2" s="193" t="s">
        <v>4640</v>
      </c>
      <c r="AGZ2" s="193" t="s">
        <v>4639</v>
      </c>
      <c r="AHA2" s="193" t="s">
        <v>4638</v>
      </c>
      <c r="AHB2" s="193" t="s">
        <v>4637</v>
      </c>
      <c r="AHC2" s="193" t="s">
        <v>4636</v>
      </c>
      <c r="AHD2" s="193" t="s">
        <v>4635</v>
      </c>
      <c r="AHE2" s="193" t="s">
        <v>4634</v>
      </c>
      <c r="AHF2" s="193" t="s">
        <v>4633</v>
      </c>
      <c r="AHG2" s="193" t="s">
        <v>4632</v>
      </c>
      <c r="AHH2" s="193" t="s">
        <v>4631</v>
      </c>
      <c r="AHI2" s="193" t="s">
        <v>4630</v>
      </c>
      <c r="AHJ2" s="193" t="s">
        <v>4629</v>
      </c>
      <c r="AHK2" s="193" t="s">
        <v>4628</v>
      </c>
      <c r="AHL2" s="193" t="s">
        <v>4627</v>
      </c>
      <c r="AHM2" s="193" t="s">
        <v>4626</v>
      </c>
      <c r="AHN2" s="193" t="s">
        <v>4625</v>
      </c>
      <c r="AHO2" s="193" t="s">
        <v>4624</v>
      </c>
      <c r="AHP2" s="193" t="s">
        <v>4623</v>
      </c>
      <c r="AHQ2" s="193" t="s">
        <v>4622</v>
      </c>
      <c r="AHR2" s="193" t="s">
        <v>4621</v>
      </c>
      <c r="AHS2" s="193" t="s">
        <v>4620</v>
      </c>
      <c r="AHT2" s="193" t="s">
        <v>4619</v>
      </c>
      <c r="AHU2" s="193" t="s">
        <v>4618</v>
      </c>
      <c r="AHV2" s="193" t="s">
        <v>4617</v>
      </c>
      <c r="AHW2" s="193" t="s">
        <v>4616</v>
      </c>
      <c r="AHX2" s="193" t="s">
        <v>4615</v>
      </c>
      <c r="AHY2" s="193" t="s">
        <v>4614</v>
      </c>
      <c r="AHZ2" s="193" t="s">
        <v>4613</v>
      </c>
      <c r="AIA2" s="193" t="s">
        <v>4612</v>
      </c>
      <c r="AIB2" s="193" t="s">
        <v>4611</v>
      </c>
      <c r="AIC2" s="193" t="s">
        <v>4610</v>
      </c>
      <c r="AID2" s="193" t="s">
        <v>4609</v>
      </c>
      <c r="AIE2" s="193" t="s">
        <v>4608</v>
      </c>
      <c r="AIF2" s="193" t="s">
        <v>4607</v>
      </c>
      <c r="AIG2" s="193" t="s">
        <v>4606</v>
      </c>
      <c r="AIH2" s="193" t="s">
        <v>4605</v>
      </c>
      <c r="AII2" s="193" t="s">
        <v>4604</v>
      </c>
      <c r="AIJ2" s="193" t="s">
        <v>4603</v>
      </c>
      <c r="AIK2" s="193" t="s">
        <v>4602</v>
      </c>
      <c r="AIL2" s="193" t="s">
        <v>4601</v>
      </c>
      <c r="AIM2" s="193" t="s">
        <v>4600</v>
      </c>
      <c r="AIN2" s="193" t="s">
        <v>4599</v>
      </c>
      <c r="AIO2" s="193" t="s">
        <v>4598</v>
      </c>
      <c r="AIP2" s="193" t="s">
        <v>4597</v>
      </c>
      <c r="AIQ2" s="193" t="s">
        <v>4596</v>
      </c>
      <c r="AIR2" s="193" t="s">
        <v>4595</v>
      </c>
      <c r="AIS2" s="193" t="s">
        <v>4594</v>
      </c>
      <c r="AIT2" s="193" t="s">
        <v>4593</v>
      </c>
      <c r="AIU2" s="193" t="s">
        <v>4592</v>
      </c>
      <c r="AIV2" s="193" t="s">
        <v>4591</v>
      </c>
      <c r="AIW2" s="193" t="s">
        <v>4590</v>
      </c>
      <c r="AIX2" s="193" t="s">
        <v>4589</v>
      </c>
      <c r="AIY2" s="193" t="s">
        <v>4588</v>
      </c>
      <c r="AIZ2" s="193" t="s">
        <v>4587</v>
      </c>
      <c r="AJA2" s="193" t="s">
        <v>4586</v>
      </c>
      <c r="AJB2" s="193" t="s">
        <v>4585</v>
      </c>
      <c r="AJC2" s="193" t="s">
        <v>4584</v>
      </c>
      <c r="AJD2" s="193" t="s">
        <v>4583</v>
      </c>
      <c r="AJE2" s="193" t="s">
        <v>4582</v>
      </c>
      <c r="AJF2" s="193" t="s">
        <v>4581</v>
      </c>
      <c r="AJG2" s="193" t="s">
        <v>4580</v>
      </c>
      <c r="AJH2" s="193" t="s">
        <v>4579</v>
      </c>
      <c r="AJI2" s="193" t="s">
        <v>4578</v>
      </c>
      <c r="AJJ2" s="193" t="s">
        <v>4577</v>
      </c>
      <c r="AJK2" s="193" t="s">
        <v>4576</v>
      </c>
      <c r="AJL2" s="193" t="s">
        <v>4575</v>
      </c>
      <c r="AJM2" s="193" t="s">
        <v>4574</v>
      </c>
      <c r="AJN2" s="193" t="s">
        <v>4573</v>
      </c>
      <c r="AJO2" s="193" t="s">
        <v>4572</v>
      </c>
      <c r="AJP2" s="193" t="s">
        <v>4571</v>
      </c>
      <c r="AJQ2" s="193" t="s">
        <v>4570</v>
      </c>
      <c r="AJR2" s="193" t="s">
        <v>4569</v>
      </c>
      <c r="AJS2" s="193" t="s">
        <v>4568</v>
      </c>
      <c r="AJT2" s="193" t="s">
        <v>4567</v>
      </c>
      <c r="AJU2" s="193" t="s">
        <v>4566</v>
      </c>
      <c r="AJV2" s="193" t="s">
        <v>4565</v>
      </c>
      <c r="AJW2" s="193" t="s">
        <v>4564</v>
      </c>
      <c r="AJX2" s="193" t="s">
        <v>4563</v>
      </c>
      <c r="AJY2" s="193" t="s">
        <v>4562</v>
      </c>
      <c r="AJZ2" s="193" t="s">
        <v>4561</v>
      </c>
      <c r="AKA2" s="193" t="s">
        <v>4560</v>
      </c>
      <c r="AKB2" s="193" t="s">
        <v>4559</v>
      </c>
      <c r="AKC2" s="193" t="s">
        <v>4558</v>
      </c>
      <c r="AKD2" s="193" t="s">
        <v>4557</v>
      </c>
      <c r="AKE2" s="193" t="s">
        <v>4556</v>
      </c>
      <c r="AKF2" s="193" t="s">
        <v>4555</v>
      </c>
      <c r="AKG2" s="193" t="s">
        <v>4554</v>
      </c>
      <c r="AKH2" s="193" t="s">
        <v>4553</v>
      </c>
      <c r="AKI2" s="193" t="s">
        <v>4552</v>
      </c>
      <c r="AKJ2" s="193" t="s">
        <v>4551</v>
      </c>
      <c r="AKK2" s="193" t="s">
        <v>4550</v>
      </c>
      <c r="AKL2" s="193" t="s">
        <v>4549</v>
      </c>
      <c r="AKM2" s="193" t="s">
        <v>4548</v>
      </c>
      <c r="AKN2" s="193" t="s">
        <v>4547</v>
      </c>
      <c r="AKO2" s="193" t="s">
        <v>4546</v>
      </c>
      <c r="AKP2" s="193" t="s">
        <v>4545</v>
      </c>
      <c r="AKQ2" s="193" t="s">
        <v>4544</v>
      </c>
      <c r="AKR2" s="193" t="s">
        <v>4543</v>
      </c>
      <c r="AKS2" s="193" t="s">
        <v>4542</v>
      </c>
      <c r="AKT2" s="193" t="s">
        <v>4541</v>
      </c>
      <c r="AKU2" s="193" t="s">
        <v>4540</v>
      </c>
      <c r="AKV2" s="193" t="s">
        <v>4539</v>
      </c>
      <c r="AKW2" s="193" t="s">
        <v>4538</v>
      </c>
      <c r="AKX2" s="193" t="s">
        <v>4537</v>
      </c>
      <c r="AKY2" s="193" t="s">
        <v>4536</v>
      </c>
      <c r="AKZ2" s="193" t="s">
        <v>4535</v>
      </c>
      <c r="ALA2" s="193" t="s">
        <v>4534</v>
      </c>
      <c r="ALB2" s="193" t="s">
        <v>4533</v>
      </c>
      <c r="ALC2" s="193" t="s">
        <v>4532</v>
      </c>
      <c r="ALD2" s="193" t="s">
        <v>4531</v>
      </c>
      <c r="ALE2" s="193" t="s">
        <v>4530</v>
      </c>
      <c r="ALF2" s="193" t="s">
        <v>4529</v>
      </c>
      <c r="ALG2" s="193" t="s">
        <v>4528</v>
      </c>
      <c r="ALH2" s="193" t="s">
        <v>4527</v>
      </c>
      <c r="ALI2" s="193" t="s">
        <v>4526</v>
      </c>
      <c r="ALJ2" s="193" t="s">
        <v>4525</v>
      </c>
      <c r="ALK2" s="193" t="s">
        <v>4524</v>
      </c>
      <c r="ALL2" s="193" t="s">
        <v>4523</v>
      </c>
      <c r="ALM2" s="193" t="s">
        <v>4522</v>
      </c>
      <c r="ALN2" s="193" t="s">
        <v>4521</v>
      </c>
      <c r="ALO2" s="193" t="s">
        <v>4520</v>
      </c>
      <c r="ALP2" s="193" t="s">
        <v>4519</v>
      </c>
      <c r="ALQ2" s="193" t="s">
        <v>4518</v>
      </c>
      <c r="ALR2" s="193" t="s">
        <v>4517</v>
      </c>
      <c r="ALS2" s="193" t="s">
        <v>4516</v>
      </c>
      <c r="ALT2" s="193" t="s">
        <v>4515</v>
      </c>
      <c r="ALU2" s="193" t="s">
        <v>4514</v>
      </c>
      <c r="ALV2" s="193" t="s">
        <v>4513</v>
      </c>
      <c r="ALW2" s="193" t="s">
        <v>4512</v>
      </c>
      <c r="ALX2" s="193" t="s">
        <v>4511</v>
      </c>
      <c r="ALY2" s="193" t="s">
        <v>4510</v>
      </c>
      <c r="ALZ2" s="193" t="s">
        <v>4509</v>
      </c>
      <c r="AMA2" s="193" t="s">
        <v>4508</v>
      </c>
      <c r="AMB2" s="193" t="s">
        <v>4507</v>
      </c>
      <c r="AMC2" s="193" t="s">
        <v>4506</v>
      </c>
      <c r="AMD2" s="193" t="s">
        <v>4505</v>
      </c>
      <c r="AME2" s="193" t="s">
        <v>4504</v>
      </c>
      <c r="AMF2" s="193" t="s">
        <v>4503</v>
      </c>
      <c r="AMG2" s="193" t="s">
        <v>4502</v>
      </c>
      <c r="AMH2" s="193" t="s">
        <v>4501</v>
      </c>
      <c r="AMI2" s="193" t="s">
        <v>4500</v>
      </c>
      <c r="AMJ2" s="193" t="s">
        <v>4499</v>
      </c>
      <c r="AMK2" s="193" t="s">
        <v>4498</v>
      </c>
      <c r="AML2" s="193" t="s">
        <v>4497</v>
      </c>
      <c r="AMM2" s="193" t="s">
        <v>4496</v>
      </c>
      <c r="AMN2" s="193" t="s">
        <v>4495</v>
      </c>
      <c r="AMO2" s="193" t="s">
        <v>4494</v>
      </c>
      <c r="AMP2" s="193" t="s">
        <v>4493</v>
      </c>
      <c r="AMQ2" s="193" t="s">
        <v>4492</v>
      </c>
      <c r="AMR2" s="193" t="s">
        <v>4491</v>
      </c>
      <c r="AMS2" s="193" t="s">
        <v>4490</v>
      </c>
      <c r="AMT2" s="193" t="s">
        <v>4489</v>
      </c>
      <c r="AMU2" s="193" t="s">
        <v>4488</v>
      </c>
      <c r="AMV2" s="193" t="s">
        <v>4487</v>
      </c>
      <c r="AMW2" s="193" t="s">
        <v>4486</v>
      </c>
      <c r="AMX2" s="193" t="s">
        <v>4485</v>
      </c>
      <c r="AMY2" s="193" t="s">
        <v>4484</v>
      </c>
      <c r="AMZ2" s="193" t="s">
        <v>4483</v>
      </c>
      <c r="ANA2" s="193" t="s">
        <v>4482</v>
      </c>
      <c r="ANB2" s="193" t="s">
        <v>4481</v>
      </c>
      <c r="ANC2" s="193" t="s">
        <v>4480</v>
      </c>
      <c r="AND2" s="193" t="s">
        <v>4479</v>
      </c>
      <c r="ANE2" s="193" t="s">
        <v>4478</v>
      </c>
      <c r="ANF2" s="193" t="s">
        <v>4477</v>
      </c>
      <c r="ANG2" s="193" t="s">
        <v>4476</v>
      </c>
      <c r="ANH2" s="193" t="s">
        <v>4475</v>
      </c>
      <c r="ANI2" s="193" t="s">
        <v>4474</v>
      </c>
      <c r="ANJ2" s="193" t="s">
        <v>4473</v>
      </c>
      <c r="ANK2" s="193" t="s">
        <v>4472</v>
      </c>
      <c r="ANL2" s="193" t="s">
        <v>4471</v>
      </c>
      <c r="ANM2" s="193" t="s">
        <v>4470</v>
      </c>
      <c r="ANN2" s="193" t="s">
        <v>4469</v>
      </c>
      <c r="ANO2" s="193" t="s">
        <v>4468</v>
      </c>
      <c r="ANP2" s="193" t="s">
        <v>4467</v>
      </c>
      <c r="ANQ2" s="193" t="s">
        <v>4466</v>
      </c>
      <c r="ANR2" s="193" t="s">
        <v>4465</v>
      </c>
      <c r="ANS2" s="193" t="s">
        <v>4464</v>
      </c>
      <c r="ANT2" s="193" t="s">
        <v>4463</v>
      </c>
      <c r="ANU2" s="193" t="s">
        <v>4462</v>
      </c>
      <c r="ANV2" s="193" t="s">
        <v>4461</v>
      </c>
      <c r="ANW2" s="193" t="s">
        <v>4460</v>
      </c>
      <c r="ANX2" s="193" t="s">
        <v>4459</v>
      </c>
      <c r="ANY2" s="193" t="s">
        <v>4458</v>
      </c>
      <c r="ANZ2" s="193" t="s">
        <v>4457</v>
      </c>
      <c r="AOA2" s="193" t="s">
        <v>4456</v>
      </c>
      <c r="AOB2" s="193" t="s">
        <v>4455</v>
      </c>
      <c r="AOC2" s="193" t="s">
        <v>4454</v>
      </c>
      <c r="AOD2" s="193" t="s">
        <v>4453</v>
      </c>
      <c r="AOE2" s="193" t="s">
        <v>4452</v>
      </c>
      <c r="AOF2" s="193" t="s">
        <v>4451</v>
      </c>
      <c r="AOG2" s="193" t="s">
        <v>4450</v>
      </c>
      <c r="AOH2" s="129" t="s">
        <v>4449</v>
      </c>
      <c r="AOI2" s="129" t="s">
        <v>4448</v>
      </c>
      <c r="AOJ2" s="129" t="s">
        <v>4447</v>
      </c>
      <c r="AOK2" s="129" t="s">
        <v>4446</v>
      </c>
      <c r="AOL2" s="129" t="s">
        <v>4445</v>
      </c>
      <c r="AOM2" s="129" t="s">
        <v>4444</v>
      </c>
      <c r="AON2" s="129" t="s">
        <v>4443</v>
      </c>
      <c r="AOO2" s="129" t="s">
        <v>4442</v>
      </c>
      <c r="AOP2" s="129" t="s">
        <v>4441</v>
      </c>
      <c r="AOQ2" s="129" t="s">
        <v>4440</v>
      </c>
      <c r="AOR2" s="129" t="s">
        <v>4439</v>
      </c>
      <c r="AOS2" s="194" t="s">
        <v>4438</v>
      </c>
      <c r="AOT2" s="194" t="s">
        <v>4437</v>
      </c>
      <c r="AOU2" s="194" t="s">
        <v>4436</v>
      </c>
      <c r="AOV2" s="194" t="s">
        <v>4435</v>
      </c>
      <c r="AOW2" s="194" t="s">
        <v>4434</v>
      </c>
      <c r="AOX2" s="194" t="s">
        <v>4433</v>
      </c>
      <c r="AOY2" s="194" t="s">
        <v>4432</v>
      </c>
      <c r="AOZ2" s="194" t="s">
        <v>4431</v>
      </c>
      <c r="APA2" s="194" t="s">
        <v>4430</v>
      </c>
      <c r="APB2" s="194" t="s">
        <v>4429</v>
      </c>
      <c r="APC2" s="194" t="s">
        <v>4428</v>
      </c>
      <c r="APD2" s="194" t="s">
        <v>4427</v>
      </c>
      <c r="APE2" s="194" t="s">
        <v>4426</v>
      </c>
      <c r="APF2" s="194" t="s">
        <v>4425</v>
      </c>
      <c r="APG2" s="194" t="s">
        <v>4424</v>
      </c>
      <c r="APH2" s="194" t="s">
        <v>4423</v>
      </c>
      <c r="API2" s="194" t="s">
        <v>4422</v>
      </c>
      <c r="APJ2" s="194" t="s">
        <v>4421</v>
      </c>
      <c r="APK2" s="194" t="s">
        <v>4420</v>
      </c>
      <c r="APL2" s="194" t="s">
        <v>4419</v>
      </c>
      <c r="APM2" s="194" t="s">
        <v>4418</v>
      </c>
      <c r="APN2" s="194" t="s">
        <v>4417</v>
      </c>
      <c r="APO2" s="130" t="s">
        <v>4416</v>
      </c>
      <c r="APP2" s="130" t="s">
        <v>4415</v>
      </c>
      <c r="APQ2" s="130" t="s">
        <v>4414</v>
      </c>
      <c r="APR2" s="130" t="s">
        <v>4413</v>
      </c>
      <c r="APS2" s="130" t="s">
        <v>4412</v>
      </c>
      <c r="APT2" s="130" t="s">
        <v>4411</v>
      </c>
      <c r="APU2" s="130" t="s">
        <v>4410</v>
      </c>
      <c r="APV2" s="130" t="s">
        <v>4409</v>
      </c>
      <c r="APW2" s="130" t="s">
        <v>4408</v>
      </c>
      <c r="APX2" s="130" t="s">
        <v>4407</v>
      </c>
      <c r="APY2" s="130" t="s">
        <v>4406</v>
      </c>
      <c r="APZ2" s="130" t="s">
        <v>4405</v>
      </c>
      <c r="AQA2" s="130" t="s">
        <v>4404</v>
      </c>
      <c r="AQB2" s="130" t="s">
        <v>4403</v>
      </c>
      <c r="AQC2" s="130" t="s">
        <v>4402</v>
      </c>
      <c r="AQD2" s="130" t="s">
        <v>4401</v>
      </c>
      <c r="AQE2" s="130" t="s">
        <v>4400</v>
      </c>
      <c r="AQF2" s="130" t="s">
        <v>4399</v>
      </c>
      <c r="AQG2" s="130" t="s">
        <v>4398</v>
      </c>
      <c r="AQH2" s="130" t="s">
        <v>4397</v>
      </c>
      <c r="AQI2" s="130" t="s">
        <v>4396</v>
      </c>
      <c r="AQJ2" s="130" t="s">
        <v>4395</v>
      </c>
      <c r="AQK2" s="130" t="s">
        <v>4394</v>
      </c>
      <c r="AQL2" s="130" t="s">
        <v>4393</v>
      </c>
      <c r="AQM2" s="130" t="s">
        <v>4392</v>
      </c>
      <c r="AQN2" s="130" t="s">
        <v>4391</v>
      </c>
      <c r="AQO2" s="130" t="s">
        <v>4390</v>
      </c>
      <c r="AQP2" s="130" t="s">
        <v>4389</v>
      </c>
      <c r="AQQ2" s="130" t="s">
        <v>4388</v>
      </c>
      <c r="AQR2" s="130" t="s">
        <v>4387</v>
      </c>
      <c r="AQS2" s="130" t="s">
        <v>4386</v>
      </c>
      <c r="AQT2" s="130" t="s">
        <v>4385</v>
      </c>
      <c r="AQU2" s="130" t="s">
        <v>4384</v>
      </c>
      <c r="AQV2" s="130" t="s">
        <v>4383</v>
      </c>
      <c r="AQW2" s="130" t="s">
        <v>4382</v>
      </c>
      <c r="AQX2" s="130" t="s">
        <v>4381</v>
      </c>
      <c r="AQY2" s="130" t="s">
        <v>4380</v>
      </c>
      <c r="AQZ2" s="130" t="s">
        <v>4379</v>
      </c>
      <c r="ARA2" s="130" t="s">
        <v>4378</v>
      </c>
      <c r="ARB2" s="130" t="s">
        <v>4377</v>
      </c>
      <c r="ARC2" s="130" t="s">
        <v>4376</v>
      </c>
      <c r="ARD2" s="130" t="s">
        <v>4375</v>
      </c>
      <c r="ARE2" s="130" t="s">
        <v>4374</v>
      </c>
      <c r="ARF2" s="130" t="s">
        <v>4373</v>
      </c>
      <c r="ARG2" s="130" t="s">
        <v>4372</v>
      </c>
      <c r="ARH2" s="130" t="s">
        <v>4371</v>
      </c>
      <c r="ARI2" s="130" t="s">
        <v>4370</v>
      </c>
      <c r="ARJ2" s="130" t="s">
        <v>4369</v>
      </c>
      <c r="ARK2" s="130" t="s">
        <v>4368</v>
      </c>
      <c r="ARL2" s="130" t="s">
        <v>4367</v>
      </c>
      <c r="ARM2" s="130" t="s">
        <v>4366</v>
      </c>
      <c r="ARN2" s="130" t="s">
        <v>4365</v>
      </c>
      <c r="ARO2" s="130" t="s">
        <v>4364</v>
      </c>
      <c r="ARP2" s="130" t="s">
        <v>4363</v>
      </c>
      <c r="ARQ2" s="130" t="s">
        <v>4362</v>
      </c>
      <c r="ARR2" s="130" t="s">
        <v>4361</v>
      </c>
      <c r="ARS2" s="130" t="s">
        <v>4360</v>
      </c>
      <c r="ART2" s="130" t="s">
        <v>4359</v>
      </c>
      <c r="ARU2" s="130" t="s">
        <v>4358</v>
      </c>
      <c r="ARV2" s="130" t="s">
        <v>4357</v>
      </c>
      <c r="ARW2" s="130" t="s">
        <v>4356</v>
      </c>
      <c r="ARX2" s="130" t="s">
        <v>4355</v>
      </c>
      <c r="ARY2" s="130" t="s">
        <v>4354</v>
      </c>
      <c r="ARZ2" s="130" t="s">
        <v>4353</v>
      </c>
      <c r="ASA2" s="130" t="s">
        <v>4352</v>
      </c>
      <c r="ASB2" s="130" t="s">
        <v>4351</v>
      </c>
      <c r="ASC2" s="130" t="s">
        <v>4350</v>
      </c>
      <c r="ASD2" s="130" t="s">
        <v>4349</v>
      </c>
      <c r="ASE2" s="130" t="s">
        <v>4348</v>
      </c>
      <c r="ASF2" s="130" t="s">
        <v>4347</v>
      </c>
      <c r="ASG2" s="130" t="s">
        <v>4346</v>
      </c>
      <c r="ASH2" s="130" t="s">
        <v>4345</v>
      </c>
      <c r="ASI2" s="130" t="s">
        <v>4344</v>
      </c>
      <c r="ASJ2" s="130" t="s">
        <v>4343</v>
      </c>
      <c r="ASK2" s="130" t="s">
        <v>4342</v>
      </c>
      <c r="ASL2" s="130" t="s">
        <v>4341</v>
      </c>
      <c r="ASM2" s="130" t="s">
        <v>4340</v>
      </c>
      <c r="ASN2" s="130" t="s">
        <v>4339</v>
      </c>
      <c r="ASO2" s="130" t="s">
        <v>4338</v>
      </c>
      <c r="ASP2" s="130" t="s">
        <v>4337</v>
      </c>
      <c r="ASQ2" s="130" t="s">
        <v>4336</v>
      </c>
      <c r="ASR2" s="130" t="s">
        <v>4335</v>
      </c>
      <c r="ASS2" s="130" t="s">
        <v>4334</v>
      </c>
      <c r="AST2" s="130" t="s">
        <v>4333</v>
      </c>
      <c r="ASU2" s="130" t="s">
        <v>4332</v>
      </c>
      <c r="ASV2" s="130" t="s">
        <v>4331</v>
      </c>
      <c r="ASW2" s="130" t="s">
        <v>4330</v>
      </c>
      <c r="ASX2" s="193" t="s">
        <v>4329</v>
      </c>
      <c r="ASY2" s="193" t="s">
        <v>4328</v>
      </c>
      <c r="ASZ2" s="193" t="s">
        <v>4327</v>
      </c>
      <c r="ATA2" s="193" t="s">
        <v>4326</v>
      </c>
      <c r="ATB2" s="193" t="s">
        <v>4325</v>
      </c>
      <c r="ATC2" s="193" t="s">
        <v>4324</v>
      </c>
      <c r="ATD2" s="193" t="s">
        <v>4323</v>
      </c>
      <c r="ATE2" s="193" t="s">
        <v>4322</v>
      </c>
      <c r="ATF2" s="193" t="s">
        <v>4321</v>
      </c>
      <c r="ATG2" s="193" t="s">
        <v>4320</v>
      </c>
      <c r="ATH2" s="193" t="s">
        <v>4319</v>
      </c>
      <c r="ATI2" s="193" t="s">
        <v>4318</v>
      </c>
      <c r="ATJ2" s="193" t="s">
        <v>4317</v>
      </c>
      <c r="ATK2" s="193" t="s">
        <v>4316</v>
      </c>
      <c r="ATL2" s="193" t="s">
        <v>4315</v>
      </c>
      <c r="ATM2" s="193" t="s">
        <v>4314</v>
      </c>
      <c r="ATN2" s="193" t="s">
        <v>4313</v>
      </c>
      <c r="ATO2" s="193" t="s">
        <v>4312</v>
      </c>
      <c r="ATP2" s="193" t="s">
        <v>4311</v>
      </c>
      <c r="ATQ2" s="193" t="s">
        <v>4310</v>
      </c>
      <c r="ATR2" s="193" t="s">
        <v>4309</v>
      </c>
      <c r="ATS2" s="193" t="s">
        <v>4308</v>
      </c>
      <c r="ATT2" s="193" t="s">
        <v>4307</v>
      </c>
      <c r="ATU2" s="193" t="s">
        <v>4306</v>
      </c>
      <c r="ATV2" s="193" t="s">
        <v>4305</v>
      </c>
      <c r="ATW2" s="193" t="s">
        <v>4304</v>
      </c>
      <c r="ATX2" s="193" t="s">
        <v>4303</v>
      </c>
      <c r="ATY2" s="193" t="s">
        <v>4302</v>
      </c>
      <c r="ATZ2" s="193" t="s">
        <v>4301</v>
      </c>
      <c r="AUA2" s="193" t="s">
        <v>4300</v>
      </c>
      <c r="AUB2" s="193" t="s">
        <v>4299</v>
      </c>
      <c r="AUC2" s="193" t="s">
        <v>4298</v>
      </c>
      <c r="AUD2" s="193" t="s">
        <v>4297</v>
      </c>
      <c r="AUE2" s="193" t="s">
        <v>4296</v>
      </c>
      <c r="AUF2" s="193" t="s">
        <v>4295</v>
      </c>
      <c r="AUG2" s="193" t="s">
        <v>4294</v>
      </c>
      <c r="AUH2" s="193" t="s">
        <v>4293</v>
      </c>
      <c r="AUI2" s="193" t="s">
        <v>4292</v>
      </c>
      <c r="AUJ2" s="193" t="s">
        <v>4291</v>
      </c>
      <c r="AUK2" s="193" t="s">
        <v>4290</v>
      </c>
      <c r="AUL2" s="193" t="s">
        <v>4289</v>
      </c>
      <c r="AUM2" s="193" t="s">
        <v>4288</v>
      </c>
      <c r="AUN2" s="193" t="s">
        <v>4287</v>
      </c>
      <c r="AUO2" s="193" t="s">
        <v>4286</v>
      </c>
      <c r="AUP2" s="193" t="s">
        <v>4285</v>
      </c>
      <c r="AUQ2" s="193" t="s">
        <v>4284</v>
      </c>
      <c r="AUR2" s="193" t="s">
        <v>4283</v>
      </c>
      <c r="AUS2" s="193" t="s">
        <v>4282</v>
      </c>
      <c r="AUT2" s="193" t="s">
        <v>4281</v>
      </c>
      <c r="AUU2" s="193" t="s">
        <v>4280</v>
      </c>
      <c r="AUV2" s="193" t="s">
        <v>4279</v>
      </c>
      <c r="AUW2" s="193" t="s">
        <v>4278</v>
      </c>
      <c r="AUX2" s="193" t="s">
        <v>4277</v>
      </c>
      <c r="AUY2" s="193" t="s">
        <v>4276</v>
      </c>
      <c r="AUZ2" s="193" t="s">
        <v>4275</v>
      </c>
      <c r="AVA2" s="193" t="s">
        <v>4274</v>
      </c>
      <c r="AVB2" s="193" t="s">
        <v>4273</v>
      </c>
      <c r="AVC2" s="193" t="s">
        <v>4272</v>
      </c>
      <c r="AVD2" s="193" t="s">
        <v>4271</v>
      </c>
      <c r="AVE2" s="193" t="s">
        <v>4270</v>
      </c>
      <c r="AVF2" s="193" t="s">
        <v>4269</v>
      </c>
      <c r="AVG2" s="192" t="s">
        <v>4268</v>
      </c>
      <c r="AVH2" s="129" t="s">
        <v>4267</v>
      </c>
      <c r="AVI2" s="131" t="s">
        <v>4266</v>
      </c>
      <c r="AVJ2" s="191" t="s">
        <v>4265</v>
      </c>
      <c r="AVK2" s="191" t="s">
        <v>4264</v>
      </c>
      <c r="AVL2" s="191" t="s">
        <v>4263</v>
      </c>
      <c r="AVM2" s="191" t="s">
        <v>4262</v>
      </c>
      <c r="AVN2" s="191" t="s">
        <v>4261</v>
      </c>
      <c r="AVO2" s="191" t="s">
        <v>2379</v>
      </c>
      <c r="AVP2" s="191" t="s">
        <v>4260</v>
      </c>
      <c r="AVQ2" s="191" t="s">
        <v>4259</v>
      </c>
      <c r="AVR2" s="191" t="s">
        <v>4258</v>
      </c>
      <c r="AVS2" s="191" t="s">
        <v>4257</v>
      </c>
      <c r="AVT2" s="191" t="s">
        <v>4256</v>
      </c>
      <c r="AVU2" s="191" t="s">
        <v>2372</v>
      </c>
      <c r="AVV2" s="191" t="s">
        <v>4255</v>
      </c>
      <c r="AVW2" s="191" t="s">
        <v>4254</v>
      </c>
      <c r="AVX2" s="191" t="s">
        <v>4253</v>
      </c>
      <c r="AVY2" s="191" t="s">
        <v>4252</v>
      </c>
      <c r="AVZ2" s="191" t="s">
        <v>4251</v>
      </c>
      <c r="AWA2" s="191" t="s">
        <v>4250</v>
      </c>
      <c r="AWB2" s="191" t="s">
        <v>4249</v>
      </c>
      <c r="AWC2" s="191" t="s">
        <v>4248</v>
      </c>
      <c r="AWD2" s="191" t="s">
        <v>2362</v>
      </c>
      <c r="AWE2" s="191" t="s">
        <v>4247</v>
      </c>
      <c r="AWF2" s="191" t="s">
        <v>4246</v>
      </c>
      <c r="AWG2" s="191" t="s">
        <v>4245</v>
      </c>
      <c r="AWH2" s="191" t="s">
        <v>4244</v>
      </c>
      <c r="AWI2" s="191" t="s">
        <v>4243</v>
      </c>
      <c r="AWJ2" s="191" t="s">
        <v>2350</v>
      </c>
      <c r="AWK2" s="190" t="s">
        <v>4242</v>
      </c>
      <c r="AWL2" s="190" t="s">
        <v>4241</v>
      </c>
      <c r="AWM2" s="190" t="s">
        <v>4240</v>
      </c>
      <c r="AWN2" s="190" t="s">
        <v>4239</v>
      </c>
      <c r="AWO2" s="190" t="s">
        <v>4238</v>
      </c>
      <c r="AWP2" s="190" t="s">
        <v>2356</v>
      </c>
      <c r="AWQ2" s="190" t="s">
        <v>4237</v>
      </c>
      <c r="AWR2" s="190" t="s">
        <v>4236</v>
      </c>
      <c r="AWS2" s="190" t="s">
        <v>4235</v>
      </c>
      <c r="AWT2" s="190" t="s">
        <v>4234</v>
      </c>
      <c r="AWU2" s="190" t="s">
        <v>4233</v>
      </c>
      <c r="AWV2" s="190" t="s">
        <v>2339</v>
      </c>
      <c r="AWW2" s="131" t="s">
        <v>4232</v>
      </c>
    </row>
    <row r="3" spans="1:1297" outlineLevel="1">
      <c r="A3" s="137" t="s">
        <v>172</v>
      </c>
      <c r="B3" s="139" t="s">
        <v>82</v>
      </c>
      <c r="C3" s="139" t="s">
        <v>174</v>
      </c>
      <c r="D3" s="139" t="s">
        <v>84</v>
      </c>
      <c r="E3" s="137">
        <v>5</v>
      </c>
      <c r="F3" s="136" t="s">
        <v>85</v>
      </c>
      <c r="G3" s="136" t="s">
        <v>173</v>
      </c>
      <c r="H3" s="136" t="s">
        <v>13</v>
      </c>
      <c r="I3" s="136" t="s">
        <v>13</v>
      </c>
      <c r="J3" s="136" t="s">
        <v>13</v>
      </c>
      <c r="K3" s="136" t="s">
        <v>13</v>
      </c>
      <c r="L3" s="136" t="s">
        <v>13</v>
      </c>
      <c r="M3" s="136" t="s">
        <v>13</v>
      </c>
      <c r="N3" s="136" t="s">
        <v>13</v>
      </c>
      <c r="P3" s="129">
        <v>100</v>
      </c>
      <c r="Q3" s="129">
        <v>100</v>
      </c>
      <c r="R3" s="129">
        <v>125</v>
      </c>
      <c r="S3" s="129">
        <v>150</v>
      </c>
      <c r="T3" s="129">
        <v>150</v>
      </c>
      <c r="U3" s="142">
        <v>210</v>
      </c>
      <c r="V3" s="128">
        <v>235</v>
      </c>
      <c r="W3" s="128">
        <v>100</v>
      </c>
      <c r="X3" s="128">
        <v>100</v>
      </c>
      <c r="Y3" s="128">
        <v>125</v>
      </c>
      <c r="Z3" s="128">
        <v>150</v>
      </c>
      <c r="AA3" s="128">
        <v>125</v>
      </c>
      <c r="AB3" s="128">
        <v>150</v>
      </c>
      <c r="AC3" s="128">
        <v>150</v>
      </c>
      <c r="AD3" s="128">
        <v>150</v>
      </c>
      <c r="AE3" s="128">
        <v>210</v>
      </c>
      <c r="AF3" s="128">
        <v>125</v>
      </c>
      <c r="AG3" s="128">
        <v>150</v>
      </c>
      <c r="AH3" s="128">
        <v>140</v>
      </c>
      <c r="AI3" s="128">
        <v>375</v>
      </c>
      <c r="AJ3" s="128">
        <v>310</v>
      </c>
      <c r="AK3" s="128">
        <v>225</v>
      </c>
      <c r="AL3" s="128">
        <v>235</v>
      </c>
      <c r="AM3" s="128">
        <v>285</v>
      </c>
      <c r="AN3" s="128">
        <v>150</v>
      </c>
      <c r="AO3" s="128">
        <v>150</v>
      </c>
      <c r="AP3" s="128">
        <v>150</v>
      </c>
      <c r="AQ3" s="128">
        <v>150</v>
      </c>
      <c r="AR3" s="128">
        <v>125</v>
      </c>
      <c r="AS3" s="128">
        <v>125</v>
      </c>
      <c r="AT3" s="128">
        <v>125</v>
      </c>
      <c r="AU3" s="128">
        <v>125</v>
      </c>
      <c r="AV3" s="128">
        <v>125</v>
      </c>
      <c r="AW3" s="128">
        <v>125</v>
      </c>
      <c r="AY3" s="129">
        <v>75</v>
      </c>
      <c r="AZ3" s="129">
        <v>75</v>
      </c>
      <c r="BA3" s="129">
        <v>100</v>
      </c>
      <c r="BB3" s="129">
        <v>125</v>
      </c>
      <c r="BC3" s="129">
        <v>125</v>
      </c>
      <c r="BD3" s="129">
        <v>100</v>
      </c>
      <c r="BE3" s="129">
        <v>125</v>
      </c>
      <c r="BF3" s="129">
        <v>150</v>
      </c>
      <c r="BG3" s="129">
        <v>100</v>
      </c>
      <c r="BH3" s="129">
        <v>100</v>
      </c>
      <c r="BI3" s="129">
        <v>125</v>
      </c>
      <c r="BJ3" s="129">
        <v>125</v>
      </c>
      <c r="BK3" s="129">
        <v>150</v>
      </c>
      <c r="BL3" s="129">
        <v>125</v>
      </c>
      <c r="BM3" s="129">
        <v>125</v>
      </c>
      <c r="BN3" s="129">
        <v>150</v>
      </c>
      <c r="BO3" s="129">
        <v>150</v>
      </c>
      <c r="BP3" s="129">
        <v>175</v>
      </c>
      <c r="BQ3" s="129">
        <v>175</v>
      </c>
      <c r="BR3" s="128">
        <v>110</v>
      </c>
      <c r="BS3" s="128">
        <v>110</v>
      </c>
      <c r="BT3" s="128">
        <v>160</v>
      </c>
      <c r="BU3" s="128">
        <v>160</v>
      </c>
      <c r="BV3" s="128">
        <v>120</v>
      </c>
      <c r="BW3" s="128">
        <v>120</v>
      </c>
      <c r="BY3" s="142">
        <v>160</v>
      </c>
      <c r="BZ3" s="142">
        <v>160</v>
      </c>
      <c r="CA3" s="142">
        <v>210</v>
      </c>
      <c r="CB3" s="142">
        <v>260</v>
      </c>
      <c r="CC3" s="142">
        <v>260</v>
      </c>
      <c r="CD3" s="142">
        <v>260</v>
      </c>
      <c r="CE3" s="142">
        <v>285</v>
      </c>
      <c r="CF3" s="142">
        <v>285</v>
      </c>
      <c r="CG3" s="142">
        <v>285</v>
      </c>
      <c r="CH3" s="128">
        <v>155</v>
      </c>
      <c r="CI3" s="128">
        <v>155</v>
      </c>
      <c r="CJ3" s="128">
        <v>205</v>
      </c>
      <c r="CK3" s="128">
        <v>205</v>
      </c>
      <c r="CL3" s="128">
        <v>255</v>
      </c>
      <c r="CM3" s="128">
        <v>255</v>
      </c>
      <c r="CN3" s="128">
        <v>255</v>
      </c>
      <c r="CO3" s="128">
        <v>280</v>
      </c>
      <c r="CP3" s="128">
        <v>280</v>
      </c>
      <c r="CQ3" s="128">
        <v>280</v>
      </c>
      <c r="CR3" s="128">
        <v>388</v>
      </c>
      <c r="CS3" s="128">
        <v>280</v>
      </c>
      <c r="CT3" s="128">
        <v>255</v>
      </c>
      <c r="CU3" s="128">
        <v>685</v>
      </c>
      <c r="CW3" s="128">
        <v>75</v>
      </c>
      <c r="CX3" s="128">
        <v>75</v>
      </c>
      <c r="CY3" s="128">
        <v>100</v>
      </c>
      <c r="CZ3" s="128">
        <v>100</v>
      </c>
      <c r="DA3" s="128">
        <v>125</v>
      </c>
      <c r="DB3" s="128">
        <v>125</v>
      </c>
      <c r="DC3" s="128">
        <v>125</v>
      </c>
      <c r="DD3" s="128">
        <v>150</v>
      </c>
      <c r="DE3" s="128">
        <v>235</v>
      </c>
      <c r="DF3" s="128">
        <v>235</v>
      </c>
      <c r="DG3" s="128">
        <v>160</v>
      </c>
      <c r="DH3" s="128">
        <v>160</v>
      </c>
      <c r="DI3" s="128">
        <v>210</v>
      </c>
      <c r="DJ3" s="128">
        <v>185</v>
      </c>
      <c r="DK3" s="128">
        <v>185</v>
      </c>
      <c r="DL3" s="128">
        <v>235</v>
      </c>
      <c r="DM3" s="128">
        <v>235</v>
      </c>
      <c r="DN3" s="128">
        <v>160</v>
      </c>
      <c r="DO3" s="128">
        <v>160</v>
      </c>
      <c r="DP3" s="128">
        <v>210</v>
      </c>
      <c r="DQ3" s="128">
        <v>210</v>
      </c>
      <c r="DR3" s="128">
        <v>185</v>
      </c>
      <c r="DS3" s="128">
        <v>185</v>
      </c>
      <c r="DU3" s="128">
        <v>100</v>
      </c>
      <c r="DV3" s="128">
        <v>100</v>
      </c>
      <c r="DW3" s="128">
        <v>125</v>
      </c>
      <c r="DX3" s="128">
        <v>125</v>
      </c>
      <c r="DY3" s="128">
        <v>125</v>
      </c>
      <c r="DZ3" s="128">
        <v>150</v>
      </c>
      <c r="EA3" s="128">
        <v>150</v>
      </c>
      <c r="EB3" s="128">
        <v>150</v>
      </c>
      <c r="EC3" s="142">
        <v>210</v>
      </c>
      <c r="ED3" s="128">
        <v>125</v>
      </c>
      <c r="EE3" s="128">
        <v>150</v>
      </c>
      <c r="EF3" s="128">
        <v>138</v>
      </c>
      <c r="EG3" s="128">
        <v>175</v>
      </c>
      <c r="EI3" s="128">
        <v>63</v>
      </c>
      <c r="EJ3" s="128">
        <v>63</v>
      </c>
      <c r="EK3" s="128">
        <v>88</v>
      </c>
      <c r="EL3" s="128">
        <v>88</v>
      </c>
      <c r="EM3" s="128">
        <v>70</v>
      </c>
      <c r="EN3" s="128">
        <v>70</v>
      </c>
      <c r="EO3" s="128">
        <v>95</v>
      </c>
      <c r="EP3" s="128">
        <v>95</v>
      </c>
      <c r="EQ3" s="128">
        <v>75</v>
      </c>
      <c r="ER3" s="128">
        <v>75</v>
      </c>
      <c r="ES3" s="128">
        <v>100</v>
      </c>
      <c r="ET3" s="128">
        <v>100</v>
      </c>
      <c r="EU3" s="128">
        <v>75</v>
      </c>
      <c r="EV3" s="128">
        <v>75</v>
      </c>
      <c r="EW3" s="128">
        <v>100</v>
      </c>
      <c r="EX3" s="128">
        <v>100</v>
      </c>
      <c r="EZ3" s="128">
        <v>70</v>
      </c>
      <c r="FA3" s="128">
        <v>70</v>
      </c>
      <c r="FB3" s="128">
        <v>95</v>
      </c>
      <c r="FC3" s="128">
        <v>95</v>
      </c>
      <c r="FD3" s="128">
        <v>115</v>
      </c>
      <c r="FE3" s="128">
        <v>115</v>
      </c>
      <c r="FF3" s="128">
        <v>95</v>
      </c>
      <c r="FG3" s="128">
        <v>95</v>
      </c>
      <c r="FH3" s="128">
        <v>120</v>
      </c>
      <c r="FI3" s="128">
        <v>120</v>
      </c>
      <c r="FJ3" s="128">
        <v>140</v>
      </c>
      <c r="FK3" s="128">
        <v>140</v>
      </c>
      <c r="FL3" s="128">
        <v>200</v>
      </c>
      <c r="FM3" s="128">
        <v>200</v>
      </c>
      <c r="FN3" s="128">
        <v>240</v>
      </c>
      <c r="FO3" s="128">
        <v>240</v>
      </c>
      <c r="FP3" s="128">
        <v>310</v>
      </c>
      <c r="FR3" s="128">
        <v>175</v>
      </c>
      <c r="FS3" s="128">
        <v>175</v>
      </c>
      <c r="FT3" s="128">
        <v>200</v>
      </c>
      <c r="FU3" s="128">
        <v>200</v>
      </c>
      <c r="FW3" s="128">
        <v>200</v>
      </c>
      <c r="FX3" s="128">
        <v>200</v>
      </c>
      <c r="FY3" s="128">
        <v>225</v>
      </c>
      <c r="FZ3" s="128">
        <v>225</v>
      </c>
      <c r="GA3" s="128">
        <v>250</v>
      </c>
      <c r="GB3" s="128">
        <v>250</v>
      </c>
      <c r="GC3" s="128">
        <v>275</v>
      </c>
      <c r="GD3" s="128">
        <v>275</v>
      </c>
      <c r="GE3" s="128">
        <v>300</v>
      </c>
      <c r="GF3" s="128">
        <v>300</v>
      </c>
      <c r="GG3" s="128">
        <v>325</v>
      </c>
      <c r="GH3" s="128">
        <v>325</v>
      </c>
      <c r="GI3" s="128">
        <v>350</v>
      </c>
      <c r="GJ3" s="128">
        <v>350</v>
      </c>
      <c r="GL3" s="128">
        <v>395</v>
      </c>
      <c r="GM3" s="128">
        <v>425</v>
      </c>
      <c r="GN3" s="128">
        <v>685</v>
      </c>
      <c r="GO3" s="128">
        <v>395</v>
      </c>
      <c r="GP3" s="128">
        <v>390</v>
      </c>
      <c r="GR3" s="129">
        <v>75</v>
      </c>
      <c r="GS3" s="129">
        <v>100</v>
      </c>
      <c r="GT3" s="129">
        <v>125</v>
      </c>
      <c r="GU3" s="129">
        <v>100</v>
      </c>
      <c r="GV3" s="129">
        <v>125</v>
      </c>
      <c r="GW3" s="129">
        <v>150</v>
      </c>
      <c r="GX3" s="129">
        <v>75</v>
      </c>
      <c r="GY3" s="129">
        <v>100</v>
      </c>
      <c r="GZ3" s="129">
        <v>125</v>
      </c>
      <c r="HA3" s="129">
        <v>100</v>
      </c>
      <c r="HB3" s="129">
        <v>125</v>
      </c>
      <c r="HC3" s="129">
        <v>150</v>
      </c>
      <c r="HD3" s="129">
        <v>100</v>
      </c>
      <c r="HE3" s="129">
        <v>125</v>
      </c>
      <c r="HF3" s="129">
        <v>150</v>
      </c>
      <c r="HH3" s="129">
        <v>75</v>
      </c>
      <c r="HI3" s="129">
        <v>100</v>
      </c>
      <c r="HJ3" s="129">
        <v>125</v>
      </c>
      <c r="HK3" s="129">
        <v>100</v>
      </c>
      <c r="HL3" s="129">
        <v>125</v>
      </c>
      <c r="HM3" s="129">
        <v>150</v>
      </c>
      <c r="HN3" s="129">
        <v>100</v>
      </c>
      <c r="HO3" s="129">
        <v>125</v>
      </c>
      <c r="HP3" s="129">
        <v>150</v>
      </c>
      <c r="HS3" s="129">
        <v>88</v>
      </c>
      <c r="IE3" s="129">
        <v>75</v>
      </c>
      <c r="IF3" s="129">
        <v>100</v>
      </c>
      <c r="IG3" s="129">
        <v>100</v>
      </c>
      <c r="IH3" s="129">
        <v>100</v>
      </c>
      <c r="II3" s="129">
        <v>95</v>
      </c>
      <c r="IJ3" s="129">
        <v>40</v>
      </c>
      <c r="IK3" s="129">
        <v>53</v>
      </c>
      <c r="IL3" s="129">
        <v>120</v>
      </c>
      <c r="IM3" s="129">
        <v>63</v>
      </c>
      <c r="IN3" s="129">
        <v>88</v>
      </c>
      <c r="IO3" s="129">
        <v>150</v>
      </c>
      <c r="IP3" s="129">
        <v>100</v>
      </c>
      <c r="IQ3" s="129">
        <v>100</v>
      </c>
      <c r="IR3" s="129">
        <v>95</v>
      </c>
      <c r="IS3" s="129">
        <v>95</v>
      </c>
      <c r="IU3" s="129">
        <v>63</v>
      </c>
      <c r="JF3" s="129">
        <v>63</v>
      </c>
      <c r="JG3" s="129">
        <v>88</v>
      </c>
      <c r="JH3" s="129">
        <v>113</v>
      </c>
      <c r="JM3" s="129">
        <v>113</v>
      </c>
      <c r="JN3" s="129">
        <v>138</v>
      </c>
      <c r="JO3" s="129">
        <v>138</v>
      </c>
      <c r="JP3" s="129">
        <v>75</v>
      </c>
      <c r="JQ3" s="129">
        <v>100</v>
      </c>
      <c r="JR3" s="129">
        <v>125</v>
      </c>
      <c r="JU3" s="129">
        <v>125</v>
      </c>
      <c r="JV3" s="129">
        <v>150</v>
      </c>
      <c r="JW3" s="129">
        <v>150</v>
      </c>
      <c r="JX3" s="129">
        <v>93</v>
      </c>
      <c r="JY3" s="129">
        <v>93</v>
      </c>
      <c r="JZ3" s="129">
        <v>90</v>
      </c>
      <c r="KA3" s="129">
        <v>105</v>
      </c>
      <c r="KB3" s="129">
        <v>105</v>
      </c>
      <c r="KC3" s="129">
        <v>138</v>
      </c>
      <c r="KE3" s="129">
        <v>63</v>
      </c>
      <c r="KF3" s="129">
        <v>63</v>
      </c>
      <c r="KG3" s="129">
        <v>88</v>
      </c>
      <c r="KJ3" s="129">
        <v>88</v>
      </c>
      <c r="KK3" s="129">
        <v>75</v>
      </c>
      <c r="KL3" s="129">
        <v>75</v>
      </c>
      <c r="KM3" s="129">
        <v>100</v>
      </c>
      <c r="KP3" s="129">
        <v>100</v>
      </c>
      <c r="KR3" s="129">
        <v>57</v>
      </c>
      <c r="KS3" s="129">
        <v>57</v>
      </c>
      <c r="KT3" s="129">
        <v>82</v>
      </c>
      <c r="KU3" s="129">
        <v>82</v>
      </c>
      <c r="KV3" s="129">
        <v>60</v>
      </c>
      <c r="KW3" s="129">
        <v>60</v>
      </c>
      <c r="KX3" s="129">
        <v>85</v>
      </c>
      <c r="KY3" s="129">
        <v>85</v>
      </c>
      <c r="KZ3" s="129">
        <v>63</v>
      </c>
      <c r="LA3" s="129">
        <v>63</v>
      </c>
      <c r="LB3" s="129">
        <v>88</v>
      </c>
      <c r="LC3" s="129">
        <v>88</v>
      </c>
      <c r="LD3" s="129">
        <v>63</v>
      </c>
      <c r="LE3" s="129">
        <v>63</v>
      </c>
      <c r="LF3" s="129">
        <v>88</v>
      </c>
      <c r="LG3" s="129">
        <v>88</v>
      </c>
      <c r="LI3" s="129">
        <v>20</v>
      </c>
      <c r="LJ3" s="129">
        <v>23</v>
      </c>
      <c r="LK3" s="135">
        <v>40</v>
      </c>
      <c r="LL3" s="135">
        <v>50</v>
      </c>
      <c r="LM3" s="135">
        <v>60</v>
      </c>
      <c r="LN3" s="135">
        <v>70</v>
      </c>
      <c r="LO3" s="135">
        <v>80</v>
      </c>
      <c r="LP3" s="129">
        <v>40</v>
      </c>
      <c r="LQ3" s="129">
        <v>50</v>
      </c>
      <c r="LR3" s="129">
        <v>60</v>
      </c>
      <c r="LS3" s="129">
        <v>70</v>
      </c>
      <c r="LT3" s="129">
        <v>80</v>
      </c>
      <c r="LU3" s="135">
        <v>50</v>
      </c>
      <c r="MF3" s="135">
        <v>60</v>
      </c>
      <c r="MG3" s="135">
        <v>70</v>
      </c>
      <c r="MH3" s="129">
        <v>63</v>
      </c>
      <c r="MI3" s="129">
        <v>73</v>
      </c>
      <c r="MJ3" s="129">
        <v>83</v>
      </c>
      <c r="MN3" s="129">
        <v>103</v>
      </c>
      <c r="MO3" s="129">
        <v>123</v>
      </c>
      <c r="MP3" s="129">
        <v>20</v>
      </c>
      <c r="MQ3" s="132">
        <v>53</v>
      </c>
      <c r="MR3" s="132">
        <v>63</v>
      </c>
      <c r="MS3" s="132">
        <v>73</v>
      </c>
      <c r="MT3" s="132">
        <v>83</v>
      </c>
      <c r="MU3" s="132">
        <v>103</v>
      </c>
      <c r="MV3" s="132">
        <v>123</v>
      </c>
      <c r="MW3" s="132">
        <v>143</v>
      </c>
      <c r="MX3" s="132">
        <v>163</v>
      </c>
      <c r="MY3" s="132">
        <v>183</v>
      </c>
      <c r="NA3" s="129">
        <v>35</v>
      </c>
      <c r="NB3" s="135">
        <v>52</v>
      </c>
      <c r="NC3" s="135">
        <v>62</v>
      </c>
      <c r="ND3" s="135">
        <v>72</v>
      </c>
      <c r="NE3" s="135">
        <v>82</v>
      </c>
      <c r="NF3" s="135">
        <v>92</v>
      </c>
      <c r="NG3" s="129">
        <v>52</v>
      </c>
      <c r="NH3" s="129">
        <v>62</v>
      </c>
      <c r="NI3" s="129">
        <v>72</v>
      </c>
      <c r="NJ3" s="129">
        <v>82</v>
      </c>
      <c r="NK3" s="129">
        <v>92</v>
      </c>
      <c r="NL3" s="132">
        <v>73</v>
      </c>
      <c r="NM3" s="132">
        <v>83</v>
      </c>
      <c r="NN3" s="132">
        <v>93</v>
      </c>
      <c r="NO3" s="132">
        <v>103</v>
      </c>
      <c r="NP3" s="132">
        <v>123</v>
      </c>
      <c r="NQ3" s="129">
        <v>32</v>
      </c>
      <c r="NS3" s="129">
        <v>63</v>
      </c>
      <c r="NT3" s="129">
        <v>88</v>
      </c>
      <c r="NU3" s="129">
        <v>113</v>
      </c>
      <c r="NV3" s="129">
        <v>75</v>
      </c>
      <c r="NW3" s="129">
        <v>100</v>
      </c>
      <c r="NX3" s="129">
        <v>125</v>
      </c>
      <c r="NY3" s="129">
        <v>63</v>
      </c>
      <c r="NZ3" s="129">
        <v>88</v>
      </c>
      <c r="OA3" s="129">
        <v>113</v>
      </c>
      <c r="OB3" s="129">
        <v>75</v>
      </c>
      <c r="OC3" s="129">
        <v>100</v>
      </c>
      <c r="OD3" s="129">
        <v>125</v>
      </c>
      <c r="OF3" s="129">
        <v>63</v>
      </c>
      <c r="OG3" s="129">
        <v>88</v>
      </c>
      <c r="OH3" s="129">
        <v>113</v>
      </c>
      <c r="OI3" s="129">
        <v>75</v>
      </c>
      <c r="OJ3" s="129">
        <v>100</v>
      </c>
      <c r="OK3" s="129">
        <v>125</v>
      </c>
      <c r="OL3" s="129">
        <v>75</v>
      </c>
      <c r="OM3" s="129">
        <v>100</v>
      </c>
      <c r="ON3" s="129">
        <v>125</v>
      </c>
      <c r="OQ3" s="129">
        <v>63</v>
      </c>
      <c r="OT3" s="129">
        <v>63</v>
      </c>
      <c r="OU3" s="129">
        <v>88</v>
      </c>
      <c r="OX3" s="129">
        <v>88</v>
      </c>
      <c r="OY3" s="129">
        <v>113</v>
      </c>
      <c r="PB3" s="129">
        <v>113</v>
      </c>
      <c r="PF3" s="129">
        <v>138</v>
      </c>
      <c r="PI3" s="129">
        <v>75</v>
      </c>
      <c r="PL3" s="129">
        <v>100</v>
      </c>
      <c r="PM3" s="129">
        <v>125</v>
      </c>
      <c r="PQ3" s="129">
        <v>150</v>
      </c>
      <c r="PR3" s="129">
        <v>150</v>
      </c>
      <c r="PS3" s="129">
        <v>65</v>
      </c>
      <c r="PT3" s="129">
        <v>90</v>
      </c>
      <c r="PU3" s="129">
        <v>115</v>
      </c>
      <c r="PV3" s="129">
        <v>80</v>
      </c>
      <c r="PW3" s="129">
        <v>80</v>
      </c>
      <c r="PX3" s="129">
        <v>105</v>
      </c>
      <c r="PY3" s="129">
        <v>105</v>
      </c>
      <c r="PZ3" s="129">
        <v>130</v>
      </c>
      <c r="QA3" s="129">
        <v>130</v>
      </c>
      <c r="QB3" s="129">
        <v>155</v>
      </c>
      <c r="QC3" s="129">
        <v>155</v>
      </c>
      <c r="QD3" s="129">
        <v>63</v>
      </c>
      <c r="QE3" s="129">
        <v>88</v>
      </c>
      <c r="QF3" s="129">
        <v>113</v>
      </c>
      <c r="QG3" s="129">
        <v>138</v>
      </c>
      <c r="QH3" s="129">
        <v>75</v>
      </c>
      <c r="QI3" s="129">
        <v>100</v>
      </c>
      <c r="QJ3" s="129">
        <v>100</v>
      </c>
      <c r="QK3" s="129">
        <v>100</v>
      </c>
      <c r="QL3" s="129">
        <v>125</v>
      </c>
      <c r="QM3" s="129">
        <v>150</v>
      </c>
      <c r="QR3" s="129">
        <v>43</v>
      </c>
      <c r="QV3" s="129">
        <v>55</v>
      </c>
      <c r="QY3" s="129">
        <v>43</v>
      </c>
      <c r="QZ3" s="129">
        <v>55</v>
      </c>
      <c r="RA3" s="129">
        <v>45</v>
      </c>
      <c r="RB3" s="129">
        <v>43</v>
      </c>
      <c r="RC3" s="129">
        <v>55</v>
      </c>
      <c r="RD3" s="129">
        <v>93</v>
      </c>
      <c r="RE3" s="129">
        <v>93</v>
      </c>
      <c r="RF3" s="129">
        <v>105</v>
      </c>
      <c r="RG3" s="129">
        <v>95</v>
      </c>
      <c r="RH3" s="129">
        <v>98</v>
      </c>
      <c r="RI3" s="129">
        <v>105</v>
      </c>
      <c r="RJ3" s="129">
        <v>72</v>
      </c>
      <c r="RK3" s="129">
        <v>93</v>
      </c>
      <c r="RL3" s="129">
        <v>105</v>
      </c>
      <c r="RM3" s="129">
        <v>93</v>
      </c>
      <c r="RN3" s="129">
        <v>63</v>
      </c>
      <c r="RO3" s="129">
        <v>88</v>
      </c>
      <c r="RP3" s="129">
        <v>113</v>
      </c>
      <c r="RQ3" s="134">
        <v>93</v>
      </c>
      <c r="RR3" s="134">
        <v>93</v>
      </c>
      <c r="RV3" s="129">
        <v>138</v>
      </c>
      <c r="RW3" s="129">
        <v>75</v>
      </c>
      <c r="RX3" s="129">
        <v>100</v>
      </c>
      <c r="RY3" s="129">
        <v>125</v>
      </c>
      <c r="RZ3" s="129">
        <v>150</v>
      </c>
      <c r="SA3" s="129">
        <v>65</v>
      </c>
      <c r="SB3" s="129">
        <v>90</v>
      </c>
      <c r="SC3" s="129">
        <v>115</v>
      </c>
      <c r="SD3" s="129">
        <v>140</v>
      </c>
      <c r="SE3" s="129">
        <v>140</v>
      </c>
      <c r="SF3" s="129">
        <v>68</v>
      </c>
      <c r="SG3" s="129">
        <v>68</v>
      </c>
      <c r="SH3" s="129">
        <v>93</v>
      </c>
      <c r="SI3" s="129">
        <v>93</v>
      </c>
      <c r="SJ3" s="129">
        <v>118</v>
      </c>
      <c r="SK3" s="129">
        <v>118</v>
      </c>
      <c r="SL3" s="129">
        <v>143</v>
      </c>
      <c r="SM3" s="129">
        <v>143</v>
      </c>
      <c r="SO3" s="129">
        <v>63</v>
      </c>
      <c r="SP3" s="129">
        <v>88</v>
      </c>
      <c r="SQ3" s="129">
        <v>113</v>
      </c>
      <c r="SR3" s="129">
        <v>138</v>
      </c>
      <c r="SS3" s="129">
        <v>75</v>
      </c>
      <c r="ST3" s="129">
        <v>100</v>
      </c>
      <c r="SU3" s="129">
        <v>125</v>
      </c>
      <c r="SV3" s="129">
        <v>150</v>
      </c>
      <c r="SX3" s="129">
        <v>40</v>
      </c>
      <c r="SY3" s="129">
        <v>40</v>
      </c>
      <c r="SZ3" s="129">
        <v>43</v>
      </c>
      <c r="TA3" s="129">
        <v>55</v>
      </c>
      <c r="TB3" s="129">
        <v>48</v>
      </c>
      <c r="TC3" s="129">
        <v>60</v>
      </c>
      <c r="TD3" s="133">
        <v>49</v>
      </c>
      <c r="TE3" s="132">
        <v>49</v>
      </c>
      <c r="TF3" s="132">
        <v>62</v>
      </c>
      <c r="TG3" s="129">
        <v>43</v>
      </c>
      <c r="TH3" s="129">
        <v>43</v>
      </c>
      <c r="TI3" s="129">
        <v>55</v>
      </c>
      <c r="TK3" s="129">
        <v>90</v>
      </c>
      <c r="TL3" s="129">
        <v>90</v>
      </c>
      <c r="TM3" s="129">
        <v>105</v>
      </c>
      <c r="TN3" s="129">
        <v>110</v>
      </c>
      <c r="TO3" s="129">
        <v>93</v>
      </c>
      <c r="TP3" s="129">
        <v>105</v>
      </c>
      <c r="TQ3" s="129">
        <v>257</v>
      </c>
      <c r="TR3" s="129">
        <v>93</v>
      </c>
      <c r="TS3" s="129">
        <v>105</v>
      </c>
      <c r="TT3" s="129">
        <v>98</v>
      </c>
      <c r="TW3" s="129">
        <v>110</v>
      </c>
      <c r="TX3" s="132">
        <v>76</v>
      </c>
      <c r="TY3" s="132">
        <v>76</v>
      </c>
      <c r="TZ3" s="132">
        <v>89</v>
      </c>
      <c r="UB3" s="129">
        <v>127</v>
      </c>
      <c r="UC3" s="129">
        <v>127</v>
      </c>
      <c r="UD3" s="129">
        <v>130</v>
      </c>
      <c r="UE3" s="129">
        <v>130</v>
      </c>
      <c r="UF3" s="129">
        <v>133</v>
      </c>
      <c r="UG3" s="129">
        <v>133</v>
      </c>
      <c r="UH3" s="129">
        <v>133</v>
      </c>
      <c r="UI3" s="129">
        <v>133</v>
      </c>
      <c r="UJ3" s="129">
        <v>140</v>
      </c>
      <c r="UK3" s="129">
        <v>145</v>
      </c>
      <c r="UM3" s="129">
        <v>30</v>
      </c>
      <c r="UN3" s="129">
        <v>30</v>
      </c>
      <c r="UO3" s="129">
        <v>33</v>
      </c>
      <c r="US3" s="129">
        <v>33</v>
      </c>
      <c r="UT3" s="129">
        <v>45</v>
      </c>
      <c r="UW3" s="129">
        <v>45</v>
      </c>
      <c r="UX3" s="129">
        <v>33</v>
      </c>
      <c r="UY3" s="129">
        <v>33</v>
      </c>
      <c r="UZ3" s="129">
        <v>45</v>
      </c>
      <c r="VA3" s="129">
        <v>45</v>
      </c>
      <c r="VC3" s="129">
        <v>32</v>
      </c>
      <c r="VD3" s="129">
        <v>32</v>
      </c>
      <c r="VE3" s="129">
        <v>35</v>
      </c>
      <c r="VF3" s="129">
        <v>35</v>
      </c>
      <c r="VG3" s="129">
        <v>37</v>
      </c>
      <c r="VH3" s="129">
        <v>40</v>
      </c>
      <c r="VI3" s="129">
        <v>52</v>
      </c>
      <c r="VJ3" s="129">
        <v>47</v>
      </c>
      <c r="VL3" s="132">
        <v>43</v>
      </c>
      <c r="VM3" s="132">
        <v>45</v>
      </c>
      <c r="VN3" s="132">
        <v>43</v>
      </c>
      <c r="VO3" s="132">
        <v>93</v>
      </c>
      <c r="VR3" s="131">
        <v>93</v>
      </c>
      <c r="VS3" s="131">
        <v>93</v>
      </c>
      <c r="VT3" s="131">
        <v>93</v>
      </c>
      <c r="VU3" s="131">
        <v>93</v>
      </c>
      <c r="VV3" s="131">
        <v>93</v>
      </c>
      <c r="VW3" s="131">
        <v>93</v>
      </c>
      <c r="VX3" s="131">
        <v>93</v>
      </c>
      <c r="VY3" s="131">
        <v>93</v>
      </c>
      <c r="VZ3" s="131">
        <v>93</v>
      </c>
      <c r="WA3" s="131">
        <v>93</v>
      </c>
      <c r="WB3" s="131">
        <v>93</v>
      </c>
      <c r="WC3" s="131">
        <v>93</v>
      </c>
      <c r="WD3" s="131">
        <v>93</v>
      </c>
      <c r="WE3" s="131">
        <v>93</v>
      </c>
      <c r="WF3" s="131">
        <v>93</v>
      </c>
      <c r="WG3" s="131">
        <v>93</v>
      </c>
      <c r="WH3" s="131">
        <v>93</v>
      </c>
      <c r="WI3" s="131">
        <v>93</v>
      </c>
      <c r="WJ3" s="131">
        <v>93</v>
      </c>
      <c r="WK3" s="131">
        <v>93</v>
      </c>
      <c r="WL3" s="131">
        <v>93</v>
      </c>
      <c r="WM3" s="131">
        <v>93</v>
      </c>
      <c r="WN3" s="131">
        <v>87</v>
      </c>
      <c r="WO3" s="131">
        <v>87</v>
      </c>
      <c r="WP3" s="131">
        <v>87</v>
      </c>
      <c r="WQ3" s="131">
        <v>87</v>
      </c>
      <c r="WR3" s="131">
        <v>87</v>
      </c>
      <c r="WS3" s="131">
        <v>87</v>
      </c>
      <c r="WT3" s="131">
        <v>87</v>
      </c>
      <c r="WU3" s="131">
        <v>87</v>
      </c>
      <c r="WV3" s="131">
        <v>87</v>
      </c>
      <c r="WW3" s="131">
        <v>87</v>
      </c>
      <c r="WX3" s="131">
        <v>87</v>
      </c>
      <c r="WY3" s="131">
        <v>93</v>
      </c>
      <c r="WZ3" s="131">
        <v>93</v>
      </c>
      <c r="XA3" s="131">
        <v>93</v>
      </c>
      <c r="XB3" s="131">
        <v>93</v>
      </c>
      <c r="XC3" s="131">
        <v>93</v>
      </c>
      <c r="XD3" s="131">
        <v>93</v>
      </c>
      <c r="XE3" s="131">
        <v>93</v>
      </c>
      <c r="XF3" s="131">
        <v>93</v>
      </c>
      <c r="XG3" s="131">
        <v>93</v>
      </c>
      <c r="XH3" s="131">
        <v>93</v>
      </c>
      <c r="XI3" s="131">
        <v>93</v>
      </c>
      <c r="XJ3" s="131">
        <v>93</v>
      </c>
      <c r="XK3" s="131">
        <v>93</v>
      </c>
      <c r="XL3" s="131">
        <v>93</v>
      </c>
      <c r="XM3" s="131">
        <v>93</v>
      </c>
      <c r="XN3" s="131">
        <v>93</v>
      </c>
      <c r="XO3" s="131">
        <v>93</v>
      </c>
      <c r="XP3" s="131">
        <v>93</v>
      </c>
      <c r="XQ3" s="131">
        <v>93</v>
      </c>
      <c r="XR3" s="131">
        <v>93</v>
      </c>
      <c r="XS3" s="131">
        <v>93</v>
      </c>
      <c r="XT3" s="131">
        <v>93</v>
      </c>
      <c r="XU3" s="131">
        <v>93</v>
      </c>
      <c r="XV3" s="131">
        <v>93</v>
      </c>
      <c r="XW3" s="131">
        <v>93</v>
      </c>
      <c r="XX3" s="131">
        <v>93</v>
      </c>
      <c r="XY3" s="131">
        <v>93</v>
      </c>
      <c r="XZ3" s="131">
        <v>93</v>
      </c>
      <c r="YA3" s="131">
        <v>93</v>
      </c>
      <c r="YB3" s="131">
        <v>93</v>
      </c>
      <c r="YC3" s="131">
        <v>93</v>
      </c>
      <c r="YD3" s="131">
        <v>93</v>
      </c>
      <c r="YE3" s="131">
        <v>93</v>
      </c>
      <c r="YF3" s="131">
        <v>93</v>
      </c>
      <c r="YG3" s="131">
        <v>93</v>
      </c>
      <c r="YH3" s="131">
        <v>93</v>
      </c>
      <c r="YI3" s="131">
        <v>93</v>
      </c>
      <c r="YJ3" s="131">
        <v>93</v>
      </c>
      <c r="YK3" s="131">
        <v>93</v>
      </c>
      <c r="YL3" s="131">
        <v>93</v>
      </c>
      <c r="YM3" s="131">
        <v>93</v>
      </c>
      <c r="YN3" s="131">
        <v>93</v>
      </c>
      <c r="YO3" s="131">
        <v>93</v>
      </c>
      <c r="YP3" s="131">
        <v>93</v>
      </c>
      <c r="YQ3" s="131">
        <v>93</v>
      </c>
      <c r="YR3" s="131">
        <v>93</v>
      </c>
      <c r="YS3" s="131">
        <v>93</v>
      </c>
      <c r="YT3" s="131">
        <v>93</v>
      </c>
      <c r="YU3" s="131">
        <v>93</v>
      </c>
      <c r="YV3" s="131">
        <v>93</v>
      </c>
      <c r="YW3" s="131">
        <v>93</v>
      </c>
      <c r="YX3" s="131">
        <v>93</v>
      </c>
      <c r="YY3" s="131">
        <v>93</v>
      </c>
      <c r="YZ3" s="131">
        <v>93</v>
      </c>
      <c r="ZA3" s="131">
        <v>93</v>
      </c>
      <c r="ZB3" s="131">
        <v>93</v>
      </c>
      <c r="ZC3" s="131">
        <v>93</v>
      </c>
      <c r="ZD3" s="131">
        <v>93</v>
      </c>
      <c r="ZE3" s="131">
        <v>93</v>
      </c>
      <c r="ZF3" s="131">
        <v>93</v>
      </c>
      <c r="ZG3" s="131">
        <v>93</v>
      </c>
      <c r="ZH3" s="131">
        <v>93</v>
      </c>
      <c r="ZI3" s="131">
        <v>93</v>
      </c>
      <c r="ZJ3" s="131">
        <v>93</v>
      </c>
      <c r="ZK3" s="131">
        <v>93</v>
      </c>
      <c r="ZL3" s="131">
        <v>93</v>
      </c>
      <c r="ZM3" s="131">
        <v>93</v>
      </c>
      <c r="ZN3" s="131">
        <v>93</v>
      </c>
      <c r="ZO3" s="131">
        <v>93</v>
      </c>
      <c r="ZP3" s="131">
        <v>93</v>
      </c>
      <c r="ZQ3" s="131">
        <v>93</v>
      </c>
      <c r="ZR3" s="131">
        <v>93</v>
      </c>
      <c r="ZS3" s="131">
        <v>93</v>
      </c>
      <c r="ZT3" s="131">
        <v>93</v>
      </c>
      <c r="ZU3" s="131">
        <v>93</v>
      </c>
      <c r="ZV3" s="131">
        <v>93</v>
      </c>
      <c r="ZW3" s="131">
        <v>93</v>
      </c>
      <c r="ZX3" s="131">
        <v>93</v>
      </c>
      <c r="ZY3" s="131">
        <v>93</v>
      </c>
      <c r="ZZ3" s="131">
        <v>93</v>
      </c>
      <c r="AAA3" s="131">
        <v>93</v>
      </c>
      <c r="AAB3" s="131">
        <v>93</v>
      </c>
      <c r="AAC3" s="131">
        <v>93</v>
      </c>
      <c r="AAD3" s="131">
        <v>93</v>
      </c>
      <c r="AAE3" s="131">
        <v>93</v>
      </c>
      <c r="AAF3" s="131">
        <v>93</v>
      </c>
      <c r="AAG3" s="131">
        <v>93</v>
      </c>
      <c r="AAH3" s="131">
        <v>93</v>
      </c>
      <c r="AAJ3" s="131">
        <v>93</v>
      </c>
      <c r="AAK3" s="131">
        <v>93</v>
      </c>
      <c r="AAL3" s="131">
        <v>93</v>
      </c>
      <c r="AAM3" s="131">
        <v>93</v>
      </c>
      <c r="AAN3" s="131">
        <v>93</v>
      </c>
      <c r="AAO3" s="131">
        <v>93</v>
      </c>
      <c r="AAP3" s="131">
        <v>93</v>
      </c>
      <c r="AAQ3" s="131">
        <v>93</v>
      </c>
      <c r="AAR3" s="131">
        <v>93</v>
      </c>
      <c r="AAS3" s="131">
        <v>93</v>
      </c>
      <c r="AAT3" s="131">
        <v>93</v>
      </c>
      <c r="AAU3" s="131">
        <v>93</v>
      </c>
      <c r="AAV3" s="131">
        <v>93</v>
      </c>
      <c r="AAW3" s="131">
        <v>93</v>
      </c>
      <c r="AAX3" s="131">
        <v>93</v>
      </c>
      <c r="AAY3" s="131">
        <v>93</v>
      </c>
      <c r="AAZ3" s="131">
        <v>93</v>
      </c>
      <c r="ABA3" s="131">
        <v>93</v>
      </c>
      <c r="ABB3" s="131">
        <v>93</v>
      </c>
      <c r="ABC3" s="131">
        <v>93</v>
      </c>
      <c r="ABD3" s="131">
        <v>93</v>
      </c>
      <c r="ABE3" s="131">
        <v>93</v>
      </c>
      <c r="ABF3" s="131">
        <v>93</v>
      </c>
      <c r="ABG3" s="131">
        <v>93</v>
      </c>
      <c r="ABH3" s="131">
        <v>93</v>
      </c>
      <c r="ABI3" s="131">
        <v>93</v>
      </c>
      <c r="ABJ3" s="131">
        <v>93</v>
      </c>
      <c r="ABK3" s="131">
        <v>93</v>
      </c>
      <c r="ABL3" s="131">
        <v>93</v>
      </c>
      <c r="ABM3" s="131">
        <v>93</v>
      </c>
      <c r="ABN3" s="131">
        <v>93</v>
      </c>
      <c r="ABO3" s="131">
        <v>93</v>
      </c>
      <c r="ABP3" s="131">
        <v>93</v>
      </c>
      <c r="ABQ3" s="131">
        <v>93</v>
      </c>
      <c r="ABR3" s="131">
        <v>93</v>
      </c>
      <c r="ABS3" s="131">
        <v>93</v>
      </c>
      <c r="ABT3" s="131">
        <v>93</v>
      </c>
      <c r="ABU3" s="131">
        <v>93</v>
      </c>
      <c r="ABV3" s="131">
        <v>93</v>
      </c>
      <c r="ABW3" s="131">
        <v>93</v>
      </c>
      <c r="ABX3" s="131">
        <v>93</v>
      </c>
      <c r="ABY3" s="131">
        <v>93</v>
      </c>
      <c r="ABZ3" s="131">
        <v>93</v>
      </c>
      <c r="ACA3" s="131">
        <v>93</v>
      </c>
      <c r="ACB3" s="131">
        <v>93</v>
      </c>
      <c r="ACC3" s="131">
        <v>93</v>
      </c>
      <c r="ACD3" s="131">
        <v>93</v>
      </c>
      <c r="ACE3" s="131">
        <v>93</v>
      </c>
      <c r="ACF3" s="131">
        <v>93</v>
      </c>
      <c r="ACG3" s="131">
        <v>93</v>
      </c>
      <c r="ACH3" s="131">
        <v>93</v>
      </c>
      <c r="ACI3" s="131">
        <v>93</v>
      </c>
      <c r="ACJ3" s="131">
        <v>93</v>
      </c>
      <c r="ACK3" s="131">
        <v>93</v>
      </c>
      <c r="ACL3" s="131">
        <v>93</v>
      </c>
      <c r="ACM3" s="131">
        <v>93</v>
      </c>
      <c r="ACN3" s="131">
        <v>93</v>
      </c>
      <c r="ACO3" s="131">
        <v>93</v>
      </c>
      <c r="ACP3" s="131">
        <v>93</v>
      </c>
      <c r="ACQ3" s="131">
        <v>93</v>
      </c>
      <c r="ACR3" s="131">
        <v>93</v>
      </c>
      <c r="ACS3" s="131">
        <v>93</v>
      </c>
      <c r="ACT3" s="131">
        <v>93</v>
      </c>
      <c r="ACU3" s="131">
        <v>93</v>
      </c>
      <c r="ACV3" s="131">
        <v>93</v>
      </c>
      <c r="ACW3" s="131">
        <v>93</v>
      </c>
      <c r="ACX3" s="131">
        <v>93</v>
      </c>
      <c r="ACY3" s="131">
        <v>93</v>
      </c>
      <c r="ACZ3" s="131">
        <v>93</v>
      </c>
      <c r="ADA3" s="131">
        <v>93</v>
      </c>
      <c r="ADB3" s="131">
        <v>93</v>
      </c>
      <c r="ADC3" s="131">
        <v>93</v>
      </c>
      <c r="ADD3" s="131">
        <v>93</v>
      </c>
      <c r="ADE3" s="131">
        <v>93</v>
      </c>
      <c r="ADF3" s="131">
        <v>93</v>
      </c>
      <c r="ADG3" s="131">
        <v>93</v>
      </c>
      <c r="ADH3" s="131">
        <v>93</v>
      </c>
      <c r="ADI3" s="131">
        <v>93</v>
      </c>
      <c r="ADJ3" s="131">
        <v>93</v>
      </c>
      <c r="ADK3" s="131">
        <v>93</v>
      </c>
      <c r="ADL3" s="131">
        <v>93</v>
      </c>
      <c r="ADM3" s="131">
        <v>93</v>
      </c>
      <c r="ADN3" s="131">
        <v>93</v>
      </c>
      <c r="ADO3" s="131">
        <v>93</v>
      </c>
      <c r="ADP3" s="131">
        <v>93</v>
      </c>
      <c r="ADQ3" s="131">
        <v>93</v>
      </c>
      <c r="ADR3" s="131">
        <v>93</v>
      </c>
      <c r="ADS3" s="131">
        <v>93</v>
      </c>
      <c r="ADT3" s="131">
        <v>93</v>
      </c>
      <c r="ADU3" s="131">
        <v>93</v>
      </c>
      <c r="ADV3" s="131">
        <v>93</v>
      </c>
      <c r="ADW3" s="131">
        <v>93</v>
      </c>
      <c r="ADX3" s="131">
        <v>93</v>
      </c>
      <c r="ADY3" s="131">
        <v>93</v>
      </c>
      <c r="ADZ3" s="131">
        <v>93</v>
      </c>
      <c r="AEA3" s="131">
        <v>93</v>
      </c>
      <c r="AEB3" s="131">
        <v>93</v>
      </c>
      <c r="AEC3" s="131">
        <v>93</v>
      </c>
      <c r="AED3" s="131">
        <v>93</v>
      </c>
      <c r="AEE3" s="131">
        <v>93</v>
      </c>
      <c r="AEF3" s="131">
        <v>93</v>
      </c>
      <c r="AEG3" s="131">
        <v>93</v>
      </c>
      <c r="AEH3" s="131">
        <v>93</v>
      </c>
      <c r="AEI3" s="131">
        <v>93</v>
      </c>
      <c r="AEJ3" s="131">
        <v>93</v>
      </c>
      <c r="AEK3" s="131">
        <v>93</v>
      </c>
      <c r="AEL3" s="131">
        <v>93</v>
      </c>
      <c r="AEM3" s="131">
        <v>93</v>
      </c>
      <c r="AEN3" s="131">
        <v>93</v>
      </c>
      <c r="AEO3" s="131">
        <v>93</v>
      </c>
      <c r="AEP3" s="131">
        <v>93</v>
      </c>
      <c r="AEQ3" s="131">
        <v>93</v>
      </c>
      <c r="AER3" s="131">
        <v>93</v>
      </c>
      <c r="AES3" s="131">
        <v>93</v>
      </c>
      <c r="AET3" s="131">
        <v>93</v>
      </c>
      <c r="AEU3" s="131">
        <v>93</v>
      </c>
      <c r="AEV3" s="131">
        <v>93</v>
      </c>
      <c r="AEW3" s="131">
        <v>93</v>
      </c>
      <c r="AEX3" s="131">
        <v>93</v>
      </c>
      <c r="AEY3" s="131">
        <v>93</v>
      </c>
      <c r="AEZ3" s="131">
        <v>93</v>
      </c>
      <c r="AFA3" s="131">
        <v>93</v>
      </c>
      <c r="AFB3" s="131">
        <v>93</v>
      </c>
      <c r="AFC3" s="131">
        <v>93</v>
      </c>
      <c r="AFD3" s="131">
        <v>93</v>
      </c>
      <c r="AFE3" s="131">
        <v>93</v>
      </c>
      <c r="AFF3" s="131">
        <v>93</v>
      </c>
      <c r="AFG3" s="131">
        <v>93</v>
      </c>
      <c r="AFH3" s="131">
        <v>93</v>
      </c>
      <c r="AFI3" s="131">
        <v>93</v>
      </c>
      <c r="AFJ3" s="131">
        <v>93</v>
      </c>
      <c r="AFK3" s="131">
        <v>93</v>
      </c>
      <c r="AFL3" s="129">
        <v>257</v>
      </c>
      <c r="AVO3" s="128">
        <v>20</v>
      </c>
      <c r="AVU3" s="128">
        <v>25</v>
      </c>
      <c r="AWD3" s="128">
        <v>30</v>
      </c>
      <c r="AWJ3" s="128">
        <v>35</v>
      </c>
      <c r="AWP3" s="128">
        <v>30</v>
      </c>
      <c r="AWV3" s="128">
        <v>40</v>
      </c>
    </row>
    <row r="4" spans="1:1297" outlineLevel="1">
      <c r="A4" s="137" t="s">
        <v>172</v>
      </c>
      <c r="B4" s="139" t="s">
        <v>175</v>
      </c>
      <c r="C4" s="139" t="s">
        <v>176</v>
      </c>
      <c r="D4" s="139" t="s">
        <v>177</v>
      </c>
      <c r="E4" s="137">
        <v>6</v>
      </c>
      <c r="G4" s="136" t="s">
        <v>17</v>
      </c>
      <c r="H4" s="136" t="s">
        <v>13</v>
      </c>
      <c r="I4" s="136" t="s">
        <v>13</v>
      </c>
      <c r="J4" s="136" t="s">
        <v>13</v>
      </c>
      <c r="K4" s="136" t="s">
        <v>13</v>
      </c>
      <c r="L4" s="136" t="s">
        <v>13</v>
      </c>
      <c r="M4" s="136" t="s">
        <v>13</v>
      </c>
      <c r="N4" s="136" t="s">
        <v>366</v>
      </c>
      <c r="P4" s="129" t="s">
        <v>4216</v>
      </c>
      <c r="Q4" s="129" t="s">
        <v>4217</v>
      </c>
      <c r="R4" s="129" t="s">
        <v>4216</v>
      </c>
      <c r="S4" s="129" t="s">
        <v>4215</v>
      </c>
      <c r="T4" s="129" t="s">
        <v>4215</v>
      </c>
      <c r="U4" s="128" t="s">
        <v>4227</v>
      </c>
      <c r="V4" s="128" t="s">
        <v>4227</v>
      </c>
      <c r="W4" s="128" t="s">
        <v>4216</v>
      </c>
      <c r="X4" s="128" t="s">
        <v>4217</v>
      </c>
      <c r="Y4" s="128" t="s">
        <v>4216</v>
      </c>
      <c r="Z4" s="128" t="s">
        <v>4215</v>
      </c>
      <c r="AA4" s="128" t="s">
        <v>4216</v>
      </c>
      <c r="AB4" s="128" t="s">
        <v>4215</v>
      </c>
      <c r="AC4" s="128" t="s">
        <v>4216</v>
      </c>
      <c r="AD4" s="142" t="s">
        <v>4216</v>
      </c>
      <c r="AE4" s="128" t="s">
        <v>4227</v>
      </c>
      <c r="AF4" s="128" t="s">
        <v>4216</v>
      </c>
      <c r="AG4" s="128" t="s">
        <v>4215</v>
      </c>
      <c r="AH4" s="128" t="s">
        <v>4196</v>
      </c>
      <c r="AI4" s="189" t="s">
        <v>4210</v>
      </c>
      <c r="AJ4" s="128" t="s">
        <v>4209</v>
      </c>
      <c r="AK4" s="128" t="s">
        <v>4231</v>
      </c>
      <c r="AL4" s="128" t="s">
        <v>4231</v>
      </c>
      <c r="AM4" s="128" t="s">
        <v>4230</v>
      </c>
      <c r="AN4" s="128" t="s">
        <v>4215</v>
      </c>
      <c r="AO4" s="128" t="s">
        <v>4215</v>
      </c>
      <c r="AP4" s="128" t="s">
        <v>4215</v>
      </c>
      <c r="AQ4" s="128" t="s">
        <v>4215</v>
      </c>
      <c r="AR4" s="128" t="s">
        <v>4216</v>
      </c>
      <c r="AS4" s="128" t="s">
        <v>4216</v>
      </c>
      <c r="AT4" s="128" t="s">
        <v>4216</v>
      </c>
      <c r="AU4" s="128" t="s">
        <v>4216</v>
      </c>
      <c r="AV4" s="128" t="s">
        <v>4216</v>
      </c>
      <c r="AW4" s="128" t="s">
        <v>4216</v>
      </c>
      <c r="AY4" s="129" t="s">
        <v>4217</v>
      </c>
      <c r="AZ4" s="129" t="s">
        <v>4217</v>
      </c>
      <c r="BA4" s="129" t="s">
        <v>4216</v>
      </c>
      <c r="BB4" s="129" t="s">
        <v>4215</v>
      </c>
      <c r="BC4" s="129" t="s">
        <v>4215</v>
      </c>
      <c r="BD4" s="129" t="s">
        <v>4217</v>
      </c>
      <c r="BE4" s="129" t="s">
        <v>4216</v>
      </c>
      <c r="BF4" s="129" t="s">
        <v>4215</v>
      </c>
      <c r="BG4" s="129" t="s">
        <v>4217</v>
      </c>
      <c r="BH4" s="129" t="s">
        <v>4217</v>
      </c>
      <c r="BI4" s="129" t="s">
        <v>4216</v>
      </c>
      <c r="BJ4" s="129" t="s">
        <v>4216</v>
      </c>
      <c r="BK4" s="129" t="s">
        <v>4215</v>
      </c>
      <c r="BL4" s="129" t="s">
        <v>4217</v>
      </c>
      <c r="BM4" s="129" t="s">
        <v>4217</v>
      </c>
      <c r="BN4" s="129" t="s">
        <v>4216</v>
      </c>
      <c r="BO4" s="129" t="s">
        <v>4216</v>
      </c>
      <c r="BP4" s="129" t="s">
        <v>4215</v>
      </c>
      <c r="BQ4" s="129" t="s">
        <v>4215</v>
      </c>
      <c r="BR4" s="128" t="s">
        <v>4217</v>
      </c>
      <c r="BS4" s="128" t="s">
        <v>4217</v>
      </c>
      <c r="BT4" s="128" t="s">
        <v>4215</v>
      </c>
      <c r="BU4" s="128" t="s">
        <v>4215</v>
      </c>
      <c r="BV4" s="128" t="s">
        <v>4217</v>
      </c>
      <c r="BW4" s="128" t="s">
        <v>4217</v>
      </c>
      <c r="BY4" s="128" t="s">
        <v>4228</v>
      </c>
      <c r="BZ4" s="128" t="s">
        <v>4228</v>
      </c>
      <c r="CA4" s="128" t="s">
        <v>4227</v>
      </c>
      <c r="CB4" s="128" t="s">
        <v>4226</v>
      </c>
      <c r="CC4" s="128" t="s">
        <v>4226</v>
      </c>
      <c r="CD4" s="128" t="s">
        <v>4226</v>
      </c>
      <c r="CE4" s="128" t="s">
        <v>4226</v>
      </c>
      <c r="CF4" s="128" t="s">
        <v>4226</v>
      </c>
      <c r="CG4" s="128" t="s">
        <v>4226</v>
      </c>
      <c r="CH4" s="128" t="s">
        <v>4228</v>
      </c>
      <c r="CI4" s="128" t="s">
        <v>4228</v>
      </c>
      <c r="CJ4" s="128" t="s">
        <v>4227</v>
      </c>
      <c r="CK4" s="128" t="s">
        <v>4227</v>
      </c>
      <c r="CL4" s="128" t="s">
        <v>4226</v>
      </c>
      <c r="CM4" s="128" t="s">
        <v>4226</v>
      </c>
      <c r="CN4" s="128" t="s">
        <v>4226</v>
      </c>
      <c r="CO4" s="128" t="s">
        <v>4226</v>
      </c>
      <c r="CP4" s="128" t="s">
        <v>4226</v>
      </c>
      <c r="CQ4" s="128" t="s">
        <v>4226</v>
      </c>
      <c r="CR4" s="128" t="s">
        <v>4226</v>
      </c>
      <c r="CS4" s="128" t="s">
        <v>4229</v>
      </c>
      <c r="CT4" s="128" t="s">
        <v>4229</v>
      </c>
      <c r="CU4" s="128" t="s">
        <v>4226</v>
      </c>
      <c r="CW4" s="128" t="s">
        <v>4217</v>
      </c>
      <c r="CX4" s="128" t="s">
        <v>4217</v>
      </c>
      <c r="CY4" s="128" t="s">
        <v>4216</v>
      </c>
      <c r="CZ4" s="128" t="s">
        <v>4217</v>
      </c>
      <c r="DA4" s="128" t="s">
        <v>4216</v>
      </c>
      <c r="DB4" s="128" t="s">
        <v>4217</v>
      </c>
      <c r="DC4" s="128" t="s">
        <v>4217</v>
      </c>
      <c r="DD4" s="128" t="s">
        <v>4216</v>
      </c>
      <c r="DE4" s="128" t="s">
        <v>4227</v>
      </c>
      <c r="DF4" s="128" t="s">
        <v>4227</v>
      </c>
      <c r="DG4" s="128" t="s">
        <v>4228</v>
      </c>
      <c r="DH4" s="128" t="s">
        <v>4228</v>
      </c>
      <c r="DI4" s="128" t="s">
        <v>4227</v>
      </c>
      <c r="DJ4" s="128" t="s">
        <v>4228</v>
      </c>
      <c r="DK4" s="128" t="s">
        <v>4228</v>
      </c>
      <c r="DL4" s="128" t="s">
        <v>4227</v>
      </c>
      <c r="DM4" s="128" t="s">
        <v>4227</v>
      </c>
      <c r="DN4" s="128" t="s">
        <v>4228</v>
      </c>
      <c r="DO4" s="128" t="s">
        <v>4228</v>
      </c>
      <c r="DP4" s="128" t="s">
        <v>4227</v>
      </c>
      <c r="DQ4" s="128" t="s">
        <v>4227</v>
      </c>
      <c r="DR4" s="128" t="s">
        <v>4228</v>
      </c>
      <c r="DS4" s="128" t="s">
        <v>4228</v>
      </c>
      <c r="DU4" s="128" t="s">
        <v>4216</v>
      </c>
      <c r="DV4" s="128" t="s">
        <v>4216</v>
      </c>
      <c r="DW4" s="128" t="s">
        <v>4216</v>
      </c>
      <c r="DX4" s="128" t="s">
        <v>4216</v>
      </c>
      <c r="DY4" s="128" t="s">
        <v>4216</v>
      </c>
      <c r="DZ4" s="128" t="s">
        <v>4216</v>
      </c>
      <c r="EA4" s="128" t="s">
        <v>4216</v>
      </c>
      <c r="EB4" s="128" t="s">
        <v>4216</v>
      </c>
      <c r="EC4" s="128" t="s">
        <v>4227</v>
      </c>
      <c r="ED4" s="128" t="s">
        <v>4215</v>
      </c>
      <c r="EE4" s="128" t="s">
        <v>4215</v>
      </c>
      <c r="EF4" s="128" t="s">
        <v>4216</v>
      </c>
      <c r="EG4" s="128" t="s">
        <v>4215</v>
      </c>
      <c r="EI4" s="128" t="s">
        <v>4222</v>
      </c>
      <c r="EJ4" s="128" t="s">
        <v>4222</v>
      </c>
      <c r="EK4" s="128" t="s">
        <v>4221</v>
      </c>
      <c r="EL4" s="128" t="s">
        <v>4221</v>
      </c>
      <c r="EM4" s="128" t="s">
        <v>4222</v>
      </c>
      <c r="EN4" s="128" t="s">
        <v>4222</v>
      </c>
      <c r="EO4" s="128" t="s">
        <v>4221</v>
      </c>
      <c r="EP4" s="128" t="s">
        <v>4221</v>
      </c>
      <c r="EQ4" s="128" t="s">
        <v>4222</v>
      </c>
      <c r="ER4" s="128" t="s">
        <v>4222</v>
      </c>
      <c r="ES4" s="128" t="s">
        <v>4221</v>
      </c>
      <c r="ET4" s="128" t="s">
        <v>4221</v>
      </c>
      <c r="EU4" s="128" t="s">
        <v>4222</v>
      </c>
      <c r="EV4" s="128" t="s">
        <v>4222</v>
      </c>
      <c r="EW4" s="128" t="s">
        <v>4221</v>
      </c>
      <c r="EX4" s="128" t="s">
        <v>4221</v>
      </c>
      <c r="EZ4" s="128" t="s">
        <v>4198</v>
      </c>
      <c r="FA4" s="128" t="s">
        <v>4198</v>
      </c>
      <c r="FB4" s="128" t="s">
        <v>4197</v>
      </c>
      <c r="FC4" s="128" t="s">
        <v>4197</v>
      </c>
      <c r="FD4" s="128" t="s">
        <v>4196</v>
      </c>
      <c r="FE4" s="128" t="s">
        <v>4196</v>
      </c>
      <c r="FF4" s="128" t="s">
        <v>4198</v>
      </c>
      <c r="FG4" s="128" t="s">
        <v>4198</v>
      </c>
      <c r="FH4" s="128" t="s">
        <v>4197</v>
      </c>
      <c r="FI4" s="128" t="s">
        <v>4197</v>
      </c>
      <c r="FJ4" s="128" t="s">
        <v>4196</v>
      </c>
      <c r="FK4" s="128" t="s">
        <v>4196</v>
      </c>
      <c r="FL4" s="128" t="s">
        <v>4195</v>
      </c>
      <c r="FM4" s="128" t="s">
        <v>4195</v>
      </c>
      <c r="FN4" s="128" t="s">
        <v>4194</v>
      </c>
      <c r="FO4" s="128" t="s">
        <v>4194</v>
      </c>
      <c r="FP4" s="128" t="s">
        <v>4185</v>
      </c>
      <c r="FR4" s="128" t="s">
        <v>4214</v>
      </c>
      <c r="FS4" s="128" t="s">
        <v>4214</v>
      </c>
      <c r="FT4" s="128" t="s">
        <v>4214</v>
      </c>
      <c r="FU4" s="128" t="s">
        <v>4214</v>
      </c>
      <c r="FW4" s="128" t="s">
        <v>4228</v>
      </c>
      <c r="FX4" s="128" t="s">
        <v>4228</v>
      </c>
      <c r="FY4" s="128" t="s">
        <v>4228</v>
      </c>
      <c r="FZ4" s="128" t="s">
        <v>4228</v>
      </c>
      <c r="GA4" s="128" t="s">
        <v>4227</v>
      </c>
      <c r="GB4" s="128" t="s">
        <v>4227</v>
      </c>
      <c r="GC4" s="128" t="s">
        <v>4227</v>
      </c>
      <c r="GD4" s="128" t="s">
        <v>4227</v>
      </c>
      <c r="GE4" s="128" t="s">
        <v>4226</v>
      </c>
      <c r="GF4" s="128" t="s">
        <v>4226</v>
      </c>
      <c r="GG4" s="128" t="s">
        <v>4226</v>
      </c>
      <c r="GH4" s="128" t="s">
        <v>4226</v>
      </c>
      <c r="GI4" s="128" t="s">
        <v>4226</v>
      </c>
      <c r="GJ4" s="128" t="s">
        <v>4226</v>
      </c>
      <c r="GL4" s="128" t="s">
        <v>4225</v>
      </c>
      <c r="GM4" s="128" t="s">
        <v>4225</v>
      </c>
      <c r="GN4" s="128" t="s">
        <v>4225</v>
      </c>
      <c r="GO4" s="128" t="s">
        <v>4224</v>
      </c>
      <c r="GP4" s="128" t="s">
        <v>4223</v>
      </c>
      <c r="GR4" s="129" t="s">
        <v>4217</v>
      </c>
      <c r="GS4" s="129" t="s">
        <v>4216</v>
      </c>
      <c r="GT4" s="129" t="s">
        <v>4215</v>
      </c>
      <c r="GU4" s="129" t="s">
        <v>4217</v>
      </c>
      <c r="GV4" s="129" t="s">
        <v>4216</v>
      </c>
      <c r="GW4" s="129" t="s">
        <v>4215</v>
      </c>
      <c r="GX4" s="129" t="s">
        <v>4220</v>
      </c>
      <c r="GY4" s="129" t="s">
        <v>4219</v>
      </c>
      <c r="GZ4" s="129" t="s">
        <v>4218</v>
      </c>
      <c r="HA4" s="129" t="s">
        <v>4220</v>
      </c>
      <c r="HB4" s="129" t="s">
        <v>4219</v>
      </c>
      <c r="HC4" s="129" t="s">
        <v>4218</v>
      </c>
      <c r="HD4" s="129" t="s">
        <v>4220</v>
      </c>
      <c r="HE4" s="129" t="s">
        <v>4219</v>
      </c>
      <c r="HF4" s="129" t="s">
        <v>4218</v>
      </c>
      <c r="HH4" s="129" t="s">
        <v>4217</v>
      </c>
      <c r="HI4" s="129" t="s">
        <v>4216</v>
      </c>
      <c r="HJ4" s="129" t="s">
        <v>4215</v>
      </c>
      <c r="HK4" s="129" t="s">
        <v>4217</v>
      </c>
      <c r="HL4" s="129" t="s">
        <v>4216</v>
      </c>
      <c r="HM4" s="129" t="s">
        <v>4215</v>
      </c>
      <c r="HN4" s="129" t="s">
        <v>4217</v>
      </c>
      <c r="HO4" s="129" t="s">
        <v>4216</v>
      </c>
      <c r="HP4" s="129" t="s">
        <v>4215</v>
      </c>
      <c r="HS4" s="129" t="s">
        <v>4216</v>
      </c>
      <c r="IE4" s="129" t="s">
        <v>4217</v>
      </c>
      <c r="IF4" s="129" t="s">
        <v>4216</v>
      </c>
      <c r="IG4" s="129" t="s">
        <v>4217</v>
      </c>
      <c r="IH4" s="129" t="s">
        <v>4216</v>
      </c>
      <c r="II4" s="129" t="s">
        <v>4217</v>
      </c>
      <c r="IJ4" s="129" t="s">
        <v>4187</v>
      </c>
      <c r="IK4" s="129" t="s">
        <v>4187</v>
      </c>
      <c r="IL4" s="129" t="s">
        <v>4186</v>
      </c>
      <c r="IM4" s="129" t="s">
        <v>4217</v>
      </c>
      <c r="IN4" s="129" t="s">
        <v>4216</v>
      </c>
      <c r="IO4" s="128" t="s">
        <v>4185</v>
      </c>
      <c r="IP4" s="129" t="s">
        <v>4216</v>
      </c>
      <c r="IQ4" s="129" t="s">
        <v>4216</v>
      </c>
      <c r="IR4" s="129" t="s">
        <v>4217</v>
      </c>
      <c r="IS4" s="129" t="s">
        <v>4217</v>
      </c>
      <c r="IU4" s="129" t="s">
        <v>4217</v>
      </c>
      <c r="JF4" s="129" t="s">
        <v>4217</v>
      </c>
      <c r="JG4" s="129" t="s">
        <v>4216</v>
      </c>
      <c r="JH4" s="129" t="s">
        <v>4215</v>
      </c>
      <c r="JM4" s="129" t="s">
        <v>4215</v>
      </c>
      <c r="JN4" s="129" t="s">
        <v>4214</v>
      </c>
      <c r="JO4" s="129" t="s">
        <v>4214</v>
      </c>
      <c r="JP4" s="129" t="s">
        <v>4217</v>
      </c>
      <c r="JQ4" s="129" t="s">
        <v>4216</v>
      </c>
      <c r="JR4" s="129" t="s">
        <v>4215</v>
      </c>
      <c r="JU4" s="129" t="s">
        <v>4215</v>
      </c>
      <c r="JV4" s="129" t="s">
        <v>4214</v>
      </c>
      <c r="JW4" s="129" t="s">
        <v>4214</v>
      </c>
      <c r="JX4" s="129" t="s">
        <v>4216</v>
      </c>
      <c r="JY4" s="129" t="s">
        <v>4216</v>
      </c>
      <c r="JZ4" s="129" t="s">
        <v>4216</v>
      </c>
      <c r="KA4" s="129" t="s">
        <v>4216</v>
      </c>
      <c r="KB4" s="129" t="s">
        <v>4216</v>
      </c>
      <c r="KC4" s="129" t="s">
        <v>4215</v>
      </c>
      <c r="KE4" s="129" t="s">
        <v>4217</v>
      </c>
      <c r="KF4" s="129" t="s">
        <v>4217</v>
      </c>
      <c r="KG4" s="129" t="s">
        <v>4216</v>
      </c>
      <c r="KJ4" s="129" t="s">
        <v>4216</v>
      </c>
      <c r="KK4" s="129" t="s">
        <v>4217</v>
      </c>
      <c r="KL4" s="129" t="s">
        <v>4217</v>
      </c>
      <c r="KM4" s="129" t="s">
        <v>4216</v>
      </c>
      <c r="KP4" s="129" t="s">
        <v>4216</v>
      </c>
      <c r="KR4" s="129" t="s">
        <v>4222</v>
      </c>
      <c r="KS4" s="129" t="s">
        <v>4222</v>
      </c>
      <c r="KT4" s="129" t="s">
        <v>4221</v>
      </c>
      <c r="KU4" s="129" t="s">
        <v>4221</v>
      </c>
      <c r="KV4" s="129" t="s">
        <v>4222</v>
      </c>
      <c r="KW4" s="129" t="s">
        <v>4222</v>
      </c>
      <c r="KX4" s="129" t="s">
        <v>4221</v>
      </c>
      <c r="KY4" s="129" t="s">
        <v>4221</v>
      </c>
      <c r="KZ4" s="129" t="s">
        <v>4222</v>
      </c>
      <c r="LA4" s="129" t="s">
        <v>4222</v>
      </c>
      <c r="LB4" s="129" t="s">
        <v>4221</v>
      </c>
      <c r="LC4" s="129" t="s">
        <v>4221</v>
      </c>
      <c r="LD4" s="129" t="s">
        <v>4222</v>
      </c>
      <c r="LE4" s="129" t="s">
        <v>4222</v>
      </c>
      <c r="LF4" s="129" t="s">
        <v>4221</v>
      </c>
      <c r="LG4" s="129" t="s">
        <v>4221</v>
      </c>
      <c r="NS4" s="129" t="s">
        <v>4217</v>
      </c>
      <c r="NT4" s="129" t="s">
        <v>4216</v>
      </c>
      <c r="NU4" s="129" t="s">
        <v>4215</v>
      </c>
      <c r="NV4" s="129" t="s">
        <v>4217</v>
      </c>
      <c r="NW4" s="129" t="s">
        <v>4216</v>
      </c>
      <c r="NX4" s="129" t="s">
        <v>4215</v>
      </c>
      <c r="NY4" s="129" t="s">
        <v>4220</v>
      </c>
      <c r="NZ4" s="129" t="s">
        <v>4219</v>
      </c>
      <c r="OA4" s="129" t="s">
        <v>4218</v>
      </c>
      <c r="OB4" s="129" t="s">
        <v>4220</v>
      </c>
      <c r="OC4" s="129" t="s">
        <v>4219</v>
      </c>
      <c r="OD4" s="129" t="s">
        <v>4218</v>
      </c>
      <c r="OF4" s="129" t="s">
        <v>4217</v>
      </c>
      <c r="OG4" s="129" t="s">
        <v>4216</v>
      </c>
      <c r="OH4" s="129" t="s">
        <v>4215</v>
      </c>
      <c r="OI4" s="129" t="s">
        <v>4217</v>
      </c>
      <c r="OJ4" s="129" t="s">
        <v>4216</v>
      </c>
      <c r="OK4" s="129" t="s">
        <v>4215</v>
      </c>
      <c r="OL4" s="129" t="s">
        <v>4217</v>
      </c>
      <c r="OM4" s="129" t="s">
        <v>4216</v>
      </c>
      <c r="ON4" s="129" t="s">
        <v>4215</v>
      </c>
      <c r="OQ4" s="129" t="s">
        <v>4217</v>
      </c>
      <c r="OT4" s="129" t="s">
        <v>4217</v>
      </c>
      <c r="OU4" s="129" t="s">
        <v>4216</v>
      </c>
      <c r="OX4" s="129" t="s">
        <v>4216</v>
      </c>
      <c r="OY4" s="129" t="s">
        <v>4215</v>
      </c>
      <c r="PB4" s="129" t="s">
        <v>4215</v>
      </c>
      <c r="PF4" s="129" t="s">
        <v>4214</v>
      </c>
      <c r="PI4" s="129" t="s">
        <v>4217</v>
      </c>
      <c r="PL4" s="129" t="s">
        <v>4216</v>
      </c>
      <c r="PM4" s="129" t="s">
        <v>4215</v>
      </c>
      <c r="PQ4" s="129" t="s">
        <v>4214</v>
      </c>
      <c r="PR4" s="129" t="s">
        <v>4214</v>
      </c>
      <c r="PS4" s="129" t="s">
        <v>4217</v>
      </c>
      <c r="PT4" s="129" t="s">
        <v>4216</v>
      </c>
      <c r="PU4" s="129" t="s">
        <v>4215</v>
      </c>
      <c r="PV4" s="129" t="s">
        <v>4217</v>
      </c>
      <c r="PW4" s="129" t="s">
        <v>4217</v>
      </c>
      <c r="PX4" s="129" t="s">
        <v>4216</v>
      </c>
      <c r="PY4" s="129" t="s">
        <v>4216</v>
      </c>
      <c r="PZ4" s="129" t="s">
        <v>4215</v>
      </c>
      <c r="QA4" s="129" t="s">
        <v>4215</v>
      </c>
      <c r="QB4" s="129" t="s">
        <v>4214</v>
      </c>
      <c r="QC4" s="129" t="s">
        <v>4214</v>
      </c>
      <c r="QD4" s="129" t="s">
        <v>4217</v>
      </c>
      <c r="QE4" s="129" t="s">
        <v>4216</v>
      </c>
      <c r="QF4" s="129" t="s">
        <v>4215</v>
      </c>
      <c r="QG4" s="129" t="s">
        <v>4214</v>
      </c>
      <c r="QH4" s="129" t="s">
        <v>4217</v>
      </c>
      <c r="QI4" s="129" t="s">
        <v>4216</v>
      </c>
      <c r="QJ4" s="129" t="s">
        <v>4216</v>
      </c>
      <c r="QK4" s="129" t="s">
        <v>4216</v>
      </c>
      <c r="QL4" s="129" t="s">
        <v>4215</v>
      </c>
      <c r="QM4" s="129" t="s">
        <v>4214</v>
      </c>
      <c r="QR4" s="132" t="s">
        <v>1579</v>
      </c>
      <c r="QS4" s="132" t="s">
        <v>1579</v>
      </c>
      <c r="QT4" s="132" t="s">
        <v>1579</v>
      </c>
      <c r="QU4" s="132" t="s">
        <v>1579</v>
      </c>
      <c r="QV4" s="132" t="s">
        <v>1579</v>
      </c>
      <c r="QW4" s="132" t="s">
        <v>1579</v>
      </c>
      <c r="QX4" s="132" t="s">
        <v>1579</v>
      </c>
      <c r="QY4" s="132" t="s">
        <v>1579</v>
      </c>
      <c r="QZ4" s="132" t="s">
        <v>1579</v>
      </c>
      <c r="RA4" s="132" t="s">
        <v>1579</v>
      </c>
      <c r="RB4" s="132" t="s">
        <v>1579</v>
      </c>
      <c r="RC4" s="132" t="s">
        <v>1579</v>
      </c>
      <c r="RD4" s="132" t="s">
        <v>1579</v>
      </c>
      <c r="RE4" s="132" t="s">
        <v>1579</v>
      </c>
      <c r="RF4" s="132" t="s">
        <v>1579</v>
      </c>
      <c r="RG4" s="132" t="s">
        <v>1579</v>
      </c>
      <c r="RH4" s="132" t="s">
        <v>1579</v>
      </c>
      <c r="RI4" s="132" t="s">
        <v>1579</v>
      </c>
      <c r="RJ4" s="132" t="s">
        <v>1579</v>
      </c>
      <c r="RK4" s="132" t="s">
        <v>1579</v>
      </c>
      <c r="RL4" s="132" t="s">
        <v>1579</v>
      </c>
      <c r="RM4" s="132" t="s">
        <v>1579</v>
      </c>
      <c r="RN4" s="129" t="s">
        <v>4217</v>
      </c>
      <c r="RO4" s="129" t="s">
        <v>4216</v>
      </c>
      <c r="RP4" s="129" t="s">
        <v>4215</v>
      </c>
      <c r="RV4" s="129" t="s">
        <v>4214</v>
      </c>
      <c r="RW4" s="129" t="s">
        <v>4217</v>
      </c>
      <c r="RX4" s="129" t="s">
        <v>4216</v>
      </c>
      <c r="RY4" s="129" t="s">
        <v>4215</v>
      </c>
      <c r="RZ4" s="129" t="s">
        <v>4214</v>
      </c>
      <c r="SA4" s="129" t="s">
        <v>4217</v>
      </c>
      <c r="SB4" s="129" t="s">
        <v>4216</v>
      </c>
      <c r="SC4" s="129" t="s">
        <v>4215</v>
      </c>
      <c r="SD4" s="129" t="s">
        <v>4214</v>
      </c>
      <c r="SE4" s="129" t="s">
        <v>4214</v>
      </c>
      <c r="SF4" s="129" t="s">
        <v>4217</v>
      </c>
      <c r="SG4" s="129" t="s">
        <v>4217</v>
      </c>
      <c r="SH4" s="129" t="s">
        <v>4216</v>
      </c>
      <c r="SI4" s="129" t="s">
        <v>4216</v>
      </c>
      <c r="SJ4" s="129" t="s">
        <v>4215</v>
      </c>
      <c r="SK4" s="129" t="s">
        <v>4215</v>
      </c>
      <c r="SL4" s="129" t="s">
        <v>4214</v>
      </c>
      <c r="SM4" s="129" t="s">
        <v>4214</v>
      </c>
      <c r="SO4" s="129" t="s">
        <v>4217</v>
      </c>
      <c r="SP4" s="129" t="s">
        <v>4216</v>
      </c>
      <c r="SQ4" s="129" t="s">
        <v>4215</v>
      </c>
      <c r="SR4" s="129" t="s">
        <v>4214</v>
      </c>
      <c r="SS4" s="129" t="s">
        <v>4217</v>
      </c>
      <c r="ST4" s="129" t="s">
        <v>4216</v>
      </c>
      <c r="SU4" s="129" t="s">
        <v>4215</v>
      </c>
      <c r="SV4" s="129" t="s">
        <v>4214</v>
      </c>
      <c r="SX4" s="132" t="s">
        <v>1579</v>
      </c>
      <c r="SY4" s="132" t="s">
        <v>1579</v>
      </c>
      <c r="SZ4" s="132" t="s">
        <v>1579</v>
      </c>
      <c r="TA4" s="132" t="s">
        <v>1579</v>
      </c>
      <c r="TB4" s="132" t="s">
        <v>1579</v>
      </c>
      <c r="TC4" s="132" t="s">
        <v>1579</v>
      </c>
      <c r="TD4" s="132" t="s">
        <v>1579</v>
      </c>
      <c r="TE4" s="132" t="s">
        <v>1579</v>
      </c>
      <c r="TF4" s="132" t="s">
        <v>1579</v>
      </c>
      <c r="TG4" s="132" t="s">
        <v>1579</v>
      </c>
      <c r="TH4" s="132" t="s">
        <v>1579</v>
      </c>
      <c r="TI4" s="132" t="s">
        <v>1579</v>
      </c>
      <c r="TK4" s="132" t="s">
        <v>1579</v>
      </c>
      <c r="TL4" s="132" t="s">
        <v>1579</v>
      </c>
      <c r="TM4" s="132" t="s">
        <v>1579</v>
      </c>
      <c r="TN4" s="132" t="s">
        <v>1579</v>
      </c>
      <c r="TO4" s="132" t="s">
        <v>1579</v>
      </c>
      <c r="TP4" s="132" t="s">
        <v>1579</v>
      </c>
      <c r="TQ4" s="132" t="s">
        <v>1579</v>
      </c>
      <c r="TR4" s="132" t="s">
        <v>1579</v>
      </c>
      <c r="TS4" s="132" t="s">
        <v>1579</v>
      </c>
      <c r="TT4" s="132" t="s">
        <v>1579</v>
      </c>
      <c r="TU4" s="132" t="s">
        <v>1579</v>
      </c>
      <c r="TV4" s="132" t="s">
        <v>1579</v>
      </c>
      <c r="TW4" s="132" t="s">
        <v>1579</v>
      </c>
      <c r="TX4" s="132" t="s">
        <v>1579</v>
      </c>
      <c r="TY4" s="132" t="s">
        <v>1579</v>
      </c>
      <c r="TZ4" s="132" t="s">
        <v>1579</v>
      </c>
      <c r="UB4" s="129" t="s">
        <v>1269</v>
      </c>
      <c r="UC4" s="129" t="s">
        <v>1269</v>
      </c>
      <c r="UD4" s="129" t="s">
        <v>1269</v>
      </c>
      <c r="UE4" s="129" t="s">
        <v>1269</v>
      </c>
      <c r="UF4" s="129" t="s">
        <v>1269</v>
      </c>
      <c r="UG4" s="129" t="s">
        <v>1269</v>
      </c>
      <c r="UH4" s="129" t="s">
        <v>1269</v>
      </c>
      <c r="UI4" s="129" t="s">
        <v>1269</v>
      </c>
      <c r="UJ4" s="129" t="s">
        <v>1269</v>
      </c>
      <c r="UK4" s="129" t="s">
        <v>1269</v>
      </c>
      <c r="UM4" s="129" t="s">
        <v>4213</v>
      </c>
      <c r="UN4" s="129" t="s">
        <v>4213</v>
      </c>
      <c r="UO4" s="129" t="s">
        <v>4213</v>
      </c>
      <c r="US4" s="129" t="s">
        <v>4213</v>
      </c>
      <c r="UT4" s="129" t="s">
        <v>4213</v>
      </c>
      <c r="UW4" s="129" t="s">
        <v>4213</v>
      </c>
      <c r="UX4" s="129" t="s">
        <v>4213</v>
      </c>
      <c r="UY4" s="129" t="s">
        <v>4213</v>
      </c>
      <c r="UZ4" s="129" t="s">
        <v>4213</v>
      </c>
      <c r="VA4" s="129" t="s">
        <v>4213</v>
      </c>
      <c r="VC4" s="129" t="s">
        <v>4174</v>
      </c>
      <c r="VD4" s="129" t="s">
        <v>4174</v>
      </c>
      <c r="VE4" s="129" t="s">
        <v>4174</v>
      </c>
      <c r="VF4" s="129" t="s">
        <v>4174</v>
      </c>
      <c r="VG4" s="129" t="s">
        <v>4175</v>
      </c>
      <c r="VH4" s="129" t="s">
        <v>4175</v>
      </c>
      <c r="VI4" s="129" t="s">
        <v>4175</v>
      </c>
      <c r="VJ4" s="129" t="s">
        <v>4174</v>
      </c>
      <c r="VL4" s="132" t="s">
        <v>4212</v>
      </c>
      <c r="VM4" s="132" t="s">
        <v>4173</v>
      </c>
      <c r="VN4" s="132" t="s">
        <v>4212</v>
      </c>
      <c r="VO4" s="132" t="s">
        <v>4212</v>
      </c>
    </row>
    <row r="5" spans="1:1297" ht="25.5" outlineLevel="1">
      <c r="A5" s="137" t="s">
        <v>172</v>
      </c>
      <c r="B5" s="139" t="s">
        <v>178</v>
      </c>
      <c r="C5" s="139" t="s">
        <v>179</v>
      </c>
      <c r="D5" s="139" t="s">
        <v>180</v>
      </c>
      <c r="E5" s="137">
        <v>7</v>
      </c>
      <c r="G5" s="136" t="s">
        <v>17</v>
      </c>
      <c r="H5" s="136" t="s">
        <v>13</v>
      </c>
      <c r="I5" s="136" t="s">
        <v>13</v>
      </c>
      <c r="J5" s="136" t="s">
        <v>13</v>
      </c>
      <c r="K5" s="136" t="s">
        <v>13</v>
      </c>
      <c r="L5" s="136" t="s">
        <v>13</v>
      </c>
      <c r="M5" s="136" t="s">
        <v>13</v>
      </c>
      <c r="N5" s="136" t="s">
        <v>366</v>
      </c>
      <c r="P5" s="129" t="s">
        <v>4178</v>
      </c>
      <c r="Q5" s="129" t="s">
        <v>4179</v>
      </c>
      <c r="R5" s="129" t="s">
        <v>4178</v>
      </c>
      <c r="S5" s="129" t="s">
        <v>4177</v>
      </c>
      <c r="T5" s="129" t="s">
        <v>4177</v>
      </c>
      <c r="U5" s="128" t="s">
        <v>4199</v>
      </c>
      <c r="V5" s="128" t="s">
        <v>4199</v>
      </c>
      <c r="W5" s="128" t="s">
        <v>4183</v>
      </c>
      <c r="X5" s="128" t="s">
        <v>4184</v>
      </c>
      <c r="Y5" s="128" t="s">
        <v>4183</v>
      </c>
      <c r="Z5" s="128" t="s">
        <v>4211</v>
      </c>
      <c r="AA5" s="128" t="s">
        <v>4183</v>
      </c>
      <c r="AB5" s="128" t="s">
        <v>4211</v>
      </c>
      <c r="AC5" s="128" t="s">
        <v>4183</v>
      </c>
      <c r="AD5" s="142" t="s">
        <v>4183</v>
      </c>
      <c r="AE5" s="128" t="s">
        <v>4202</v>
      </c>
      <c r="AF5" s="128" t="s">
        <v>4178</v>
      </c>
      <c r="AG5" s="128" t="s">
        <v>4177</v>
      </c>
      <c r="AH5" s="128" t="s">
        <v>4196</v>
      </c>
      <c r="AI5" s="189" t="s">
        <v>4210</v>
      </c>
      <c r="AJ5" s="128" t="s">
        <v>4209</v>
      </c>
      <c r="AK5" s="128" t="s">
        <v>4208</v>
      </c>
      <c r="AL5" s="128" t="s">
        <v>4208</v>
      </c>
      <c r="AM5" s="128" t="s">
        <v>4207</v>
      </c>
      <c r="AN5" s="128" t="s">
        <v>4177</v>
      </c>
      <c r="AO5" s="128" t="s">
        <v>4177</v>
      </c>
      <c r="AP5" s="128" t="s">
        <v>4177</v>
      </c>
      <c r="AQ5" s="128" t="s">
        <v>4177</v>
      </c>
      <c r="AR5" s="128" t="s">
        <v>4178</v>
      </c>
      <c r="AS5" s="128" t="s">
        <v>4178</v>
      </c>
      <c r="AT5" s="128" t="s">
        <v>4178</v>
      </c>
      <c r="AU5" s="128" t="s">
        <v>4178</v>
      </c>
      <c r="AV5" s="128" t="s">
        <v>4178</v>
      </c>
      <c r="AW5" s="128" t="s">
        <v>4178</v>
      </c>
      <c r="AY5" s="129" t="s">
        <v>4179</v>
      </c>
      <c r="AZ5" s="129" t="s">
        <v>4179</v>
      </c>
      <c r="BA5" s="129" t="s">
        <v>4178</v>
      </c>
      <c r="BB5" s="129" t="s">
        <v>4177</v>
      </c>
      <c r="BC5" s="129" t="s">
        <v>4177</v>
      </c>
      <c r="BD5" s="129" t="s">
        <v>4179</v>
      </c>
      <c r="BE5" s="129" t="s">
        <v>4178</v>
      </c>
      <c r="BF5" s="129" t="s">
        <v>4177</v>
      </c>
      <c r="BG5" s="129" t="s">
        <v>4179</v>
      </c>
      <c r="BH5" s="129" t="s">
        <v>4179</v>
      </c>
      <c r="BI5" s="129" t="s">
        <v>4178</v>
      </c>
      <c r="BJ5" s="129" t="s">
        <v>4178</v>
      </c>
      <c r="BK5" s="129" t="s">
        <v>4177</v>
      </c>
      <c r="BL5" s="129" t="s">
        <v>4179</v>
      </c>
      <c r="BM5" s="129" t="s">
        <v>4179</v>
      </c>
      <c r="BN5" s="129" t="s">
        <v>4178</v>
      </c>
      <c r="BO5" s="129" t="s">
        <v>4178</v>
      </c>
      <c r="BP5" s="129" t="s">
        <v>4177</v>
      </c>
      <c r="BQ5" s="129" t="s">
        <v>4177</v>
      </c>
      <c r="BR5" s="128" t="s">
        <v>4179</v>
      </c>
      <c r="BS5" s="128" t="s">
        <v>4179</v>
      </c>
      <c r="BT5" s="128" t="s">
        <v>4177</v>
      </c>
      <c r="BU5" s="128" t="s">
        <v>4177</v>
      </c>
      <c r="BV5" s="128" t="s">
        <v>4179</v>
      </c>
      <c r="BW5" s="128" t="s">
        <v>4179</v>
      </c>
      <c r="BY5" s="128" t="s">
        <v>4206</v>
      </c>
      <c r="BZ5" s="128" t="s">
        <v>4206</v>
      </c>
      <c r="CA5" s="128" t="s">
        <v>4199</v>
      </c>
      <c r="CB5" s="128" t="s">
        <v>4204</v>
      </c>
      <c r="CC5" s="128" t="s">
        <v>4204</v>
      </c>
      <c r="CD5" s="128" t="s">
        <v>4204</v>
      </c>
      <c r="CE5" s="128" t="s">
        <v>4204</v>
      </c>
      <c r="CF5" s="128" t="s">
        <v>4204</v>
      </c>
      <c r="CG5" s="128" t="s">
        <v>4204</v>
      </c>
      <c r="CH5" s="128" t="s">
        <v>4193</v>
      </c>
      <c r="CI5" s="128" t="s">
        <v>4193</v>
      </c>
      <c r="CJ5" s="128" t="s">
        <v>4192</v>
      </c>
      <c r="CK5" s="128" t="s">
        <v>4192</v>
      </c>
      <c r="CL5" s="128" t="s">
        <v>4191</v>
      </c>
      <c r="CM5" s="128" t="s">
        <v>4191</v>
      </c>
      <c r="CN5" s="128" t="s">
        <v>4191</v>
      </c>
      <c r="CO5" s="128" t="s">
        <v>4191</v>
      </c>
      <c r="CP5" s="128" t="s">
        <v>4191</v>
      </c>
      <c r="CQ5" s="128" t="s">
        <v>4191</v>
      </c>
      <c r="CR5" s="128" t="s">
        <v>4204</v>
      </c>
      <c r="CS5" s="128" t="s">
        <v>4205</v>
      </c>
      <c r="CT5" s="128" t="s">
        <v>4205</v>
      </c>
      <c r="CU5" s="128" t="s">
        <v>4204</v>
      </c>
      <c r="CW5" s="128" t="s">
        <v>4184</v>
      </c>
      <c r="CX5" s="128" t="s">
        <v>4184</v>
      </c>
      <c r="CY5" s="128" t="s">
        <v>4183</v>
      </c>
      <c r="CZ5" s="128" t="s">
        <v>4184</v>
      </c>
      <c r="DA5" s="128" t="s">
        <v>4183</v>
      </c>
      <c r="DB5" s="128" t="s">
        <v>4184</v>
      </c>
      <c r="DC5" s="128" t="s">
        <v>4184</v>
      </c>
      <c r="DD5" s="128" t="s">
        <v>4183</v>
      </c>
      <c r="DE5" s="128" t="s">
        <v>4201</v>
      </c>
      <c r="DF5" s="128" t="s">
        <v>4201</v>
      </c>
      <c r="DG5" s="128" t="s">
        <v>4203</v>
      </c>
      <c r="DH5" s="128" t="s">
        <v>4203</v>
      </c>
      <c r="DI5" s="128" t="s">
        <v>4202</v>
      </c>
      <c r="DJ5" s="128" t="s">
        <v>4203</v>
      </c>
      <c r="DK5" s="128" t="s">
        <v>4203</v>
      </c>
      <c r="DL5" s="128" t="s">
        <v>4202</v>
      </c>
      <c r="DM5" s="128" t="s">
        <v>4202</v>
      </c>
      <c r="DN5" s="128" t="s">
        <v>4200</v>
      </c>
      <c r="DO5" s="128" t="s">
        <v>4200</v>
      </c>
      <c r="DP5" s="128" t="s">
        <v>4201</v>
      </c>
      <c r="DQ5" s="128" t="s">
        <v>4201</v>
      </c>
      <c r="DR5" s="128" t="s">
        <v>4200</v>
      </c>
      <c r="DS5" s="128" t="s">
        <v>4200</v>
      </c>
      <c r="DU5" s="128" t="s">
        <v>4178</v>
      </c>
      <c r="DV5" s="128" t="s">
        <v>4178</v>
      </c>
      <c r="DW5" s="128" t="s">
        <v>4178</v>
      </c>
      <c r="DX5" s="128" t="s">
        <v>4178</v>
      </c>
      <c r="DY5" s="128" t="s">
        <v>4178</v>
      </c>
      <c r="DZ5" s="128" t="s">
        <v>4178</v>
      </c>
      <c r="EA5" s="128" t="s">
        <v>4178</v>
      </c>
      <c r="EB5" s="128" t="s">
        <v>4178</v>
      </c>
      <c r="EC5" s="128" t="s">
        <v>4199</v>
      </c>
      <c r="ED5" s="128" t="s">
        <v>4177</v>
      </c>
      <c r="EE5" s="128" t="s">
        <v>4177</v>
      </c>
      <c r="EF5" s="128" t="s">
        <v>4178</v>
      </c>
      <c r="EG5" s="128" t="s">
        <v>4177</v>
      </c>
      <c r="EI5" s="128" t="s">
        <v>4179</v>
      </c>
      <c r="EJ5" s="128" t="s">
        <v>4179</v>
      </c>
      <c r="EK5" s="128" t="s">
        <v>4178</v>
      </c>
      <c r="EL5" s="128" t="s">
        <v>4178</v>
      </c>
      <c r="EM5" s="128" t="s">
        <v>4179</v>
      </c>
      <c r="EN5" s="128" t="s">
        <v>4179</v>
      </c>
      <c r="EO5" s="128" t="s">
        <v>4178</v>
      </c>
      <c r="EP5" s="128" t="s">
        <v>4178</v>
      </c>
      <c r="EQ5" s="128" t="s">
        <v>4179</v>
      </c>
      <c r="ER5" s="128" t="s">
        <v>4179</v>
      </c>
      <c r="ES5" s="128" t="s">
        <v>4178</v>
      </c>
      <c r="ET5" s="128" t="s">
        <v>4178</v>
      </c>
      <c r="EU5" s="128" t="s">
        <v>4179</v>
      </c>
      <c r="EV5" s="128" t="s">
        <v>4179</v>
      </c>
      <c r="EW5" s="128" t="s">
        <v>4178</v>
      </c>
      <c r="EX5" s="128" t="s">
        <v>4178</v>
      </c>
      <c r="EZ5" s="128" t="s">
        <v>4198</v>
      </c>
      <c r="FA5" s="128" t="s">
        <v>4198</v>
      </c>
      <c r="FB5" s="128" t="s">
        <v>4197</v>
      </c>
      <c r="FC5" s="128" t="s">
        <v>4197</v>
      </c>
      <c r="FD5" s="128" t="s">
        <v>4196</v>
      </c>
      <c r="FE5" s="128" t="s">
        <v>4196</v>
      </c>
      <c r="FF5" s="128" t="s">
        <v>4198</v>
      </c>
      <c r="FG5" s="128" t="s">
        <v>4198</v>
      </c>
      <c r="FH5" s="128" t="s">
        <v>4197</v>
      </c>
      <c r="FI5" s="128" t="s">
        <v>4197</v>
      </c>
      <c r="FJ5" s="128" t="s">
        <v>4196</v>
      </c>
      <c r="FK5" s="128" t="s">
        <v>4196</v>
      </c>
      <c r="FL5" s="128" t="s">
        <v>4195</v>
      </c>
      <c r="FM5" s="128" t="s">
        <v>4195</v>
      </c>
      <c r="FN5" s="128" t="s">
        <v>4194</v>
      </c>
      <c r="FO5" s="128" t="s">
        <v>4194</v>
      </c>
      <c r="FP5" s="128" t="s">
        <v>4185</v>
      </c>
      <c r="FR5" s="128" t="s">
        <v>4176</v>
      </c>
      <c r="FS5" s="128" t="s">
        <v>4176</v>
      </c>
      <c r="FT5" s="128" t="s">
        <v>4176</v>
      </c>
      <c r="FU5" s="128" t="s">
        <v>4176</v>
      </c>
      <c r="FW5" s="128" t="s">
        <v>4193</v>
      </c>
      <c r="FX5" s="128" t="s">
        <v>4193</v>
      </c>
      <c r="FY5" s="128" t="s">
        <v>4193</v>
      </c>
      <c r="FZ5" s="128" t="s">
        <v>4193</v>
      </c>
      <c r="GA5" s="128" t="s">
        <v>4192</v>
      </c>
      <c r="GB5" s="128" t="s">
        <v>4192</v>
      </c>
      <c r="GC5" s="128" t="s">
        <v>4192</v>
      </c>
      <c r="GD5" s="128" t="s">
        <v>4192</v>
      </c>
      <c r="GE5" s="128" t="s">
        <v>4191</v>
      </c>
      <c r="GF5" s="128" t="s">
        <v>4191</v>
      </c>
      <c r="GG5" s="128" t="s">
        <v>4191</v>
      </c>
      <c r="GH5" s="128" t="s">
        <v>4191</v>
      </c>
      <c r="GI5" s="128" t="s">
        <v>4191</v>
      </c>
      <c r="GJ5" s="128" t="s">
        <v>4191</v>
      </c>
      <c r="GL5" s="128" t="s">
        <v>4190</v>
      </c>
      <c r="GM5" s="128" t="s">
        <v>4190</v>
      </c>
      <c r="GN5" s="128" t="s">
        <v>4190</v>
      </c>
      <c r="GO5" s="128" t="s">
        <v>4189</v>
      </c>
      <c r="GP5" s="128" t="s">
        <v>4188</v>
      </c>
      <c r="GR5" s="129" t="s">
        <v>4179</v>
      </c>
      <c r="GS5" s="129" t="s">
        <v>4178</v>
      </c>
      <c r="GT5" s="129" t="s">
        <v>4177</v>
      </c>
      <c r="GU5" s="129" t="s">
        <v>4179</v>
      </c>
      <c r="GV5" s="129" t="s">
        <v>4178</v>
      </c>
      <c r="GW5" s="129" t="s">
        <v>4177</v>
      </c>
      <c r="GX5" s="129" t="s">
        <v>4182</v>
      </c>
      <c r="GY5" s="129" t="s">
        <v>4181</v>
      </c>
      <c r="GZ5" s="129" t="s">
        <v>4180</v>
      </c>
      <c r="HA5" s="129" t="s">
        <v>4182</v>
      </c>
      <c r="HB5" s="129" t="s">
        <v>4181</v>
      </c>
      <c r="HC5" s="129" t="s">
        <v>4180</v>
      </c>
      <c r="HD5" s="129" t="s">
        <v>4182</v>
      </c>
      <c r="HE5" s="129" t="s">
        <v>4181</v>
      </c>
      <c r="HF5" s="129" t="s">
        <v>4180</v>
      </c>
      <c r="HH5" s="129" t="s">
        <v>4179</v>
      </c>
      <c r="HI5" s="129" t="s">
        <v>4178</v>
      </c>
      <c r="HJ5" s="129" t="s">
        <v>4177</v>
      </c>
      <c r="HK5" s="129" t="s">
        <v>4179</v>
      </c>
      <c r="HL5" s="129" t="s">
        <v>4178</v>
      </c>
      <c r="HM5" s="129" t="s">
        <v>4177</v>
      </c>
      <c r="HN5" s="129" t="s">
        <v>4179</v>
      </c>
      <c r="HO5" s="129" t="s">
        <v>4178</v>
      </c>
      <c r="HP5" s="129" t="s">
        <v>4177</v>
      </c>
      <c r="HS5" s="129" t="s">
        <v>4178</v>
      </c>
      <c r="IE5" s="129" t="s">
        <v>4179</v>
      </c>
      <c r="IF5" s="129" t="s">
        <v>4178</v>
      </c>
      <c r="IG5" s="129" t="s">
        <v>4179</v>
      </c>
      <c r="IH5" s="129" t="s">
        <v>4178</v>
      </c>
      <c r="II5" s="129" t="s">
        <v>4179</v>
      </c>
      <c r="IJ5" s="129" t="s">
        <v>4187</v>
      </c>
      <c r="IK5" s="129" t="s">
        <v>4187</v>
      </c>
      <c r="IL5" s="129" t="s">
        <v>4186</v>
      </c>
      <c r="IM5" s="129" t="s">
        <v>4179</v>
      </c>
      <c r="IN5" s="129" t="s">
        <v>4178</v>
      </c>
      <c r="IO5" s="128" t="s">
        <v>4185</v>
      </c>
      <c r="IP5" s="129" t="s">
        <v>4178</v>
      </c>
      <c r="IQ5" s="129" t="s">
        <v>4178</v>
      </c>
      <c r="IR5" s="129" t="s">
        <v>4179</v>
      </c>
      <c r="IS5" s="129" t="s">
        <v>4179</v>
      </c>
      <c r="IU5" s="129" t="s">
        <v>4179</v>
      </c>
      <c r="JF5" s="129" t="s">
        <v>4179</v>
      </c>
      <c r="JG5" s="129" t="s">
        <v>4178</v>
      </c>
      <c r="JH5" s="129" t="s">
        <v>4177</v>
      </c>
      <c r="JM5" s="129" t="s">
        <v>4177</v>
      </c>
      <c r="JN5" s="129" t="s">
        <v>4176</v>
      </c>
      <c r="JO5" s="129" t="s">
        <v>4176</v>
      </c>
      <c r="JP5" s="129" t="s">
        <v>4179</v>
      </c>
      <c r="JQ5" s="129" t="s">
        <v>4178</v>
      </c>
      <c r="JR5" s="129" t="s">
        <v>4177</v>
      </c>
      <c r="JU5" s="129" t="s">
        <v>4177</v>
      </c>
      <c r="JV5" s="129" t="s">
        <v>4176</v>
      </c>
      <c r="JW5" s="129" t="s">
        <v>4176</v>
      </c>
      <c r="JX5" s="129" t="s">
        <v>4178</v>
      </c>
      <c r="JY5" s="129" t="s">
        <v>4178</v>
      </c>
      <c r="JZ5" s="129" t="s">
        <v>4178</v>
      </c>
      <c r="KA5" s="129" t="s">
        <v>4178</v>
      </c>
      <c r="KB5" s="129" t="s">
        <v>4178</v>
      </c>
      <c r="KC5" s="129" t="s">
        <v>4177</v>
      </c>
      <c r="KE5" s="129" t="s">
        <v>4184</v>
      </c>
      <c r="KF5" s="129" t="s">
        <v>4184</v>
      </c>
      <c r="KG5" s="129" t="s">
        <v>4183</v>
      </c>
      <c r="KJ5" s="129" t="s">
        <v>4183</v>
      </c>
      <c r="KK5" s="129" t="s">
        <v>4184</v>
      </c>
      <c r="KL5" s="129" t="s">
        <v>4184</v>
      </c>
      <c r="KM5" s="129" t="s">
        <v>4183</v>
      </c>
      <c r="KP5" s="129" t="s">
        <v>4183</v>
      </c>
      <c r="KR5" s="129" t="s">
        <v>4179</v>
      </c>
      <c r="KS5" s="129" t="s">
        <v>4179</v>
      </c>
      <c r="KT5" s="129" t="s">
        <v>4178</v>
      </c>
      <c r="KU5" s="129" t="s">
        <v>4178</v>
      </c>
      <c r="KV5" s="129" t="s">
        <v>4179</v>
      </c>
      <c r="KW5" s="129" t="s">
        <v>4179</v>
      </c>
      <c r="KX5" s="129" t="s">
        <v>4178</v>
      </c>
      <c r="KY5" s="129" t="s">
        <v>4178</v>
      </c>
      <c r="KZ5" s="129" t="s">
        <v>4179</v>
      </c>
      <c r="LA5" s="129" t="s">
        <v>4179</v>
      </c>
      <c r="LB5" s="129" t="s">
        <v>4178</v>
      </c>
      <c r="LC5" s="129" t="s">
        <v>4178</v>
      </c>
      <c r="LD5" s="129" t="s">
        <v>4179</v>
      </c>
      <c r="LE5" s="129" t="s">
        <v>4179</v>
      </c>
      <c r="LF5" s="129" t="s">
        <v>4178</v>
      </c>
      <c r="LG5" s="129" t="s">
        <v>4178</v>
      </c>
      <c r="NS5" s="129" t="s">
        <v>4179</v>
      </c>
      <c r="NT5" s="129" t="s">
        <v>4178</v>
      </c>
      <c r="NU5" s="129" t="s">
        <v>4177</v>
      </c>
      <c r="NV5" s="129" t="s">
        <v>4179</v>
      </c>
      <c r="NW5" s="129" t="s">
        <v>4178</v>
      </c>
      <c r="NX5" s="129" t="s">
        <v>4177</v>
      </c>
      <c r="NY5" s="129" t="s">
        <v>4182</v>
      </c>
      <c r="NZ5" s="129" t="s">
        <v>4181</v>
      </c>
      <c r="OA5" s="129" t="s">
        <v>4180</v>
      </c>
      <c r="OB5" s="129" t="s">
        <v>4182</v>
      </c>
      <c r="OC5" s="129" t="s">
        <v>4181</v>
      </c>
      <c r="OD5" s="129" t="s">
        <v>4180</v>
      </c>
      <c r="OF5" s="129" t="s">
        <v>4179</v>
      </c>
      <c r="OG5" s="129" t="s">
        <v>4178</v>
      </c>
      <c r="OH5" s="129" t="s">
        <v>4177</v>
      </c>
      <c r="OI5" s="129" t="s">
        <v>4179</v>
      </c>
      <c r="OJ5" s="129" t="s">
        <v>4178</v>
      </c>
      <c r="OK5" s="129" t="s">
        <v>4177</v>
      </c>
      <c r="OL5" s="129" t="s">
        <v>4179</v>
      </c>
      <c r="OM5" s="129" t="s">
        <v>4178</v>
      </c>
      <c r="ON5" s="129" t="s">
        <v>4177</v>
      </c>
      <c r="OQ5" s="129" t="s">
        <v>4179</v>
      </c>
      <c r="OT5" s="129" t="s">
        <v>4179</v>
      </c>
      <c r="OU5" s="129" t="s">
        <v>4178</v>
      </c>
      <c r="OX5" s="129" t="s">
        <v>4178</v>
      </c>
      <c r="OY5" s="129" t="s">
        <v>4177</v>
      </c>
      <c r="PB5" s="129" t="s">
        <v>4177</v>
      </c>
      <c r="PF5" s="129" t="s">
        <v>4176</v>
      </c>
      <c r="PI5" s="129" t="s">
        <v>4179</v>
      </c>
      <c r="PL5" s="129" t="s">
        <v>4178</v>
      </c>
      <c r="PM5" s="129" t="s">
        <v>4177</v>
      </c>
      <c r="PQ5" s="129" t="s">
        <v>4176</v>
      </c>
      <c r="PR5" s="129" t="s">
        <v>4176</v>
      </c>
      <c r="PS5" s="129" t="s">
        <v>4179</v>
      </c>
      <c r="PT5" s="129" t="s">
        <v>4178</v>
      </c>
      <c r="PU5" s="129" t="s">
        <v>4177</v>
      </c>
      <c r="PV5" s="129" t="s">
        <v>4179</v>
      </c>
      <c r="PW5" s="129" t="s">
        <v>4179</v>
      </c>
      <c r="PX5" s="129" t="s">
        <v>4178</v>
      </c>
      <c r="PY5" s="129" t="s">
        <v>4178</v>
      </c>
      <c r="PZ5" s="129" t="s">
        <v>4177</v>
      </c>
      <c r="QA5" s="129" t="s">
        <v>4177</v>
      </c>
      <c r="QB5" s="129" t="s">
        <v>4176</v>
      </c>
      <c r="QC5" s="129" t="s">
        <v>4176</v>
      </c>
      <c r="QD5" s="129" t="s">
        <v>4179</v>
      </c>
      <c r="QE5" s="129" t="s">
        <v>4178</v>
      </c>
      <c r="QF5" s="129" t="s">
        <v>4177</v>
      </c>
      <c r="QG5" s="129" t="s">
        <v>4176</v>
      </c>
      <c r="QH5" s="129" t="s">
        <v>4179</v>
      </c>
      <c r="QI5" s="129" t="s">
        <v>4178</v>
      </c>
      <c r="QJ5" s="129" t="s">
        <v>4178</v>
      </c>
      <c r="QK5" s="129" t="s">
        <v>4178</v>
      </c>
      <c r="QL5" s="129" t="s">
        <v>4177</v>
      </c>
      <c r="QM5" s="129" t="s">
        <v>4176</v>
      </c>
      <c r="QR5" s="132" t="s">
        <v>1587</v>
      </c>
      <c r="QS5" s="132" t="s">
        <v>1587</v>
      </c>
      <c r="QT5" s="132" t="s">
        <v>1587</v>
      </c>
      <c r="QU5" s="132" t="s">
        <v>1587</v>
      </c>
      <c r="QV5" s="132" t="s">
        <v>1587</v>
      </c>
      <c r="QW5" s="132" t="s">
        <v>1587</v>
      </c>
      <c r="QX5" s="132" t="s">
        <v>1587</v>
      </c>
      <c r="QY5" s="132" t="s">
        <v>1587</v>
      </c>
      <c r="QZ5" s="132" t="s">
        <v>1587</v>
      </c>
      <c r="RA5" s="132" t="s">
        <v>1587</v>
      </c>
      <c r="RB5" s="132" t="s">
        <v>1587</v>
      </c>
      <c r="RC5" s="132" t="s">
        <v>1587</v>
      </c>
      <c r="RD5" s="132" t="s">
        <v>1587</v>
      </c>
      <c r="RE5" s="132" t="s">
        <v>1587</v>
      </c>
      <c r="RF5" s="132" t="s">
        <v>1587</v>
      </c>
      <c r="RG5" s="132" t="s">
        <v>1587</v>
      </c>
      <c r="RH5" s="132" t="s">
        <v>1587</v>
      </c>
      <c r="RI5" s="132" t="s">
        <v>1587</v>
      </c>
      <c r="RJ5" s="132" t="s">
        <v>1587</v>
      </c>
      <c r="RK5" s="132" t="s">
        <v>1587</v>
      </c>
      <c r="RL5" s="132" t="s">
        <v>1587</v>
      </c>
      <c r="RM5" s="132" t="s">
        <v>1587</v>
      </c>
      <c r="RN5" s="129" t="s">
        <v>4179</v>
      </c>
      <c r="RO5" s="129" t="s">
        <v>4178</v>
      </c>
      <c r="RP5" s="129" t="s">
        <v>4177</v>
      </c>
      <c r="RV5" s="129" t="s">
        <v>4176</v>
      </c>
      <c r="RW5" s="129" t="s">
        <v>4179</v>
      </c>
      <c r="RX5" s="129" t="s">
        <v>4178</v>
      </c>
      <c r="RY5" s="129" t="s">
        <v>4177</v>
      </c>
      <c r="RZ5" s="129" t="s">
        <v>4176</v>
      </c>
      <c r="SA5" s="129" t="s">
        <v>4179</v>
      </c>
      <c r="SB5" s="129" t="s">
        <v>4178</v>
      </c>
      <c r="SC5" s="129" t="s">
        <v>4177</v>
      </c>
      <c r="SD5" s="129" t="s">
        <v>4176</v>
      </c>
      <c r="SE5" s="129" t="s">
        <v>4176</v>
      </c>
      <c r="SF5" s="129" t="s">
        <v>4179</v>
      </c>
      <c r="SG5" s="129" t="s">
        <v>4179</v>
      </c>
      <c r="SH5" s="129" t="s">
        <v>4178</v>
      </c>
      <c r="SI5" s="129" t="s">
        <v>4178</v>
      </c>
      <c r="SJ5" s="129" t="s">
        <v>4177</v>
      </c>
      <c r="SK5" s="129" t="s">
        <v>4177</v>
      </c>
      <c r="SL5" s="129" t="s">
        <v>4176</v>
      </c>
      <c r="SM5" s="129" t="s">
        <v>4176</v>
      </c>
      <c r="SO5" s="129" t="s">
        <v>4179</v>
      </c>
      <c r="SP5" s="129" t="s">
        <v>4178</v>
      </c>
      <c r="SQ5" s="129" t="s">
        <v>4177</v>
      </c>
      <c r="SR5" s="129" t="s">
        <v>4176</v>
      </c>
      <c r="SS5" s="129" t="s">
        <v>4179</v>
      </c>
      <c r="ST5" s="129" t="s">
        <v>4178</v>
      </c>
      <c r="SU5" s="129" t="s">
        <v>4177</v>
      </c>
      <c r="SV5" s="129" t="s">
        <v>4176</v>
      </c>
      <c r="SX5" s="132" t="s">
        <v>1587</v>
      </c>
      <c r="SY5" s="132" t="s">
        <v>1587</v>
      </c>
      <c r="SZ5" s="132" t="s">
        <v>1587</v>
      </c>
      <c r="TA5" s="132" t="s">
        <v>1587</v>
      </c>
      <c r="TB5" s="132" t="s">
        <v>1587</v>
      </c>
      <c r="TC5" s="132" t="s">
        <v>1587</v>
      </c>
      <c r="TD5" s="132" t="s">
        <v>1587</v>
      </c>
      <c r="TE5" s="132" t="s">
        <v>1587</v>
      </c>
      <c r="TF5" s="132" t="s">
        <v>1587</v>
      </c>
      <c r="TG5" s="132" t="s">
        <v>1587</v>
      </c>
      <c r="TH5" s="132" t="s">
        <v>1587</v>
      </c>
      <c r="TI5" s="132" t="s">
        <v>1587</v>
      </c>
      <c r="TK5" s="132" t="s">
        <v>1587</v>
      </c>
      <c r="TL5" s="132" t="s">
        <v>1587</v>
      </c>
      <c r="TM5" s="132" t="s">
        <v>1587</v>
      </c>
      <c r="TN5" s="132" t="s">
        <v>1587</v>
      </c>
      <c r="TO5" s="132" t="s">
        <v>1587</v>
      </c>
      <c r="TP5" s="132" t="s">
        <v>1587</v>
      </c>
      <c r="TQ5" s="132" t="s">
        <v>1587</v>
      </c>
      <c r="TR5" s="132" t="s">
        <v>1587</v>
      </c>
      <c r="TS5" s="132" t="s">
        <v>1587</v>
      </c>
      <c r="TT5" s="132" t="s">
        <v>1587</v>
      </c>
      <c r="TU5" s="132" t="s">
        <v>1587</v>
      </c>
      <c r="TV5" s="132" t="s">
        <v>1587</v>
      </c>
      <c r="TW5" s="132" t="s">
        <v>1587</v>
      </c>
      <c r="TX5" s="132" t="s">
        <v>1587</v>
      </c>
      <c r="TY5" s="132" t="s">
        <v>1587</v>
      </c>
      <c r="TZ5" s="132" t="s">
        <v>1587</v>
      </c>
      <c r="UB5" s="129" t="s">
        <v>1262</v>
      </c>
      <c r="UC5" s="129" t="s">
        <v>1262</v>
      </c>
      <c r="UD5" s="129" t="s">
        <v>1262</v>
      </c>
      <c r="UE5" s="129" t="s">
        <v>1262</v>
      </c>
      <c r="UF5" s="129" t="s">
        <v>1262</v>
      </c>
      <c r="UG5" s="129" t="s">
        <v>1262</v>
      </c>
      <c r="UH5" s="129" t="s">
        <v>1262</v>
      </c>
      <c r="UI5" s="129" t="s">
        <v>1262</v>
      </c>
      <c r="UJ5" s="129" t="s">
        <v>1262</v>
      </c>
      <c r="UK5" s="129" t="s">
        <v>1262</v>
      </c>
      <c r="VC5" s="129" t="s">
        <v>4174</v>
      </c>
      <c r="VD5" s="129" t="s">
        <v>4174</v>
      </c>
      <c r="VE5" s="129" t="s">
        <v>4174</v>
      </c>
      <c r="VF5" s="129" t="s">
        <v>4174</v>
      </c>
      <c r="VG5" s="129" t="s">
        <v>4175</v>
      </c>
      <c r="VH5" s="129" t="s">
        <v>4175</v>
      </c>
      <c r="VI5" s="129" t="s">
        <v>4175</v>
      </c>
      <c r="VJ5" s="129" t="s">
        <v>4174</v>
      </c>
      <c r="VL5" s="132" t="s">
        <v>4172</v>
      </c>
      <c r="VM5" s="132" t="s">
        <v>4173</v>
      </c>
      <c r="VN5" s="132" t="s">
        <v>4172</v>
      </c>
      <c r="VO5" s="132" t="s">
        <v>4172</v>
      </c>
    </row>
    <row r="6" spans="1:1297" ht="63.75" outlineLevel="1">
      <c r="A6" s="137" t="s">
        <v>172</v>
      </c>
      <c r="B6" s="139" t="s">
        <v>181</v>
      </c>
      <c r="C6" s="139" t="s">
        <v>182</v>
      </c>
      <c r="D6" s="139" t="s">
        <v>183</v>
      </c>
      <c r="E6" s="137">
        <v>8</v>
      </c>
      <c r="G6" s="136" t="s">
        <v>11</v>
      </c>
      <c r="H6" s="136" t="s">
        <v>13</v>
      </c>
      <c r="I6" s="136" t="s">
        <v>13</v>
      </c>
      <c r="J6" s="136" t="s">
        <v>13</v>
      </c>
      <c r="K6" s="136" t="s">
        <v>13</v>
      </c>
      <c r="L6" s="136" t="s">
        <v>13</v>
      </c>
      <c r="M6" s="136" t="s">
        <v>13</v>
      </c>
      <c r="N6" s="136" t="s">
        <v>13</v>
      </c>
      <c r="P6" s="129" t="s">
        <v>4084</v>
      </c>
      <c r="Q6" s="129" t="s">
        <v>4080</v>
      </c>
      <c r="R6" s="129" t="s">
        <v>4080</v>
      </c>
      <c r="S6" s="129" t="s">
        <v>4080</v>
      </c>
      <c r="T6" s="129" t="s">
        <v>4088</v>
      </c>
      <c r="U6" s="128" t="s">
        <v>4080</v>
      </c>
      <c r="V6" s="128" t="s">
        <v>4171</v>
      </c>
      <c r="W6" s="129" t="s">
        <v>4087</v>
      </c>
      <c r="X6" s="128" t="s">
        <v>4086</v>
      </c>
      <c r="Y6" s="128" t="s">
        <v>4086</v>
      </c>
      <c r="Z6" s="128" t="s">
        <v>4086</v>
      </c>
      <c r="AA6" s="128" t="s">
        <v>4170</v>
      </c>
      <c r="AB6" s="128" t="s">
        <v>4170</v>
      </c>
      <c r="AC6" s="128" t="s">
        <v>4152</v>
      </c>
      <c r="AD6" s="128" t="s">
        <v>4169</v>
      </c>
      <c r="AE6" s="128" t="s">
        <v>4086</v>
      </c>
      <c r="AF6" s="128" t="s">
        <v>4168</v>
      </c>
      <c r="AG6" s="128" t="s">
        <v>4168</v>
      </c>
      <c r="AH6" s="128" t="s">
        <v>4080</v>
      </c>
      <c r="AI6" s="128" t="s">
        <v>4167</v>
      </c>
      <c r="AJ6" s="128" t="s">
        <v>4166</v>
      </c>
      <c r="AK6" s="128" t="s">
        <v>4165</v>
      </c>
      <c r="AL6" s="128" t="s">
        <v>4164</v>
      </c>
      <c r="AM6" s="128" t="s">
        <v>4080</v>
      </c>
      <c r="AN6" s="128" t="s">
        <v>4163</v>
      </c>
      <c r="AO6" s="128" t="s">
        <v>4162</v>
      </c>
      <c r="AP6" s="128" t="s">
        <v>4161</v>
      </c>
      <c r="AQ6" s="128" t="s">
        <v>4160</v>
      </c>
      <c r="AR6" s="128" t="s">
        <v>4159</v>
      </c>
      <c r="AS6" s="128" t="s">
        <v>4158</v>
      </c>
      <c r="AT6" s="128" t="s">
        <v>4157</v>
      </c>
      <c r="AU6" s="128" t="s">
        <v>4156</v>
      </c>
      <c r="AV6" s="128" t="s">
        <v>4155</v>
      </c>
      <c r="AW6" s="128" t="s">
        <v>4154</v>
      </c>
      <c r="AY6" s="129" t="s">
        <v>4084</v>
      </c>
      <c r="AZ6" s="129" t="s">
        <v>4084</v>
      </c>
      <c r="BA6" s="129" t="s">
        <v>4084</v>
      </c>
      <c r="BB6" s="129" t="s">
        <v>4084</v>
      </c>
      <c r="BC6" s="129" t="s">
        <v>4084</v>
      </c>
      <c r="BD6" s="129" t="s">
        <v>4080</v>
      </c>
      <c r="BE6" s="129" t="s">
        <v>4080</v>
      </c>
      <c r="BF6" s="129" t="s">
        <v>4080</v>
      </c>
      <c r="BG6" s="129" t="s">
        <v>4088</v>
      </c>
      <c r="BH6" s="129" t="s">
        <v>4088</v>
      </c>
      <c r="BI6" s="129" t="s">
        <v>4088</v>
      </c>
      <c r="BJ6" s="129" t="s">
        <v>4088</v>
      </c>
      <c r="BK6" s="129" t="s">
        <v>4088</v>
      </c>
      <c r="BL6" s="129" t="s">
        <v>4135</v>
      </c>
      <c r="BM6" s="129" t="s">
        <v>4135</v>
      </c>
      <c r="BN6" s="129" t="s">
        <v>4135</v>
      </c>
      <c r="BO6" s="129" t="s">
        <v>4135</v>
      </c>
      <c r="BP6" s="129" t="s">
        <v>4135</v>
      </c>
      <c r="BQ6" s="129" t="s">
        <v>4135</v>
      </c>
      <c r="BR6" s="128" t="s">
        <v>4081</v>
      </c>
      <c r="BS6" s="128" t="s">
        <v>4081</v>
      </c>
      <c r="BT6" s="128" t="s">
        <v>4081</v>
      </c>
      <c r="BU6" s="128" t="s">
        <v>4081</v>
      </c>
      <c r="BV6" s="128" t="s">
        <v>4081</v>
      </c>
      <c r="BW6" s="128" t="s">
        <v>4081</v>
      </c>
      <c r="BY6" s="128" t="s">
        <v>4080</v>
      </c>
      <c r="BZ6" s="128" t="s">
        <v>4080</v>
      </c>
      <c r="CA6" s="128" t="s">
        <v>4080</v>
      </c>
      <c r="CB6" s="128" t="s">
        <v>4080</v>
      </c>
      <c r="CC6" s="128" t="s">
        <v>4080</v>
      </c>
      <c r="CD6" s="128" t="s">
        <v>4080</v>
      </c>
      <c r="CE6" s="128" t="s">
        <v>4135</v>
      </c>
      <c r="CF6" s="128" t="s">
        <v>4135</v>
      </c>
      <c r="CG6" s="128" t="s">
        <v>4135</v>
      </c>
      <c r="CH6" s="128" t="s">
        <v>4080</v>
      </c>
      <c r="CI6" s="128" t="s">
        <v>4080</v>
      </c>
      <c r="CJ6" s="128" t="s">
        <v>4080</v>
      </c>
      <c r="CK6" s="128" t="s">
        <v>4080</v>
      </c>
      <c r="CL6" s="128" t="s">
        <v>4080</v>
      </c>
      <c r="CM6" s="128" t="s">
        <v>4080</v>
      </c>
      <c r="CN6" s="128" t="s">
        <v>4080</v>
      </c>
      <c r="CO6" s="128" t="s">
        <v>4135</v>
      </c>
      <c r="CP6" s="128" t="s">
        <v>4135</v>
      </c>
      <c r="CQ6" s="128" t="s">
        <v>4135</v>
      </c>
      <c r="CR6" s="128" t="s">
        <v>4153</v>
      </c>
      <c r="CS6" s="128" t="s">
        <v>4135</v>
      </c>
      <c r="CT6" s="128" t="s">
        <v>4080</v>
      </c>
      <c r="CU6" s="128" t="s">
        <v>4153</v>
      </c>
      <c r="CW6" s="128" t="s">
        <v>4087</v>
      </c>
      <c r="CX6" s="128" t="s">
        <v>4087</v>
      </c>
      <c r="CY6" s="128" t="s">
        <v>4087</v>
      </c>
      <c r="CZ6" s="129" t="s">
        <v>4086</v>
      </c>
      <c r="DA6" s="128" t="s">
        <v>4086</v>
      </c>
      <c r="DB6" s="128" t="s">
        <v>4152</v>
      </c>
      <c r="DC6" s="128" t="s">
        <v>4152</v>
      </c>
      <c r="DD6" s="128" t="s">
        <v>4152</v>
      </c>
      <c r="DE6" s="128" t="s">
        <v>4152</v>
      </c>
      <c r="DF6" s="128" t="s">
        <v>4152</v>
      </c>
      <c r="DG6" s="128" t="s">
        <v>4086</v>
      </c>
      <c r="DH6" s="128" t="s">
        <v>4086</v>
      </c>
      <c r="DI6" s="128" t="s">
        <v>4086</v>
      </c>
      <c r="DJ6" s="128" t="s">
        <v>4152</v>
      </c>
      <c r="DK6" s="128" t="s">
        <v>4152</v>
      </c>
      <c r="DL6" s="128" t="s">
        <v>4152</v>
      </c>
      <c r="DM6" s="128" t="s">
        <v>4152</v>
      </c>
      <c r="DN6" s="128" t="s">
        <v>4086</v>
      </c>
      <c r="DO6" s="128" t="s">
        <v>4086</v>
      </c>
      <c r="DP6" s="128" t="s">
        <v>4086</v>
      </c>
      <c r="DQ6" s="128" t="s">
        <v>4086</v>
      </c>
      <c r="DR6" s="128" t="s">
        <v>4152</v>
      </c>
      <c r="DS6" s="128" t="s">
        <v>4152</v>
      </c>
      <c r="DU6" s="128" t="s">
        <v>4149</v>
      </c>
      <c r="DV6" s="128" t="s">
        <v>4149</v>
      </c>
      <c r="DW6" s="128" t="s">
        <v>4148</v>
      </c>
      <c r="DX6" s="128" t="s">
        <v>4148</v>
      </c>
      <c r="DY6" s="128" t="s">
        <v>4151</v>
      </c>
      <c r="DZ6" s="128" t="s">
        <v>4146</v>
      </c>
      <c r="EA6" s="128" t="s">
        <v>4146</v>
      </c>
      <c r="EB6" s="128" t="s">
        <v>4150</v>
      </c>
      <c r="EC6" s="128" t="s">
        <v>4148</v>
      </c>
      <c r="ED6" s="128" t="s">
        <v>4149</v>
      </c>
      <c r="EE6" s="128" t="s">
        <v>4148</v>
      </c>
      <c r="EF6" s="128" t="s">
        <v>4147</v>
      </c>
      <c r="EG6" s="128" t="s">
        <v>4146</v>
      </c>
      <c r="EI6" s="128" t="s">
        <v>4092</v>
      </c>
      <c r="EJ6" s="128" t="s">
        <v>4092</v>
      </c>
      <c r="EK6" s="128" t="s">
        <v>4092</v>
      </c>
      <c r="EL6" s="128" t="s">
        <v>4092</v>
      </c>
      <c r="EM6" s="128" t="s">
        <v>4091</v>
      </c>
      <c r="EN6" s="128" t="s">
        <v>4091</v>
      </c>
      <c r="EO6" s="128" t="s">
        <v>4091</v>
      </c>
      <c r="EP6" s="128" t="s">
        <v>4091</v>
      </c>
      <c r="EQ6" s="128" t="s">
        <v>4084</v>
      </c>
      <c r="ER6" s="128" t="s">
        <v>4084</v>
      </c>
      <c r="ES6" s="128" t="s">
        <v>4084</v>
      </c>
      <c r="ET6" s="128" t="s">
        <v>4084</v>
      </c>
      <c r="EU6" s="128" t="s">
        <v>4090</v>
      </c>
      <c r="EV6" s="128" t="s">
        <v>4090</v>
      </c>
      <c r="EW6" s="128" t="s">
        <v>4090</v>
      </c>
      <c r="EX6" s="128" t="s">
        <v>4090</v>
      </c>
      <c r="EZ6" s="128" t="s">
        <v>4084</v>
      </c>
      <c r="FA6" s="128" t="s">
        <v>4084</v>
      </c>
      <c r="FB6" s="128" t="s">
        <v>4084</v>
      </c>
      <c r="FC6" s="128" t="s">
        <v>4084</v>
      </c>
      <c r="FD6" s="128" t="s">
        <v>4084</v>
      </c>
      <c r="FE6" s="128" t="s">
        <v>4084</v>
      </c>
      <c r="FF6" s="128" t="s">
        <v>4080</v>
      </c>
      <c r="FG6" s="128" t="s">
        <v>4080</v>
      </c>
      <c r="FH6" s="128" t="s">
        <v>4080</v>
      </c>
      <c r="FI6" s="128" t="s">
        <v>4080</v>
      </c>
      <c r="FJ6" s="128" t="s">
        <v>4080</v>
      </c>
      <c r="FK6" s="128" t="s">
        <v>4080</v>
      </c>
      <c r="FL6" s="128" t="s">
        <v>4080</v>
      </c>
      <c r="FM6" s="128" t="s">
        <v>4080</v>
      </c>
      <c r="FN6" s="128" t="s">
        <v>4080</v>
      </c>
      <c r="FO6" s="128" t="s">
        <v>4080</v>
      </c>
      <c r="FP6" s="128" t="s">
        <v>4140</v>
      </c>
      <c r="FR6" s="128" t="s">
        <v>4080</v>
      </c>
      <c r="FS6" s="128" t="s">
        <v>4080</v>
      </c>
      <c r="FT6" s="128" t="s">
        <v>4135</v>
      </c>
      <c r="FU6" s="128" t="s">
        <v>4135</v>
      </c>
      <c r="FW6" s="128" t="s">
        <v>4080</v>
      </c>
      <c r="FX6" s="128" t="s">
        <v>4080</v>
      </c>
      <c r="FY6" s="128" t="s">
        <v>4080</v>
      </c>
      <c r="FZ6" s="128" t="s">
        <v>4080</v>
      </c>
      <c r="GA6" s="128" t="s">
        <v>4080</v>
      </c>
      <c r="GB6" s="128" t="s">
        <v>4080</v>
      </c>
      <c r="GC6" s="128" t="s">
        <v>4080</v>
      </c>
      <c r="GD6" s="128" t="s">
        <v>4080</v>
      </c>
      <c r="GE6" s="128" t="s">
        <v>4080</v>
      </c>
      <c r="GF6" s="128" t="s">
        <v>4080</v>
      </c>
      <c r="GG6" s="128" t="s">
        <v>4080</v>
      </c>
      <c r="GH6" s="128" t="s">
        <v>4080</v>
      </c>
      <c r="GI6" s="128" t="s">
        <v>4080</v>
      </c>
      <c r="GJ6" s="128" t="s">
        <v>4080</v>
      </c>
      <c r="GL6" s="128" t="s">
        <v>4080</v>
      </c>
      <c r="GM6" s="128" t="s">
        <v>4080</v>
      </c>
      <c r="GN6" s="128" t="s">
        <v>4080</v>
      </c>
      <c r="GO6" s="128" t="s">
        <v>4080</v>
      </c>
      <c r="GP6" s="128" t="s">
        <v>4080</v>
      </c>
      <c r="GR6" s="129" t="s">
        <v>4107</v>
      </c>
      <c r="GS6" s="129" t="s">
        <v>4107</v>
      </c>
      <c r="GT6" s="129" t="s">
        <v>4107</v>
      </c>
      <c r="GU6" s="129" t="s">
        <v>4106</v>
      </c>
      <c r="GV6" s="129" t="s">
        <v>4106</v>
      </c>
      <c r="GW6" s="129" t="s">
        <v>4106</v>
      </c>
      <c r="GX6" s="129" t="s">
        <v>4107</v>
      </c>
      <c r="GY6" s="129" t="s">
        <v>4107</v>
      </c>
      <c r="GZ6" s="129" t="s">
        <v>4107</v>
      </c>
      <c r="HA6" s="129" t="s">
        <v>4106</v>
      </c>
      <c r="HB6" s="129" t="s">
        <v>4106</v>
      </c>
      <c r="HC6" s="129" t="s">
        <v>4106</v>
      </c>
      <c r="HD6" s="128" t="s">
        <v>4145</v>
      </c>
      <c r="HE6" s="128" t="s">
        <v>4145</v>
      </c>
      <c r="HF6" s="128" t="s">
        <v>4145</v>
      </c>
      <c r="HH6" s="128" t="s">
        <v>4144</v>
      </c>
      <c r="HI6" s="128" t="s">
        <v>4144</v>
      </c>
      <c r="HJ6" s="128" t="s">
        <v>4144</v>
      </c>
      <c r="HK6" s="128" t="s">
        <v>4143</v>
      </c>
      <c r="HL6" s="128" t="s">
        <v>4143</v>
      </c>
      <c r="HM6" s="128" t="s">
        <v>4143</v>
      </c>
      <c r="HN6" s="128" t="s">
        <v>4103</v>
      </c>
      <c r="HO6" s="128" t="s">
        <v>4103</v>
      </c>
      <c r="HP6" s="128" t="s">
        <v>4103</v>
      </c>
      <c r="HS6" s="129" t="s">
        <v>4084</v>
      </c>
      <c r="IE6" s="129" t="s">
        <v>4080</v>
      </c>
      <c r="IF6" s="129" t="s">
        <v>4080</v>
      </c>
      <c r="IG6" s="129" t="s">
        <v>4080</v>
      </c>
      <c r="IH6" s="129" t="s">
        <v>4088</v>
      </c>
      <c r="II6" s="129" t="s">
        <v>4142</v>
      </c>
      <c r="IJ6" s="129" t="s">
        <v>4084</v>
      </c>
      <c r="IK6" s="129" t="s">
        <v>4080</v>
      </c>
      <c r="IL6" s="129" t="s">
        <v>4141</v>
      </c>
      <c r="IM6" s="129" t="s">
        <v>4087</v>
      </c>
      <c r="IN6" s="129" t="s">
        <v>4087</v>
      </c>
      <c r="IO6" s="129" t="s">
        <v>4140</v>
      </c>
      <c r="IP6" s="129" t="s">
        <v>4139</v>
      </c>
      <c r="IQ6" s="129" t="s">
        <v>4138</v>
      </c>
      <c r="IR6" s="129" t="s">
        <v>4137</v>
      </c>
      <c r="IS6" s="129" t="s">
        <v>4136</v>
      </c>
      <c r="IU6" s="129" t="s">
        <v>4084</v>
      </c>
      <c r="JF6" s="129" t="s">
        <v>4084</v>
      </c>
      <c r="JG6" s="129" t="s">
        <v>4084</v>
      </c>
      <c r="JH6" s="129" t="s">
        <v>4084</v>
      </c>
      <c r="JM6" s="129" t="s">
        <v>4084</v>
      </c>
      <c r="JN6" s="129" t="s">
        <v>4084</v>
      </c>
      <c r="JO6" s="129" t="s">
        <v>4084</v>
      </c>
      <c r="JP6" s="129" t="s">
        <v>4080</v>
      </c>
      <c r="JQ6" s="129" t="s">
        <v>4080</v>
      </c>
      <c r="JR6" s="129" t="s">
        <v>4080</v>
      </c>
      <c r="JU6" s="129" t="s">
        <v>4080</v>
      </c>
      <c r="JV6" s="129" t="s">
        <v>4080</v>
      </c>
      <c r="JW6" s="129" t="s">
        <v>4080</v>
      </c>
      <c r="JX6" s="129" t="s">
        <v>4082</v>
      </c>
      <c r="JY6" s="129" t="s">
        <v>4082</v>
      </c>
      <c r="JZ6" s="129" t="s">
        <v>4083</v>
      </c>
      <c r="KA6" s="129" t="s">
        <v>4081</v>
      </c>
      <c r="KB6" s="129" t="s">
        <v>4081</v>
      </c>
      <c r="KC6" s="129" t="s">
        <v>4135</v>
      </c>
      <c r="KD6" s="188"/>
      <c r="KE6" s="129" t="s">
        <v>4087</v>
      </c>
      <c r="KF6" s="129" t="s">
        <v>4087</v>
      </c>
      <c r="KG6" s="129" t="s">
        <v>4087</v>
      </c>
      <c r="KJ6" s="129" t="s">
        <v>4087</v>
      </c>
      <c r="KK6" s="129" t="s">
        <v>4086</v>
      </c>
      <c r="KL6" s="129" t="s">
        <v>4086</v>
      </c>
      <c r="KM6" s="129" t="s">
        <v>4086</v>
      </c>
      <c r="KP6" s="129" t="s">
        <v>4086</v>
      </c>
      <c r="KR6" s="129" t="s">
        <v>4092</v>
      </c>
      <c r="KS6" s="129" t="s">
        <v>4092</v>
      </c>
      <c r="KT6" s="129" t="s">
        <v>4092</v>
      </c>
      <c r="KU6" s="129" t="s">
        <v>4092</v>
      </c>
      <c r="KV6" s="129" t="s">
        <v>4091</v>
      </c>
      <c r="KW6" s="129" t="s">
        <v>4091</v>
      </c>
      <c r="KX6" s="129" t="s">
        <v>4091</v>
      </c>
      <c r="KY6" s="129" t="s">
        <v>4091</v>
      </c>
      <c r="KZ6" s="129" t="s">
        <v>4084</v>
      </c>
      <c r="LA6" s="129" t="s">
        <v>4084</v>
      </c>
      <c r="LB6" s="129" t="s">
        <v>4084</v>
      </c>
      <c r="LC6" s="129" t="s">
        <v>4084</v>
      </c>
      <c r="LD6" s="129" t="s">
        <v>4090</v>
      </c>
      <c r="LE6" s="129" t="s">
        <v>4090</v>
      </c>
      <c r="LF6" s="129" t="s">
        <v>4090</v>
      </c>
      <c r="LG6" s="129" t="s">
        <v>4090</v>
      </c>
      <c r="LI6" s="129" t="s">
        <v>4091</v>
      </c>
      <c r="LJ6" s="129" t="s">
        <v>4084</v>
      </c>
      <c r="LK6" s="135" t="s">
        <v>4122</v>
      </c>
      <c r="LL6" s="135" t="s">
        <v>4121</v>
      </c>
      <c r="LM6" s="135" t="s">
        <v>4120</v>
      </c>
      <c r="LN6" s="135" t="s">
        <v>4119</v>
      </c>
      <c r="LO6" s="135" t="s">
        <v>4118</v>
      </c>
      <c r="LP6" s="129" t="s">
        <v>4117</v>
      </c>
      <c r="LQ6" s="129" t="s">
        <v>4116</v>
      </c>
      <c r="LR6" s="129" t="s">
        <v>4115</v>
      </c>
      <c r="LS6" s="129" t="s">
        <v>4114</v>
      </c>
      <c r="LT6" s="129" t="s">
        <v>4113</v>
      </c>
      <c r="LU6" s="135" t="s">
        <v>4134</v>
      </c>
      <c r="MF6" s="135" t="s">
        <v>4133</v>
      </c>
      <c r="MG6" s="135" t="s">
        <v>4132</v>
      </c>
      <c r="MH6" s="129" t="s">
        <v>4131</v>
      </c>
      <c r="MI6" s="129" t="s">
        <v>4130</v>
      </c>
      <c r="MJ6" s="129" t="s">
        <v>4129</v>
      </c>
      <c r="MN6" s="129" t="s">
        <v>4128</v>
      </c>
      <c r="MO6" s="129" t="s">
        <v>4127</v>
      </c>
      <c r="MP6" s="129" t="s">
        <v>4085</v>
      </c>
      <c r="MQ6" s="132" t="s">
        <v>4112</v>
      </c>
      <c r="MR6" s="132" t="s">
        <v>4111</v>
      </c>
      <c r="MS6" s="132" t="s">
        <v>4110</v>
      </c>
      <c r="MT6" s="132" t="s">
        <v>4109</v>
      </c>
      <c r="MU6" s="132" t="s">
        <v>4108</v>
      </c>
      <c r="MV6" s="132" t="s">
        <v>4126</v>
      </c>
      <c r="MW6" s="132" t="s">
        <v>4125</v>
      </c>
      <c r="MX6" s="132" t="s">
        <v>4124</v>
      </c>
      <c r="MY6" s="132" t="s">
        <v>4123</v>
      </c>
      <c r="NA6" s="129" t="s">
        <v>4084</v>
      </c>
      <c r="NB6" s="135" t="s">
        <v>4122</v>
      </c>
      <c r="NC6" s="135" t="s">
        <v>4121</v>
      </c>
      <c r="ND6" s="135" t="s">
        <v>4120</v>
      </c>
      <c r="NE6" s="135" t="s">
        <v>4119</v>
      </c>
      <c r="NF6" s="135" t="s">
        <v>4118</v>
      </c>
      <c r="NG6" s="129" t="s">
        <v>4117</v>
      </c>
      <c r="NH6" s="129" t="s">
        <v>4116</v>
      </c>
      <c r="NI6" s="129" t="s">
        <v>4115</v>
      </c>
      <c r="NJ6" s="129" t="s">
        <v>4114</v>
      </c>
      <c r="NK6" s="129" t="s">
        <v>4113</v>
      </c>
      <c r="NL6" s="132" t="s">
        <v>4112</v>
      </c>
      <c r="NM6" s="132" t="s">
        <v>4111</v>
      </c>
      <c r="NN6" s="132" t="s">
        <v>4110</v>
      </c>
      <c r="NO6" s="132" t="s">
        <v>4109</v>
      </c>
      <c r="NP6" s="132" t="s">
        <v>4108</v>
      </c>
      <c r="NQ6" s="129" t="s">
        <v>4085</v>
      </c>
      <c r="NS6" s="129" t="s">
        <v>4107</v>
      </c>
      <c r="NT6" s="129" t="s">
        <v>4107</v>
      </c>
      <c r="NU6" s="129" t="s">
        <v>4107</v>
      </c>
      <c r="NV6" s="129" t="s">
        <v>4106</v>
      </c>
      <c r="NW6" s="129" t="s">
        <v>4106</v>
      </c>
      <c r="NX6" s="129" t="s">
        <v>4106</v>
      </c>
      <c r="NY6" s="129" t="s">
        <v>4107</v>
      </c>
      <c r="NZ6" s="129" t="s">
        <v>4107</v>
      </c>
      <c r="OA6" s="129" t="s">
        <v>4107</v>
      </c>
      <c r="OB6" s="129" t="s">
        <v>4106</v>
      </c>
      <c r="OC6" s="129" t="s">
        <v>4106</v>
      </c>
      <c r="OD6" s="129" t="s">
        <v>4106</v>
      </c>
      <c r="OF6" s="138" t="s">
        <v>4105</v>
      </c>
      <c r="OG6" s="138" t="s">
        <v>4105</v>
      </c>
      <c r="OH6" s="138" t="s">
        <v>4105</v>
      </c>
      <c r="OI6" s="138" t="s">
        <v>4104</v>
      </c>
      <c r="OJ6" s="138" t="s">
        <v>4104</v>
      </c>
      <c r="OK6" s="138" t="s">
        <v>4104</v>
      </c>
      <c r="OL6" s="138" t="s">
        <v>4103</v>
      </c>
      <c r="OM6" s="138" t="s">
        <v>4103</v>
      </c>
      <c r="ON6" s="138" t="s">
        <v>4103</v>
      </c>
      <c r="OQ6" s="129" t="s">
        <v>4084</v>
      </c>
      <c r="OT6" s="129" t="s">
        <v>4084</v>
      </c>
      <c r="OU6" s="129" t="s">
        <v>4084</v>
      </c>
      <c r="OX6" s="129" t="s">
        <v>4084</v>
      </c>
      <c r="OY6" s="129" t="s">
        <v>4084</v>
      </c>
      <c r="PB6" s="129" t="s">
        <v>4084</v>
      </c>
      <c r="PF6" s="129" t="s">
        <v>4084</v>
      </c>
      <c r="PI6" s="129" t="s">
        <v>4080</v>
      </c>
      <c r="PL6" s="129" t="s">
        <v>4080</v>
      </c>
      <c r="PM6" s="129" t="s">
        <v>4080</v>
      </c>
      <c r="PQ6" s="129" t="s">
        <v>4080</v>
      </c>
      <c r="PR6" s="129" t="s">
        <v>4088</v>
      </c>
      <c r="PS6" s="129" t="s">
        <v>4083</v>
      </c>
      <c r="PT6" s="129" t="s">
        <v>4083</v>
      </c>
      <c r="PU6" s="129" t="s">
        <v>4083</v>
      </c>
      <c r="PV6" s="129" t="s">
        <v>4081</v>
      </c>
      <c r="PW6" s="129" t="s">
        <v>4081</v>
      </c>
      <c r="PX6" s="129" t="s">
        <v>4081</v>
      </c>
      <c r="PY6" s="129" t="s">
        <v>4081</v>
      </c>
      <c r="PZ6" s="129" t="s">
        <v>4081</v>
      </c>
      <c r="QA6" s="129" t="s">
        <v>4081</v>
      </c>
      <c r="QB6" s="129" t="s">
        <v>4081</v>
      </c>
      <c r="QC6" s="129" t="s">
        <v>4081</v>
      </c>
      <c r="QD6" s="129" t="s">
        <v>4087</v>
      </c>
      <c r="QE6" s="129" t="s">
        <v>4087</v>
      </c>
      <c r="QF6" s="129" t="s">
        <v>4087</v>
      </c>
      <c r="QG6" s="129" t="s">
        <v>4087</v>
      </c>
      <c r="QH6" s="129" t="s">
        <v>4086</v>
      </c>
      <c r="QI6" s="129" t="s">
        <v>4086</v>
      </c>
      <c r="QJ6" s="129" t="s">
        <v>4086</v>
      </c>
      <c r="QK6" s="129" t="s">
        <v>4086</v>
      </c>
      <c r="QL6" s="129" t="s">
        <v>4086</v>
      </c>
      <c r="QM6" s="129" t="s">
        <v>4086</v>
      </c>
      <c r="QR6" s="129" t="s">
        <v>4084</v>
      </c>
      <c r="QV6" s="129" t="s">
        <v>4080</v>
      </c>
      <c r="QY6" s="129" t="s">
        <v>4097</v>
      </c>
      <c r="QZ6" s="129" t="s">
        <v>4088</v>
      </c>
      <c r="RA6" s="129" t="s">
        <v>4083</v>
      </c>
      <c r="RB6" s="129" t="s">
        <v>4087</v>
      </c>
      <c r="RC6" s="129" t="s">
        <v>4086</v>
      </c>
      <c r="RD6" s="129" t="s">
        <v>4084</v>
      </c>
      <c r="RE6" s="129" t="s">
        <v>4084</v>
      </c>
      <c r="RF6" s="129" t="s">
        <v>4080</v>
      </c>
      <c r="RG6" s="129" t="s">
        <v>4083</v>
      </c>
      <c r="RH6" s="129" t="s">
        <v>4082</v>
      </c>
      <c r="RI6" s="129" t="s">
        <v>4088</v>
      </c>
      <c r="RJ6" s="129" t="s">
        <v>4102</v>
      </c>
      <c r="RK6" s="129" t="s">
        <v>4087</v>
      </c>
      <c r="RL6" s="129" t="s">
        <v>4086</v>
      </c>
      <c r="RM6" s="129" t="s">
        <v>4101</v>
      </c>
      <c r="RN6" s="129" t="s">
        <v>4101</v>
      </c>
      <c r="RO6" s="129" t="s">
        <v>4101</v>
      </c>
      <c r="RP6" s="129" t="s">
        <v>4101</v>
      </c>
      <c r="RQ6" s="134" t="s">
        <v>4100</v>
      </c>
      <c r="RR6" s="134" t="s">
        <v>4099</v>
      </c>
      <c r="RV6" s="129" t="s">
        <v>4084</v>
      </c>
      <c r="RW6" s="129" t="s">
        <v>4080</v>
      </c>
      <c r="RX6" s="129" t="s">
        <v>4080</v>
      </c>
      <c r="RY6" s="129" t="s">
        <v>4080</v>
      </c>
      <c r="RZ6" s="129" t="s">
        <v>4080</v>
      </c>
      <c r="SA6" s="129" t="s">
        <v>4083</v>
      </c>
      <c r="SB6" s="129" t="s">
        <v>4083</v>
      </c>
      <c r="SC6" s="129" t="s">
        <v>4083</v>
      </c>
      <c r="SD6" s="129" t="s">
        <v>4083</v>
      </c>
      <c r="SE6" s="129" t="s">
        <v>4083</v>
      </c>
      <c r="SF6" s="129" t="s">
        <v>4082</v>
      </c>
      <c r="SG6" s="129" t="s">
        <v>4082</v>
      </c>
      <c r="SH6" s="129" t="s">
        <v>4082</v>
      </c>
      <c r="SI6" s="129" t="s">
        <v>4082</v>
      </c>
      <c r="SJ6" s="129" t="s">
        <v>4082</v>
      </c>
      <c r="SK6" s="129" t="s">
        <v>4082</v>
      </c>
      <c r="SL6" s="129" t="s">
        <v>4082</v>
      </c>
      <c r="SM6" s="129" t="s">
        <v>4082</v>
      </c>
      <c r="SO6" s="129" t="s">
        <v>4087</v>
      </c>
      <c r="SP6" s="129" t="s">
        <v>4087</v>
      </c>
      <c r="SQ6" s="129" t="s">
        <v>4087</v>
      </c>
      <c r="SR6" s="129" t="s">
        <v>4087</v>
      </c>
      <c r="SS6" s="129" t="s">
        <v>4086</v>
      </c>
      <c r="ST6" s="129" t="s">
        <v>4086</v>
      </c>
      <c r="SU6" s="129" t="s">
        <v>4086</v>
      </c>
      <c r="SV6" s="129" t="s">
        <v>4086</v>
      </c>
      <c r="SX6" s="129" t="s">
        <v>4085</v>
      </c>
      <c r="SY6" s="129" t="s">
        <v>4085</v>
      </c>
      <c r="SZ6" s="129" t="s">
        <v>4084</v>
      </c>
      <c r="TA6" s="129" t="s">
        <v>4080</v>
      </c>
      <c r="TB6" s="129" t="s">
        <v>4082</v>
      </c>
      <c r="TC6" s="129" t="s">
        <v>4081</v>
      </c>
      <c r="TD6" s="142" t="s">
        <v>4095</v>
      </c>
      <c r="TE6" s="141" t="s">
        <v>4094</v>
      </c>
      <c r="TF6" s="141" t="s">
        <v>4093</v>
      </c>
      <c r="TG6" s="128" t="s">
        <v>4098</v>
      </c>
      <c r="TH6" s="129" t="s">
        <v>4087</v>
      </c>
      <c r="TI6" s="129" t="s">
        <v>4086</v>
      </c>
      <c r="TK6" s="129" t="s">
        <v>4085</v>
      </c>
      <c r="TL6" s="129" t="s">
        <v>4085</v>
      </c>
      <c r="TM6" s="129" t="s">
        <v>4080</v>
      </c>
      <c r="TN6" s="129" t="s">
        <v>4081</v>
      </c>
      <c r="TO6" s="129" t="s">
        <v>4097</v>
      </c>
      <c r="TP6" s="129" t="s">
        <v>4088</v>
      </c>
      <c r="TQ6" s="128" t="s">
        <v>4096</v>
      </c>
      <c r="TR6" s="129" t="s">
        <v>4087</v>
      </c>
      <c r="TS6" s="129" t="s">
        <v>4086</v>
      </c>
      <c r="TT6" s="129" t="s">
        <v>4087</v>
      </c>
      <c r="TW6" s="129" t="s">
        <v>4086</v>
      </c>
      <c r="TX6" s="141" t="s">
        <v>4095</v>
      </c>
      <c r="TY6" s="141" t="s">
        <v>4094</v>
      </c>
      <c r="TZ6" s="141" t="s">
        <v>4093</v>
      </c>
      <c r="UB6" s="129" t="s">
        <v>4092</v>
      </c>
      <c r="UC6" s="129" t="s">
        <v>4092</v>
      </c>
      <c r="UD6" s="129" t="s">
        <v>4091</v>
      </c>
      <c r="UE6" s="129" t="s">
        <v>4091</v>
      </c>
      <c r="UF6" s="129" t="s">
        <v>4084</v>
      </c>
      <c r="UG6" s="129" t="s">
        <v>4084</v>
      </c>
      <c r="UH6" s="129" t="s">
        <v>4090</v>
      </c>
      <c r="UI6" s="129" t="s">
        <v>4090</v>
      </c>
      <c r="UJ6" s="129" t="s">
        <v>4089</v>
      </c>
      <c r="UK6" s="129" t="s">
        <v>4088</v>
      </c>
      <c r="UM6" s="129" t="s">
        <v>4085</v>
      </c>
      <c r="UN6" s="129" t="s">
        <v>4085</v>
      </c>
      <c r="UO6" s="129" t="s">
        <v>4084</v>
      </c>
      <c r="US6" s="129" t="s">
        <v>4084</v>
      </c>
      <c r="UT6" s="129" t="s">
        <v>4080</v>
      </c>
      <c r="UW6" s="129" t="s">
        <v>4080</v>
      </c>
      <c r="UX6" s="129" t="s">
        <v>4087</v>
      </c>
      <c r="UY6" s="129" t="s">
        <v>4087</v>
      </c>
      <c r="UZ6" s="129" t="s">
        <v>4086</v>
      </c>
      <c r="VA6" s="129" t="s">
        <v>4086</v>
      </c>
      <c r="VC6" s="129" t="s">
        <v>4085</v>
      </c>
      <c r="VD6" s="129" t="s">
        <v>4085</v>
      </c>
      <c r="VE6" s="129" t="s">
        <v>4084</v>
      </c>
      <c r="VF6" s="129" t="s">
        <v>4084</v>
      </c>
      <c r="VG6" s="129" t="s">
        <v>4083</v>
      </c>
      <c r="VH6" s="129" t="s">
        <v>4082</v>
      </c>
      <c r="VI6" s="129" t="s">
        <v>4081</v>
      </c>
      <c r="VJ6" s="129" t="s">
        <v>4080</v>
      </c>
      <c r="VL6" s="132" t="s">
        <v>4079</v>
      </c>
      <c r="VM6" s="132" t="s">
        <v>4079</v>
      </c>
      <c r="VN6" s="132" t="s">
        <v>4079</v>
      </c>
      <c r="VO6" s="132" t="s">
        <v>4079</v>
      </c>
      <c r="VR6" s="131" t="s">
        <v>4078</v>
      </c>
      <c r="VS6" s="131" t="s">
        <v>4078</v>
      </c>
      <c r="VT6" s="131" t="s">
        <v>4078</v>
      </c>
      <c r="VU6" s="131" t="s">
        <v>4078</v>
      </c>
      <c r="VV6" s="131" t="s">
        <v>4078</v>
      </c>
      <c r="VW6" s="131" t="s">
        <v>4078</v>
      </c>
      <c r="VX6" s="131" t="s">
        <v>4078</v>
      </c>
      <c r="VY6" s="131" t="s">
        <v>4078</v>
      </c>
      <c r="VZ6" s="131" t="s">
        <v>4078</v>
      </c>
      <c r="WA6" s="131" t="s">
        <v>4078</v>
      </c>
      <c r="WB6" s="131" t="s">
        <v>4078</v>
      </c>
      <c r="WC6" s="162" t="s">
        <v>4077</v>
      </c>
      <c r="WD6" s="162" t="s">
        <v>4077</v>
      </c>
      <c r="WE6" s="162" t="s">
        <v>4077</v>
      </c>
      <c r="WF6" s="162" t="s">
        <v>4077</v>
      </c>
      <c r="WG6" s="162" t="s">
        <v>4077</v>
      </c>
      <c r="WH6" s="162" t="s">
        <v>4077</v>
      </c>
      <c r="WI6" s="162" t="s">
        <v>4077</v>
      </c>
      <c r="WJ6" s="162" t="s">
        <v>4077</v>
      </c>
      <c r="WK6" s="162" t="s">
        <v>4077</v>
      </c>
      <c r="WL6" s="162" t="s">
        <v>4077</v>
      </c>
      <c r="WM6" s="162" t="s">
        <v>4077</v>
      </c>
      <c r="WN6" s="162" t="s">
        <v>4076</v>
      </c>
      <c r="WO6" s="162" t="s">
        <v>4076</v>
      </c>
      <c r="WP6" s="162" t="s">
        <v>4076</v>
      </c>
      <c r="WQ6" s="162" t="s">
        <v>4076</v>
      </c>
      <c r="WR6" s="162" t="s">
        <v>4076</v>
      </c>
      <c r="WS6" s="162" t="s">
        <v>4076</v>
      </c>
      <c r="WT6" s="162" t="s">
        <v>4076</v>
      </c>
      <c r="WU6" s="162" t="s">
        <v>4076</v>
      </c>
      <c r="WV6" s="162" t="s">
        <v>4076</v>
      </c>
      <c r="WW6" s="162" t="s">
        <v>4076</v>
      </c>
      <c r="WX6" s="162" t="s">
        <v>4076</v>
      </c>
      <c r="WY6" s="162" t="s">
        <v>4075</v>
      </c>
      <c r="WZ6" s="162" t="s">
        <v>4075</v>
      </c>
      <c r="XA6" s="162" t="s">
        <v>4075</v>
      </c>
      <c r="XB6" s="162" t="s">
        <v>4075</v>
      </c>
      <c r="XC6" s="162" t="s">
        <v>4075</v>
      </c>
      <c r="XD6" s="162" t="s">
        <v>4075</v>
      </c>
      <c r="XE6" s="162" t="s">
        <v>4075</v>
      </c>
      <c r="XF6" s="162" t="s">
        <v>4075</v>
      </c>
      <c r="XG6" s="162" t="s">
        <v>4075</v>
      </c>
      <c r="XH6" s="162" t="s">
        <v>4075</v>
      </c>
      <c r="XI6" s="162" t="s">
        <v>4075</v>
      </c>
      <c r="XJ6" s="162" t="s">
        <v>4074</v>
      </c>
      <c r="XK6" s="162" t="s">
        <v>4074</v>
      </c>
      <c r="XL6" s="162" t="s">
        <v>4074</v>
      </c>
      <c r="XM6" s="162" t="s">
        <v>4074</v>
      </c>
      <c r="XN6" s="162" t="s">
        <v>4074</v>
      </c>
      <c r="XO6" s="162" t="s">
        <v>4074</v>
      </c>
      <c r="XP6" s="162" t="s">
        <v>4074</v>
      </c>
      <c r="XQ6" s="162" t="s">
        <v>4074</v>
      </c>
      <c r="XR6" s="162" t="s">
        <v>4074</v>
      </c>
      <c r="XS6" s="162" t="s">
        <v>4074</v>
      </c>
      <c r="XT6" s="162" t="s">
        <v>4074</v>
      </c>
      <c r="XU6" s="162" t="s">
        <v>4073</v>
      </c>
      <c r="XV6" s="162" t="s">
        <v>4073</v>
      </c>
      <c r="XW6" s="162" t="s">
        <v>4073</v>
      </c>
      <c r="XX6" s="162" t="s">
        <v>4073</v>
      </c>
      <c r="XY6" s="162" t="s">
        <v>4073</v>
      </c>
      <c r="XZ6" s="162" t="s">
        <v>4073</v>
      </c>
      <c r="YA6" s="162" t="s">
        <v>4073</v>
      </c>
      <c r="YB6" s="162" t="s">
        <v>4073</v>
      </c>
      <c r="YC6" s="162" t="s">
        <v>4073</v>
      </c>
      <c r="YD6" s="162" t="s">
        <v>4073</v>
      </c>
      <c r="YE6" s="162" t="s">
        <v>4073</v>
      </c>
      <c r="YF6" s="162" t="s">
        <v>4072</v>
      </c>
      <c r="YG6" s="162" t="s">
        <v>4072</v>
      </c>
      <c r="YH6" s="162" t="s">
        <v>4072</v>
      </c>
      <c r="YI6" s="162" t="s">
        <v>4072</v>
      </c>
      <c r="YJ6" s="162" t="s">
        <v>4072</v>
      </c>
      <c r="YK6" s="162" t="s">
        <v>4072</v>
      </c>
      <c r="YL6" s="162" t="s">
        <v>4072</v>
      </c>
      <c r="YM6" s="162" t="s">
        <v>4072</v>
      </c>
      <c r="YN6" s="162" t="s">
        <v>4072</v>
      </c>
      <c r="YO6" s="162" t="s">
        <v>4072</v>
      </c>
      <c r="YP6" s="162" t="s">
        <v>4072</v>
      </c>
      <c r="YQ6" s="162" t="s">
        <v>4071</v>
      </c>
      <c r="YR6" s="162" t="s">
        <v>4071</v>
      </c>
      <c r="YS6" s="162" t="s">
        <v>4071</v>
      </c>
      <c r="YT6" s="162" t="s">
        <v>4071</v>
      </c>
      <c r="YU6" s="162" t="s">
        <v>4071</v>
      </c>
      <c r="YV6" s="162" t="s">
        <v>4071</v>
      </c>
      <c r="YW6" s="162" t="s">
        <v>4071</v>
      </c>
      <c r="YX6" s="162" t="s">
        <v>4071</v>
      </c>
      <c r="YY6" s="162" t="s">
        <v>4071</v>
      </c>
      <c r="YZ6" s="162" t="s">
        <v>4071</v>
      </c>
      <c r="ZA6" s="162" t="s">
        <v>4071</v>
      </c>
      <c r="ZB6" s="162" t="s">
        <v>4070</v>
      </c>
      <c r="ZC6" s="162" t="s">
        <v>4070</v>
      </c>
      <c r="ZD6" s="162" t="s">
        <v>4070</v>
      </c>
      <c r="ZE6" s="162" t="s">
        <v>4070</v>
      </c>
      <c r="ZF6" s="162" t="s">
        <v>4070</v>
      </c>
      <c r="ZG6" s="162" t="s">
        <v>4070</v>
      </c>
      <c r="ZH6" s="162" t="s">
        <v>4070</v>
      </c>
      <c r="ZI6" s="162" t="s">
        <v>4070</v>
      </c>
      <c r="ZJ6" s="162" t="s">
        <v>4070</v>
      </c>
      <c r="ZK6" s="162" t="s">
        <v>4070</v>
      </c>
      <c r="ZL6" s="162" t="s">
        <v>4070</v>
      </c>
      <c r="ZM6" s="162" t="s">
        <v>4069</v>
      </c>
      <c r="ZN6" s="162" t="s">
        <v>4069</v>
      </c>
      <c r="ZO6" s="162" t="s">
        <v>4069</v>
      </c>
      <c r="ZP6" s="162" t="s">
        <v>4069</v>
      </c>
      <c r="ZQ6" s="162" t="s">
        <v>4069</v>
      </c>
      <c r="ZR6" s="162" t="s">
        <v>4069</v>
      </c>
      <c r="ZS6" s="162" t="s">
        <v>4069</v>
      </c>
      <c r="ZT6" s="162" t="s">
        <v>4069</v>
      </c>
      <c r="ZU6" s="162" t="s">
        <v>4069</v>
      </c>
      <c r="ZV6" s="162" t="s">
        <v>4069</v>
      </c>
      <c r="ZW6" s="162" t="s">
        <v>4069</v>
      </c>
      <c r="ZX6" s="162" t="s">
        <v>4068</v>
      </c>
      <c r="ZY6" s="162" t="s">
        <v>4068</v>
      </c>
      <c r="ZZ6" s="162" t="s">
        <v>4068</v>
      </c>
      <c r="AAA6" s="162" t="s">
        <v>4068</v>
      </c>
      <c r="AAB6" s="162" t="s">
        <v>4068</v>
      </c>
      <c r="AAC6" s="162" t="s">
        <v>4068</v>
      </c>
      <c r="AAD6" s="162" t="s">
        <v>4068</v>
      </c>
      <c r="AAE6" s="162" t="s">
        <v>4068</v>
      </c>
      <c r="AAF6" s="162" t="s">
        <v>4068</v>
      </c>
      <c r="AAG6" s="162" t="s">
        <v>4068</v>
      </c>
      <c r="AAH6" s="162" t="s">
        <v>4068</v>
      </c>
      <c r="AAJ6" s="162" t="s">
        <v>4067</v>
      </c>
      <c r="AAK6" s="162" t="s">
        <v>4067</v>
      </c>
      <c r="AAL6" s="162" t="s">
        <v>4067</v>
      </c>
      <c r="AAM6" s="162" t="s">
        <v>4067</v>
      </c>
      <c r="AAN6" s="162" t="s">
        <v>4067</v>
      </c>
      <c r="AAO6" s="162" t="s">
        <v>4067</v>
      </c>
      <c r="AAP6" s="162" t="s">
        <v>4067</v>
      </c>
      <c r="AAQ6" s="162" t="s">
        <v>4067</v>
      </c>
      <c r="AAR6" s="162" t="s">
        <v>4067</v>
      </c>
      <c r="AAS6" s="162" t="s">
        <v>4067</v>
      </c>
      <c r="AAT6" s="162" t="s">
        <v>4067</v>
      </c>
      <c r="AAU6" s="162" t="s">
        <v>4066</v>
      </c>
      <c r="AAV6" s="162" t="s">
        <v>4066</v>
      </c>
      <c r="AAW6" s="162" t="s">
        <v>4066</v>
      </c>
      <c r="AAX6" s="162" t="s">
        <v>4066</v>
      </c>
      <c r="AAY6" s="162" t="s">
        <v>4066</v>
      </c>
      <c r="AAZ6" s="162" t="s">
        <v>4066</v>
      </c>
      <c r="ABA6" s="162" t="s">
        <v>4066</v>
      </c>
      <c r="ABB6" s="162" t="s">
        <v>4066</v>
      </c>
      <c r="ABC6" s="162" t="s">
        <v>4066</v>
      </c>
      <c r="ABD6" s="162" t="s">
        <v>4066</v>
      </c>
      <c r="ABE6" s="162" t="s">
        <v>4066</v>
      </c>
      <c r="ABF6" s="162" t="s">
        <v>4065</v>
      </c>
      <c r="ABG6" s="162" t="s">
        <v>4065</v>
      </c>
      <c r="ABH6" s="162" t="s">
        <v>4065</v>
      </c>
      <c r="ABI6" s="162" t="s">
        <v>4065</v>
      </c>
      <c r="ABJ6" s="162" t="s">
        <v>4065</v>
      </c>
      <c r="ABK6" s="162" t="s">
        <v>4065</v>
      </c>
      <c r="ABL6" s="162" t="s">
        <v>4065</v>
      </c>
      <c r="ABM6" s="162" t="s">
        <v>4065</v>
      </c>
      <c r="ABN6" s="162" t="s">
        <v>4065</v>
      </c>
      <c r="ABO6" s="162" t="s">
        <v>4065</v>
      </c>
      <c r="ABP6" s="162" t="s">
        <v>4065</v>
      </c>
      <c r="ABQ6" s="162" t="s">
        <v>4064</v>
      </c>
      <c r="ABR6" s="162" t="s">
        <v>4064</v>
      </c>
      <c r="ABS6" s="162" t="s">
        <v>4064</v>
      </c>
      <c r="ABT6" s="162" t="s">
        <v>4064</v>
      </c>
      <c r="ABU6" s="162" t="s">
        <v>4064</v>
      </c>
      <c r="ABV6" s="162" t="s">
        <v>4064</v>
      </c>
      <c r="ABW6" s="162" t="s">
        <v>4064</v>
      </c>
      <c r="ABX6" s="162" t="s">
        <v>4064</v>
      </c>
      <c r="ABY6" s="162" t="s">
        <v>4064</v>
      </c>
      <c r="ABZ6" s="162" t="s">
        <v>4064</v>
      </c>
      <c r="ACA6" s="162" t="s">
        <v>4064</v>
      </c>
      <c r="ACB6" s="162" t="s">
        <v>4063</v>
      </c>
      <c r="ACC6" s="162" t="s">
        <v>4063</v>
      </c>
      <c r="ACD6" s="162" t="s">
        <v>4063</v>
      </c>
      <c r="ACE6" s="162" t="s">
        <v>4063</v>
      </c>
      <c r="ACF6" s="162" t="s">
        <v>4063</v>
      </c>
      <c r="ACG6" s="162" t="s">
        <v>4063</v>
      </c>
      <c r="ACH6" s="162" t="s">
        <v>4063</v>
      </c>
      <c r="ACI6" s="162" t="s">
        <v>4063</v>
      </c>
      <c r="ACJ6" s="162" t="s">
        <v>4063</v>
      </c>
      <c r="ACK6" s="162" t="s">
        <v>4063</v>
      </c>
      <c r="ACL6" s="162" t="s">
        <v>4063</v>
      </c>
      <c r="ACM6" s="162" t="s">
        <v>4062</v>
      </c>
      <c r="ACN6" s="162" t="s">
        <v>4062</v>
      </c>
      <c r="ACO6" s="162" t="s">
        <v>4062</v>
      </c>
      <c r="ACP6" s="162" t="s">
        <v>4062</v>
      </c>
      <c r="ACQ6" s="162" t="s">
        <v>4062</v>
      </c>
      <c r="ACR6" s="162" t="s">
        <v>4062</v>
      </c>
      <c r="ACS6" s="162" t="s">
        <v>4062</v>
      </c>
      <c r="ACT6" s="162" t="s">
        <v>4062</v>
      </c>
      <c r="ACU6" s="162" t="s">
        <v>4062</v>
      </c>
      <c r="ACV6" s="162" t="s">
        <v>4062</v>
      </c>
      <c r="ACW6" s="162" t="s">
        <v>4062</v>
      </c>
      <c r="ACX6" s="162" t="s">
        <v>4061</v>
      </c>
      <c r="ACY6" s="162" t="s">
        <v>4061</v>
      </c>
      <c r="ACZ6" s="162" t="s">
        <v>4061</v>
      </c>
      <c r="ADA6" s="162" t="s">
        <v>4061</v>
      </c>
      <c r="ADB6" s="162" t="s">
        <v>4061</v>
      </c>
      <c r="ADC6" s="162" t="s">
        <v>4061</v>
      </c>
      <c r="ADD6" s="162" t="s">
        <v>4061</v>
      </c>
      <c r="ADE6" s="162" t="s">
        <v>4061</v>
      </c>
      <c r="ADF6" s="162" t="s">
        <v>4061</v>
      </c>
      <c r="ADG6" s="162" t="s">
        <v>4061</v>
      </c>
      <c r="ADH6" s="162" t="s">
        <v>4061</v>
      </c>
      <c r="ADI6" s="162" t="s">
        <v>4060</v>
      </c>
      <c r="ADJ6" s="162" t="s">
        <v>4060</v>
      </c>
      <c r="ADK6" s="162" t="s">
        <v>4060</v>
      </c>
      <c r="ADL6" s="162" t="s">
        <v>4060</v>
      </c>
      <c r="ADM6" s="162" t="s">
        <v>4060</v>
      </c>
      <c r="ADN6" s="162" t="s">
        <v>4060</v>
      </c>
      <c r="ADO6" s="162" t="s">
        <v>4060</v>
      </c>
      <c r="ADP6" s="162" t="s">
        <v>4060</v>
      </c>
      <c r="ADQ6" s="162" t="s">
        <v>4060</v>
      </c>
      <c r="ADR6" s="162" t="s">
        <v>4060</v>
      </c>
      <c r="ADS6" s="162" t="s">
        <v>4060</v>
      </c>
      <c r="ADT6" s="162" t="s">
        <v>4059</v>
      </c>
      <c r="ADU6" s="162" t="s">
        <v>4059</v>
      </c>
      <c r="ADV6" s="162" t="s">
        <v>4059</v>
      </c>
      <c r="ADW6" s="162" t="s">
        <v>4059</v>
      </c>
      <c r="ADX6" s="162" t="s">
        <v>4059</v>
      </c>
      <c r="ADY6" s="162" t="s">
        <v>4059</v>
      </c>
      <c r="ADZ6" s="162" t="s">
        <v>4059</v>
      </c>
      <c r="AEA6" s="162" t="s">
        <v>4059</v>
      </c>
      <c r="AEB6" s="162" t="s">
        <v>4059</v>
      </c>
      <c r="AEC6" s="162" t="s">
        <v>4059</v>
      </c>
      <c r="AED6" s="162" t="s">
        <v>4059</v>
      </c>
      <c r="AEE6" s="162" t="s">
        <v>4058</v>
      </c>
      <c r="AEF6" s="162" t="s">
        <v>4058</v>
      </c>
      <c r="AEG6" s="162" t="s">
        <v>4058</v>
      </c>
      <c r="AEH6" s="162" t="s">
        <v>4058</v>
      </c>
      <c r="AEI6" s="162" t="s">
        <v>4058</v>
      </c>
      <c r="AEJ6" s="162" t="s">
        <v>4058</v>
      </c>
      <c r="AEK6" s="162" t="s">
        <v>4058</v>
      </c>
      <c r="AEL6" s="162" t="s">
        <v>4058</v>
      </c>
      <c r="AEM6" s="162" t="s">
        <v>4058</v>
      </c>
      <c r="AEN6" s="162" t="s">
        <v>4058</v>
      </c>
      <c r="AEO6" s="162" t="s">
        <v>4058</v>
      </c>
      <c r="AEP6" s="162" t="s">
        <v>4057</v>
      </c>
      <c r="AEQ6" s="162" t="s">
        <v>4057</v>
      </c>
      <c r="AER6" s="162" t="s">
        <v>4057</v>
      </c>
      <c r="AES6" s="162" t="s">
        <v>4057</v>
      </c>
      <c r="AET6" s="162" t="s">
        <v>4057</v>
      </c>
      <c r="AEU6" s="162" t="s">
        <v>4057</v>
      </c>
      <c r="AEV6" s="162" t="s">
        <v>4057</v>
      </c>
      <c r="AEW6" s="162" t="s">
        <v>4057</v>
      </c>
      <c r="AEX6" s="162" t="s">
        <v>4057</v>
      </c>
      <c r="AEY6" s="162" t="s">
        <v>4057</v>
      </c>
      <c r="AEZ6" s="162" t="s">
        <v>4057</v>
      </c>
      <c r="AFA6" s="162" t="s">
        <v>4056</v>
      </c>
      <c r="AFB6" s="162" t="s">
        <v>4056</v>
      </c>
      <c r="AFC6" s="162" t="s">
        <v>4056</v>
      </c>
      <c r="AFD6" s="162" t="s">
        <v>4056</v>
      </c>
      <c r="AFE6" s="162" t="s">
        <v>4056</v>
      </c>
      <c r="AFF6" s="162" t="s">
        <v>4056</v>
      </c>
      <c r="AFG6" s="162" t="s">
        <v>4056</v>
      </c>
      <c r="AFH6" s="162" t="s">
        <v>4056</v>
      </c>
      <c r="AFI6" s="162" t="s">
        <v>4056</v>
      </c>
      <c r="AFJ6" s="162" t="s">
        <v>4056</v>
      </c>
      <c r="AFK6" s="162" t="s">
        <v>4056</v>
      </c>
      <c r="AFL6" s="128" t="s">
        <v>4055</v>
      </c>
      <c r="AFN6" s="162" t="s">
        <v>4054</v>
      </c>
      <c r="AFO6" s="162" t="s">
        <v>4054</v>
      </c>
      <c r="AFP6" s="162" t="s">
        <v>4054</v>
      </c>
      <c r="AFQ6" s="162" t="s">
        <v>4054</v>
      </c>
      <c r="AFR6" s="162" t="s">
        <v>4054</v>
      </c>
      <c r="AFS6" s="162" t="s">
        <v>4054</v>
      </c>
      <c r="AFT6" s="162" t="s">
        <v>4054</v>
      </c>
      <c r="AFU6" s="162" t="s">
        <v>4054</v>
      </c>
      <c r="AFV6" s="162" t="s">
        <v>4054</v>
      </c>
      <c r="AFW6" s="162" t="s">
        <v>4054</v>
      </c>
      <c r="AFX6" s="162" t="s">
        <v>4054</v>
      </c>
      <c r="AFY6" s="162" t="s">
        <v>4054</v>
      </c>
      <c r="AFZ6" s="162" t="s">
        <v>4054</v>
      </c>
      <c r="AGA6" s="162" t="s">
        <v>4054</v>
      </c>
      <c r="AGB6" s="162" t="s">
        <v>4054</v>
      </c>
      <c r="AGC6" s="162" t="s">
        <v>4054</v>
      </c>
      <c r="AGD6" s="162" t="s">
        <v>4054</v>
      </c>
      <c r="AGE6" s="162" t="s">
        <v>4054</v>
      </c>
      <c r="AGF6" s="162" t="s">
        <v>4054</v>
      </c>
      <c r="AGG6" s="162" t="s">
        <v>4054</v>
      </c>
      <c r="AGH6" s="162" t="s">
        <v>4054</v>
      </c>
      <c r="AGI6" s="162" t="s">
        <v>4054</v>
      </c>
      <c r="AGJ6" s="162" t="s">
        <v>4054</v>
      </c>
      <c r="AGK6" s="162" t="s">
        <v>4054</v>
      </c>
      <c r="AGL6" s="162" t="s">
        <v>4054</v>
      </c>
      <c r="AGM6" s="162" t="s">
        <v>4054</v>
      </c>
      <c r="AGN6" s="162" t="s">
        <v>4054</v>
      </c>
      <c r="AGO6" s="162" t="s">
        <v>4054</v>
      </c>
      <c r="AGP6" s="162" t="s">
        <v>4054</v>
      </c>
      <c r="AGQ6" s="162" t="s">
        <v>4054</v>
      </c>
      <c r="AGR6" s="162" t="s">
        <v>4053</v>
      </c>
      <c r="AGS6" s="162" t="s">
        <v>4053</v>
      </c>
      <c r="AGT6" s="162" t="s">
        <v>4053</v>
      </c>
      <c r="AGU6" s="162" t="s">
        <v>4053</v>
      </c>
      <c r="AGV6" s="162" t="s">
        <v>4053</v>
      </c>
      <c r="AGW6" s="162" t="s">
        <v>4053</v>
      </c>
      <c r="AGX6" s="162" t="s">
        <v>4053</v>
      </c>
      <c r="AGY6" s="162" t="s">
        <v>4053</v>
      </c>
      <c r="AGZ6" s="162" t="s">
        <v>4053</v>
      </c>
      <c r="AHA6" s="162" t="s">
        <v>4053</v>
      </c>
      <c r="AHB6" s="162" t="s">
        <v>4053</v>
      </c>
      <c r="AHC6" s="162" t="s">
        <v>4053</v>
      </c>
      <c r="AHD6" s="162" t="s">
        <v>4053</v>
      </c>
      <c r="AHE6" s="162" t="s">
        <v>4053</v>
      </c>
      <c r="AHF6" s="162" t="s">
        <v>4053</v>
      </c>
      <c r="AHG6" s="162" t="s">
        <v>4053</v>
      </c>
      <c r="AHH6" s="162" t="s">
        <v>4053</v>
      </c>
      <c r="AHI6" s="162" t="s">
        <v>4053</v>
      </c>
      <c r="AHJ6" s="162" t="s">
        <v>4053</v>
      </c>
      <c r="AHK6" s="162" t="s">
        <v>4053</v>
      </c>
      <c r="AHL6" s="162" t="s">
        <v>4053</v>
      </c>
      <c r="AHM6" s="162" t="s">
        <v>4053</v>
      </c>
      <c r="AHN6" s="162" t="s">
        <v>4053</v>
      </c>
      <c r="AHO6" s="162" t="s">
        <v>4053</v>
      </c>
      <c r="AHP6" s="162" t="s">
        <v>4053</v>
      </c>
      <c r="AHQ6" s="162" t="s">
        <v>4053</v>
      </c>
      <c r="AHR6" s="162" t="s">
        <v>4053</v>
      </c>
      <c r="AHS6" s="162" t="s">
        <v>4053</v>
      </c>
      <c r="AHT6" s="162" t="s">
        <v>4053</v>
      </c>
      <c r="AHU6" s="162" t="s">
        <v>4053</v>
      </c>
      <c r="AHV6" s="162" t="s">
        <v>4053</v>
      </c>
      <c r="AHW6" s="162" t="s">
        <v>4053</v>
      </c>
      <c r="AHX6" s="162" t="s">
        <v>4053</v>
      </c>
      <c r="AHY6" s="162" t="s">
        <v>4052</v>
      </c>
      <c r="AHZ6" s="162" t="s">
        <v>4052</v>
      </c>
      <c r="AIA6" s="162" t="s">
        <v>4052</v>
      </c>
      <c r="AIB6" s="162" t="s">
        <v>4052</v>
      </c>
      <c r="AIC6" s="162" t="s">
        <v>4052</v>
      </c>
      <c r="AID6" s="162" t="s">
        <v>4052</v>
      </c>
      <c r="AIE6" s="162" t="s">
        <v>4052</v>
      </c>
      <c r="AIF6" s="162" t="s">
        <v>4052</v>
      </c>
      <c r="AIG6" s="162" t="s">
        <v>4052</v>
      </c>
      <c r="AIH6" s="162" t="s">
        <v>4052</v>
      </c>
      <c r="AII6" s="162" t="s">
        <v>4052</v>
      </c>
      <c r="AIJ6" s="162" t="s">
        <v>4052</v>
      </c>
      <c r="AIK6" s="162" t="s">
        <v>4052</v>
      </c>
      <c r="AIL6" s="162" t="s">
        <v>4052</v>
      </c>
      <c r="AIM6" s="162" t="s">
        <v>4052</v>
      </c>
      <c r="AIN6" s="162" t="s">
        <v>4052</v>
      </c>
      <c r="AIO6" s="162" t="s">
        <v>4052</v>
      </c>
      <c r="AIP6" s="162" t="s">
        <v>4052</v>
      </c>
      <c r="AIQ6" s="162" t="s">
        <v>4052</v>
      </c>
      <c r="AIR6" s="162" t="s">
        <v>4052</v>
      </c>
      <c r="AIS6" s="162" t="s">
        <v>4052</v>
      </c>
      <c r="AIT6" s="162" t="s">
        <v>4052</v>
      </c>
      <c r="AIU6" s="162" t="s">
        <v>4052</v>
      </c>
      <c r="AIV6" s="162" t="s">
        <v>4052</v>
      </c>
      <c r="AIW6" s="162" t="s">
        <v>4052</v>
      </c>
      <c r="AIX6" s="162" t="s">
        <v>4052</v>
      </c>
      <c r="AIY6" s="162" t="s">
        <v>4052</v>
      </c>
      <c r="AIZ6" s="162" t="s">
        <v>4052</v>
      </c>
      <c r="AJA6" s="162" t="s">
        <v>4052</v>
      </c>
      <c r="AJB6" s="162" t="s">
        <v>4052</v>
      </c>
      <c r="AJC6" s="162" t="s">
        <v>4052</v>
      </c>
      <c r="AJD6" s="162" t="s">
        <v>4052</v>
      </c>
      <c r="AJE6" s="162" t="s">
        <v>4052</v>
      </c>
      <c r="AJF6" s="162" t="s">
        <v>4051</v>
      </c>
      <c r="AJG6" s="162" t="s">
        <v>4051</v>
      </c>
      <c r="AJH6" s="162" t="s">
        <v>4051</v>
      </c>
      <c r="AJI6" s="162" t="s">
        <v>4051</v>
      </c>
      <c r="AJJ6" s="162" t="s">
        <v>4051</v>
      </c>
      <c r="AJK6" s="162" t="s">
        <v>4051</v>
      </c>
      <c r="AJL6" s="162" t="s">
        <v>4051</v>
      </c>
      <c r="AJM6" s="162" t="s">
        <v>4051</v>
      </c>
      <c r="AJN6" s="162" t="s">
        <v>4051</v>
      </c>
      <c r="AJO6" s="162" t="s">
        <v>4051</v>
      </c>
      <c r="AJP6" s="162" t="s">
        <v>4051</v>
      </c>
      <c r="AJQ6" s="162" t="s">
        <v>4051</v>
      </c>
      <c r="AJR6" s="162" t="s">
        <v>4051</v>
      </c>
      <c r="AJS6" s="162" t="s">
        <v>4051</v>
      </c>
      <c r="AJT6" s="162" t="s">
        <v>4051</v>
      </c>
      <c r="AJU6" s="162" t="s">
        <v>4051</v>
      </c>
      <c r="AJV6" s="162" t="s">
        <v>4051</v>
      </c>
      <c r="AJW6" s="162" t="s">
        <v>4051</v>
      </c>
      <c r="AJX6" s="162" t="s">
        <v>4051</v>
      </c>
      <c r="AJY6" s="162" t="s">
        <v>4051</v>
      </c>
      <c r="AJZ6" s="162" t="s">
        <v>4051</v>
      </c>
      <c r="AKA6" s="162" t="s">
        <v>4051</v>
      </c>
      <c r="AKB6" s="162" t="s">
        <v>4051</v>
      </c>
      <c r="AKC6" s="162" t="s">
        <v>4051</v>
      </c>
      <c r="AKD6" s="162" t="s">
        <v>4051</v>
      </c>
      <c r="AKE6" s="162" t="s">
        <v>4051</v>
      </c>
      <c r="AKF6" s="162" t="s">
        <v>4051</v>
      </c>
      <c r="AKG6" s="162" t="s">
        <v>4051</v>
      </c>
      <c r="AKH6" s="162" t="s">
        <v>4051</v>
      </c>
      <c r="AKI6" s="162" t="s">
        <v>4051</v>
      </c>
      <c r="AKJ6" s="162" t="s">
        <v>4051</v>
      </c>
      <c r="AKK6" s="162" t="s">
        <v>4051</v>
      </c>
      <c r="AKL6" s="162" t="s">
        <v>4051</v>
      </c>
      <c r="AKM6" s="162" t="s">
        <v>4050</v>
      </c>
      <c r="AKN6" s="162" t="s">
        <v>4050</v>
      </c>
      <c r="AKO6" s="162" t="s">
        <v>4050</v>
      </c>
      <c r="AKP6" s="162" t="s">
        <v>4050</v>
      </c>
      <c r="AKQ6" s="162" t="s">
        <v>4050</v>
      </c>
      <c r="AKR6" s="162" t="s">
        <v>4050</v>
      </c>
      <c r="AKS6" s="162" t="s">
        <v>4050</v>
      </c>
      <c r="AKT6" s="162" t="s">
        <v>4050</v>
      </c>
      <c r="AKU6" s="162" t="s">
        <v>4050</v>
      </c>
      <c r="AKV6" s="162" t="s">
        <v>4050</v>
      </c>
      <c r="AKW6" s="162" t="s">
        <v>4050</v>
      </c>
      <c r="AKX6" s="162" t="s">
        <v>4050</v>
      </c>
      <c r="AKY6" s="162" t="s">
        <v>4050</v>
      </c>
      <c r="AKZ6" s="162" t="s">
        <v>4050</v>
      </c>
      <c r="ALA6" s="162" t="s">
        <v>4050</v>
      </c>
      <c r="ALB6" s="162" t="s">
        <v>4050</v>
      </c>
      <c r="ALC6" s="162" t="s">
        <v>4050</v>
      </c>
      <c r="ALD6" s="162" t="s">
        <v>4050</v>
      </c>
      <c r="ALE6" s="162" t="s">
        <v>4050</v>
      </c>
      <c r="ALF6" s="162" t="s">
        <v>4050</v>
      </c>
      <c r="ALG6" s="162" t="s">
        <v>4050</v>
      </c>
      <c r="ALH6" s="162" t="s">
        <v>4050</v>
      </c>
      <c r="ALI6" s="162" t="s">
        <v>4050</v>
      </c>
      <c r="ALJ6" s="162" t="s">
        <v>4050</v>
      </c>
      <c r="ALK6" s="162" t="s">
        <v>4050</v>
      </c>
      <c r="ALL6" s="162" t="s">
        <v>4050</v>
      </c>
      <c r="ALM6" s="162" t="s">
        <v>4050</v>
      </c>
      <c r="ALN6" s="162" t="s">
        <v>4050</v>
      </c>
      <c r="ALO6" s="162" t="s">
        <v>4050</v>
      </c>
      <c r="ALP6" s="162" t="s">
        <v>4050</v>
      </c>
      <c r="ALQ6" s="162" t="s">
        <v>4050</v>
      </c>
      <c r="ALR6" s="162" t="s">
        <v>4050</v>
      </c>
      <c r="ALS6" s="162" t="s">
        <v>4050</v>
      </c>
      <c r="ALT6" s="162" t="s">
        <v>4049</v>
      </c>
      <c r="ALU6" s="162" t="s">
        <v>4049</v>
      </c>
      <c r="ALV6" s="162" t="s">
        <v>4049</v>
      </c>
      <c r="ALW6" s="162" t="s">
        <v>4049</v>
      </c>
      <c r="ALX6" s="162" t="s">
        <v>4049</v>
      </c>
      <c r="ALY6" s="162" t="s">
        <v>4049</v>
      </c>
      <c r="ALZ6" s="162" t="s">
        <v>4049</v>
      </c>
      <c r="AMA6" s="162" t="s">
        <v>4049</v>
      </c>
      <c r="AMB6" s="162" t="s">
        <v>4049</v>
      </c>
      <c r="AMC6" s="162" t="s">
        <v>4049</v>
      </c>
      <c r="AMD6" s="162" t="s">
        <v>4049</v>
      </c>
      <c r="AME6" s="162" t="s">
        <v>4049</v>
      </c>
      <c r="AMF6" s="162" t="s">
        <v>4049</v>
      </c>
      <c r="AMG6" s="162" t="s">
        <v>4049</v>
      </c>
      <c r="AMH6" s="162" t="s">
        <v>4049</v>
      </c>
      <c r="AMI6" s="162" t="s">
        <v>4049</v>
      </c>
      <c r="AMJ6" s="162" t="s">
        <v>4049</v>
      </c>
      <c r="AMK6" s="162" t="s">
        <v>4049</v>
      </c>
      <c r="AML6" s="162" t="s">
        <v>4049</v>
      </c>
      <c r="AMM6" s="162" t="s">
        <v>4049</v>
      </c>
      <c r="AMN6" s="162" t="s">
        <v>4049</v>
      </c>
      <c r="AMO6" s="162" t="s">
        <v>4049</v>
      </c>
      <c r="AMP6" s="162" t="s">
        <v>4049</v>
      </c>
      <c r="AMQ6" s="162" t="s">
        <v>4049</v>
      </c>
      <c r="AMR6" s="162" t="s">
        <v>4049</v>
      </c>
      <c r="AMS6" s="162" t="s">
        <v>4049</v>
      </c>
      <c r="AMT6" s="162" t="s">
        <v>4049</v>
      </c>
      <c r="AMU6" s="162" t="s">
        <v>4049</v>
      </c>
      <c r="AMV6" s="162" t="s">
        <v>4049</v>
      </c>
      <c r="AMW6" s="162" t="s">
        <v>4049</v>
      </c>
      <c r="AMX6" s="162" t="s">
        <v>4049</v>
      </c>
      <c r="AMY6" s="162" t="s">
        <v>4049</v>
      </c>
      <c r="AMZ6" s="162" t="s">
        <v>4049</v>
      </c>
      <c r="ANA6" s="162" t="s">
        <v>4048</v>
      </c>
      <c r="ANB6" s="162" t="s">
        <v>4048</v>
      </c>
      <c r="ANC6" s="162" t="s">
        <v>4048</v>
      </c>
      <c r="AND6" s="162" t="s">
        <v>4048</v>
      </c>
      <c r="ANE6" s="162" t="s">
        <v>4048</v>
      </c>
      <c r="ANF6" s="162" t="s">
        <v>4048</v>
      </c>
      <c r="ANG6" s="162" t="s">
        <v>4048</v>
      </c>
      <c r="ANH6" s="162" t="s">
        <v>4048</v>
      </c>
      <c r="ANI6" s="162" t="s">
        <v>4048</v>
      </c>
      <c r="ANJ6" s="162" t="s">
        <v>4048</v>
      </c>
      <c r="ANK6" s="162" t="s">
        <v>4048</v>
      </c>
      <c r="ANL6" s="162" t="s">
        <v>4048</v>
      </c>
      <c r="ANM6" s="162" t="s">
        <v>4048</v>
      </c>
      <c r="ANN6" s="162" t="s">
        <v>4048</v>
      </c>
      <c r="ANO6" s="162" t="s">
        <v>4048</v>
      </c>
      <c r="ANP6" s="162" t="s">
        <v>4048</v>
      </c>
      <c r="ANQ6" s="162" t="s">
        <v>4048</v>
      </c>
      <c r="ANR6" s="162" t="s">
        <v>4048</v>
      </c>
      <c r="ANS6" s="162" t="s">
        <v>4048</v>
      </c>
      <c r="ANT6" s="162" t="s">
        <v>4048</v>
      </c>
      <c r="ANU6" s="162" t="s">
        <v>4048</v>
      </c>
      <c r="ANV6" s="162" t="s">
        <v>4048</v>
      </c>
      <c r="ANW6" s="162" t="s">
        <v>4048</v>
      </c>
      <c r="ANX6" s="162" t="s">
        <v>4048</v>
      </c>
      <c r="ANY6" s="162" t="s">
        <v>4048</v>
      </c>
      <c r="ANZ6" s="162" t="s">
        <v>4048</v>
      </c>
      <c r="AOA6" s="162" t="s">
        <v>4048</v>
      </c>
      <c r="AOB6" s="162" t="s">
        <v>4048</v>
      </c>
      <c r="AOC6" s="162" t="s">
        <v>4048</v>
      </c>
      <c r="AOD6" s="162" t="s">
        <v>4048</v>
      </c>
      <c r="AOE6" s="162" t="s">
        <v>4048</v>
      </c>
      <c r="AOF6" s="162" t="s">
        <v>4048</v>
      </c>
      <c r="AOG6" s="162" t="s">
        <v>4048</v>
      </c>
      <c r="AOH6" s="162" t="s">
        <v>4047</v>
      </c>
      <c r="AOI6" s="162" t="s">
        <v>4047</v>
      </c>
      <c r="AOJ6" s="162" t="s">
        <v>4047</v>
      </c>
      <c r="AOK6" s="162" t="s">
        <v>4047</v>
      </c>
      <c r="AOL6" s="162" t="s">
        <v>4047</v>
      </c>
      <c r="AOM6" s="162" t="s">
        <v>4047</v>
      </c>
      <c r="AON6" s="162" t="s">
        <v>4047</v>
      </c>
      <c r="AOO6" s="162" t="s">
        <v>4047</v>
      </c>
      <c r="AOP6" s="162" t="s">
        <v>4047</v>
      </c>
      <c r="AOQ6" s="162" t="s">
        <v>4047</v>
      </c>
      <c r="AOR6" s="162" t="s">
        <v>4047</v>
      </c>
      <c r="AOS6" s="162" t="s">
        <v>4047</v>
      </c>
      <c r="AOT6" s="162" t="s">
        <v>4047</v>
      </c>
      <c r="AOU6" s="162" t="s">
        <v>4047</v>
      </c>
      <c r="AOV6" s="162" t="s">
        <v>4047</v>
      </c>
      <c r="AOW6" s="162" t="s">
        <v>4047</v>
      </c>
      <c r="AOX6" s="162" t="s">
        <v>4047</v>
      </c>
      <c r="AOY6" s="162" t="s">
        <v>4047</v>
      </c>
      <c r="AOZ6" s="162" t="s">
        <v>4047</v>
      </c>
      <c r="APA6" s="162" t="s">
        <v>4047</v>
      </c>
      <c r="APB6" s="162" t="s">
        <v>4047</v>
      </c>
      <c r="APC6" s="162" t="s">
        <v>4047</v>
      </c>
      <c r="APD6" s="162" t="s">
        <v>4047</v>
      </c>
      <c r="APE6" s="162" t="s">
        <v>4047</v>
      </c>
      <c r="APF6" s="162" t="s">
        <v>4047</v>
      </c>
      <c r="APG6" s="162" t="s">
        <v>4047</v>
      </c>
      <c r="APH6" s="162" t="s">
        <v>4047</v>
      </c>
      <c r="API6" s="162" t="s">
        <v>4047</v>
      </c>
      <c r="APJ6" s="162" t="s">
        <v>4047</v>
      </c>
      <c r="APK6" s="162" t="s">
        <v>4047</v>
      </c>
      <c r="APL6" s="162" t="s">
        <v>4047</v>
      </c>
      <c r="APM6" s="162" t="s">
        <v>4047</v>
      </c>
      <c r="APN6" s="162" t="s">
        <v>4047</v>
      </c>
      <c r="APO6" s="130" t="s">
        <v>4054</v>
      </c>
      <c r="APP6" s="130" t="s">
        <v>4054</v>
      </c>
      <c r="APQ6" s="130" t="s">
        <v>4054</v>
      </c>
      <c r="APR6" s="130" t="s">
        <v>4054</v>
      </c>
      <c r="APT6" s="130" t="s">
        <v>4054</v>
      </c>
      <c r="APU6" s="130" t="s">
        <v>4054</v>
      </c>
      <c r="APV6" s="130" t="s">
        <v>4054</v>
      </c>
      <c r="APW6" s="130" t="s">
        <v>4054</v>
      </c>
      <c r="APY6" s="130" t="s">
        <v>4053</v>
      </c>
      <c r="APZ6" s="130" t="s">
        <v>4053</v>
      </c>
      <c r="AQA6" s="130" t="s">
        <v>4053</v>
      </c>
      <c r="AQC6" s="130" t="s">
        <v>4053</v>
      </c>
      <c r="AQD6" s="130" t="s">
        <v>4053</v>
      </c>
      <c r="AQE6" s="130" t="s">
        <v>4053</v>
      </c>
      <c r="AQF6" s="130" t="s">
        <v>4053</v>
      </c>
      <c r="AQG6" s="130" t="s">
        <v>4053</v>
      </c>
      <c r="AQH6" s="130" t="s">
        <v>4053</v>
      </c>
      <c r="AQJ6" s="130" t="s">
        <v>4052</v>
      </c>
      <c r="AQK6" s="130" t="s">
        <v>4052</v>
      </c>
      <c r="AQL6" s="130" t="s">
        <v>4052</v>
      </c>
      <c r="AQN6" s="130" t="s">
        <v>4052</v>
      </c>
      <c r="AQO6" s="130" t="s">
        <v>4052</v>
      </c>
      <c r="AQP6" s="130" t="s">
        <v>4052</v>
      </c>
      <c r="AQQ6" s="130" t="s">
        <v>4052</v>
      </c>
      <c r="AQR6" s="130" t="s">
        <v>4052</v>
      </c>
      <c r="AQS6" s="130" t="s">
        <v>4052</v>
      </c>
      <c r="AQU6" s="130" t="s">
        <v>4051</v>
      </c>
      <c r="AQV6" s="130" t="s">
        <v>4051</v>
      </c>
      <c r="AQW6" s="130" t="s">
        <v>4051</v>
      </c>
      <c r="AQY6" s="130" t="s">
        <v>4051</v>
      </c>
      <c r="AQZ6" s="130" t="s">
        <v>4051</v>
      </c>
      <c r="ARA6" s="130" t="s">
        <v>4051</v>
      </c>
      <c r="ARB6" s="130" t="s">
        <v>4051</v>
      </c>
      <c r="ARC6" s="130" t="s">
        <v>4051</v>
      </c>
      <c r="ARD6" s="130" t="s">
        <v>4051</v>
      </c>
      <c r="ARF6" s="130" t="s">
        <v>4050</v>
      </c>
      <c r="ARG6" s="130" t="s">
        <v>4050</v>
      </c>
      <c r="ARH6" s="130" t="s">
        <v>4050</v>
      </c>
      <c r="ARJ6" s="130" t="s">
        <v>4050</v>
      </c>
      <c r="ARK6" s="130" t="s">
        <v>4050</v>
      </c>
      <c r="ARL6" s="130" t="s">
        <v>4050</v>
      </c>
      <c r="ARM6" s="130" t="s">
        <v>4050</v>
      </c>
      <c r="ARN6" s="130" t="s">
        <v>4050</v>
      </c>
      <c r="ARO6" s="130" t="s">
        <v>4050</v>
      </c>
      <c r="ARQ6" s="130" t="s">
        <v>4049</v>
      </c>
      <c r="ARR6" s="130" t="s">
        <v>4049</v>
      </c>
      <c r="ARS6" s="130" t="s">
        <v>4049</v>
      </c>
      <c r="ARU6" s="130" t="s">
        <v>4049</v>
      </c>
      <c r="ARV6" s="130" t="s">
        <v>4049</v>
      </c>
      <c r="ARW6" s="130" t="s">
        <v>4049</v>
      </c>
      <c r="ARX6" s="130" t="s">
        <v>4049</v>
      </c>
      <c r="ARY6" s="130" t="s">
        <v>4049</v>
      </c>
      <c r="ARZ6" s="130" t="s">
        <v>4049</v>
      </c>
      <c r="ASB6" s="130" t="s">
        <v>4048</v>
      </c>
      <c r="ASC6" s="130" t="s">
        <v>4048</v>
      </c>
      <c r="ASD6" s="130" t="s">
        <v>4048</v>
      </c>
      <c r="ASF6" s="130" t="s">
        <v>4048</v>
      </c>
      <c r="ASG6" s="130" t="s">
        <v>4048</v>
      </c>
      <c r="ASH6" s="130" t="s">
        <v>4048</v>
      </c>
      <c r="ASI6" s="130" t="s">
        <v>4048</v>
      </c>
      <c r="ASJ6" s="130" t="s">
        <v>4048</v>
      </c>
      <c r="ASK6" s="130" t="s">
        <v>4048</v>
      </c>
      <c r="ASM6" s="130" t="s">
        <v>4047</v>
      </c>
      <c r="ASN6" s="130" t="s">
        <v>4047</v>
      </c>
      <c r="ASO6" s="130" t="s">
        <v>4047</v>
      </c>
      <c r="ASQ6" s="130" t="s">
        <v>4047</v>
      </c>
      <c r="ASR6" s="130" t="s">
        <v>4047</v>
      </c>
      <c r="ASS6" s="130" t="s">
        <v>4047</v>
      </c>
      <c r="AST6" s="130" t="s">
        <v>4047</v>
      </c>
      <c r="ASU6" s="130" t="s">
        <v>4047</v>
      </c>
      <c r="ASV6" s="130" t="s">
        <v>4047</v>
      </c>
      <c r="ASX6" s="162" t="s">
        <v>4046</v>
      </c>
      <c r="ASY6" s="162" t="s">
        <v>4046</v>
      </c>
      <c r="ASZ6" s="162" t="s">
        <v>4046</v>
      </c>
      <c r="ATA6" s="162" t="s">
        <v>4046</v>
      </c>
      <c r="ATB6" s="162" t="s">
        <v>4046</v>
      </c>
      <c r="ATC6" s="162" t="s">
        <v>4046</v>
      </c>
      <c r="ATD6" s="162" t="s">
        <v>4046</v>
      </c>
      <c r="ATE6" s="162" t="s">
        <v>4046</v>
      </c>
      <c r="ATF6" s="162" t="s">
        <v>4046</v>
      </c>
      <c r="ATG6" s="162" t="s">
        <v>4046</v>
      </c>
      <c r="ATH6" s="162" t="s">
        <v>4045</v>
      </c>
      <c r="ATI6" s="162" t="s">
        <v>4045</v>
      </c>
      <c r="ATJ6" s="162" t="s">
        <v>4045</v>
      </c>
      <c r="ATK6" s="162" t="s">
        <v>4045</v>
      </c>
      <c r="ATL6" s="162" t="s">
        <v>4045</v>
      </c>
      <c r="ATM6" s="162" t="s">
        <v>4045</v>
      </c>
      <c r="ATN6" s="162" t="s">
        <v>4045</v>
      </c>
      <c r="ATO6" s="162" t="s">
        <v>4045</v>
      </c>
      <c r="ATP6" s="162" t="s">
        <v>4045</v>
      </c>
      <c r="ATQ6" s="162" t="s">
        <v>4045</v>
      </c>
      <c r="ATR6" s="162" t="s">
        <v>4045</v>
      </c>
      <c r="ATS6" s="162" t="s">
        <v>4044</v>
      </c>
      <c r="ATT6" s="162" t="s">
        <v>4044</v>
      </c>
      <c r="ATU6" s="162" t="s">
        <v>4044</v>
      </c>
      <c r="ATV6" s="162" t="s">
        <v>4044</v>
      </c>
      <c r="ATW6" s="162" t="s">
        <v>4044</v>
      </c>
      <c r="ATX6" s="162" t="s">
        <v>4044</v>
      </c>
      <c r="ATY6" s="162" t="s">
        <v>4044</v>
      </c>
      <c r="ATZ6" s="162" t="s">
        <v>4044</v>
      </c>
      <c r="AUA6" s="162" t="s">
        <v>4044</v>
      </c>
      <c r="AUB6" s="162" t="s">
        <v>4044</v>
      </c>
      <c r="AUC6" s="162" t="s">
        <v>4044</v>
      </c>
      <c r="AUD6" s="162" t="s">
        <v>4043</v>
      </c>
      <c r="AUE6" s="162" t="s">
        <v>4043</v>
      </c>
      <c r="AUF6" s="162" t="s">
        <v>4043</v>
      </c>
      <c r="AUG6" s="162" t="s">
        <v>4043</v>
      </c>
      <c r="AUH6" s="162" t="s">
        <v>4043</v>
      </c>
      <c r="AUI6" s="162" t="s">
        <v>4043</v>
      </c>
      <c r="AUJ6" s="162" t="s">
        <v>4043</v>
      </c>
      <c r="AUK6" s="162" t="s">
        <v>4043</v>
      </c>
      <c r="AUL6" s="162" t="s">
        <v>4043</v>
      </c>
      <c r="AUM6" s="162" t="s">
        <v>4043</v>
      </c>
      <c r="AUN6" s="162" t="s">
        <v>4043</v>
      </c>
      <c r="AUO6" s="128"/>
      <c r="AUP6" s="128"/>
      <c r="AUQ6" s="162" t="s">
        <v>4042</v>
      </c>
      <c r="AUR6" s="162" t="s">
        <v>4042</v>
      </c>
      <c r="AUS6" s="162" t="s">
        <v>4042</v>
      </c>
      <c r="AUT6" s="162" t="s">
        <v>4042</v>
      </c>
      <c r="AUU6" s="162" t="s">
        <v>4042</v>
      </c>
      <c r="AUV6" s="162" t="s">
        <v>4042</v>
      </c>
      <c r="AUW6" s="162" t="s">
        <v>4042</v>
      </c>
      <c r="AUX6" s="162" t="s">
        <v>4042</v>
      </c>
      <c r="AUY6" s="162" t="s">
        <v>4041</v>
      </c>
      <c r="AUZ6" s="162" t="s">
        <v>4041</v>
      </c>
      <c r="AVA6" s="162" t="s">
        <v>4041</v>
      </c>
      <c r="AVB6" s="162" t="s">
        <v>4041</v>
      </c>
      <c r="AVC6" s="162" t="s">
        <v>4041</v>
      </c>
      <c r="AVD6" s="162" t="s">
        <v>4041</v>
      </c>
      <c r="AVE6" s="162" t="s">
        <v>4041</v>
      </c>
      <c r="AVF6" s="162" t="s">
        <v>4041</v>
      </c>
      <c r="AVG6" s="162" t="s">
        <v>4040</v>
      </c>
      <c r="AVH6" s="128"/>
      <c r="AVO6" s="128" t="s">
        <v>4039</v>
      </c>
      <c r="AVU6" s="128" t="s">
        <v>4038</v>
      </c>
      <c r="AWD6" s="128" t="s">
        <v>4037</v>
      </c>
      <c r="AWJ6" s="128" t="s">
        <v>4036</v>
      </c>
      <c r="AWP6" s="128" t="s">
        <v>4035</v>
      </c>
      <c r="AWV6" s="128" t="s">
        <v>4034</v>
      </c>
    </row>
    <row r="7" spans="1:1297" outlineLevel="1">
      <c r="A7" s="137" t="s">
        <v>172</v>
      </c>
      <c r="B7" s="139" t="s">
        <v>99</v>
      </c>
      <c r="C7" s="139" t="s">
        <v>105</v>
      </c>
      <c r="D7" s="139" t="s">
        <v>100</v>
      </c>
      <c r="E7" s="137">
        <v>9</v>
      </c>
      <c r="F7" s="136" t="s">
        <v>104</v>
      </c>
      <c r="G7" s="136" t="s">
        <v>173</v>
      </c>
      <c r="H7" s="136" t="s">
        <v>13</v>
      </c>
      <c r="I7" s="136" t="s">
        <v>13</v>
      </c>
      <c r="J7" s="136" t="s">
        <v>13</v>
      </c>
      <c r="K7" s="136" t="s">
        <v>13</v>
      </c>
      <c r="L7" s="136" t="s">
        <v>13</v>
      </c>
      <c r="M7" s="136" t="s">
        <v>13</v>
      </c>
      <c r="N7" s="136" t="s">
        <v>13</v>
      </c>
      <c r="P7" s="129">
        <v>23</v>
      </c>
      <c r="Q7" s="129">
        <v>43</v>
      </c>
      <c r="R7" s="129">
        <v>43</v>
      </c>
      <c r="S7" s="129">
        <v>43</v>
      </c>
      <c r="T7" s="129">
        <v>47</v>
      </c>
      <c r="U7" s="128">
        <v>46</v>
      </c>
      <c r="V7" s="128">
        <v>66</v>
      </c>
      <c r="W7" s="128">
        <v>23</v>
      </c>
      <c r="X7" s="128">
        <v>43</v>
      </c>
      <c r="Y7" s="128">
        <v>43</v>
      </c>
      <c r="Z7" s="128">
        <v>44</v>
      </c>
      <c r="AA7" s="128">
        <v>48</v>
      </c>
      <c r="AB7" s="128">
        <v>49</v>
      </c>
      <c r="AC7" s="128">
        <v>62</v>
      </c>
      <c r="AD7" s="128">
        <v>67</v>
      </c>
      <c r="AE7" s="128">
        <v>54</v>
      </c>
      <c r="AF7" s="128">
        <v>50</v>
      </c>
      <c r="AG7" s="128">
        <v>50</v>
      </c>
      <c r="AH7" s="128">
        <v>46</v>
      </c>
      <c r="AI7" s="128">
        <v>76</v>
      </c>
      <c r="AJ7" s="128">
        <v>68</v>
      </c>
      <c r="AK7" s="128">
        <v>56</v>
      </c>
      <c r="AL7" s="128">
        <v>65</v>
      </c>
      <c r="AM7" s="128">
        <v>66</v>
      </c>
      <c r="AN7" s="128">
        <v>46</v>
      </c>
      <c r="AO7" s="128">
        <v>55</v>
      </c>
      <c r="AP7" s="129">
        <v>47</v>
      </c>
      <c r="AQ7" s="129">
        <v>51</v>
      </c>
      <c r="AR7" s="129">
        <v>47</v>
      </c>
      <c r="AS7" s="129">
        <v>49</v>
      </c>
      <c r="AT7" s="129">
        <v>45</v>
      </c>
      <c r="AU7" s="129">
        <v>49</v>
      </c>
      <c r="AV7" s="129">
        <v>51</v>
      </c>
      <c r="AW7" s="129">
        <v>55</v>
      </c>
      <c r="AY7" s="129">
        <v>22</v>
      </c>
      <c r="AZ7" s="129">
        <v>22</v>
      </c>
      <c r="BA7" s="129">
        <v>23</v>
      </c>
      <c r="BB7" s="129">
        <v>23</v>
      </c>
      <c r="BC7" s="129">
        <v>23</v>
      </c>
      <c r="BD7" s="129">
        <v>43</v>
      </c>
      <c r="BE7" s="129">
        <v>43</v>
      </c>
      <c r="BF7" s="129">
        <v>43</v>
      </c>
      <c r="BG7" s="129">
        <v>47</v>
      </c>
      <c r="BH7" s="129">
        <v>47</v>
      </c>
      <c r="BI7" s="129">
        <v>47</v>
      </c>
      <c r="BJ7" s="129">
        <v>47</v>
      </c>
      <c r="BK7" s="129">
        <v>47</v>
      </c>
      <c r="BL7" s="129">
        <v>62</v>
      </c>
      <c r="BM7" s="129">
        <v>62</v>
      </c>
      <c r="BN7" s="129">
        <v>62</v>
      </c>
      <c r="BO7" s="129">
        <v>62</v>
      </c>
      <c r="BP7" s="129">
        <v>62</v>
      </c>
      <c r="BQ7" s="129">
        <v>62</v>
      </c>
      <c r="BR7" s="128">
        <v>51</v>
      </c>
      <c r="BS7" s="128">
        <v>51</v>
      </c>
      <c r="BT7" s="128">
        <v>51</v>
      </c>
      <c r="BU7" s="128">
        <v>51</v>
      </c>
      <c r="BV7" s="128">
        <v>51</v>
      </c>
      <c r="BW7" s="128">
        <v>51</v>
      </c>
      <c r="BY7" s="128">
        <v>45</v>
      </c>
      <c r="BZ7" s="128">
        <v>45</v>
      </c>
      <c r="CA7" s="128">
        <v>46</v>
      </c>
      <c r="CB7" s="128">
        <v>47</v>
      </c>
      <c r="CC7" s="128">
        <v>47</v>
      </c>
      <c r="CD7" s="128">
        <v>47</v>
      </c>
      <c r="CE7" s="128">
        <v>66</v>
      </c>
      <c r="CF7" s="128">
        <v>66</v>
      </c>
      <c r="CG7" s="128">
        <v>66</v>
      </c>
      <c r="CH7" s="128">
        <v>45</v>
      </c>
      <c r="CI7" s="128">
        <v>45</v>
      </c>
      <c r="CJ7" s="128">
        <v>46</v>
      </c>
      <c r="CK7" s="128">
        <v>46</v>
      </c>
      <c r="CL7" s="128">
        <v>47</v>
      </c>
      <c r="CM7" s="128">
        <v>47</v>
      </c>
      <c r="CN7" s="128">
        <v>47</v>
      </c>
      <c r="CO7" s="128">
        <v>66</v>
      </c>
      <c r="CP7" s="128">
        <v>66</v>
      </c>
      <c r="CQ7" s="128">
        <v>66</v>
      </c>
      <c r="CR7" s="128">
        <v>76</v>
      </c>
      <c r="CS7" s="128">
        <v>66</v>
      </c>
      <c r="CT7" s="128">
        <v>47</v>
      </c>
      <c r="CU7" s="128">
        <v>76</v>
      </c>
      <c r="CW7" s="128">
        <v>22</v>
      </c>
      <c r="CX7" s="128">
        <v>22</v>
      </c>
      <c r="CY7" s="128">
        <v>23</v>
      </c>
      <c r="CZ7" s="128">
        <v>43</v>
      </c>
      <c r="DA7" s="128">
        <v>43</v>
      </c>
      <c r="DB7" s="128">
        <v>62</v>
      </c>
      <c r="DC7" s="128">
        <v>62</v>
      </c>
      <c r="DD7" s="128">
        <v>62</v>
      </c>
      <c r="DE7" s="128">
        <v>65</v>
      </c>
      <c r="DF7" s="128">
        <v>65</v>
      </c>
      <c r="DG7" s="128">
        <v>53</v>
      </c>
      <c r="DH7" s="128">
        <v>53</v>
      </c>
      <c r="DI7" s="128">
        <v>54</v>
      </c>
      <c r="DJ7" s="128">
        <v>78</v>
      </c>
      <c r="DK7" s="128">
        <v>78</v>
      </c>
      <c r="DL7" s="128">
        <v>78</v>
      </c>
      <c r="DM7" s="128">
        <v>78</v>
      </c>
      <c r="DN7" s="128">
        <v>53</v>
      </c>
      <c r="DO7" s="128">
        <v>53</v>
      </c>
      <c r="DP7" s="128">
        <v>54</v>
      </c>
      <c r="DQ7" s="128">
        <v>54</v>
      </c>
      <c r="DR7" s="128">
        <v>78</v>
      </c>
      <c r="DS7" s="128">
        <v>78</v>
      </c>
      <c r="DU7" s="128">
        <v>30</v>
      </c>
      <c r="DV7" s="128">
        <v>30</v>
      </c>
      <c r="DW7" s="128">
        <v>57</v>
      </c>
      <c r="DX7" s="128">
        <v>57</v>
      </c>
      <c r="DY7" s="128">
        <v>50</v>
      </c>
      <c r="DZ7" s="128">
        <v>82</v>
      </c>
      <c r="EA7" s="128">
        <v>82</v>
      </c>
      <c r="EB7" s="128">
        <v>68</v>
      </c>
      <c r="EC7" s="128">
        <v>60</v>
      </c>
      <c r="ED7" s="128">
        <v>30</v>
      </c>
      <c r="EE7" s="128">
        <v>57</v>
      </c>
      <c r="EF7" s="128">
        <v>70</v>
      </c>
      <c r="EG7" s="128">
        <v>82</v>
      </c>
      <c r="EI7" s="128">
        <v>16</v>
      </c>
      <c r="EJ7" s="128">
        <v>16</v>
      </c>
      <c r="EK7" s="128">
        <v>18</v>
      </c>
      <c r="EL7" s="128">
        <v>18</v>
      </c>
      <c r="EM7" s="128">
        <v>18</v>
      </c>
      <c r="EN7" s="128">
        <v>18</v>
      </c>
      <c r="EO7" s="128">
        <v>20</v>
      </c>
      <c r="EP7" s="128">
        <v>20</v>
      </c>
      <c r="EQ7" s="128">
        <v>23</v>
      </c>
      <c r="ER7" s="128">
        <v>23</v>
      </c>
      <c r="ES7" s="128">
        <v>24</v>
      </c>
      <c r="ET7" s="128">
        <v>24</v>
      </c>
      <c r="EU7" s="128">
        <v>30</v>
      </c>
      <c r="EV7" s="128">
        <v>30</v>
      </c>
      <c r="EW7" s="128">
        <v>32</v>
      </c>
      <c r="EX7" s="128">
        <v>32</v>
      </c>
      <c r="EZ7" s="128">
        <v>23</v>
      </c>
      <c r="FA7" s="128">
        <v>23</v>
      </c>
      <c r="FB7" s="128">
        <v>25</v>
      </c>
      <c r="FC7" s="128">
        <v>25</v>
      </c>
      <c r="FD7" s="128">
        <v>26</v>
      </c>
      <c r="FE7" s="128">
        <v>26</v>
      </c>
      <c r="FF7" s="128">
        <v>43</v>
      </c>
      <c r="FG7" s="128">
        <v>43</v>
      </c>
      <c r="FH7" s="128">
        <v>45</v>
      </c>
      <c r="FI7" s="128">
        <v>45</v>
      </c>
      <c r="FJ7" s="128">
        <v>46</v>
      </c>
      <c r="FK7" s="128">
        <v>46</v>
      </c>
      <c r="FL7" s="128">
        <v>50</v>
      </c>
      <c r="FM7" s="128">
        <v>50</v>
      </c>
      <c r="FN7" s="128">
        <v>51</v>
      </c>
      <c r="FO7" s="128">
        <v>51</v>
      </c>
      <c r="FP7" s="128">
        <v>76</v>
      </c>
      <c r="FR7" s="128">
        <v>44</v>
      </c>
      <c r="FS7" s="128">
        <v>44</v>
      </c>
      <c r="FT7" s="128">
        <v>63</v>
      </c>
      <c r="FU7" s="128">
        <v>63</v>
      </c>
      <c r="FW7" s="128">
        <v>45</v>
      </c>
      <c r="FX7" s="128">
        <v>45</v>
      </c>
      <c r="FY7" s="128">
        <v>45</v>
      </c>
      <c r="FZ7" s="128">
        <v>45</v>
      </c>
      <c r="GA7" s="128">
        <v>46</v>
      </c>
      <c r="GB7" s="128">
        <v>46</v>
      </c>
      <c r="GC7" s="128">
        <v>46</v>
      </c>
      <c r="GD7" s="128">
        <v>46</v>
      </c>
      <c r="GE7" s="128">
        <v>47</v>
      </c>
      <c r="GF7" s="128">
        <v>47</v>
      </c>
      <c r="GG7" s="128">
        <v>47</v>
      </c>
      <c r="GH7" s="128">
        <v>47</v>
      </c>
      <c r="GI7" s="128">
        <v>47</v>
      </c>
      <c r="GJ7" s="128">
        <v>47</v>
      </c>
      <c r="GL7" s="128">
        <v>70</v>
      </c>
      <c r="GM7" s="128">
        <v>70</v>
      </c>
      <c r="GN7" s="128">
        <v>70</v>
      </c>
      <c r="GO7" s="128">
        <v>70</v>
      </c>
      <c r="GP7" s="128">
        <v>70</v>
      </c>
      <c r="GR7" s="129">
        <v>23</v>
      </c>
      <c r="GS7" s="129">
        <v>24</v>
      </c>
      <c r="GT7" s="129">
        <v>24</v>
      </c>
      <c r="GU7" s="129">
        <v>46</v>
      </c>
      <c r="GV7" s="129">
        <v>46</v>
      </c>
      <c r="GW7" s="129">
        <v>46</v>
      </c>
      <c r="GX7" s="129">
        <v>23</v>
      </c>
      <c r="GY7" s="129">
        <v>24</v>
      </c>
      <c r="GZ7" s="129">
        <v>24</v>
      </c>
      <c r="HA7" s="129">
        <v>46</v>
      </c>
      <c r="HB7" s="129">
        <v>46</v>
      </c>
      <c r="HC7" s="129">
        <v>46</v>
      </c>
      <c r="HD7" s="129">
        <v>45</v>
      </c>
      <c r="HE7" s="129">
        <v>45</v>
      </c>
      <c r="HF7" s="129">
        <v>45</v>
      </c>
      <c r="HH7" s="129">
        <v>28</v>
      </c>
      <c r="HI7" s="129">
        <v>29</v>
      </c>
      <c r="HJ7" s="129">
        <v>29</v>
      </c>
      <c r="HK7" s="129">
        <v>55</v>
      </c>
      <c r="HL7" s="129">
        <v>55</v>
      </c>
      <c r="HM7" s="129">
        <v>55</v>
      </c>
      <c r="HN7" s="129">
        <v>49</v>
      </c>
      <c r="HO7" s="129">
        <v>49</v>
      </c>
      <c r="HP7" s="129">
        <v>49</v>
      </c>
      <c r="HS7" s="129">
        <v>13</v>
      </c>
      <c r="IE7" s="129">
        <v>22</v>
      </c>
      <c r="IF7" s="129">
        <v>23</v>
      </c>
      <c r="IG7" s="129">
        <v>43</v>
      </c>
      <c r="IH7" s="129">
        <v>26</v>
      </c>
      <c r="II7" s="129">
        <v>46</v>
      </c>
      <c r="IJ7" s="129">
        <v>12</v>
      </c>
      <c r="IK7" s="129">
        <v>23</v>
      </c>
      <c r="IL7" s="129">
        <v>21</v>
      </c>
      <c r="IM7" s="129">
        <v>13</v>
      </c>
      <c r="IN7" s="129">
        <v>13</v>
      </c>
      <c r="IO7" s="129">
        <v>38</v>
      </c>
      <c r="IP7" s="129">
        <v>26</v>
      </c>
      <c r="IQ7" s="129">
        <v>28</v>
      </c>
      <c r="IR7" s="129">
        <v>47</v>
      </c>
      <c r="IS7" s="129">
        <v>49</v>
      </c>
      <c r="IU7" s="129">
        <v>12</v>
      </c>
      <c r="JF7" s="129">
        <v>12</v>
      </c>
      <c r="JG7" s="129">
        <v>13</v>
      </c>
      <c r="JH7" s="129">
        <v>13</v>
      </c>
      <c r="JM7" s="129">
        <v>13</v>
      </c>
      <c r="JN7" s="129">
        <v>14</v>
      </c>
      <c r="JO7" s="129">
        <v>14</v>
      </c>
      <c r="JP7" s="129">
        <v>22</v>
      </c>
      <c r="JQ7" s="129">
        <v>23</v>
      </c>
      <c r="JR7" s="129">
        <v>23</v>
      </c>
      <c r="JU7" s="129">
        <v>23</v>
      </c>
      <c r="JV7" s="129">
        <v>24</v>
      </c>
      <c r="JW7" s="129">
        <v>24</v>
      </c>
      <c r="JX7" s="129">
        <v>18</v>
      </c>
      <c r="JY7" s="129">
        <v>18</v>
      </c>
      <c r="JZ7" s="129">
        <v>17</v>
      </c>
      <c r="KA7" s="129">
        <v>32</v>
      </c>
      <c r="KB7" s="129">
        <v>32</v>
      </c>
      <c r="KC7" s="129">
        <v>38</v>
      </c>
      <c r="KE7" s="129">
        <v>12</v>
      </c>
      <c r="KF7" s="129">
        <v>12</v>
      </c>
      <c r="KG7" s="129">
        <v>13</v>
      </c>
      <c r="KJ7" s="129">
        <v>13</v>
      </c>
      <c r="KK7" s="129">
        <v>22</v>
      </c>
      <c r="KL7" s="129">
        <v>22</v>
      </c>
      <c r="KM7" s="129">
        <v>23</v>
      </c>
      <c r="KP7" s="129">
        <v>23</v>
      </c>
      <c r="KR7" s="129">
        <v>9</v>
      </c>
      <c r="KS7" s="129">
        <v>9</v>
      </c>
      <c r="KT7" s="129">
        <v>11</v>
      </c>
      <c r="KU7" s="129">
        <v>11</v>
      </c>
      <c r="KV7" s="129">
        <v>10</v>
      </c>
      <c r="KW7" s="129">
        <v>10</v>
      </c>
      <c r="KX7" s="129">
        <v>12</v>
      </c>
      <c r="KY7" s="129">
        <v>12</v>
      </c>
      <c r="KZ7" s="129">
        <v>12</v>
      </c>
      <c r="LA7" s="129">
        <v>12</v>
      </c>
      <c r="LB7" s="129">
        <v>14</v>
      </c>
      <c r="LC7" s="129">
        <v>14</v>
      </c>
      <c r="LD7" s="129">
        <v>16</v>
      </c>
      <c r="LE7" s="129">
        <v>16</v>
      </c>
      <c r="LF7" s="129">
        <v>18</v>
      </c>
      <c r="LG7" s="129">
        <v>18</v>
      </c>
      <c r="NS7" s="129">
        <v>14</v>
      </c>
      <c r="NT7" s="129">
        <v>15</v>
      </c>
      <c r="NU7" s="129">
        <v>15</v>
      </c>
      <c r="NV7" s="129">
        <v>25</v>
      </c>
      <c r="NW7" s="129">
        <v>26</v>
      </c>
      <c r="NX7" s="129">
        <v>26</v>
      </c>
      <c r="NY7" s="129">
        <v>14</v>
      </c>
      <c r="NZ7" s="129">
        <v>15</v>
      </c>
      <c r="OA7" s="129">
        <v>15</v>
      </c>
      <c r="OB7" s="129">
        <v>25</v>
      </c>
      <c r="OC7" s="129">
        <v>26</v>
      </c>
      <c r="OD7" s="129">
        <v>26</v>
      </c>
      <c r="OF7" s="129">
        <v>15</v>
      </c>
      <c r="OG7" s="129">
        <v>16</v>
      </c>
      <c r="OH7" s="129">
        <v>16</v>
      </c>
      <c r="OI7" s="129">
        <v>28</v>
      </c>
      <c r="OJ7" s="129">
        <v>29</v>
      </c>
      <c r="OK7" s="129">
        <v>29</v>
      </c>
      <c r="OL7" s="129">
        <v>25</v>
      </c>
      <c r="OM7" s="129">
        <v>26</v>
      </c>
      <c r="ON7" s="129">
        <v>26</v>
      </c>
      <c r="OQ7" s="129">
        <v>12</v>
      </c>
      <c r="OT7" s="129">
        <v>12</v>
      </c>
      <c r="OU7" s="129">
        <v>13</v>
      </c>
      <c r="OX7" s="129">
        <v>13</v>
      </c>
      <c r="OY7" s="129">
        <v>13</v>
      </c>
      <c r="PB7" s="129">
        <v>13</v>
      </c>
      <c r="PF7" s="129">
        <v>14</v>
      </c>
      <c r="PI7" s="129">
        <v>23</v>
      </c>
      <c r="PL7" s="129">
        <v>24</v>
      </c>
      <c r="PM7" s="129">
        <v>24</v>
      </c>
      <c r="PQ7" s="129">
        <v>24</v>
      </c>
      <c r="PR7" s="129">
        <v>26</v>
      </c>
      <c r="PS7" s="129">
        <v>15</v>
      </c>
      <c r="PT7" s="129">
        <v>16</v>
      </c>
      <c r="PU7" s="129">
        <v>16</v>
      </c>
      <c r="PV7" s="129">
        <v>28</v>
      </c>
      <c r="PW7" s="129">
        <v>28</v>
      </c>
      <c r="PX7" s="129">
        <v>29</v>
      </c>
      <c r="PY7" s="129">
        <v>29</v>
      </c>
      <c r="PZ7" s="129">
        <v>29</v>
      </c>
      <c r="QA7" s="129">
        <v>29</v>
      </c>
      <c r="QB7" s="129">
        <v>30</v>
      </c>
      <c r="QC7" s="129">
        <v>30</v>
      </c>
      <c r="QD7" s="129">
        <v>15</v>
      </c>
      <c r="QE7" s="129">
        <v>16</v>
      </c>
      <c r="QF7" s="129">
        <v>16</v>
      </c>
      <c r="QG7" s="129">
        <v>17</v>
      </c>
      <c r="QH7" s="129">
        <v>29</v>
      </c>
      <c r="QI7" s="129">
        <v>29</v>
      </c>
      <c r="QJ7" s="129">
        <v>29</v>
      </c>
      <c r="QK7" s="129">
        <v>29</v>
      </c>
      <c r="QL7" s="129">
        <v>30</v>
      </c>
      <c r="QM7" s="129">
        <v>30</v>
      </c>
      <c r="QR7" s="129">
        <v>12</v>
      </c>
      <c r="QV7" s="129">
        <v>23</v>
      </c>
      <c r="QY7" s="129">
        <v>13</v>
      </c>
      <c r="QZ7" s="129">
        <v>25</v>
      </c>
      <c r="RA7" s="129">
        <v>16</v>
      </c>
      <c r="RB7" s="129">
        <v>14</v>
      </c>
      <c r="RC7" s="129">
        <v>26</v>
      </c>
      <c r="RD7" s="129">
        <v>12</v>
      </c>
      <c r="RE7" s="129">
        <v>12</v>
      </c>
      <c r="RF7" s="129">
        <v>23</v>
      </c>
      <c r="RG7" s="129">
        <v>16</v>
      </c>
      <c r="RH7" s="129">
        <v>18</v>
      </c>
      <c r="RI7" s="129">
        <v>25</v>
      </c>
      <c r="RJ7" s="129">
        <v>50</v>
      </c>
      <c r="RK7" s="129">
        <v>14</v>
      </c>
      <c r="RL7" s="129">
        <v>26</v>
      </c>
      <c r="RM7" s="129">
        <v>14</v>
      </c>
      <c r="RN7" s="129">
        <v>14</v>
      </c>
      <c r="RO7" s="129">
        <v>15</v>
      </c>
      <c r="RP7" s="129">
        <v>15</v>
      </c>
      <c r="RQ7" s="134">
        <v>11</v>
      </c>
      <c r="RR7" s="134">
        <v>11</v>
      </c>
      <c r="RS7" s="134">
        <v>10</v>
      </c>
      <c r="RT7" s="134">
        <v>9</v>
      </c>
      <c r="RV7" s="129">
        <v>14</v>
      </c>
      <c r="RW7" s="129">
        <v>23</v>
      </c>
      <c r="RX7" s="129">
        <v>24</v>
      </c>
      <c r="RY7" s="129">
        <v>24</v>
      </c>
      <c r="RZ7" s="129">
        <v>24</v>
      </c>
      <c r="SA7" s="129">
        <v>15</v>
      </c>
      <c r="SB7" s="129">
        <v>16</v>
      </c>
      <c r="SC7" s="129">
        <v>16</v>
      </c>
      <c r="SD7" s="129">
        <v>17</v>
      </c>
      <c r="SE7" s="129">
        <v>17</v>
      </c>
      <c r="SF7" s="129">
        <v>18</v>
      </c>
      <c r="SG7" s="129">
        <v>18</v>
      </c>
      <c r="SH7" s="129">
        <v>19</v>
      </c>
      <c r="SI7" s="129">
        <v>19</v>
      </c>
      <c r="SJ7" s="129">
        <v>19</v>
      </c>
      <c r="SK7" s="129">
        <v>19</v>
      </c>
      <c r="SL7" s="129">
        <v>20</v>
      </c>
      <c r="SM7" s="129">
        <v>20</v>
      </c>
      <c r="SO7" s="129">
        <v>15</v>
      </c>
      <c r="SP7" s="129">
        <v>16</v>
      </c>
      <c r="SQ7" s="129">
        <v>16</v>
      </c>
      <c r="SR7" s="129">
        <v>17</v>
      </c>
      <c r="SS7" s="129">
        <v>29</v>
      </c>
      <c r="ST7" s="129">
        <v>29</v>
      </c>
      <c r="SU7" s="129">
        <v>30</v>
      </c>
      <c r="SV7" s="129">
        <v>30</v>
      </c>
      <c r="SX7" s="129">
        <v>11</v>
      </c>
      <c r="SY7" s="129">
        <v>11</v>
      </c>
      <c r="SZ7" s="129">
        <v>12</v>
      </c>
      <c r="TA7" s="129">
        <v>23</v>
      </c>
      <c r="TB7" s="129">
        <v>18</v>
      </c>
      <c r="TC7" s="129">
        <v>29</v>
      </c>
      <c r="TD7" s="133">
        <v>22</v>
      </c>
      <c r="TE7" s="132">
        <v>22</v>
      </c>
      <c r="TF7" s="132">
        <v>36</v>
      </c>
      <c r="TG7" s="129">
        <v>11</v>
      </c>
      <c r="TH7" s="129">
        <v>14</v>
      </c>
      <c r="TI7" s="129">
        <v>26</v>
      </c>
      <c r="TK7" s="129">
        <v>11</v>
      </c>
      <c r="TL7" s="129">
        <v>11</v>
      </c>
      <c r="TM7" s="129">
        <v>23</v>
      </c>
      <c r="TN7" s="129">
        <v>29</v>
      </c>
      <c r="TO7" s="129">
        <v>13</v>
      </c>
      <c r="TP7" s="129">
        <v>25</v>
      </c>
      <c r="TQ7" s="129">
        <v>27</v>
      </c>
      <c r="TR7" s="129">
        <v>14</v>
      </c>
      <c r="TS7" s="129">
        <v>26</v>
      </c>
      <c r="TT7" s="129">
        <v>14</v>
      </c>
      <c r="TU7" s="129">
        <v>26</v>
      </c>
      <c r="TV7" s="129">
        <v>26</v>
      </c>
      <c r="TW7" s="129">
        <v>26</v>
      </c>
      <c r="TX7" s="132">
        <v>23</v>
      </c>
      <c r="TY7" s="132">
        <v>23</v>
      </c>
      <c r="TZ7" s="132">
        <v>37</v>
      </c>
      <c r="UB7" s="129">
        <v>11</v>
      </c>
      <c r="UC7" s="129">
        <v>11</v>
      </c>
      <c r="UD7" s="129">
        <v>11</v>
      </c>
      <c r="UE7" s="129">
        <v>11</v>
      </c>
      <c r="UF7" s="129">
        <v>12</v>
      </c>
      <c r="UG7" s="129">
        <v>12</v>
      </c>
      <c r="UH7" s="129">
        <v>12</v>
      </c>
      <c r="UI7" s="129">
        <v>12</v>
      </c>
      <c r="UJ7" s="129">
        <v>16</v>
      </c>
      <c r="UK7" s="129">
        <v>23</v>
      </c>
      <c r="UM7" s="129">
        <v>11</v>
      </c>
      <c r="UN7" s="129">
        <v>11</v>
      </c>
      <c r="UO7" s="129">
        <v>12</v>
      </c>
      <c r="US7" s="129">
        <v>12</v>
      </c>
      <c r="UT7" s="129">
        <v>23</v>
      </c>
      <c r="UW7" s="129">
        <v>23</v>
      </c>
      <c r="UX7" s="129">
        <v>12</v>
      </c>
      <c r="UY7" s="129">
        <v>12</v>
      </c>
      <c r="UZ7" s="129">
        <v>23</v>
      </c>
      <c r="VA7" s="129">
        <v>23</v>
      </c>
      <c r="VC7" s="129">
        <v>11</v>
      </c>
      <c r="VD7" s="129">
        <v>11</v>
      </c>
      <c r="VE7" s="129">
        <v>12</v>
      </c>
      <c r="VF7" s="129">
        <v>12</v>
      </c>
      <c r="VG7" s="129">
        <v>16</v>
      </c>
      <c r="VH7" s="129">
        <v>18</v>
      </c>
      <c r="VI7" s="129">
        <v>29</v>
      </c>
      <c r="VJ7" s="129">
        <v>23</v>
      </c>
      <c r="VL7" s="132">
        <v>14</v>
      </c>
      <c r="VM7" s="132">
        <v>14</v>
      </c>
      <c r="VN7" s="132">
        <v>14</v>
      </c>
      <c r="VO7" s="132">
        <v>14</v>
      </c>
      <c r="VR7" s="131">
        <v>11</v>
      </c>
      <c r="VS7" s="131">
        <v>11</v>
      </c>
      <c r="VT7" s="131">
        <v>11</v>
      </c>
      <c r="VU7" s="131">
        <v>11</v>
      </c>
      <c r="VV7" s="131">
        <v>11</v>
      </c>
      <c r="VW7" s="131">
        <v>11</v>
      </c>
      <c r="VX7" s="131">
        <v>11</v>
      </c>
      <c r="VY7" s="131">
        <v>11</v>
      </c>
      <c r="VZ7" s="131">
        <v>11</v>
      </c>
      <c r="WA7" s="131">
        <v>11</v>
      </c>
      <c r="WB7" s="131">
        <v>11</v>
      </c>
      <c r="WC7" s="131">
        <v>11</v>
      </c>
      <c r="WD7" s="131">
        <v>11</v>
      </c>
      <c r="WE7" s="131">
        <v>11</v>
      </c>
      <c r="WF7" s="131">
        <v>11</v>
      </c>
      <c r="WG7" s="131">
        <v>11</v>
      </c>
      <c r="WH7" s="131">
        <v>11</v>
      </c>
      <c r="WI7" s="131">
        <v>11</v>
      </c>
      <c r="WJ7" s="131">
        <v>11</v>
      </c>
      <c r="WK7" s="131">
        <v>11</v>
      </c>
      <c r="WL7" s="131">
        <v>11</v>
      </c>
      <c r="WM7" s="131">
        <v>11</v>
      </c>
      <c r="WN7" s="131">
        <v>8</v>
      </c>
      <c r="WO7" s="131">
        <v>8</v>
      </c>
      <c r="WP7" s="131">
        <v>8</v>
      </c>
      <c r="WQ7" s="131">
        <v>8</v>
      </c>
      <c r="WR7" s="131">
        <v>8</v>
      </c>
      <c r="WS7" s="131">
        <v>8</v>
      </c>
      <c r="WT7" s="131">
        <v>8</v>
      </c>
      <c r="WU7" s="131">
        <v>8</v>
      </c>
      <c r="WV7" s="131">
        <v>8</v>
      </c>
      <c r="WW7" s="131">
        <v>8</v>
      </c>
      <c r="WX7" s="131">
        <v>8</v>
      </c>
      <c r="WY7" s="131">
        <v>11</v>
      </c>
      <c r="WZ7" s="131">
        <v>11</v>
      </c>
      <c r="XA7" s="131">
        <v>11</v>
      </c>
      <c r="XB7" s="131">
        <v>11</v>
      </c>
      <c r="XC7" s="131">
        <v>11</v>
      </c>
      <c r="XD7" s="131">
        <v>11</v>
      </c>
      <c r="XE7" s="131">
        <v>11</v>
      </c>
      <c r="XF7" s="131">
        <v>11</v>
      </c>
      <c r="XG7" s="131">
        <v>11</v>
      </c>
      <c r="XH7" s="131">
        <v>11</v>
      </c>
      <c r="XI7" s="131">
        <v>11</v>
      </c>
      <c r="XJ7" s="131">
        <v>11</v>
      </c>
      <c r="XK7" s="131">
        <v>11</v>
      </c>
      <c r="XL7" s="131">
        <v>11</v>
      </c>
      <c r="XM7" s="131">
        <v>11</v>
      </c>
      <c r="XN7" s="131">
        <v>11</v>
      </c>
      <c r="XO7" s="131">
        <v>11</v>
      </c>
      <c r="XP7" s="131">
        <v>11</v>
      </c>
      <c r="XQ7" s="131">
        <v>11</v>
      </c>
      <c r="XR7" s="131">
        <v>11</v>
      </c>
      <c r="XS7" s="131">
        <v>11</v>
      </c>
      <c r="XT7" s="131">
        <v>11</v>
      </c>
      <c r="XU7" s="131">
        <v>11</v>
      </c>
      <c r="XV7" s="131">
        <v>11</v>
      </c>
      <c r="XW7" s="131">
        <v>11</v>
      </c>
      <c r="XX7" s="131">
        <v>11</v>
      </c>
      <c r="XY7" s="131">
        <v>11</v>
      </c>
      <c r="XZ7" s="131">
        <v>11</v>
      </c>
      <c r="YA7" s="131">
        <v>11</v>
      </c>
      <c r="YB7" s="131">
        <v>11</v>
      </c>
      <c r="YC7" s="131">
        <v>11</v>
      </c>
      <c r="YD7" s="131">
        <v>11</v>
      </c>
      <c r="YE7" s="131">
        <v>11</v>
      </c>
      <c r="YF7" s="131">
        <v>11</v>
      </c>
      <c r="YG7" s="131">
        <v>11</v>
      </c>
      <c r="YH7" s="131">
        <v>11</v>
      </c>
      <c r="YI7" s="131">
        <v>11</v>
      </c>
      <c r="YJ7" s="131">
        <v>11</v>
      </c>
      <c r="YK7" s="131">
        <v>11</v>
      </c>
      <c r="YL7" s="131">
        <v>11</v>
      </c>
      <c r="YM7" s="131">
        <v>11</v>
      </c>
      <c r="YN7" s="131">
        <v>11</v>
      </c>
      <c r="YO7" s="131">
        <v>11</v>
      </c>
      <c r="YP7" s="131">
        <v>11</v>
      </c>
      <c r="YQ7" s="131">
        <v>11</v>
      </c>
      <c r="YR7" s="131">
        <v>11</v>
      </c>
      <c r="YS7" s="131">
        <v>11</v>
      </c>
      <c r="YT7" s="131">
        <v>11</v>
      </c>
      <c r="YU7" s="131">
        <v>11</v>
      </c>
      <c r="YV7" s="131">
        <v>11</v>
      </c>
      <c r="YW7" s="131">
        <v>11</v>
      </c>
      <c r="YX7" s="131">
        <v>11</v>
      </c>
      <c r="YY7" s="131">
        <v>11</v>
      </c>
      <c r="YZ7" s="131">
        <v>11</v>
      </c>
      <c r="ZA7" s="131">
        <v>11</v>
      </c>
      <c r="ZB7" s="131">
        <v>11</v>
      </c>
      <c r="ZC7" s="131">
        <v>11</v>
      </c>
      <c r="ZD7" s="131">
        <v>11</v>
      </c>
      <c r="ZE7" s="131">
        <v>11</v>
      </c>
      <c r="ZF7" s="131">
        <v>11</v>
      </c>
      <c r="ZG7" s="131">
        <v>11</v>
      </c>
      <c r="ZH7" s="131">
        <v>11</v>
      </c>
      <c r="ZI7" s="131">
        <v>11</v>
      </c>
      <c r="ZJ7" s="131">
        <v>11</v>
      </c>
      <c r="ZK7" s="131">
        <v>11</v>
      </c>
      <c r="ZL7" s="131">
        <v>11</v>
      </c>
      <c r="ZM7" s="131">
        <v>11</v>
      </c>
      <c r="ZN7" s="131">
        <v>11</v>
      </c>
      <c r="ZO7" s="131">
        <v>11</v>
      </c>
      <c r="ZP7" s="131">
        <v>11</v>
      </c>
      <c r="ZQ7" s="131">
        <v>11</v>
      </c>
      <c r="ZR7" s="131">
        <v>11</v>
      </c>
      <c r="ZS7" s="131">
        <v>11</v>
      </c>
      <c r="ZT7" s="131">
        <v>11</v>
      </c>
      <c r="ZU7" s="131">
        <v>11</v>
      </c>
      <c r="ZV7" s="131">
        <v>11</v>
      </c>
      <c r="ZW7" s="131">
        <v>11</v>
      </c>
      <c r="ZX7" s="131">
        <v>11</v>
      </c>
      <c r="ZY7" s="131">
        <v>11</v>
      </c>
      <c r="ZZ7" s="131">
        <v>11</v>
      </c>
      <c r="AAA7" s="131">
        <v>11</v>
      </c>
      <c r="AAB7" s="131">
        <v>11</v>
      </c>
      <c r="AAC7" s="131">
        <v>11</v>
      </c>
      <c r="AAD7" s="131">
        <v>11</v>
      </c>
      <c r="AAE7" s="131">
        <v>11</v>
      </c>
      <c r="AAF7" s="131">
        <v>11</v>
      </c>
      <c r="AAG7" s="131">
        <v>11</v>
      </c>
      <c r="AAH7" s="131">
        <v>11</v>
      </c>
      <c r="AAJ7" s="131">
        <v>11</v>
      </c>
      <c r="AAK7" s="131">
        <v>11</v>
      </c>
      <c r="AAL7" s="131">
        <v>11</v>
      </c>
      <c r="AAM7" s="131">
        <v>11</v>
      </c>
      <c r="AAN7" s="131">
        <v>11</v>
      </c>
      <c r="AAO7" s="131">
        <v>11</v>
      </c>
      <c r="AAP7" s="131">
        <v>11</v>
      </c>
      <c r="AAQ7" s="131">
        <v>11</v>
      </c>
      <c r="AAR7" s="131">
        <v>11</v>
      </c>
      <c r="AAS7" s="131">
        <v>11</v>
      </c>
      <c r="AAT7" s="131">
        <v>11</v>
      </c>
      <c r="AAU7" s="131">
        <v>11</v>
      </c>
      <c r="AAV7" s="131">
        <v>11</v>
      </c>
      <c r="AAW7" s="131">
        <v>11</v>
      </c>
      <c r="AAX7" s="131">
        <v>11</v>
      </c>
      <c r="AAY7" s="131">
        <v>11</v>
      </c>
      <c r="AAZ7" s="131">
        <v>11</v>
      </c>
      <c r="ABA7" s="131">
        <v>11</v>
      </c>
      <c r="ABB7" s="131">
        <v>11</v>
      </c>
      <c r="ABC7" s="131">
        <v>11</v>
      </c>
      <c r="ABD7" s="131">
        <v>11</v>
      </c>
      <c r="ABE7" s="131">
        <v>11</v>
      </c>
      <c r="ABF7" s="131">
        <v>11</v>
      </c>
      <c r="ABG7" s="131">
        <v>11</v>
      </c>
      <c r="ABH7" s="131">
        <v>11</v>
      </c>
      <c r="ABI7" s="131">
        <v>11</v>
      </c>
      <c r="ABJ7" s="131">
        <v>11</v>
      </c>
      <c r="ABK7" s="131">
        <v>11</v>
      </c>
      <c r="ABL7" s="131">
        <v>11</v>
      </c>
      <c r="ABM7" s="131">
        <v>11</v>
      </c>
      <c r="ABN7" s="131">
        <v>11</v>
      </c>
      <c r="ABO7" s="131">
        <v>11</v>
      </c>
      <c r="ABP7" s="131">
        <v>11</v>
      </c>
      <c r="ABQ7" s="131">
        <v>11</v>
      </c>
      <c r="ABR7" s="131">
        <v>11</v>
      </c>
      <c r="ABS7" s="131">
        <v>11</v>
      </c>
      <c r="ABT7" s="131">
        <v>11</v>
      </c>
      <c r="ABU7" s="131">
        <v>11</v>
      </c>
      <c r="ABV7" s="131">
        <v>11</v>
      </c>
      <c r="ABW7" s="131">
        <v>11</v>
      </c>
      <c r="ABX7" s="131">
        <v>11</v>
      </c>
      <c r="ABY7" s="131">
        <v>11</v>
      </c>
      <c r="ABZ7" s="131">
        <v>11</v>
      </c>
      <c r="ACA7" s="131">
        <v>11</v>
      </c>
      <c r="ACB7" s="131">
        <v>11</v>
      </c>
      <c r="ACC7" s="131">
        <v>11</v>
      </c>
      <c r="ACD7" s="131">
        <v>11</v>
      </c>
      <c r="ACE7" s="131">
        <v>11</v>
      </c>
      <c r="ACF7" s="131">
        <v>11</v>
      </c>
      <c r="ACG7" s="131">
        <v>11</v>
      </c>
      <c r="ACH7" s="131">
        <v>11</v>
      </c>
      <c r="ACI7" s="131">
        <v>11</v>
      </c>
      <c r="ACJ7" s="131">
        <v>11</v>
      </c>
      <c r="ACK7" s="131">
        <v>11</v>
      </c>
      <c r="ACL7" s="131">
        <v>11</v>
      </c>
      <c r="ACM7" s="131">
        <v>11</v>
      </c>
      <c r="ACN7" s="131">
        <v>11</v>
      </c>
      <c r="ACO7" s="131">
        <v>11</v>
      </c>
      <c r="ACP7" s="131">
        <v>11</v>
      </c>
      <c r="ACQ7" s="131">
        <v>11</v>
      </c>
      <c r="ACR7" s="131">
        <v>11</v>
      </c>
      <c r="ACS7" s="131">
        <v>11</v>
      </c>
      <c r="ACT7" s="131">
        <v>11</v>
      </c>
      <c r="ACU7" s="131">
        <v>11</v>
      </c>
      <c r="ACV7" s="131">
        <v>11</v>
      </c>
      <c r="ACW7" s="131">
        <v>11</v>
      </c>
      <c r="ACX7" s="131">
        <v>11</v>
      </c>
      <c r="ACY7" s="131">
        <v>11</v>
      </c>
      <c r="ACZ7" s="131">
        <v>11</v>
      </c>
      <c r="ADA7" s="131">
        <v>11</v>
      </c>
      <c r="ADB7" s="131">
        <v>11</v>
      </c>
      <c r="ADC7" s="131">
        <v>11</v>
      </c>
      <c r="ADD7" s="131">
        <v>11</v>
      </c>
      <c r="ADE7" s="131">
        <v>11</v>
      </c>
      <c r="ADF7" s="131">
        <v>11</v>
      </c>
      <c r="ADG7" s="131">
        <v>11</v>
      </c>
      <c r="ADH7" s="131">
        <v>11</v>
      </c>
      <c r="ADI7" s="131">
        <v>11</v>
      </c>
      <c r="ADJ7" s="131">
        <v>11</v>
      </c>
      <c r="ADK7" s="131">
        <v>11</v>
      </c>
      <c r="ADL7" s="131">
        <v>11</v>
      </c>
      <c r="ADM7" s="131">
        <v>11</v>
      </c>
      <c r="ADN7" s="131">
        <v>11</v>
      </c>
      <c r="ADO7" s="131">
        <v>11</v>
      </c>
      <c r="ADP7" s="131">
        <v>11</v>
      </c>
      <c r="ADQ7" s="131">
        <v>11</v>
      </c>
      <c r="ADR7" s="131">
        <v>11</v>
      </c>
      <c r="ADS7" s="131">
        <v>11</v>
      </c>
      <c r="ADT7" s="131">
        <v>11</v>
      </c>
      <c r="ADU7" s="131">
        <v>11</v>
      </c>
      <c r="ADV7" s="131">
        <v>11</v>
      </c>
      <c r="ADW7" s="131">
        <v>11</v>
      </c>
      <c r="ADX7" s="131">
        <v>11</v>
      </c>
      <c r="ADY7" s="131">
        <v>11</v>
      </c>
      <c r="ADZ7" s="131">
        <v>11</v>
      </c>
      <c r="AEA7" s="131">
        <v>11</v>
      </c>
      <c r="AEB7" s="131">
        <v>11</v>
      </c>
      <c r="AEC7" s="131">
        <v>11</v>
      </c>
      <c r="AED7" s="131">
        <v>11</v>
      </c>
      <c r="AEE7" s="131">
        <v>11</v>
      </c>
      <c r="AEF7" s="131">
        <v>11</v>
      </c>
      <c r="AEG7" s="131">
        <v>11</v>
      </c>
      <c r="AEH7" s="131">
        <v>11</v>
      </c>
      <c r="AEI7" s="131">
        <v>11</v>
      </c>
      <c r="AEJ7" s="131">
        <v>11</v>
      </c>
      <c r="AEK7" s="131">
        <v>11</v>
      </c>
      <c r="AEL7" s="131">
        <v>11</v>
      </c>
      <c r="AEM7" s="131">
        <v>11</v>
      </c>
      <c r="AEN7" s="131">
        <v>11</v>
      </c>
      <c r="AEO7" s="131">
        <v>11</v>
      </c>
      <c r="AEP7" s="131">
        <v>11</v>
      </c>
      <c r="AEQ7" s="131">
        <v>11</v>
      </c>
      <c r="AER7" s="131">
        <v>11</v>
      </c>
      <c r="AES7" s="131">
        <v>11</v>
      </c>
      <c r="AET7" s="131">
        <v>11</v>
      </c>
      <c r="AEU7" s="131">
        <v>11</v>
      </c>
      <c r="AEV7" s="131">
        <v>11</v>
      </c>
      <c r="AEW7" s="131">
        <v>11</v>
      </c>
      <c r="AEX7" s="131">
        <v>11</v>
      </c>
      <c r="AEY7" s="131">
        <v>11</v>
      </c>
      <c r="AEZ7" s="131">
        <v>11</v>
      </c>
      <c r="AFA7" s="131">
        <v>11</v>
      </c>
      <c r="AFB7" s="131">
        <v>11</v>
      </c>
      <c r="AFC7" s="131">
        <v>11</v>
      </c>
      <c r="AFD7" s="131">
        <v>11</v>
      </c>
      <c r="AFE7" s="131">
        <v>11</v>
      </c>
      <c r="AFF7" s="131">
        <v>11</v>
      </c>
      <c r="AFG7" s="131">
        <v>11</v>
      </c>
      <c r="AFH7" s="131">
        <v>11</v>
      </c>
      <c r="AFI7" s="131">
        <v>11</v>
      </c>
      <c r="AFJ7" s="131">
        <v>11</v>
      </c>
      <c r="AFK7" s="131">
        <v>11</v>
      </c>
      <c r="AFL7" s="129">
        <v>27</v>
      </c>
      <c r="AFO7" s="129">
        <v>10</v>
      </c>
      <c r="AFP7" s="129">
        <v>10</v>
      </c>
      <c r="AFQ7" s="129">
        <v>10</v>
      </c>
      <c r="AFR7" s="129">
        <v>10</v>
      </c>
      <c r="AFS7" s="129">
        <v>10</v>
      </c>
      <c r="AFT7" s="129">
        <v>10</v>
      </c>
      <c r="AFU7" s="129">
        <v>10</v>
      </c>
      <c r="AFV7" s="129">
        <v>10</v>
      </c>
      <c r="AFW7" s="129">
        <v>10</v>
      </c>
      <c r="AFY7" s="129">
        <v>10</v>
      </c>
      <c r="AFZ7" s="129">
        <v>10</v>
      </c>
      <c r="AGA7" s="129">
        <v>10</v>
      </c>
      <c r="AGB7" s="129">
        <v>10</v>
      </c>
      <c r="AGC7" s="129">
        <v>10</v>
      </c>
      <c r="AGD7" s="129">
        <v>10</v>
      </c>
      <c r="AGE7" s="129">
        <v>10</v>
      </c>
      <c r="AGF7" s="129">
        <v>10</v>
      </c>
      <c r="AGG7" s="129">
        <v>10</v>
      </c>
      <c r="AGI7" s="129">
        <v>10</v>
      </c>
      <c r="AGJ7" s="129">
        <v>10</v>
      </c>
      <c r="AGK7" s="129">
        <v>10</v>
      </c>
      <c r="AGL7" s="129">
        <v>10</v>
      </c>
      <c r="AGM7" s="129">
        <v>10</v>
      </c>
      <c r="AGN7" s="129">
        <v>10</v>
      </c>
      <c r="AGO7" s="129">
        <v>10</v>
      </c>
      <c r="AGP7" s="129">
        <v>10</v>
      </c>
      <c r="AGQ7" s="129">
        <v>10</v>
      </c>
      <c r="AGR7" s="129">
        <v>9</v>
      </c>
      <c r="AGS7" s="129">
        <v>9</v>
      </c>
      <c r="AGT7" s="129">
        <v>9</v>
      </c>
      <c r="AGU7" s="129">
        <v>9</v>
      </c>
      <c r="AGV7" s="129">
        <v>9</v>
      </c>
      <c r="AGW7" s="129">
        <v>9</v>
      </c>
      <c r="AGX7" s="129">
        <v>9</v>
      </c>
      <c r="AGY7" s="129">
        <v>9</v>
      </c>
      <c r="AGZ7" s="129">
        <v>9</v>
      </c>
      <c r="AHA7" s="129">
        <v>9</v>
      </c>
      <c r="AHB7" s="129">
        <v>9</v>
      </c>
      <c r="AHC7" s="129">
        <v>9</v>
      </c>
      <c r="AHD7" s="129">
        <v>9</v>
      </c>
      <c r="AHE7" s="129">
        <v>9</v>
      </c>
      <c r="AHF7" s="129">
        <v>9</v>
      </c>
      <c r="AHG7" s="129">
        <v>9</v>
      </c>
      <c r="AHH7" s="129">
        <v>9</v>
      </c>
      <c r="AHI7" s="129">
        <v>9</v>
      </c>
      <c r="AHJ7" s="129">
        <v>9</v>
      </c>
      <c r="AHK7" s="129">
        <v>9</v>
      </c>
      <c r="AHL7" s="129">
        <v>9</v>
      </c>
      <c r="AHM7" s="129">
        <v>9</v>
      </c>
      <c r="AHN7" s="129">
        <v>9</v>
      </c>
      <c r="AHO7" s="129">
        <v>9</v>
      </c>
      <c r="AHP7" s="129">
        <v>9</v>
      </c>
      <c r="AHQ7" s="129">
        <v>9</v>
      </c>
      <c r="AHR7" s="129">
        <v>9</v>
      </c>
      <c r="AHS7" s="129">
        <v>9</v>
      </c>
      <c r="AHT7" s="129">
        <v>9</v>
      </c>
      <c r="AHU7" s="129">
        <v>9</v>
      </c>
      <c r="AHV7" s="129">
        <v>9</v>
      </c>
      <c r="AHW7" s="129">
        <v>9</v>
      </c>
      <c r="AHX7" s="129">
        <v>9</v>
      </c>
      <c r="AHY7" s="129">
        <v>9</v>
      </c>
      <c r="AHZ7" s="129">
        <v>9</v>
      </c>
      <c r="AIA7" s="129">
        <v>9</v>
      </c>
      <c r="AIB7" s="129">
        <v>9</v>
      </c>
      <c r="AIC7" s="129">
        <v>9</v>
      </c>
      <c r="AID7" s="129">
        <v>9</v>
      </c>
      <c r="AIE7" s="129">
        <v>9</v>
      </c>
      <c r="AIF7" s="129">
        <v>9</v>
      </c>
      <c r="AIG7" s="129">
        <v>9</v>
      </c>
      <c r="AIH7" s="129">
        <v>9</v>
      </c>
      <c r="AII7" s="129">
        <v>9</v>
      </c>
      <c r="AIJ7" s="129">
        <v>9</v>
      </c>
      <c r="AIK7" s="129">
        <v>9</v>
      </c>
      <c r="AIL7" s="129">
        <v>9</v>
      </c>
      <c r="AIM7" s="129">
        <v>9</v>
      </c>
      <c r="AIN7" s="129">
        <v>9</v>
      </c>
      <c r="AIO7" s="129">
        <v>9</v>
      </c>
      <c r="AIP7" s="129">
        <v>9</v>
      </c>
      <c r="AIQ7" s="129">
        <v>9</v>
      </c>
      <c r="AIR7" s="129">
        <v>9</v>
      </c>
      <c r="AIS7" s="129">
        <v>9</v>
      </c>
      <c r="AIT7" s="129">
        <v>9</v>
      </c>
      <c r="AIU7" s="129">
        <v>9</v>
      </c>
      <c r="AIV7" s="129">
        <v>9</v>
      </c>
      <c r="AIW7" s="129">
        <v>9</v>
      </c>
      <c r="AIX7" s="129">
        <v>9</v>
      </c>
      <c r="AIY7" s="129">
        <v>9</v>
      </c>
      <c r="AIZ7" s="129">
        <v>9</v>
      </c>
      <c r="AJA7" s="129">
        <v>9</v>
      </c>
      <c r="AJB7" s="129">
        <v>9</v>
      </c>
      <c r="AJC7" s="129">
        <v>9</v>
      </c>
      <c r="AJD7" s="129">
        <v>9</v>
      </c>
      <c r="AJE7" s="129">
        <v>9</v>
      </c>
      <c r="AJF7" s="129">
        <v>9</v>
      </c>
      <c r="AJG7" s="129">
        <v>9</v>
      </c>
      <c r="AJH7" s="129">
        <v>9</v>
      </c>
      <c r="AJI7" s="129">
        <v>9</v>
      </c>
      <c r="AJJ7" s="129">
        <v>9</v>
      </c>
      <c r="AJK7" s="129">
        <v>9</v>
      </c>
      <c r="AJL7" s="129">
        <v>9</v>
      </c>
      <c r="AJM7" s="129">
        <v>9</v>
      </c>
      <c r="AJN7" s="129">
        <v>9</v>
      </c>
      <c r="AJO7" s="129">
        <v>9</v>
      </c>
      <c r="AJP7" s="129">
        <v>9</v>
      </c>
      <c r="AJQ7" s="129">
        <v>9</v>
      </c>
      <c r="AJR7" s="129">
        <v>9</v>
      </c>
      <c r="AJS7" s="129">
        <v>9</v>
      </c>
      <c r="AJT7" s="129">
        <v>9</v>
      </c>
      <c r="AJU7" s="129">
        <v>9</v>
      </c>
      <c r="AJV7" s="129">
        <v>9</v>
      </c>
      <c r="AJW7" s="129">
        <v>9</v>
      </c>
      <c r="AJX7" s="129">
        <v>9</v>
      </c>
      <c r="AJY7" s="129">
        <v>9</v>
      </c>
      <c r="AJZ7" s="129">
        <v>9</v>
      </c>
      <c r="AKA7" s="129">
        <v>9</v>
      </c>
      <c r="AKB7" s="129">
        <v>9</v>
      </c>
      <c r="AKC7" s="129">
        <v>9</v>
      </c>
      <c r="AKD7" s="129">
        <v>9</v>
      </c>
      <c r="AKE7" s="129">
        <v>9</v>
      </c>
      <c r="AKF7" s="129">
        <v>9</v>
      </c>
      <c r="AKG7" s="129">
        <v>9</v>
      </c>
      <c r="AKH7" s="129">
        <v>9</v>
      </c>
      <c r="AKI7" s="129">
        <v>9</v>
      </c>
      <c r="AKJ7" s="129">
        <v>9</v>
      </c>
      <c r="AKK7" s="129">
        <v>9</v>
      </c>
      <c r="AKL7" s="129">
        <v>9</v>
      </c>
      <c r="AKM7" s="129">
        <v>9</v>
      </c>
      <c r="AKN7" s="129">
        <v>9</v>
      </c>
      <c r="AKO7" s="129">
        <v>9</v>
      </c>
      <c r="AKP7" s="129">
        <v>9</v>
      </c>
      <c r="AKQ7" s="129">
        <v>9</v>
      </c>
      <c r="AKR7" s="129">
        <v>9</v>
      </c>
      <c r="AKS7" s="129">
        <v>9</v>
      </c>
      <c r="AKT7" s="129">
        <v>9</v>
      </c>
      <c r="AKU7" s="129">
        <v>9</v>
      </c>
      <c r="AKV7" s="129">
        <v>9</v>
      </c>
      <c r="AKW7" s="129">
        <v>9</v>
      </c>
      <c r="AKX7" s="129">
        <v>9</v>
      </c>
      <c r="AKY7" s="129">
        <v>9</v>
      </c>
      <c r="AKZ7" s="129">
        <v>9</v>
      </c>
      <c r="ALA7" s="129">
        <v>9</v>
      </c>
      <c r="ALB7" s="129">
        <v>9</v>
      </c>
      <c r="ALC7" s="129">
        <v>9</v>
      </c>
      <c r="ALD7" s="129">
        <v>9</v>
      </c>
      <c r="ALE7" s="129">
        <v>9</v>
      </c>
      <c r="ALF7" s="129">
        <v>9</v>
      </c>
      <c r="ALG7" s="129">
        <v>9</v>
      </c>
      <c r="ALH7" s="129">
        <v>9</v>
      </c>
      <c r="ALI7" s="129">
        <v>9</v>
      </c>
      <c r="ALJ7" s="129">
        <v>9</v>
      </c>
      <c r="ALK7" s="129">
        <v>9</v>
      </c>
      <c r="ALL7" s="129">
        <v>9</v>
      </c>
      <c r="ALM7" s="129">
        <v>9</v>
      </c>
      <c r="ALN7" s="129">
        <v>9</v>
      </c>
      <c r="ALO7" s="129">
        <v>9</v>
      </c>
      <c r="ALP7" s="129">
        <v>9</v>
      </c>
      <c r="ALQ7" s="129">
        <v>9</v>
      </c>
      <c r="ALR7" s="129">
        <v>9</v>
      </c>
      <c r="ALS7" s="129">
        <v>9</v>
      </c>
      <c r="ALT7" s="129">
        <v>9</v>
      </c>
      <c r="ALU7" s="129">
        <v>9</v>
      </c>
      <c r="ALV7" s="129">
        <v>9</v>
      </c>
      <c r="ALW7" s="129">
        <v>9</v>
      </c>
      <c r="ALX7" s="129">
        <v>9</v>
      </c>
      <c r="ALY7" s="129">
        <v>9</v>
      </c>
      <c r="ALZ7" s="129">
        <v>9</v>
      </c>
      <c r="AMA7" s="129">
        <v>9</v>
      </c>
      <c r="AMB7" s="129">
        <v>9</v>
      </c>
      <c r="AMC7" s="129">
        <v>9</v>
      </c>
      <c r="AMD7" s="129">
        <v>9</v>
      </c>
      <c r="AME7" s="129">
        <v>9</v>
      </c>
      <c r="AMF7" s="129">
        <v>9</v>
      </c>
      <c r="AMG7" s="129">
        <v>9</v>
      </c>
      <c r="AMH7" s="129">
        <v>9</v>
      </c>
      <c r="AMI7" s="129">
        <v>9</v>
      </c>
      <c r="AMJ7" s="129">
        <v>9</v>
      </c>
      <c r="AMK7" s="129">
        <v>9</v>
      </c>
      <c r="AML7" s="129">
        <v>9</v>
      </c>
      <c r="AMM7" s="129">
        <v>9</v>
      </c>
      <c r="AMN7" s="129">
        <v>9</v>
      </c>
      <c r="AMO7" s="129">
        <v>9</v>
      </c>
      <c r="AMP7" s="129">
        <v>9</v>
      </c>
      <c r="AMQ7" s="129">
        <v>9</v>
      </c>
      <c r="AMR7" s="129">
        <v>9</v>
      </c>
      <c r="AMS7" s="129">
        <v>9</v>
      </c>
      <c r="AMT7" s="129">
        <v>9</v>
      </c>
      <c r="AMU7" s="129">
        <v>9</v>
      </c>
      <c r="AMV7" s="129">
        <v>9</v>
      </c>
      <c r="AMW7" s="129">
        <v>9</v>
      </c>
      <c r="AMX7" s="129">
        <v>9</v>
      </c>
      <c r="AMY7" s="129">
        <v>9</v>
      </c>
      <c r="AMZ7" s="129">
        <v>9</v>
      </c>
      <c r="ANA7" s="129">
        <v>9</v>
      </c>
      <c r="ANB7" s="129">
        <v>9</v>
      </c>
      <c r="ANC7" s="129">
        <v>9</v>
      </c>
      <c r="AND7" s="129">
        <v>9</v>
      </c>
      <c r="ANE7" s="129">
        <v>9</v>
      </c>
      <c r="ANF7" s="129">
        <v>9</v>
      </c>
      <c r="ANG7" s="129">
        <v>9</v>
      </c>
      <c r="ANH7" s="129">
        <v>9</v>
      </c>
      <c r="ANI7" s="129">
        <v>9</v>
      </c>
      <c r="ANJ7" s="129">
        <v>9</v>
      </c>
      <c r="ANK7" s="129">
        <v>9</v>
      </c>
      <c r="ANL7" s="129">
        <v>9</v>
      </c>
      <c r="ANM7" s="129">
        <v>9</v>
      </c>
      <c r="ANN7" s="129">
        <v>9</v>
      </c>
      <c r="ANO7" s="129">
        <v>9</v>
      </c>
      <c r="ANP7" s="129">
        <v>9</v>
      </c>
      <c r="ANQ7" s="129">
        <v>9</v>
      </c>
      <c r="ANR7" s="129">
        <v>9</v>
      </c>
      <c r="ANS7" s="129">
        <v>9</v>
      </c>
      <c r="ANT7" s="129">
        <v>9</v>
      </c>
      <c r="ANU7" s="129">
        <v>9</v>
      </c>
      <c r="ANV7" s="129">
        <v>9</v>
      </c>
      <c r="ANW7" s="129">
        <v>9</v>
      </c>
      <c r="ANX7" s="129">
        <v>9</v>
      </c>
      <c r="ANY7" s="129">
        <v>9</v>
      </c>
      <c r="ANZ7" s="129">
        <v>9</v>
      </c>
      <c r="AOA7" s="129">
        <v>9</v>
      </c>
      <c r="AOB7" s="129">
        <v>9</v>
      </c>
      <c r="AOC7" s="129">
        <v>9</v>
      </c>
      <c r="AOD7" s="129">
        <v>9</v>
      </c>
      <c r="AOE7" s="129">
        <v>9</v>
      </c>
      <c r="AOF7" s="129">
        <v>9</v>
      </c>
      <c r="AOG7" s="129">
        <v>9</v>
      </c>
      <c r="AOH7" s="129">
        <v>9</v>
      </c>
      <c r="AOI7" s="129">
        <v>9</v>
      </c>
      <c r="AOJ7" s="129">
        <v>9</v>
      </c>
      <c r="AOK7" s="129">
        <v>9</v>
      </c>
      <c r="AOL7" s="129">
        <v>9</v>
      </c>
      <c r="AOM7" s="129">
        <v>9</v>
      </c>
      <c r="AON7" s="129">
        <v>9</v>
      </c>
      <c r="AOO7" s="129">
        <v>9</v>
      </c>
      <c r="AOP7" s="129">
        <v>9</v>
      </c>
      <c r="AOQ7" s="129">
        <v>9</v>
      </c>
      <c r="AOR7" s="129">
        <v>9</v>
      </c>
      <c r="AOS7" s="129">
        <v>9</v>
      </c>
      <c r="AOT7" s="129">
        <v>9</v>
      </c>
      <c r="AOU7" s="129">
        <v>9</v>
      </c>
      <c r="AOV7" s="129">
        <v>9</v>
      </c>
      <c r="AOW7" s="129">
        <v>9</v>
      </c>
      <c r="AOX7" s="129">
        <v>9</v>
      </c>
      <c r="AOY7" s="129">
        <v>9</v>
      </c>
      <c r="AOZ7" s="129">
        <v>9</v>
      </c>
      <c r="APA7" s="129">
        <v>9</v>
      </c>
      <c r="APB7" s="129">
        <v>9</v>
      </c>
      <c r="APC7" s="129">
        <v>9</v>
      </c>
      <c r="APD7" s="129">
        <v>9</v>
      </c>
      <c r="APE7" s="129">
        <v>9</v>
      </c>
      <c r="APF7" s="129">
        <v>9</v>
      </c>
      <c r="APG7" s="129">
        <v>9</v>
      </c>
      <c r="APH7" s="129">
        <v>9</v>
      </c>
      <c r="API7" s="129">
        <v>9</v>
      </c>
      <c r="APJ7" s="129">
        <v>9</v>
      </c>
      <c r="APK7" s="129">
        <v>9</v>
      </c>
      <c r="APL7" s="129">
        <v>9</v>
      </c>
      <c r="APM7" s="129">
        <v>9</v>
      </c>
      <c r="APN7" s="129">
        <v>9</v>
      </c>
      <c r="APO7" s="130" t="s">
        <v>4033</v>
      </c>
      <c r="APP7" s="130" t="s">
        <v>4033</v>
      </c>
      <c r="APQ7" s="130" t="s">
        <v>4033</v>
      </c>
      <c r="APR7" s="130" t="s">
        <v>4033</v>
      </c>
      <c r="APT7" s="130" t="s">
        <v>4033</v>
      </c>
      <c r="APU7" s="130" t="s">
        <v>4033</v>
      </c>
      <c r="APV7" s="130" t="s">
        <v>4033</v>
      </c>
      <c r="APW7" s="130" t="s">
        <v>4033</v>
      </c>
      <c r="APY7" s="130" t="s">
        <v>4032</v>
      </c>
      <c r="APZ7" s="130" t="s">
        <v>4032</v>
      </c>
      <c r="AQA7" s="130" t="s">
        <v>4032</v>
      </c>
      <c r="AQC7" s="130" t="s">
        <v>4032</v>
      </c>
      <c r="AQD7" s="130" t="s">
        <v>4032</v>
      </c>
      <c r="AQE7" s="130" t="s">
        <v>4032</v>
      </c>
      <c r="AQF7" s="130" t="s">
        <v>4032</v>
      </c>
      <c r="AQG7" s="130" t="s">
        <v>4032</v>
      </c>
      <c r="AQH7" s="130" t="s">
        <v>4032</v>
      </c>
      <c r="AQJ7" s="130" t="s">
        <v>4032</v>
      </c>
      <c r="AQK7" s="130" t="s">
        <v>4032</v>
      </c>
      <c r="AQL7" s="130" t="s">
        <v>4032</v>
      </c>
      <c r="AQN7" s="130" t="s">
        <v>4032</v>
      </c>
      <c r="AQO7" s="130" t="s">
        <v>4032</v>
      </c>
      <c r="AQP7" s="130" t="s">
        <v>4032</v>
      </c>
      <c r="AQQ7" s="130" t="s">
        <v>4032</v>
      </c>
      <c r="AQR7" s="130" t="s">
        <v>4032</v>
      </c>
      <c r="AQS7" s="130" t="s">
        <v>4032</v>
      </c>
      <c r="AQU7" s="130" t="s">
        <v>4032</v>
      </c>
      <c r="AQV7" s="130" t="s">
        <v>4032</v>
      </c>
      <c r="AQW7" s="130" t="s">
        <v>4032</v>
      </c>
      <c r="AQY7" s="130" t="s">
        <v>4032</v>
      </c>
      <c r="AQZ7" s="130" t="s">
        <v>4032</v>
      </c>
      <c r="ARA7" s="130" t="s">
        <v>4032</v>
      </c>
      <c r="ARB7" s="130" t="s">
        <v>4032</v>
      </c>
      <c r="ARC7" s="130" t="s">
        <v>4032</v>
      </c>
      <c r="ARD7" s="130" t="s">
        <v>4032</v>
      </c>
      <c r="ARF7" s="130" t="s">
        <v>4032</v>
      </c>
      <c r="ARG7" s="130" t="s">
        <v>4032</v>
      </c>
      <c r="ARH7" s="130" t="s">
        <v>4032</v>
      </c>
      <c r="ARJ7" s="130" t="s">
        <v>4032</v>
      </c>
      <c r="ARK7" s="130" t="s">
        <v>4032</v>
      </c>
      <c r="ARL7" s="130" t="s">
        <v>4032</v>
      </c>
      <c r="ARM7" s="130" t="s">
        <v>4032</v>
      </c>
      <c r="ARN7" s="130" t="s">
        <v>4032</v>
      </c>
      <c r="ARO7" s="130" t="s">
        <v>4032</v>
      </c>
      <c r="ARQ7" s="130" t="s">
        <v>4032</v>
      </c>
      <c r="ARR7" s="130" t="s">
        <v>4032</v>
      </c>
      <c r="ARS7" s="130" t="s">
        <v>4032</v>
      </c>
      <c r="ARU7" s="130" t="s">
        <v>4032</v>
      </c>
      <c r="ARV7" s="130" t="s">
        <v>4032</v>
      </c>
      <c r="ARW7" s="130" t="s">
        <v>4032</v>
      </c>
      <c r="ARX7" s="130" t="s">
        <v>4032</v>
      </c>
      <c r="ARY7" s="130" t="s">
        <v>4032</v>
      </c>
      <c r="ARZ7" s="130" t="s">
        <v>4032</v>
      </c>
      <c r="ASB7" s="130" t="s">
        <v>4032</v>
      </c>
      <c r="ASC7" s="130" t="s">
        <v>4032</v>
      </c>
      <c r="ASD7" s="130" t="s">
        <v>4032</v>
      </c>
      <c r="ASF7" s="130" t="s">
        <v>4032</v>
      </c>
      <c r="ASG7" s="130" t="s">
        <v>4032</v>
      </c>
      <c r="ASH7" s="130" t="s">
        <v>4032</v>
      </c>
      <c r="ASI7" s="130" t="s">
        <v>4032</v>
      </c>
      <c r="ASJ7" s="130" t="s">
        <v>4032</v>
      </c>
      <c r="ASK7" s="130" t="s">
        <v>4032</v>
      </c>
      <c r="ASM7" s="130" t="s">
        <v>4032</v>
      </c>
      <c r="ASN7" s="130" t="s">
        <v>4032</v>
      </c>
      <c r="ASO7" s="130" t="s">
        <v>4032</v>
      </c>
      <c r="ASQ7" s="130" t="s">
        <v>4032</v>
      </c>
      <c r="ASR7" s="130" t="s">
        <v>4032</v>
      </c>
      <c r="ASS7" s="130" t="s">
        <v>4032</v>
      </c>
      <c r="AST7" s="130" t="s">
        <v>4032</v>
      </c>
      <c r="ASU7" s="130" t="s">
        <v>4032</v>
      </c>
      <c r="ASV7" s="130" t="s">
        <v>4032</v>
      </c>
      <c r="ASX7" s="129">
        <v>9</v>
      </c>
      <c r="ASY7" s="129">
        <v>9</v>
      </c>
      <c r="ASZ7" s="129">
        <v>9</v>
      </c>
      <c r="ATA7" s="129">
        <v>9</v>
      </c>
      <c r="ATB7" s="129">
        <v>10</v>
      </c>
      <c r="ATC7" s="129">
        <v>10</v>
      </c>
      <c r="ATD7" s="129">
        <v>10</v>
      </c>
      <c r="ATE7" s="129">
        <v>10</v>
      </c>
      <c r="ATF7" s="129">
        <v>10</v>
      </c>
      <c r="ATG7" s="129">
        <v>10</v>
      </c>
      <c r="ATH7" s="129">
        <v>9</v>
      </c>
      <c r="ATI7" s="129">
        <v>9</v>
      </c>
      <c r="ATJ7" s="129">
        <v>9</v>
      </c>
      <c r="ATK7" s="129">
        <v>9</v>
      </c>
      <c r="ATL7" s="129">
        <v>9</v>
      </c>
      <c r="ATM7" s="129">
        <v>9</v>
      </c>
      <c r="ATN7" s="129">
        <v>9</v>
      </c>
      <c r="ATO7" s="129">
        <v>9</v>
      </c>
      <c r="ATP7" s="129">
        <v>9</v>
      </c>
      <c r="ATQ7" s="129">
        <v>9</v>
      </c>
      <c r="ATR7" s="129">
        <v>9</v>
      </c>
      <c r="ATS7" s="129">
        <v>9</v>
      </c>
      <c r="ATT7" s="129">
        <v>9</v>
      </c>
      <c r="ATU7" s="129">
        <v>9</v>
      </c>
      <c r="ATV7" s="129">
        <v>9</v>
      </c>
      <c r="ATW7" s="129">
        <v>9</v>
      </c>
      <c r="ATX7" s="129">
        <v>9</v>
      </c>
      <c r="ATY7" s="129">
        <v>9</v>
      </c>
      <c r="ATZ7" s="129">
        <v>9</v>
      </c>
      <c r="AUA7" s="129">
        <v>9</v>
      </c>
      <c r="AUB7" s="129">
        <v>9</v>
      </c>
      <c r="AUC7" s="129">
        <v>9</v>
      </c>
      <c r="AUD7" s="129">
        <v>9</v>
      </c>
      <c r="AUE7" s="129">
        <v>9</v>
      </c>
      <c r="AUF7" s="129">
        <v>9</v>
      </c>
      <c r="AUG7" s="129">
        <v>9</v>
      </c>
      <c r="AUH7" s="129">
        <v>9</v>
      </c>
      <c r="AUI7" s="129">
        <v>9</v>
      </c>
      <c r="AUJ7" s="129">
        <v>9</v>
      </c>
      <c r="AUK7" s="129">
        <v>9</v>
      </c>
      <c r="AUL7" s="129">
        <v>9</v>
      </c>
      <c r="AUM7" s="129">
        <v>9</v>
      </c>
      <c r="AUN7" s="129">
        <v>9</v>
      </c>
      <c r="AUS7" s="129">
        <v>9</v>
      </c>
      <c r="AUX7" s="129">
        <v>9</v>
      </c>
      <c r="AVA7" s="129">
        <v>9</v>
      </c>
      <c r="AVF7" s="129">
        <v>9</v>
      </c>
      <c r="AVG7" s="129">
        <v>11</v>
      </c>
      <c r="AVO7" s="128">
        <v>25</v>
      </c>
      <c r="AVU7" s="128">
        <v>31</v>
      </c>
      <c r="AWD7" s="128">
        <v>26</v>
      </c>
      <c r="AWJ7" s="128">
        <v>32</v>
      </c>
      <c r="AWP7" s="128">
        <v>27</v>
      </c>
      <c r="AWV7" s="128">
        <v>25</v>
      </c>
    </row>
    <row r="8" spans="1:1297" outlineLevel="1">
      <c r="A8" s="137" t="s">
        <v>172</v>
      </c>
      <c r="B8" s="140" t="s">
        <v>184</v>
      </c>
      <c r="C8" s="139" t="s">
        <v>185</v>
      </c>
      <c r="D8" s="139" t="s">
        <v>186</v>
      </c>
      <c r="E8" s="137">
        <v>162</v>
      </c>
      <c r="G8" s="136" t="s">
        <v>17</v>
      </c>
      <c r="H8" s="136" t="s">
        <v>13</v>
      </c>
      <c r="I8" s="136" t="s">
        <v>13</v>
      </c>
      <c r="J8" s="136" t="s">
        <v>13</v>
      </c>
      <c r="K8" s="136" t="s">
        <v>13</v>
      </c>
      <c r="L8" s="136" t="s">
        <v>13</v>
      </c>
      <c r="M8" s="136" t="s">
        <v>13</v>
      </c>
      <c r="N8" s="136" t="s">
        <v>366</v>
      </c>
      <c r="P8" s="186" t="s">
        <v>4027</v>
      </c>
      <c r="Q8" s="186" t="s">
        <v>4027</v>
      </c>
      <c r="R8" s="186" t="s">
        <v>4027</v>
      </c>
      <c r="S8" s="186" t="s">
        <v>4027</v>
      </c>
      <c r="T8" s="128" t="s">
        <v>4024</v>
      </c>
      <c r="U8" s="128" t="s">
        <v>4027</v>
      </c>
      <c r="V8" s="186" t="s">
        <v>4027</v>
      </c>
      <c r="W8" s="128" t="s">
        <v>4024</v>
      </c>
      <c r="X8" s="128" t="s">
        <v>4024</v>
      </c>
      <c r="Y8" s="128" t="s">
        <v>4024</v>
      </c>
      <c r="Z8" s="128" t="s">
        <v>4024</v>
      </c>
      <c r="AA8" s="128" t="s">
        <v>4026</v>
      </c>
      <c r="AB8" s="128" t="s">
        <v>4026</v>
      </c>
      <c r="AC8" s="128" t="s">
        <v>4024</v>
      </c>
      <c r="AD8" s="128" t="s">
        <v>4026</v>
      </c>
      <c r="AE8" s="128" t="s">
        <v>4024</v>
      </c>
      <c r="AF8" s="128" t="s">
        <v>4026</v>
      </c>
      <c r="AG8" s="128" t="s">
        <v>4026</v>
      </c>
      <c r="AH8" s="186" t="s">
        <v>4027</v>
      </c>
      <c r="AI8" s="186" t="s">
        <v>4027</v>
      </c>
      <c r="AJ8" s="128" t="s">
        <v>4026</v>
      </c>
      <c r="AK8" s="186" t="s">
        <v>4027</v>
      </c>
      <c r="AL8" s="186" t="s">
        <v>4027</v>
      </c>
      <c r="AM8" s="186" t="s">
        <v>4027</v>
      </c>
      <c r="AN8" s="128" t="s">
        <v>4024</v>
      </c>
      <c r="AO8" s="128" t="s">
        <v>4028</v>
      </c>
      <c r="AP8" s="128" t="s">
        <v>4024</v>
      </c>
      <c r="AQ8" s="128" t="s">
        <v>4026</v>
      </c>
      <c r="AR8" s="128" t="s">
        <v>4031</v>
      </c>
      <c r="AS8" s="128" t="s">
        <v>4030</v>
      </c>
      <c r="AT8" s="128" t="s">
        <v>4029</v>
      </c>
      <c r="AU8" s="128" t="s">
        <v>4026</v>
      </c>
      <c r="AV8" s="128" t="s">
        <v>4028</v>
      </c>
      <c r="AW8" s="128" t="s">
        <v>4028</v>
      </c>
      <c r="AY8" s="128"/>
      <c r="AZ8" s="128"/>
      <c r="BA8" s="128"/>
      <c r="BB8" s="128"/>
      <c r="BC8" s="128"/>
      <c r="BD8" s="128"/>
      <c r="BE8" s="128"/>
      <c r="BF8" s="128"/>
      <c r="BG8" s="128"/>
      <c r="BH8" s="128"/>
      <c r="BI8" s="128"/>
      <c r="BJ8" s="128"/>
      <c r="BK8" s="128"/>
      <c r="BL8" s="128"/>
      <c r="BM8" s="128"/>
      <c r="BN8" s="128"/>
      <c r="BO8" s="128"/>
      <c r="BP8" s="128"/>
      <c r="BQ8" s="128"/>
      <c r="FP8" s="128" t="s">
        <v>4024</v>
      </c>
      <c r="GR8" s="128" t="s">
        <v>4024</v>
      </c>
      <c r="GS8" s="187" t="s">
        <v>4024</v>
      </c>
      <c r="GT8" s="128" t="s">
        <v>4024</v>
      </c>
      <c r="GU8" s="187" t="s">
        <v>4024</v>
      </c>
      <c r="GV8" s="187" t="s">
        <v>4024</v>
      </c>
      <c r="GW8" s="187" t="s">
        <v>4024</v>
      </c>
      <c r="GX8" s="128" t="s">
        <v>4024</v>
      </c>
      <c r="GY8" s="187" t="s">
        <v>4024</v>
      </c>
      <c r="GZ8" s="128" t="s">
        <v>4024</v>
      </c>
      <c r="HA8" s="187" t="s">
        <v>4024</v>
      </c>
      <c r="HB8" s="187" t="s">
        <v>4024</v>
      </c>
      <c r="HC8" s="187" t="s">
        <v>4024</v>
      </c>
      <c r="HD8" s="187" t="s">
        <v>4024</v>
      </c>
      <c r="HE8" s="187" t="s">
        <v>4024</v>
      </c>
      <c r="HF8" s="187" t="s">
        <v>4024</v>
      </c>
      <c r="HH8" s="128" t="s">
        <v>4024</v>
      </c>
      <c r="HI8" s="187" t="s">
        <v>4024</v>
      </c>
      <c r="HJ8" s="128" t="s">
        <v>4024</v>
      </c>
      <c r="HK8" s="187" t="s">
        <v>4024</v>
      </c>
      <c r="HL8" s="187" t="s">
        <v>4024</v>
      </c>
      <c r="HM8" s="187" t="s">
        <v>4024</v>
      </c>
      <c r="HN8" s="187" t="s">
        <v>4024</v>
      </c>
      <c r="HO8" s="187" t="s">
        <v>4024</v>
      </c>
      <c r="HP8" s="187" t="s">
        <v>4024</v>
      </c>
      <c r="HS8" s="186" t="s">
        <v>4027</v>
      </c>
      <c r="HT8" s="186" t="s">
        <v>4027</v>
      </c>
      <c r="HU8" s="186" t="s">
        <v>4027</v>
      </c>
      <c r="HV8" s="186" t="s">
        <v>4027</v>
      </c>
      <c r="HW8" s="186" t="s">
        <v>4027</v>
      </c>
      <c r="HX8" s="186" t="s">
        <v>4027</v>
      </c>
      <c r="HY8" s="186" t="s">
        <v>4027</v>
      </c>
      <c r="HZ8" s="186" t="s">
        <v>4027</v>
      </c>
      <c r="IA8" s="186" t="s">
        <v>4027</v>
      </c>
      <c r="IB8" s="186" t="s">
        <v>4027</v>
      </c>
      <c r="IC8" s="186" t="s">
        <v>4027</v>
      </c>
      <c r="ID8" s="186" t="s">
        <v>4027</v>
      </c>
      <c r="IE8" s="186" t="s">
        <v>4027</v>
      </c>
      <c r="IF8" s="186" t="s">
        <v>4027</v>
      </c>
      <c r="IG8" s="186" t="s">
        <v>4027</v>
      </c>
      <c r="IH8" s="128" t="s">
        <v>4024</v>
      </c>
      <c r="II8" s="128" t="s">
        <v>4024</v>
      </c>
      <c r="IJ8" s="186" t="s">
        <v>4027</v>
      </c>
      <c r="IK8" s="186" t="s">
        <v>4027</v>
      </c>
      <c r="IL8" s="128" t="s">
        <v>4024</v>
      </c>
      <c r="IM8" s="128" t="s">
        <v>4024</v>
      </c>
      <c r="IN8" s="128" t="s">
        <v>4024</v>
      </c>
      <c r="IO8" s="128" t="s">
        <v>4024</v>
      </c>
      <c r="IP8" s="128" t="s">
        <v>4024</v>
      </c>
      <c r="IQ8" s="128" t="s">
        <v>4026</v>
      </c>
      <c r="IR8" s="128" t="s">
        <v>4024</v>
      </c>
      <c r="IS8" s="128" t="s">
        <v>4024</v>
      </c>
      <c r="IT8" s="128"/>
      <c r="JF8" s="180"/>
      <c r="JQ8" s="128"/>
      <c r="JR8" s="128"/>
      <c r="JS8" s="128"/>
      <c r="JT8" s="128"/>
      <c r="JU8" s="128"/>
      <c r="JV8" s="128"/>
      <c r="JW8" s="128"/>
      <c r="JX8" s="128"/>
      <c r="JY8" s="128"/>
      <c r="JZ8" s="128"/>
      <c r="KA8" s="128"/>
      <c r="KB8" s="128"/>
      <c r="KC8" s="128"/>
      <c r="KD8" s="128"/>
      <c r="KE8" s="128"/>
      <c r="KF8" s="128"/>
      <c r="KG8" s="128"/>
      <c r="KH8" s="128"/>
      <c r="KI8" s="128"/>
      <c r="KJ8" s="128"/>
      <c r="KK8" s="128"/>
      <c r="KL8" s="128"/>
      <c r="KM8" s="128"/>
      <c r="KN8" s="128"/>
      <c r="KO8" s="128"/>
      <c r="KP8" s="128"/>
      <c r="KQ8" s="128"/>
      <c r="KR8" s="128"/>
      <c r="KS8" s="128"/>
      <c r="KT8" s="128"/>
      <c r="KU8" s="128"/>
      <c r="KV8" s="128"/>
      <c r="KW8" s="128"/>
      <c r="KX8" s="128"/>
      <c r="KY8" s="128"/>
      <c r="KZ8" s="128"/>
      <c r="LA8" s="128"/>
      <c r="LB8" s="128"/>
      <c r="LC8" s="128"/>
      <c r="LD8" s="128"/>
      <c r="LE8" s="128"/>
      <c r="LF8" s="128"/>
      <c r="LG8" s="128"/>
      <c r="LH8" s="128"/>
      <c r="LI8" s="128"/>
      <c r="LJ8" s="128"/>
      <c r="LK8" s="143"/>
      <c r="LL8" s="143"/>
      <c r="LM8" s="143"/>
      <c r="LN8" s="143"/>
      <c r="LO8" s="143"/>
      <c r="LP8" s="128"/>
      <c r="LQ8" s="128"/>
      <c r="LR8" s="128"/>
      <c r="LS8" s="128"/>
      <c r="LT8" s="128"/>
      <c r="LU8" s="143"/>
      <c r="LV8" s="143"/>
      <c r="LW8" s="143"/>
      <c r="LX8" s="143"/>
      <c r="LY8" s="143"/>
      <c r="LZ8" s="143"/>
      <c r="MA8" s="143"/>
      <c r="MB8" s="143"/>
      <c r="MC8" s="143"/>
      <c r="MD8" s="143"/>
      <c r="ME8" s="143"/>
      <c r="MF8" s="143"/>
      <c r="MG8" s="143"/>
      <c r="MH8" s="128"/>
      <c r="MI8" s="128"/>
      <c r="MJ8" s="128"/>
      <c r="MK8" s="128"/>
      <c r="ML8" s="128"/>
      <c r="MM8" s="128"/>
      <c r="MN8" s="128"/>
      <c r="MO8" s="128"/>
      <c r="MP8" s="128"/>
      <c r="MQ8" s="141"/>
      <c r="MR8" s="141"/>
      <c r="MS8" s="141"/>
      <c r="MT8" s="141"/>
      <c r="MU8" s="141"/>
      <c r="MV8" s="141"/>
      <c r="MW8" s="141"/>
      <c r="MX8" s="141"/>
      <c r="MY8" s="141"/>
      <c r="MZ8" s="128"/>
      <c r="NA8" s="128"/>
      <c r="NB8" s="143"/>
      <c r="NC8" s="143"/>
      <c r="ND8" s="143"/>
      <c r="NE8" s="143"/>
      <c r="NF8" s="143"/>
      <c r="NG8" s="128"/>
      <c r="NH8" s="128"/>
      <c r="NI8" s="128"/>
      <c r="NJ8" s="128"/>
      <c r="NK8" s="128"/>
      <c r="NL8" s="141"/>
      <c r="NM8" s="141"/>
      <c r="NN8" s="141"/>
      <c r="NO8" s="141"/>
      <c r="NP8" s="141"/>
      <c r="NQ8" s="128"/>
      <c r="NR8" s="128"/>
      <c r="NS8" s="185" t="s">
        <v>4024</v>
      </c>
      <c r="NT8" s="183" t="s">
        <v>4024</v>
      </c>
      <c r="NU8" s="184" t="s">
        <v>4024</v>
      </c>
      <c r="NV8" s="183" t="s">
        <v>4024</v>
      </c>
      <c r="NW8" s="183" t="s">
        <v>4024</v>
      </c>
      <c r="NX8" s="182" t="s">
        <v>4024</v>
      </c>
      <c r="NY8" s="185" t="s">
        <v>4024</v>
      </c>
      <c r="NZ8" s="183" t="s">
        <v>4024</v>
      </c>
      <c r="OA8" s="184" t="s">
        <v>4024</v>
      </c>
      <c r="OB8" s="183" t="s">
        <v>4024</v>
      </c>
      <c r="OC8" s="183" t="s">
        <v>4024</v>
      </c>
      <c r="OD8" s="182" t="s">
        <v>4024</v>
      </c>
      <c r="OE8" s="128"/>
      <c r="OF8" s="185" t="s">
        <v>4024</v>
      </c>
      <c r="OG8" s="183" t="s">
        <v>4024</v>
      </c>
      <c r="OH8" s="184" t="s">
        <v>4024</v>
      </c>
      <c r="OI8" s="183" t="s">
        <v>4024</v>
      </c>
      <c r="OJ8" s="183" t="s">
        <v>4024</v>
      </c>
      <c r="OK8" s="182" t="s">
        <v>4024</v>
      </c>
      <c r="OL8" s="183" t="s">
        <v>4024</v>
      </c>
      <c r="OM8" s="183" t="s">
        <v>4024</v>
      </c>
      <c r="ON8" s="182" t="s">
        <v>4024</v>
      </c>
      <c r="OO8" s="128"/>
      <c r="OQ8" s="181" t="s">
        <v>4027</v>
      </c>
      <c r="OR8" s="181" t="s">
        <v>4027</v>
      </c>
      <c r="OS8" s="181" t="s">
        <v>4027</v>
      </c>
      <c r="OT8" s="181" t="s">
        <v>4027</v>
      </c>
      <c r="OU8" s="181" t="s">
        <v>4027</v>
      </c>
      <c r="OV8" s="181" t="s">
        <v>4027</v>
      </c>
      <c r="OW8" s="181" t="s">
        <v>4027</v>
      </c>
      <c r="OX8" s="181" t="s">
        <v>4027</v>
      </c>
      <c r="OY8" s="181" t="s">
        <v>4027</v>
      </c>
      <c r="OZ8" s="181" t="s">
        <v>4027</v>
      </c>
      <c r="PA8" s="181" t="s">
        <v>4027</v>
      </c>
      <c r="PB8" s="181" t="s">
        <v>4027</v>
      </c>
      <c r="PC8" s="181" t="s">
        <v>4027</v>
      </c>
      <c r="PD8" s="181" t="s">
        <v>4027</v>
      </c>
      <c r="PE8" s="181" t="s">
        <v>4027</v>
      </c>
      <c r="PF8" s="181" t="s">
        <v>4027</v>
      </c>
      <c r="PG8" s="181" t="s">
        <v>4027</v>
      </c>
      <c r="PH8" s="181" t="s">
        <v>4027</v>
      </c>
      <c r="PI8" s="181" t="s">
        <v>4027</v>
      </c>
      <c r="PJ8" s="181" t="s">
        <v>4027</v>
      </c>
      <c r="PK8" s="181" t="s">
        <v>4027</v>
      </c>
      <c r="PL8" s="181" t="s">
        <v>4027</v>
      </c>
      <c r="PM8" s="181" t="s">
        <v>4027</v>
      </c>
      <c r="PN8" s="181" t="s">
        <v>4027</v>
      </c>
      <c r="PO8" s="181" t="s">
        <v>4027</v>
      </c>
      <c r="PP8" s="181" t="s">
        <v>4027</v>
      </c>
      <c r="PQ8" s="181" t="s">
        <v>4027</v>
      </c>
      <c r="PR8" s="128" t="s">
        <v>4024</v>
      </c>
      <c r="PS8" s="128" t="s">
        <v>4024</v>
      </c>
      <c r="PT8" s="128" t="s">
        <v>4024</v>
      </c>
      <c r="PU8" s="128" t="s">
        <v>4024</v>
      </c>
      <c r="PV8" s="128" t="s">
        <v>4024</v>
      </c>
      <c r="PW8" s="128" t="s">
        <v>4024</v>
      </c>
      <c r="PX8" s="128" t="s">
        <v>4024</v>
      </c>
      <c r="PY8" s="128" t="s">
        <v>4024</v>
      </c>
      <c r="PZ8" s="128" t="s">
        <v>4024</v>
      </c>
      <c r="QA8" s="128" t="s">
        <v>4024</v>
      </c>
      <c r="QB8" s="128" t="s">
        <v>4024</v>
      </c>
      <c r="QC8" s="128" t="s">
        <v>4024</v>
      </c>
      <c r="QD8" s="128" t="s">
        <v>4024</v>
      </c>
      <c r="QE8" s="128" t="s">
        <v>4024</v>
      </c>
      <c r="QF8" s="128" t="s">
        <v>4024</v>
      </c>
      <c r="QG8" s="128" t="s">
        <v>4024</v>
      </c>
      <c r="QH8" s="128" t="s">
        <v>4024</v>
      </c>
      <c r="QI8" s="128" t="s">
        <v>4024</v>
      </c>
      <c r="QJ8" s="128" t="s">
        <v>4024</v>
      </c>
      <c r="QK8" s="128" t="s">
        <v>4024</v>
      </c>
      <c r="QL8" s="128" t="s">
        <v>4024</v>
      </c>
      <c r="QM8" s="128" t="s">
        <v>4024</v>
      </c>
      <c r="QN8" s="128"/>
      <c r="QO8" s="128"/>
      <c r="QP8" s="128"/>
      <c r="QQ8" s="128"/>
      <c r="QR8" s="181" t="s">
        <v>4027</v>
      </c>
      <c r="QS8" s="181" t="s">
        <v>4027</v>
      </c>
      <c r="QT8" s="181" t="s">
        <v>4027</v>
      </c>
      <c r="QU8" s="181" t="s">
        <v>4027</v>
      </c>
      <c r="QV8" s="181" t="s">
        <v>4027</v>
      </c>
      <c r="QW8" s="128"/>
      <c r="QX8" s="128"/>
      <c r="QY8" s="128" t="s">
        <v>4024</v>
      </c>
      <c r="QZ8" s="128" t="s">
        <v>4024</v>
      </c>
      <c r="RA8" s="128" t="s">
        <v>4024</v>
      </c>
      <c r="RB8" s="128" t="s">
        <v>4024</v>
      </c>
      <c r="RC8" s="128" t="s">
        <v>4024</v>
      </c>
      <c r="RD8" s="181" t="s">
        <v>4027</v>
      </c>
      <c r="RE8" s="181" t="s">
        <v>4027</v>
      </c>
      <c r="RF8" s="181" t="s">
        <v>4027</v>
      </c>
      <c r="RG8" s="128" t="s">
        <v>4024</v>
      </c>
      <c r="RH8" s="128" t="s">
        <v>4024</v>
      </c>
      <c r="RI8" s="128" t="s">
        <v>4024</v>
      </c>
      <c r="RJ8" s="128" t="s">
        <v>4024</v>
      </c>
      <c r="RK8" s="128" t="s">
        <v>4024</v>
      </c>
      <c r="RL8" s="128" t="s">
        <v>4024</v>
      </c>
      <c r="RM8" s="181" t="s">
        <v>4027</v>
      </c>
      <c r="RN8" s="181" t="s">
        <v>4027</v>
      </c>
      <c r="RO8" s="181" t="s">
        <v>4027</v>
      </c>
      <c r="RP8" s="181" t="s">
        <v>4027</v>
      </c>
      <c r="RQ8" s="134" t="s">
        <v>4024</v>
      </c>
      <c r="RR8" s="134" t="s">
        <v>4026</v>
      </c>
      <c r="RS8" s="134" t="s">
        <v>4025</v>
      </c>
      <c r="RT8" s="134" t="s">
        <v>4024</v>
      </c>
      <c r="RY8" s="128"/>
      <c r="RZ8" s="128"/>
      <c r="SA8" s="128"/>
      <c r="SB8" s="128"/>
      <c r="SC8" s="128"/>
      <c r="SD8" s="128"/>
      <c r="SE8" s="128"/>
      <c r="SF8" s="128"/>
      <c r="SG8" s="128"/>
      <c r="SH8" s="128"/>
      <c r="SI8" s="128"/>
      <c r="SJ8" s="128"/>
      <c r="SK8" s="128"/>
      <c r="SL8" s="128"/>
      <c r="SM8" s="128"/>
      <c r="SN8" s="128"/>
      <c r="SO8" s="128"/>
      <c r="SP8" s="128"/>
      <c r="SQ8" s="128"/>
      <c r="SR8" s="128"/>
      <c r="SS8" s="128"/>
      <c r="ST8" s="128"/>
      <c r="SU8" s="128"/>
      <c r="SV8" s="128"/>
      <c r="SW8" s="128"/>
      <c r="SX8" s="128"/>
      <c r="SY8" s="128"/>
      <c r="SZ8" s="128"/>
      <c r="TA8" s="128"/>
      <c r="TB8" s="128"/>
      <c r="TC8" s="128"/>
      <c r="TD8" s="142"/>
      <c r="TE8" s="141"/>
      <c r="TF8" s="141"/>
      <c r="TG8" s="128"/>
      <c r="TH8" s="128"/>
      <c r="TI8" s="128"/>
      <c r="TJ8" s="128"/>
      <c r="TK8" s="128"/>
      <c r="TL8" s="128"/>
      <c r="TM8" s="128"/>
      <c r="TN8" s="128"/>
      <c r="TO8" s="128"/>
      <c r="TP8" s="128"/>
      <c r="TQ8" s="128"/>
      <c r="TR8" s="128"/>
      <c r="TS8" s="128"/>
      <c r="TT8" s="128"/>
      <c r="TU8" s="128"/>
      <c r="TV8" s="128"/>
      <c r="TW8" s="128"/>
      <c r="TX8" s="141"/>
      <c r="TY8" s="141"/>
      <c r="TZ8" s="141"/>
      <c r="UA8" s="128"/>
      <c r="UB8" s="128"/>
      <c r="UC8" s="128"/>
      <c r="UD8" s="128"/>
      <c r="UE8" s="128"/>
      <c r="UF8" s="128"/>
      <c r="UG8" s="128"/>
      <c r="UH8" s="128"/>
      <c r="UI8" s="128"/>
      <c r="UJ8" s="128"/>
      <c r="UK8" s="128"/>
      <c r="UL8" s="128"/>
      <c r="UM8" s="128"/>
      <c r="UN8" s="128"/>
      <c r="UO8" s="128"/>
      <c r="UP8" s="128"/>
      <c r="UQ8" s="128"/>
      <c r="UR8" s="128"/>
      <c r="US8" s="128"/>
      <c r="UT8" s="128"/>
      <c r="UU8" s="128"/>
      <c r="UV8" s="128"/>
      <c r="UW8" s="128"/>
      <c r="UX8" s="128"/>
      <c r="UY8" s="128"/>
      <c r="UZ8" s="128"/>
      <c r="VA8" s="128"/>
      <c r="VB8" s="128"/>
      <c r="VC8" s="128"/>
      <c r="VD8" s="128"/>
      <c r="VE8" s="128"/>
      <c r="VF8" s="128"/>
      <c r="VG8" s="128"/>
      <c r="VH8" s="128"/>
      <c r="VI8" s="128"/>
      <c r="VJ8" s="128"/>
      <c r="VK8" s="128"/>
      <c r="VL8" s="141"/>
      <c r="VM8" s="141"/>
      <c r="VN8" s="141"/>
      <c r="VO8" s="141"/>
      <c r="VP8" s="128"/>
      <c r="VR8" s="129"/>
      <c r="VS8" s="129"/>
      <c r="VT8" s="129"/>
      <c r="VU8" s="129"/>
      <c r="VV8" s="129"/>
      <c r="VW8" s="129"/>
      <c r="VX8" s="129"/>
      <c r="VY8" s="129"/>
      <c r="VZ8" s="129"/>
      <c r="WA8" s="129"/>
      <c r="WB8" s="129"/>
      <c r="WC8" s="180"/>
      <c r="WD8" s="129"/>
      <c r="WE8" s="129"/>
      <c r="WF8" s="129"/>
      <c r="WG8" s="129"/>
      <c r="WH8" s="129"/>
      <c r="WI8" s="129"/>
      <c r="WJ8" s="129"/>
      <c r="WK8" s="129"/>
      <c r="WL8" s="129"/>
      <c r="WM8" s="129"/>
      <c r="WN8" s="129"/>
      <c r="WO8" s="129"/>
      <c r="WP8" s="128"/>
      <c r="WQ8" s="128"/>
      <c r="WR8" s="128"/>
      <c r="WS8" s="128"/>
      <c r="WT8" s="128"/>
      <c r="WU8" s="128"/>
      <c r="WV8" s="128"/>
      <c r="WW8" s="128"/>
      <c r="WX8" s="128"/>
      <c r="WY8" s="128"/>
      <c r="WZ8" s="128"/>
      <c r="XA8" s="128"/>
      <c r="XB8" s="128"/>
      <c r="XC8" s="128"/>
      <c r="XD8" s="128"/>
      <c r="XE8" s="128"/>
      <c r="XF8" s="128"/>
      <c r="XG8" s="128"/>
      <c r="XH8" s="128"/>
      <c r="XI8" s="128"/>
      <c r="XJ8" s="128"/>
      <c r="XK8" s="128"/>
      <c r="XL8" s="128"/>
      <c r="XM8" s="128"/>
      <c r="XN8" s="128"/>
      <c r="XO8" s="128"/>
      <c r="XP8" s="128"/>
      <c r="XQ8" s="128"/>
      <c r="XR8" s="128"/>
      <c r="XS8" s="128"/>
      <c r="XT8" s="128"/>
      <c r="XU8" s="128"/>
      <c r="XV8" s="128"/>
      <c r="XW8" s="128"/>
      <c r="XX8" s="128"/>
      <c r="XY8" s="128"/>
      <c r="XZ8" s="128"/>
      <c r="YA8" s="128"/>
      <c r="YB8" s="128"/>
      <c r="YC8" s="128"/>
      <c r="YD8" s="128"/>
      <c r="YE8" s="128"/>
      <c r="YF8" s="128"/>
      <c r="YG8" s="128"/>
      <c r="YH8" s="128"/>
      <c r="YI8" s="128"/>
      <c r="YJ8" s="128"/>
      <c r="YK8" s="128"/>
      <c r="YL8" s="128"/>
      <c r="YM8" s="128"/>
      <c r="YN8" s="128"/>
      <c r="YO8" s="128"/>
      <c r="YP8" s="128"/>
      <c r="YQ8" s="128"/>
      <c r="YR8" s="128"/>
      <c r="YS8" s="128"/>
      <c r="YT8" s="128"/>
      <c r="YU8" s="128"/>
      <c r="YV8" s="128"/>
      <c r="YW8" s="128"/>
      <c r="YX8" s="128"/>
      <c r="YY8" s="128"/>
      <c r="YZ8" s="128"/>
      <c r="ZA8" s="128"/>
      <c r="ZB8" s="128"/>
      <c r="ZC8" s="128"/>
      <c r="ZD8" s="128"/>
      <c r="ZE8" s="128"/>
      <c r="ZF8" s="128"/>
      <c r="ZG8" s="128"/>
      <c r="ZH8" s="128"/>
      <c r="ZI8" s="128"/>
      <c r="ZJ8" s="128"/>
      <c r="ZK8" s="128"/>
      <c r="ZL8" s="128"/>
      <c r="ZM8" s="128"/>
      <c r="ZN8" s="128"/>
      <c r="ZO8" s="128"/>
      <c r="ZP8" s="128"/>
      <c r="ZQ8" s="128"/>
      <c r="ZR8" s="128"/>
      <c r="ZS8" s="128"/>
      <c r="ZT8" s="128"/>
      <c r="ZU8" s="128"/>
      <c r="ZV8" s="128"/>
      <c r="ZW8" s="128"/>
      <c r="ZX8" s="128"/>
      <c r="ZY8" s="128"/>
      <c r="ZZ8" s="128"/>
      <c r="AAA8" s="128"/>
      <c r="AAB8" s="128"/>
      <c r="AAC8" s="128"/>
      <c r="AAD8" s="128"/>
      <c r="AAE8" s="128"/>
      <c r="AAF8" s="128"/>
      <c r="AAG8" s="128"/>
      <c r="AAH8" s="128"/>
      <c r="AAJ8" s="129"/>
      <c r="AAK8" s="129"/>
      <c r="AAL8" s="129"/>
      <c r="AAM8" s="129"/>
      <c r="AAN8" s="129"/>
      <c r="AAO8" s="129"/>
      <c r="AAP8" s="129"/>
      <c r="AAQ8" s="129"/>
      <c r="AAR8" s="129"/>
      <c r="AAS8" s="129"/>
      <c r="AAT8" s="129"/>
      <c r="AAU8" s="180"/>
      <c r="AAV8" s="129"/>
      <c r="AAW8" s="129"/>
      <c r="AAX8" s="129"/>
      <c r="AAY8" s="129"/>
      <c r="AAZ8" s="129"/>
      <c r="ABA8" s="129"/>
      <c r="ABB8" s="129"/>
      <c r="ABC8" s="129"/>
      <c r="ABD8" s="129"/>
      <c r="ABE8" s="129"/>
      <c r="ABF8" s="129"/>
      <c r="ABG8" s="129"/>
      <c r="ABH8" s="128"/>
      <c r="ABI8" s="128"/>
      <c r="ABJ8" s="128"/>
      <c r="ABK8" s="128"/>
      <c r="ABL8" s="128"/>
      <c r="ABM8" s="128"/>
      <c r="ABN8" s="128"/>
      <c r="ABO8" s="128"/>
      <c r="ABP8" s="128"/>
      <c r="ABQ8" s="128"/>
      <c r="ABR8" s="128"/>
      <c r="ABS8" s="128"/>
      <c r="ABT8" s="128"/>
      <c r="ABU8" s="128"/>
      <c r="ABV8" s="128"/>
      <c r="ABW8" s="128"/>
      <c r="ABX8" s="128"/>
      <c r="ABY8" s="128"/>
      <c r="ABZ8" s="128"/>
      <c r="ACA8" s="128"/>
      <c r="ACB8" s="128"/>
      <c r="ACC8" s="128"/>
      <c r="ACD8" s="128"/>
      <c r="ACE8" s="128"/>
      <c r="ACF8" s="128"/>
      <c r="ACG8" s="128"/>
      <c r="ACH8" s="128"/>
      <c r="ACI8" s="128"/>
      <c r="ACJ8" s="128"/>
      <c r="ACK8" s="128"/>
      <c r="ACL8" s="128"/>
      <c r="ACM8" s="128"/>
      <c r="ACN8" s="128"/>
      <c r="ACO8" s="128"/>
      <c r="ACP8" s="128"/>
      <c r="ACQ8" s="128"/>
      <c r="ACR8" s="128"/>
      <c r="ACS8" s="128"/>
      <c r="ACT8" s="128"/>
      <c r="ACU8" s="128"/>
      <c r="ACV8" s="128"/>
      <c r="ACW8" s="128"/>
      <c r="ACX8" s="128"/>
      <c r="ACY8" s="128"/>
      <c r="ACZ8" s="128"/>
      <c r="ADA8" s="128"/>
      <c r="ADB8" s="128"/>
      <c r="ADC8" s="128"/>
      <c r="ADD8" s="128"/>
      <c r="ADE8" s="128"/>
      <c r="ADF8" s="128"/>
      <c r="ADG8" s="128"/>
      <c r="ADH8" s="128"/>
      <c r="ADI8" s="128"/>
      <c r="ADJ8" s="128"/>
      <c r="ADK8" s="128"/>
      <c r="ADL8" s="128"/>
      <c r="ADM8" s="128"/>
      <c r="ADN8" s="128"/>
      <c r="ADO8" s="128"/>
      <c r="ADP8" s="128"/>
      <c r="ADQ8" s="128"/>
      <c r="ADR8" s="128"/>
      <c r="ADS8" s="128"/>
      <c r="ADT8" s="128"/>
      <c r="ADU8" s="128"/>
      <c r="ADV8" s="128"/>
      <c r="ADW8" s="128"/>
      <c r="ADX8" s="128"/>
      <c r="ADY8" s="128"/>
      <c r="ADZ8" s="128"/>
      <c r="AEA8" s="128"/>
      <c r="AEB8" s="128"/>
      <c r="AEC8" s="128"/>
      <c r="AED8" s="128"/>
      <c r="AEE8" s="128"/>
      <c r="AEF8" s="128"/>
      <c r="AEG8" s="128"/>
      <c r="AEH8" s="128"/>
      <c r="AEI8" s="128"/>
      <c r="AEJ8" s="128"/>
      <c r="AEK8" s="128"/>
      <c r="AEL8" s="128"/>
      <c r="AEM8" s="128"/>
      <c r="AEN8" s="128"/>
      <c r="AEO8" s="128"/>
      <c r="AEP8" s="128"/>
      <c r="AEQ8" s="128"/>
      <c r="AER8" s="128"/>
      <c r="AES8" s="128"/>
      <c r="AET8" s="128"/>
      <c r="AEU8" s="128"/>
      <c r="AEV8" s="128"/>
      <c r="AEW8" s="128"/>
      <c r="AEX8" s="128"/>
      <c r="AEY8" s="128"/>
      <c r="AEZ8" s="128"/>
      <c r="AFA8" s="128"/>
      <c r="AFB8" s="128"/>
      <c r="AFC8" s="128"/>
      <c r="AFD8" s="128"/>
      <c r="AFE8" s="128"/>
      <c r="AFF8" s="128"/>
      <c r="AFG8" s="128"/>
      <c r="AFH8" s="128"/>
      <c r="AFI8" s="128"/>
      <c r="AFJ8" s="128"/>
      <c r="AFK8" s="128"/>
      <c r="AFL8" s="128"/>
      <c r="AFY8" s="180"/>
      <c r="AGL8" s="128"/>
      <c r="AGM8" s="128"/>
      <c r="AGN8" s="128"/>
      <c r="AGO8" s="128"/>
      <c r="AGP8" s="128"/>
      <c r="AGQ8" s="128"/>
      <c r="AGR8" s="128"/>
      <c r="AGS8" s="128"/>
      <c r="AGT8" s="128"/>
      <c r="AGU8" s="128"/>
      <c r="AGV8" s="128"/>
      <c r="AGW8" s="128"/>
      <c r="AGX8" s="128"/>
      <c r="AGY8" s="128"/>
      <c r="AGZ8" s="128"/>
      <c r="AHA8" s="128"/>
      <c r="AHB8" s="128"/>
      <c r="AHC8" s="128"/>
      <c r="AHD8" s="128"/>
      <c r="AHE8" s="128"/>
      <c r="AHF8" s="128"/>
      <c r="AHG8" s="128"/>
      <c r="AHH8" s="128"/>
      <c r="AHI8" s="128"/>
      <c r="AHJ8" s="128"/>
      <c r="AHK8" s="128"/>
      <c r="AHL8" s="128"/>
      <c r="AHM8" s="128"/>
      <c r="AHN8" s="128"/>
      <c r="AHO8" s="128"/>
      <c r="AHP8" s="128"/>
      <c r="AHQ8" s="128"/>
      <c r="AHR8" s="128"/>
      <c r="AHS8" s="128"/>
      <c r="AHT8" s="128"/>
      <c r="AHU8" s="128"/>
      <c r="AHV8" s="128"/>
      <c r="AHW8" s="128"/>
      <c r="AHX8" s="128"/>
      <c r="AHY8" s="128"/>
      <c r="AHZ8" s="128"/>
      <c r="AIA8" s="128"/>
      <c r="AIB8" s="128"/>
      <c r="AIC8" s="128"/>
      <c r="AID8" s="128"/>
      <c r="AIE8" s="128"/>
      <c r="AIF8" s="128"/>
      <c r="AIG8" s="128"/>
      <c r="AIH8" s="128"/>
      <c r="AII8" s="128"/>
      <c r="AIJ8" s="128"/>
      <c r="AIK8" s="128"/>
      <c r="AIL8" s="128"/>
      <c r="AIM8" s="128"/>
      <c r="AIN8" s="128"/>
      <c r="AIO8" s="128"/>
      <c r="AIP8" s="128"/>
      <c r="AIQ8" s="128"/>
      <c r="AIR8" s="128"/>
      <c r="AIS8" s="128"/>
      <c r="AIT8" s="128"/>
      <c r="AIU8" s="128"/>
      <c r="AIV8" s="128"/>
      <c r="AIW8" s="128"/>
      <c r="AIX8" s="128"/>
      <c r="AIY8" s="128"/>
      <c r="AIZ8" s="128"/>
      <c r="AJA8" s="128"/>
      <c r="AJB8" s="128"/>
      <c r="AJC8" s="128"/>
      <c r="AJD8" s="128"/>
      <c r="AJE8" s="128"/>
      <c r="AJF8" s="128"/>
      <c r="AJG8" s="128"/>
      <c r="AJH8" s="128"/>
      <c r="AJI8" s="128"/>
      <c r="AJJ8" s="128"/>
      <c r="AJK8" s="128"/>
      <c r="AJL8" s="128"/>
      <c r="AJM8" s="128"/>
      <c r="AJN8" s="128"/>
      <c r="AJO8" s="128"/>
      <c r="AJP8" s="128"/>
      <c r="AJQ8" s="128"/>
      <c r="AJR8" s="128"/>
      <c r="AJS8" s="128"/>
      <c r="AJT8" s="128"/>
      <c r="AJU8" s="128"/>
      <c r="AJV8" s="128"/>
      <c r="AJW8" s="128"/>
      <c r="AJX8" s="128"/>
      <c r="AJY8" s="128"/>
      <c r="AJZ8" s="128"/>
      <c r="AKA8" s="128"/>
      <c r="AKB8" s="128"/>
      <c r="AKC8" s="128"/>
      <c r="AKD8" s="128"/>
      <c r="AKE8" s="128"/>
      <c r="AKF8" s="128"/>
      <c r="AKG8" s="128"/>
      <c r="AKH8" s="128"/>
      <c r="AKI8" s="128"/>
      <c r="AKJ8" s="128"/>
      <c r="AKK8" s="128"/>
      <c r="AKL8" s="128"/>
      <c r="AKM8" s="128"/>
      <c r="AKN8" s="128"/>
      <c r="AKO8" s="128"/>
      <c r="AKP8" s="128"/>
      <c r="AKQ8" s="128"/>
      <c r="AKR8" s="128"/>
      <c r="AKS8" s="128"/>
      <c r="AKT8" s="128"/>
      <c r="AKU8" s="128"/>
      <c r="AKV8" s="128"/>
      <c r="AKW8" s="128"/>
      <c r="AKX8" s="128"/>
      <c r="AKY8" s="128"/>
      <c r="AKZ8" s="128"/>
      <c r="ALA8" s="128"/>
      <c r="ALB8" s="128"/>
      <c r="ALC8" s="128"/>
      <c r="ALD8" s="128"/>
      <c r="ALE8" s="128"/>
      <c r="ALF8" s="128"/>
      <c r="ALG8" s="128"/>
      <c r="ALH8" s="128"/>
      <c r="ALI8" s="128"/>
      <c r="ALJ8" s="128"/>
      <c r="ALK8" s="128"/>
      <c r="ALL8" s="128"/>
      <c r="ALM8" s="128"/>
      <c r="ALN8" s="128"/>
      <c r="ALO8" s="128"/>
      <c r="ALP8" s="128"/>
      <c r="ALQ8" s="128"/>
      <c r="ALR8" s="128"/>
      <c r="ALS8" s="128"/>
      <c r="ALT8" s="128"/>
      <c r="ALU8" s="128"/>
      <c r="ALV8" s="128"/>
      <c r="ALW8" s="128"/>
      <c r="ALX8" s="128"/>
      <c r="ALY8" s="128"/>
      <c r="ALZ8" s="128"/>
      <c r="AMA8" s="128"/>
      <c r="AMB8" s="128"/>
      <c r="AMC8" s="128"/>
      <c r="AMD8" s="128"/>
      <c r="AME8" s="128"/>
      <c r="AMF8" s="128"/>
      <c r="AMG8" s="128"/>
      <c r="AMH8" s="128"/>
      <c r="AMI8" s="128"/>
      <c r="AMJ8" s="128"/>
      <c r="AMK8" s="128"/>
      <c r="AML8" s="128"/>
      <c r="AMM8" s="128"/>
      <c r="AMN8" s="128"/>
      <c r="AMO8" s="128"/>
      <c r="AMP8" s="128"/>
      <c r="AMQ8" s="128"/>
      <c r="AMR8" s="128"/>
      <c r="AMS8" s="128"/>
      <c r="AMT8" s="128"/>
      <c r="AMU8" s="128"/>
      <c r="AMV8" s="128"/>
      <c r="AMW8" s="128"/>
      <c r="AMX8" s="128"/>
      <c r="AMY8" s="128"/>
      <c r="AMZ8" s="128"/>
      <c r="ANA8" s="128"/>
      <c r="ANB8" s="128"/>
      <c r="ANC8" s="128"/>
      <c r="AND8" s="128"/>
      <c r="ANE8" s="128"/>
      <c r="ANF8" s="128"/>
      <c r="ANG8" s="128"/>
      <c r="ANH8" s="128"/>
      <c r="ANI8" s="128"/>
      <c r="ANJ8" s="128"/>
      <c r="ANK8" s="128"/>
      <c r="ANL8" s="128"/>
      <c r="ANM8" s="128"/>
      <c r="ANN8" s="128"/>
      <c r="ANO8" s="128"/>
      <c r="ANP8" s="128"/>
      <c r="ANQ8" s="128"/>
      <c r="ANR8" s="128"/>
      <c r="ANS8" s="128"/>
      <c r="ANT8" s="128"/>
      <c r="ANU8" s="128"/>
      <c r="ANV8" s="128"/>
      <c r="ANW8" s="128"/>
      <c r="ANX8" s="128"/>
      <c r="ANY8" s="128"/>
      <c r="ANZ8" s="128"/>
      <c r="AOA8" s="128"/>
      <c r="AOB8" s="128"/>
      <c r="AOC8" s="128"/>
      <c r="AOD8" s="128"/>
      <c r="AOE8" s="128"/>
      <c r="AOF8" s="128"/>
      <c r="AOG8" s="128"/>
      <c r="AOS8" s="180"/>
      <c r="APF8" s="128"/>
      <c r="APG8" s="128"/>
      <c r="APH8" s="128"/>
      <c r="API8" s="128"/>
      <c r="APJ8" s="128"/>
      <c r="APK8" s="128"/>
      <c r="APL8" s="128"/>
      <c r="APM8" s="128"/>
      <c r="APN8" s="128"/>
      <c r="APO8" s="128"/>
      <c r="APP8" s="128"/>
      <c r="APQ8" s="128"/>
      <c r="APR8" s="128"/>
      <c r="APS8" s="128"/>
      <c r="APT8" s="128"/>
      <c r="APU8" s="128"/>
      <c r="APV8" s="128"/>
      <c r="APW8" s="128"/>
      <c r="APX8" s="128"/>
      <c r="APY8" s="128"/>
      <c r="APZ8" s="128"/>
      <c r="AQA8" s="128"/>
      <c r="AQB8" s="128"/>
      <c r="AQC8" s="128"/>
      <c r="AQD8" s="128"/>
      <c r="AQE8" s="128"/>
      <c r="AQF8" s="128"/>
      <c r="AQG8" s="128"/>
      <c r="AQH8" s="128"/>
      <c r="AQI8" s="128"/>
      <c r="AQJ8" s="128"/>
      <c r="AQK8" s="128"/>
      <c r="AQL8" s="128"/>
      <c r="AQM8" s="128"/>
      <c r="AQN8" s="128"/>
      <c r="AQO8" s="128"/>
      <c r="AQP8" s="128"/>
      <c r="AQQ8" s="128"/>
      <c r="AQR8" s="128"/>
      <c r="AQS8" s="128"/>
      <c r="AQT8" s="128"/>
      <c r="AQU8" s="128"/>
      <c r="AQV8" s="128"/>
      <c r="AQW8" s="128"/>
      <c r="AQX8" s="128"/>
      <c r="AQY8" s="128"/>
      <c r="AQZ8" s="128"/>
      <c r="ARA8" s="128"/>
      <c r="ARB8" s="128"/>
      <c r="ARC8" s="128"/>
      <c r="ARD8" s="128"/>
      <c r="ARE8" s="128"/>
      <c r="ARF8" s="128"/>
      <c r="ARG8" s="128"/>
      <c r="ARH8" s="128"/>
      <c r="ARI8" s="128"/>
      <c r="ARJ8" s="128"/>
      <c r="ARK8" s="128"/>
      <c r="ARL8" s="128"/>
      <c r="ARM8" s="128"/>
      <c r="ARN8" s="128"/>
      <c r="ARO8" s="128"/>
      <c r="ARP8" s="128"/>
      <c r="ARQ8" s="128"/>
      <c r="ARR8" s="128"/>
      <c r="ARS8" s="128"/>
      <c r="ART8" s="128"/>
      <c r="ARU8" s="128"/>
      <c r="ARV8" s="128"/>
      <c r="ARW8" s="128"/>
      <c r="ARX8" s="128"/>
      <c r="ARY8" s="128"/>
      <c r="ARZ8" s="128"/>
      <c r="ASA8" s="128"/>
      <c r="ASB8" s="128"/>
      <c r="ASC8" s="128"/>
      <c r="ASD8" s="128"/>
      <c r="ASE8" s="128"/>
      <c r="ASF8" s="128"/>
      <c r="ASG8" s="128"/>
      <c r="ASH8" s="128"/>
      <c r="ASI8" s="128"/>
      <c r="ASJ8" s="128"/>
      <c r="ASK8" s="128"/>
      <c r="ASL8" s="128"/>
      <c r="ASM8" s="128"/>
      <c r="ASN8" s="128"/>
      <c r="ASO8" s="128"/>
      <c r="ASP8" s="128"/>
      <c r="ASQ8" s="128"/>
      <c r="ASR8" s="128"/>
      <c r="ASS8" s="128"/>
      <c r="AST8" s="128"/>
      <c r="ASU8" s="128"/>
      <c r="ASV8" s="128"/>
      <c r="ASW8" s="128"/>
      <c r="ASX8" s="128"/>
      <c r="ASY8" s="128"/>
      <c r="ASZ8" s="128"/>
      <c r="ATA8" s="128"/>
      <c r="ATB8" s="128"/>
      <c r="ATC8" s="128"/>
      <c r="ATD8" s="128"/>
      <c r="ATE8" s="128"/>
      <c r="ATF8" s="128"/>
      <c r="ATG8" s="128"/>
      <c r="ATH8" s="128"/>
      <c r="ATI8" s="128"/>
      <c r="ATJ8" s="128"/>
      <c r="ATK8" s="128"/>
      <c r="ATL8" s="128"/>
      <c r="ATM8" s="128"/>
      <c r="ATN8" s="128"/>
      <c r="ATO8" s="128"/>
      <c r="ATP8" s="128"/>
      <c r="ATQ8" s="128"/>
      <c r="ATR8" s="128"/>
      <c r="ATS8" s="128"/>
      <c r="ATT8" s="128"/>
      <c r="ATU8" s="128"/>
      <c r="ATV8" s="128"/>
      <c r="ATW8" s="128"/>
      <c r="ATX8" s="128"/>
      <c r="ATY8" s="128"/>
      <c r="ATZ8" s="128"/>
      <c r="AUA8" s="128"/>
      <c r="AUB8" s="128"/>
      <c r="AUC8" s="128"/>
      <c r="AUD8" s="128"/>
      <c r="AUE8" s="128"/>
      <c r="AUF8" s="128"/>
      <c r="AUG8" s="128"/>
      <c r="AUH8" s="128"/>
      <c r="AUI8" s="128"/>
      <c r="AUJ8" s="128"/>
      <c r="AUK8" s="128"/>
      <c r="AUL8" s="128"/>
      <c r="AUM8" s="128"/>
      <c r="AUN8" s="128"/>
      <c r="AUO8" s="128"/>
      <c r="AUP8" s="128"/>
      <c r="AUQ8" s="128"/>
      <c r="AUR8" s="128"/>
      <c r="AUS8" s="128"/>
      <c r="AUT8" s="128"/>
      <c r="AUU8" s="128"/>
      <c r="AUV8" s="128"/>
      <c r="AUW8" s="128"/>
      <c r="AUX8" s="128"/>
      <c r="AUY8" s="128"/>
      <c r="AUZ8" s="128"/>
      <c r="AVA8" s="128"/>
      <c r="AVB8" s="128"/>
      <c r="AVC8" s="128"/>
      <c r="AVD8" s="128"/>
      <c r="AVE8" s="128"/>
      <c r="AVF8" s="128"/>
      <c r="AVG8" s="128"/>
      <c r="AVH8" s="128"/>
      <c r="AVJ8" s="129"/>
      <c r="AVK8" s="129"/>
      <c r="AVL8" s="129"/>
      <c r="AVM8" s="129"/>
      <c r="AVN8" s="129"/>
      <c r="AVO8" s="129"/>
      <c r="AVP8" s="129"/>
      <c r="AVQ8" s="129"/>
      <c r="AVR8" s="129"/>
      <c r="AVS8" s="129"/>
      <c r="AVT8" s="129"/>
      <c r="AVU8" s="180"/>
      <c r="AVV8" s="129"/>
      <c r="AVW8" s="129"/>
      <c r="AVX8" s="129"/>
      <c r="AVY8" s="129"/>
      <c r="AVZ8" s="129"/>
      <c r="AWA8" s="129"/>
      <c r="AWB8" s="129"/>
      <c r="AWC8" s="129"/>
      <c r="AWD8" s="129"/>
      <c r="AWE8" s="129"/>
      <c r="AWF8" s="129"/>
      <c r="AWG8" s="129"/>
    </row>
    <row r="9" spans="1:1297" s="174" customFormat="1" ht="38.25" outlineLevel="1">
      <c r="A9" s="137" t="s">
        <v>187</v>
      </c>
      <c r="B9" s="139" t="s">
        <v>191</v>
      </c>
      <c r="C9" s="139" t="s">
        <v>192</v>
      </c>
      <c r="D9" s="139" t="s">
        <v>193</v>
      </c>
      <c r="E9" s="137">
        <v>20</v>
      </c>
      <c r="F9" s="136" t="s">
        <v>85</v>
      </c>
      <c r="G9" s="136" t="s">
        <v>11</v>
      </c>
      <c r="H9" s="136" t="s">
        <v>13</v>
      </c>
      <c r="I9" s="136" t="s">
        <v>13</v>
      </c>
      <c r="J9" s="136" t="s">
        <v>13</v>
      </c>
      <c r="K9" s="136" t="s">
        <v>366</v>
      </c>
      <c r="L9" s="136" t="s">
        <v>366</v>
      </c>
      <c r="M9" s="136"/>
      <c r="N9" s="136" t="s">
        <v>366</v>
      </c>
      <c r="O9" s="136"/>
      <c r="P9" s="172">
        <v>4500</v>
      </c>
      <c r="Q9" s="172">
        <v>4000</v>
      </c>
      <c r="R9" s="172">
        <v>5500</v>
      </c>
      <c r="S9" s="172">
        <v>6500</v>
      </c>
      <c r="T9" s="172">
        <v>6500</v>
      </c>
      <c r="U9" s="174">
        <v>3500</v>
      </c>
      <c r="V9" s="174">
        <v>4000</v>
      </c>
      <c r="W9" s="174">
        <v>4500</v>
      </c>
      <c r="X9" s="174">
        <v>4000</v>
      </c>
      <c r="Y9" s="174">
        <v>5500</v>
      </c>
      <c r="Z9" s="179">
        <v>6500</v>
      </c>
      <c r="AA9" s="174">
        <v>5500</v>
      </c>
      <c r="AB9" s="179">
        <v>6500</v>
      </c>
      <c r="AC9" s="174">
        <v>6000</v>
      </c>
      <c r="AD9" s="174">
        <v>6000</v>
      </c>
      <c r="AE9" s="174">
        <v>3500</v>
      </c>
      <c r="AF9" s="174">
        <v>5500</v>
      </c>
      <c r="AG9" s="174">
        <v>6500</v>
      </c>
      <c r="AH9" s="174">
        <v>3000</v>
      </c>
      <c r="AI9" s="174">
        <v>4000</v>
      </c>
      <c r="AJ9" s="174">
        <v>4000</v>
      </c>
      <c r="AK9" s="174">
        <v>3500</v>
      </c>
      <c r="AL9" s="174">
        <v>3500</v>
      </c>
      <c r="AM9" s="174">
        <v>4250</v>
      </c>
      <c r="AN9" s="174">
        <v>6500</v>
      </c>
      <c r="AO9" s="174">
        <v>6500</v>
      </c>
      <c r="AP9" s="172">
        <v>6500</v>
      </c>
      <c r="AQ9" s="172">
        <v>6500</v>
      </c>
      <c r="AR9" s="172">
        <v>5500</v>
      </c>
      <c r="AS9" s="172">
        <v>5500</v>
      </c>
      <c r="AT9" s="172">
        <v>5500</v>
      </c>
      <c r="AU9" s="172">
        <v>5500</v>
      </c>
      <c r="AV9" s="172">
        <v>5500</v>
      </c>
      <c r="AW9" s="172">
        <v>5500</v>
      </c>
      <c r="AY9" s="172">
        <v>3000</v>
      </c>
      <c r="AZ9" s="172">
        <v>3000</v>
      </c>
      <c r="BA9" s="172">
        <v>4500</v>
      </c>
      <c r="BB9" s="172">
        <v>5000</v>
      </c>
      <c r="BC9" s="172">
        <v>5000</v>
      </c>
      <c r="BD9" s="172">
        <v>4000</v>
      </c>
      <c r="BE9" s="172">
        <v>5500</v>
      </c>
      <c r="BF9" s="172">
        <v>6500</v>
      </c>
      <c r="BG9" s="172">
        <v>4000</v>
      </c>
      <c r="BH9" s="172">
        <v>4000</v>
      </c>
      <c r="BI9" s="172">
        <v>5500</v>
      </c>
      <c r="BJ9" s="172">
        <v>5500</v>
      </c>
      <c r="BK9" s="172">
        <v>6500</v>
      </c>
      <c r="BL9" s="172">
        <v>4500</v>
      </c>
      <c r="BM9" s="172">
        <v>4500</v>
      </c>
      <c r="BN9" s="172">
        <v>6000</v>
      </c>
      <c r="BO9" s="172">
        <v>6000</v>
      </c>
      <c r="BP9" s="172">
        <v>7000</v>
      </c>
      <c r="BQ9" s="172">
        <v>7000</v>
      </c>
      <c r="BR9" s="174">
        <v>4200</v>
      </c>
      <c r="BS9" s="174">
        <v>4200</v>
      </c>
      <c r="BT9" s="174">
        <v>6800</v>
      </c>
      <c r="BU9" s="174">
        <v>6800</v>
      </c>
      <c r="BV9" s="174">
        <v>4200</v>
      </c>
      <c r="BW9" s="174">
        <v>4200</v>
      </c>
      <c r="BY9" s="174">
        <v>2600</v>
      </c>
      <c r="BZ9" s="174">
        <v>2600</v>
      </c>
      <c r="CA9" s="174">
        <v>3500</v>
      </c>
      <c r="CB9" s="174">
        <v>4250</v>
      </c>
      <c r="CC9" s="174">
        <v>4250</v>
      </c>
      <c r="CD9" s="174">
        <v>4250</v>
      </c>
      <c r="CE9" s="174">
        <v>4750</v>
      </c>
      <c r="CF9" s="174">
        <v>4750</v>
      </c>
      <c r="CG9" s="174">
        <v>4750</v>
      </c>
      <c r="CH9" s="174">
        <v>4500</v>
      </c>
      <c r="CI9" s="174">
        <v>4500</v>
      </c>
      <c r="CJ9" s="174">
        <v>6000</v>
      </c>
      <c r="CK9" s="174">
        <v>6000</v>
      </c>
      <c r="CL9" s="174">
        <v>6500</v>
      </c>
      <c r="CM9" s="174">
        <v>6500</v>
      </c>
      <c r="CN9" s="174">
        <v>6500</v>
      </c>
      <c r="CO9" s="174">
        <v>7000</v>
      </c>
      <c r="CP9" s="174">
        <v>7000</v>
      </c>
      <c r="CQ9" s="174">
        <v>7000</v>
      </c>
      <c r="CR9" s="174">
        <v>7000</v>
      </c>
      <c r="CS9" s="174">
        <v>7000</v>
      </c>
      <c r="CT9" s="174">
        <v>6500</v>
      </c>
      <c r="CU9" s="174">
        <v>7000</v>
      </c>
      <c r="CW9" s="174">
        <v>3000</v>
      </c>
      <c r="CX9" s="174">
        <v>3000</v>
      </c>
      <c r="CY9" s="174">
        <v>4500</v>
      </c>
      <c r="CZ9" s="174">
        <v>4000</v>
      </c>
      <c r="DA9" s="174">
        <v>5500</v>
      </c>
      <c r="DB9" s="174">
        <v>4500</v>
      </c>
      <c r="DC9" s="174">
        <v>4500</v>
      </c>
      <c r="DD9" s="174">
        <v>6000</v>
      </c>
      <c r="DE9" s="179">
        <v>6500</v>
      </c>
      <c r="DF9" s="179">
        <v>6500</v>
      </c>
      <c r="DG9" s="174">
        <v>2600</v>
      </c>
      <c r="DH9" s="174">
        <v>2600</v>
      </c>
      <c r="DI9" s="174">
        <v>3500</v>
      </c>
      <c r="DJ9" s="174">
        <v>3100</v>
      </c>
      <c r="DK9" s="174">
        <v>3100</v>
      </c>
      <c r="DL9" s="174">
        <v>4000</v>
      </c>
      <c r="DM9" s="174">
        <v>4000</v>
      </c>
      <c r="DN9" s="174">
        <v>4500</v>
      </c>
      <c r="DO9" s="174">
        <v>4500</v>
      </c>
      <c r="DP9" s="174">
        <v>6000</v>
      </c>
      <c r="DQ9" s="174">
        <v>6000</v>
      </c>
      <c r="DR9" s="174">
        <v>5000</v>
      </c>
      <c r="DS9" s="174">
        <v>5000</v>
      </c>
      <c r="DU9" s="174">
        <v>4500</v>
      </c>
      <c r="DV9" s="174">
        <v>4500</v>
      </c>
      <c r="DW9" s="174">
        <v>5500</v>
      </c>
      <c r="DX9" s="174">
        <v>5500</v>
      </c>
      <c r="DY9" s="174">
        <v>5500</v>
      </c>
      <c r="DZ9" s="174">
        <v>6000</v>
      </c>
      <c r="EA9" s="174">
        <v>6000</v>
      </c>
      <c r="EB9" s="174">
        <v>6000</v>
      </c>
      <c r="EC9" s="174">
        <v>3500</v>
      </c>
      <c r="ED9" s="174">
        <v>5000</v>
      </c>
      <c r="EE9" s="174">
        <v>6500</v>
      </c>
      <c r="EF9" s="174">
        <v>5500</v>
      </c>
      <c r="EG9" s="174">
        <v>7000</v>
      </c>
      <c r="EZ9" s="174">
        <v>2600</v>
      </c>
      <c r="FA9" s="174">
        <v>2600</v>
      </c>
      <c r="FB9" s="174">
        <v>3300</v>
      </c>
      <c r="FC9" s="174">
        <v>3300</v>
      </c>
      <c r="FD9" s="174">
        <v>3600</v>
      </c>
      <c r="FE9" s="174">
        <v>3600</v>
      </c>
      <c r="FF9" s="174">
        <v>3000</v>
      </c>
      <c r="FG9" s="174">
        <v>3000</v>
      </c>
      <c r="FH9" s="174">
        <v>4000</v>
      </c>
      <c r="FI9" s="174">
        <v>4000</v>
      </c>
      <c r="FJ9" s="174">
        <v>4500</v>
      </c>
      <c r="FK9" s="174">
        <v>4500</v>
      </c>
      <c r="FL9" s="174">
        <v>3500</v>
      </c>
      <c r="FM9" s="174">
        <v>3500</v>
      </c>
      <c r="FN9" s="174">
        <v>3800</v>
      </c>
      <c r="FO9" s="174">
        <v>3800</v>
      </c>
      <c r="FP9" s="174">
        <v>4000</v>
      </c>
      <c r="FR9" s="174">
        <v>7500</v>
      </c>
      <c r="FS9" s="174">
        <v>7500</v>
      </c>
      <c r="FT9" s="174">
        <v>8000</v>
      </c>
      <c r="FU9" s="174">
        <v>8000</v>
      </c>
      <c r="FW9" s="174">
        <v>6500</v>
      </c>
      <c r="FX9" s="174">
        <v>6500</v>
      </c>
      <c r="FY9" s="174">
        <v>7000</v>
      </c>
      <c r="FZ9" s="174">
        <v>7000</v>
      </c>
      <c r="GA9" s="174">
        <v>7300</v>
      </c>
      <c r="GB9" s="174">
        <v>7300</v>
      </c>
      <c r="GC9" s="174">
        <v>8000</v>
      </c>
      <c r="GD9" s="174">
        <v>8000</v>
      </c>
      <c r="GE9" s="174">
        <v>8400</v>
      </c>
      <c r="GF9" s="174">
        <v>8400</v>
      </c>
      <c r="GG9" s="174">
        <v>8800</v>
      </c>
      <c r="GH9" s="174">
        <v>8800</v>
      </c>
      <c r="GI9" s="174">
        <v>9500</v>
      </c>
      <c r="GJ9" s="174">
        <v>9500</v>
      </c>
      <c r="GL9" s="174">
        <v>4250</v>
      </c>
      <c r="GM9" s="174">
        <v>4250</v>
      </c>
      <c r="GN9" s="174">
        <v>4250</v>
      </c>
      <c r="GO9" s="174">
        <v>6500</v>
      </c>
      <c r="GP9" s="174">
        <v>4250</v>
      </c>
      <c r="GR9" s="172">
        <v>3000</v>
      </c>
      <c r="GS9" s="172">
        <v>4500</v>
      </c>
      <c r="GT9" s="172">
        <v>5000</v>
      </c>
      <c r="GU9" s="172">
        <v>4000</v>
      </c>
      <c r="GV9" s="172">
        <v>5500</v>
      </c>
      <c r="GW9" s="172">
        <v>6500</v>
      </c>
      <c r="GX9" s="172">
        <v>3000</v>
      </c>
      <c r="GY9" s="172">
        <v>4500</v>
      </c>
      <c r="GZ9" s="172">
        <v>5000</v>
      </c>
      <c r="HA9" s="172">
        <v>4000</v>
      </c>
      <c r="HB9" s="172">
        <v>5500</v>
      </c>
      <c r="HC9" s="172">
        <v>6500</v>
      </c>
      <c r="HD9" s="172">
        <v>4000</v>
      </c>
      <c r="HE9" s="172">
        <v>5500</v>
      </c>
      <c r="HF9" s="172">
        <v>6500</v>
      </c>
      <c r="HH9" s="172">
        <v>3000</v>
      </c>
      <c r="HI9" s="172">
        <v>4500</v>
      </c>
      <c r="HJ9" s="172">
        <v>5000</v>
      </c>
      <c r="HK9" s="172">
        <v>4000</v>
      </c>
      <c r="HL9" s="172">
        <v>5500</v>
      </c>
      <c r="HM9" s="172">
        <v>6500</v>
      </c>
      <c r="HN9" s="172">
        <v>4000</v>
      </c>
      <c r="HO9" s="172">
        <v>5500</v>
      </c>
      <c r="HP9" s="172">
        <v>6500</v>
      </c>
      <c r="HS9" s="172">
        <v>3000</v>
      </c>
      <c r="HT9" s="172"/>
      <c r="HU9" s="172"/>
      <c r="HV9" s="172"/>
      <c r="HW9" s="172"/>
      <c r="HX9" s="172"/>
      <c r="HY9" s="172"/>
      <c r="HZ9" s="172"/>
      <c r="IA9" s="172"/>
      <c r="IB9" s="172"/>
      <c r="IC9" s="172"/>
      <c r="ID9" s="172"/>
      <c r="IE9" s="172">
        <v>2600</v>
      </c>
      <c r="IF9" s="172">
        <v>3000</v>
      </c>
      <c r="IG9" s="172">
        <v>4000</v>
      </c>
      <c r="IH9" s="172">
        <v>3000</v>
      </c>
      <c r="II9" s="172">
        <v>3000</v>
      </c>
      <c r="IJ9" s="172">
        <v>3000</v>
      </c>
      <c r="IK9" s="172">
        <v>3000</v>
      </c>
      <c r="IL9" s="172">
        <v>3000</v>
      </c>
      <c r="IM9" s="172">
        <v>2400</v>
      </c>
      <c r="IN9" s="172">
        <v>3000</v>
      </c>
      <c r="IO9" s="172">
        <v>4000</v>
      </c>
      <c r="IP9" s="172">
        <v>3000</v>
      </c>
      <c r="IQ9" s="172">
        <v>3000</v>
      </c>
      <c r="IR9" s="172">
        <v>3000</v>
      </c>
      <c r="IS9" s="172">
        <v>3000</v>
      </c>
      <c r="IT9" s="172"/>
      <c r="IU9" s="172">
        <v>2400</v>
      </c>
      <c r="IV9" s="172"/>
      <c r="IW9" s="172"/>
      <c r="IX9" s="172"/>
      <c r="IY9" s="172"/>
      <c r="IZ9" s="172"/>
      <c r="JA9" s="172"/>
      <c r="JB9" s="172"/>
      <c r="JC9" s="172"/>
      <c r="JD9" s="172"/>
      <c r="JE9" s="172"/>
      <c r="JF9" s="172">
        <v>2400</v>
      </c>
      <c r="JG9" s="172">
        <v>3000</v>
      </c>
      <c r="JH9" s="172">
        <v>4000</v>
      </c>
      <c r="JI9" s="172"/>
      <c r="JJ9" s="172"/>
      <c r="JK9" s="172"/>
      <c r="JL9" s="172"/>
      <c r="JM9" s="172">
        <v>4000</v>
      </c>
      <c r="JN9" s="172">
        <v>4400</v>
      </c>
      <c r="JO9" s="172">
        <v>4400</v>
      </c>
      <c r="JP9" s="172">
        <v>2600</v>
      </c>
      <c r="JQ9" s="172">
        <v>3000</v>
      </c>
      <c r="JR9" s="172">
        <v>4250</v>
      </c>
      <c r="JS9" s="172"/>
      <c r="JT9" s="172"/>
      <c r="JU9" s="172">
        <v>4250</v>
      </c>
      <c r="JV9" s="172">
        <v>5000</v>
      </c>
      <c r="JW9" s="172">
        <v>5000</v>
      </c>
      <c r="JX9" s="172">
        <v>3000</v>
      </c>
      <c r="JY9" s="172">
        <v>3000</v>
      </c>
      <c r="JZ9" s="172">
        <v>3000</v>
      </c>
      <c r="KA9" s="172">
        <v>3000</v>
      </c>
      <c r="KB9" s="172">
        <v>3000</v>
      </c>
      <c r="KC9" s="172">
        <v>4750</v>
      </c>
      <c r="KD9" s="172"/>
      <c r="KE9" s="172">
        <v>2400</v>
      </c>
      <c r="KF9" s="172">
        <v>2400</v>
      </c>
      <c r="KG9" s="172">
        <v>3000</v>
      </c>
      <c r="KH9" s="172"/>
      <c r="KI9" s="172"/>
      <c r="KJ9" s="172">
        <v>3000</v>
      </c>
      <c r="KK9" s="172">
        <v>2600</v>
      </c>
      <c r="KL9" s="172">
        <v>2600</v>
      </c>
      <c r="KM9" s="172">
        <v>3500</v>
      </c>
      <c r="KN9" s="172"/>
      <c r="KO9" s="172"/>
      <c r="KP9" s="172">
        <v>3500</v>
      </c>
      <c r="KQ9" s="172"/>
      <c r="KR9" s="172"/>
      <c r="KS9" s="172"/>
      <c r="KT9" s="172"/>
      <c r="KU9" s="172"/>
      <c r="KV9" s="172"/>
      <c r="KW9" s="172"/>
      <c r="KX9" s="172"/>
      <c r="KY9" s="172"/>
      <c r="KZ9" s="172"/>
      <c r="LA9" s="172"/>
      <c r="LB9" s="172"/>
      <c r="LC9" s="172"/>
      <c r="LD9" s="172"/>
      <c r="LE9" s="172"/>
      <c r="LF9" s="172"/>
      <c r="LG9" s="172"/>
      <c r="LH9" s="172"/>
      <c r="LI9" s="172"/>
      <c r="LJ9" s="172"/>
      <c r="LK9" s="177"/>
      <c r="LL9" s="177"/>
      <c r="LM9" s="177"/>
      <c r="LN9" s="177"/>
      <c r="LO9" s="177"/>
      <c r="LP9" s="172"/>
      <c r="LQ9" s="172"/>
      <c r="LR9" s="172"/>
      <c r="LS9" s="172"/>
      <c r="LT9" s="172"/>
      <c r="LU9" s="177"/>
      <c r="LV9" s="177"/>
      <c r="LW9" s="177"/>
      <c r="LX9" s="177"/>
      <c r="LY9" s="177"/>
      <c r="LZ9" s="177"/>
      <c r="MA9" s="177"/>
      <c r="MB9" s="177"/>
      <c r="MC9" s="177"/>
      <c r="MD9" s="177"/>
      <c r="ME9" s="177"/>
      <c r="MF9" s="177"/>
      <c r="MG9" s="177"/>
      <c r="MH9" s="172"/>
      <c r="MI9" s="172"/>
      <c r="MJ9" s="172"/>
      <c r="MK9" s="172"/>
      <c r="ML9" s="172"/>
      <c r="MM9" s="172"/>
      <c r="MN9" s="172"/>
      <c r="MO9" s="172"/>
      <c r="MP9" s="172"/>
      <c r="MQ9" s="176"/>
      <c r="MR9" s="176"/>
      <c r="MS9" s="176"/>
      <c r="MT9" s="176"/>
      <c r="MU9" s="176"/>
      <c r="MV9" s="176"/>
      <c r="MW9" s="176"/>
      <c r="MX9" s="176"/>
      <c r="MY9" s="176"/>
      <c r="MZ9" s="172"/>
      <c r="NA9" s="172"/>
      <c r="NB9" s="177"/>
      <c r="NC9" s="177"/>
      <c r="ND9" s="177"/>
      <c r="NE9" s="177"/>
      <c r="NF9" s="177"/>
      <c r="NG9" s="172"/>
      <c r="NH9" s="172"/>
      <c r="NI9" s="172"/>
      <c r="NJ9" s="172"/>
      <c r="NK9" s="172"/>
      <c r="NL9" s="176"/>
      <c r="NM9" s="176"/>
      <c r="NN9" s="176"/>
      <c r="NO9" s="176"/>
      <c r="NP9" s="176"/>
      <c r="NQ9" s="172"/>
      <c r="NR9" s="172"/>
      <c r="NS9" s="172">
        <v>2400</v>
      </c>
      <c r="NT9" s="172">
        <v>3000</v>
      </c>
      <c r="NU9" s="172">
        <v>4000</v>
      </c>
      <c r="NV9" s="172">
        <v>2600</v>
      </c>
      <c r="NW9" s="172">
        <v>3000</v>
      </c>
      <c r="NX9" s="172">
        <v>4250</v>
      </c>
      <c r="NY9" s="172">
        <v>2400</v>
      </c>
      <c r="NZ9" s="172">
        <v>3000</v>
      </c>
      <c r="OA9" s="172">
        <v>4000</v>
      </c>
      <c r="OB9" s="172">
        <v>2600</v>
      </c>
      <c r="OC9" s="172">
        <v>3000</v>
      </c>
      <c r="OD9" s="172">
        <v>4250</v>
      </c>
      <c r="OE9" s="172"/>
      <c r="OF9" s="172">
        <v>2400</v>
      </c>
      <c r="OG9" s="172">
        <v>3000</v>
      </c>
      <c r="OH9" s="172">
        <v>4000</v>
      </c>
      <c r="OI9" s="172">
        <v>2600</v>
      </c>
      <c r="OJ9" s="172">
        <v>3000</v>
      </c>
      <c r="OK9" s="172">
        <v>4250</v>
      </c>
      <c r="OL9" s="172">
        <v>2600</v>
      </c>
      <c r="OM9" s="172">
        <v>3000</v>
      </c>
      <c r="ON9" s="172">
        <v>4250</v>
      </c>
      <c r="OO9" s="172"/>
      <c r="OQ9" s="129"/>
      <c r="OR9" s="129"/>
      <c r="OS9" s="129"/>
      <c r="OT9" s="129"/>
      <c r="OU9" s="129"/>
      <c r="OV9" s="129"/>
      <c r="OW9" s="129"/>
      <c r="OX9" s="129"/>
      <c r="OY9" s="129"/>
      <c r="OZ9" s="129"/>
      <c r="PA9" s="129"/>
      <c r="PB9" s="129"/>
      <c r="PC9" s="129"/>
      <c r="PD9" s="129"/>
      <c r="PE9" s="129"/>
      <c r="PF9" s="129"/>
      <c r="PG9" s="129"/>
      <c r="PH9" s="129"/>
      <c r="PI9" s="129"/>
      <c r="PJ9" s="129"/>
      <c r="PK9" s="129"/>
      <c r="PL9" s="129"/>
      <c r="PM9" s="129"/>
      <c r="PN9" s="129"/>
      <c r="PO9" s="129"/>
      <c r="PP9" s="129"/>
      <c r="PQ9" s="129"/>
      <c r="PR9" s="129"/>
      <c r="PS9" s="129"/>
      <c r="PT9" s="129"/>
      <c r="PU9" s="129"/>
      <c r="PV9" s="129"/>
      <c r="PW9" s="129"/>
      <c r="PX9" s="129"/>
      <c r="PY9" s="129"/>
      <c r="PZ9" s="129"/>
      <c r="QA9" s="129"/>
      <c r="QB9" s="129"/>
      <c r="QC9" s="129"/>
      <c r="QD9" s="129"/>
      <c r="QE9" s="129"/>
      <c r="QF9" s="129"/>
      <c r="QG9" s="129"/>
      <c r="QH9" s="129"/>
      <c r="QI9" s="129"/>
      <c r="QJ9" s="129"/>
      <c r="QK9" s="129"/>
      <c r="QL9" s="129"/>
      <c r="QM9" s="129"/>
      <c r="QN9" s="129"/>
      <c r="QO9" s="129"/>
      <c r="QP9" s="129"/>
      <c r="QQ9" s="129"/>
      <c r="QR9" s="129"/>
      <c r="QS9" s="129"/>
      <c r="QT9" s="129"/>
      <c r="QU9" s="129"/>
      <c r="QV9" s="129"/>
      <c r="QW9" s="129"/>
      <c r="QX9" s="129"/>
      <c r="QY9" s="129"/>
      <c r="QZ9" s="129"/>
      <c r="RA9" s="129"/>
      <c r="RB9" s="129"/>
      <c r="RC9" s="129"/>
      <c r="RD9" s="129"/>
      <c r="RE9" s="129"/>
      <c r="RF9" s="129"/>
      <c r="RG9" s="129"/>
      <c r="RH9" s="129"/>
      <c r="RI9" s="129"/>
      <c r="RJ9" s="129"/>
      <c r="RK9" s="129"/>
      <c r="RL9" s="129"/>
      <c r="RM9" s="129"/>
      <c r="RN9" s="129"/>
      <c r="RO9" s="129"/>
      <c r="RP9" s="129"/>
      <c r="RQ9" s="134"/>
      <c r="RR9" s="134"/>
      <c r="RS9" s="134"/>
      <c r="RT9" s="134"/>
      <c r="RU9" s="129"/>
      <c r="RV9" s="129"/>
      <c r="RW9" s="129"/>
      <c r="RX9" s="129"/>
      <c r="RY9" s="129"/>
      <c r="RZ9" s="129"/>
      <c r="SA9" s="129"/>
      <c r="SB9" s="129"/>
      <c r="SC9" s="129"/>
      <c r="SD9" s="129"/>
      <c r="SE9" s="129"/>
      <c r="SF9" s="129"/>
      <c r="SG9" s="129"/>
      <c r="SH9" s="129"/>
      <c r="SI9" s="129"/>
      <c r="SJ9" s="129"/>
      <c r="SK9" s="129"/>
      <c r="SL9" s="129"/>
      <c r="SM9" s="129"/>
      <c r="SN9" s="129"/>
      <c r="SO9" s="129"/>
      <c r="SP9" s="129"/>
      <c r="SQ9" s="129"/>
      <c r="SR9" s="129"/>
      <c r="SS9" s="129"/>
      <c r="ST9" s="129"/>
      <c r="SU9" s="129"/>
      <c r="SV9" s="129"/>
      <c r="SW9" s="129"/>
      <c r="SX9" s="129"/>
      <c r="SY9" s="129"/>
      <c r="SZ9" s="129"/>
      <c r="TA9" s="129"/>
      <c r="TB9" s="129"/>
      <c r="TC9" s="129"/>
      <c r="TD9" s="133"/>
      <c r="TE9" s="132"/>
      <c r="TF9" s="132"/>
      <c r="TG9" s="129"/>
      <c r="TH9" s="129"/>
      <c r="TI9" s="129"/>
      <c r="TJ9" s="129"/>
      <c r="TK9" s="129"/>
      <c r="TL9" s="129"/>
      <c r="TM9" s="129"/>
      <c r="TN9" s="129"/>
      <c r="TO9" s="129"/>
      <c r="TP9" s="129"/>
      <c r="TQ9" s="129"/>
      <c r="TR9" s="129"/>
      <c r="TS9" s="129"/>
      <c r="TT9" s="129"/>
      <c r="TU9" s="129"/>
      <c r="TV9" s="129"/>
      <c r="TW9" s="129"/>
      <c r="TX9" s="132"/>
      <c r="TY9" s="132"/>
      <c r="TZ9" s="132"/>
      <c r="UA9" s="129"/>
      <c r="UB9" s="129"/>
      <c r="UC9" s="129"/>
      <c r="UD9" s="129"/>
      <c r="UE9" s="129"/>
      <c r="UF9" s="129"/>
      <c r="UG9" s="129"/>
      <c r="UH9" s="129"/>
      <c r="UI9" s="129"/>
      <c r="UJ9" s="129"/>
      <c r="UK9" s="129"/>
      <c r="UL9" s="129"/>
      <c r="UM9" s="129"/>
      <c r="UN9" s="129"/>
      <c r="UO9" s="129"/>
      <c r="UP9" s="129"/>
      <c r="UQ9" s="129"/>
      <c r="UR9" s="129"/>
      <c r="US9" s="129"/>
      <c r="UT9" s="129"/>
      <c r="UU9" s="129"/>
      <c r="UV9" s="129"/>
      <c r="UW9" s="129"/>
      <c r="UX9" s="129"/>
      <c r="UY9" s="129"/>
      <c r="UZ9" s="129"/>
      <c r="VA9" s="129"/>
      <c r="VB9" s="129"/>
      <c r="VC9" s="129"/>
      <c r="VD9" s="129"/>
      <c r="VE9" s="129"/>
      <c r="VF9" s="129"/>
      <c r="VG9" s="129"/>
      <c r="VH9" s="129"/>
      <c r="VI9" s="129"/>
      <c r="VJ9" s="129"/>
      <c r="VK9" s="129"/>
      <c r="VL9" s="132"/>
      <c r="VM9" s="132"/>
      <c r="VN9" s="132"/>
      <c r="VO9" s="132"/>
      <c r="VP9" s="129"/>
      <c r="VR9" s="131"/>
      <c r="VS9" s="131"/>
      <c r="VT9" s="131"/>
      <c r="VU9" s="131"/>
      <c r="VV9" s="131"/>
      <c r="VW9" s="131"/>
      <c r="VX9" s="131"/>
      <c r="VY9" s="131"/>
      <c r="VZ9" s="131"/>
      <c r="WA9" s="131"/>
      <c r="WB9" s="131"/>
      <c r="WC9" s="131"/>
      <c r="WD9" s="131"/>
      <c r="WE9" s="131"/>
      <c r="WF9" s="131"/>
      <c r="WG9" s="131"/>
      <c r="WH9" s="131"/>
      <c r="WI9" s="131"/>
      <c r="WJ9" s="131"/>
      <c r="WK9" s="131"/>
      <c r="WL9" s="131"/>
      <c r="WM9" s="131"/>
      <c r="WN9" s="131"/>
      <c r="WO9" s="131"/>
      <c r="WP9" s="131"/>
      <c r="WQ9" s="131"/>
      <c r="WR9" s="131"/>
      <c r="WS9" s="131"/>
      <c r="WT9" s="131"/>
      <c r="WU9" s="131"/>
      <c r="WV9" s="131"/>
      <c r="WW9" s="131"/>
      <c r="WX9" s="131"/>
      <c r="WY9" s="131"/>
      <c r="WZ9" s="131"/>
      <c r="XA9" s="131"/>
      <c r="XB9" s="131"/>
      <c r="XC9" s="131"/>
      <c r="XD9" s="131"/>
      <c r="XE9" s="131"/>
      <c r="XF9" s="131"/>
      <c r="XG9" s="131"/>
      <c r="XH9" s="131"/>
      <c r="XI9" s="131"/>
      <c r="XJ9" s="131"/>
      <c r="XK9" s="131"/>
      <c r="XL9" s="131"/>
      <c r="XM9" s="131"/>
      <c r="XN9" s="131"/>
      <c r="XO9" s="131"/>
      <c r="XP9" s="131"/>
      <c r="XQ9" s="131"/>
      <c r="XR9" s="131"/>
      <c r="XS9" s="131"/>
      <c r="XT9" s="131"/>
      <c r="XU9" s="131"/>
      <c r="XV9" s="131"/>
      <c r="XW9" s="131"/>
      <c r="XX9" s="131"/>
      <c r="XY9" s="131"/>
      <c r="XZ9" s="131"/>
      <c r="YA9" s="131"/>
      <c r="YB9" s="131"/>
      <c r="YC9" s="131"/>
      <c r="YD9" s="131"/>
      <c r="YE9" s="131"/>
      <c r="YF9" s="131"/>
      <c r="YG9" s="131"/>
      <c r="YH9" s="131"/>
      <c r="YI9" s="131"/>
      <c r="YJ9" s="131"/>
      <c r="YK9" s="131"/>
      <c r="YL9" s="131"/>
      <c r="YM9" s="131"/>
      <c r="YN9" s="131"/>
      <c r="YO9" s="131"/>
      <c r="YP9" s="131"/>
      <c r="YQ9" s="131"/>
      <c r="YR9" s="131"/>
      <c r="YS9" s="131"/>
      <c r="YT9" s="131"/>
      <c r="YU9" s="131"/>
      <c r="YV9" s="131"/>
      <c r="YW9" s="131"/>
      <c r="YX9" s="131"/>
      <c r="YY9" s="131"/>
      <c r="YZ9" s="131"/>
      <c r="ZA9" s="131"/>
      <c r="ZB9" s="131"/>
      <c r="ZC9" s="131"/>
      <c r="ZD9" s="131"/>
      <c r="ZE9" s="131"/>
      <c r="ZF9" s="131"/>
      <c r="ZG9" s="131"/>
      <c r="ZH9" s="131"/>
      <c r="ZI9" s="131"/>
      <c r="ZJ9" s="131"/>
      <c r="ZK9" s="131"/>
      <c r="ZL9" s="131"/>
      <c r="ZM9" s="131"/>
      <c r="ZN9" s="131"/>
      <c r="ZO9" s="131"/>
      <c r="ZP9" s="131"/>
      <c r="ZQ9" s="131"/>
      <c r="ZR9" s="131"/>
      <c r="ZS9" s="131"/>
      <c r="ZT9" s="131"/>
      <c r="ZU9" s="131"/>
      <c r="ZV9" s="131"/>
      <c r="ZW9" s="131"/>
      <c r="ZX9" s="131"/>
      <c r="ZY9" s="131"/>
      <c r="ZZ9" s="131"/>
      <c r="AAA9" s="131"/>
      <c r="AAB9" s="131"/>
      <c r="AAC9" s="131"/>
      <c r="AAD9" s="131"/>
      <c r="AAE9" s="131"/>
      <c r="AAF9" s="131"/>
      <c r="AAG9" s="131"/>
      <c r="AAH9" s="131"/>
      <c r="AAJ9" s="131"/>
      <c r="AAK9" s="131"/>
      <c r="AAL9" s="131"/>
      <c r="AAM9" s="131"/>
      <c r="AAN9" s="131"/>
      <c r="AAO9" s="131"/>
      <c r="AAP9" s="131"/>
      <c r="AAQ9" s="131"/>
      <c r="AAR9" s="131"/>
      <c r="AAS9" s="131"/>
      <c r="AAT9" s="131"/>
      <c r="AAU9" s="131"/>
      <c r="AAV9" s="131"/>
      <c r="AAW9" s="131"/>
      <c r="AAX9" s="131"/>
      <c r="AAY9" s="131"/>
      <c r="AAZ9" s="131"/>
      <c r="ABA9" s="131"/>
      <c r="ABB9" s="131"/>
      <c r="ABC9" s="131"/>
      <c r="ABD9" s="131"/>
      <c r="ABE9" s="131"/>
      <c r="ABF9" s="131"/>
      <c r="ABG9" s="131"/>
      <c r="ABH9" s="131"/>
      <c r="ABI9" s="131"/>
      <c r="ABJ9" s="131"/>
      <c r="ABK9" s="131"/>
      <c r="ABL9" s="131"/>
      <c r="ABM9" s="131"/>
      <c r="ABN9" s="131"/>
      <c r="ABO9" s="131"/>
      <c r="ABP9" s="131"/>
      <c r="ABQ9" s="131"/>
      <c r="ABR9" s="131"/>
      <c r="ABS9" s="131"/>
      <c r="ABT9" s="131"/>
      <c r="ABU9" s="131"/>
      <c r="ABV9" s="131"/>
      <c r="ABW9" s="131"/>
      <c r="ABX9" s="131"/>
      <c r="ABY9" s="131"/>
      <c r="ABZ9" s="131"/>
      <c r="ACA9" s="131"/>
      <c r="ACB9" s="131"/>
      <c r="ACC9" s="131"/>
      <c r="ACD9" s="131"/>
      <c r="ACE9" s="131"/>
      <c r="ACF9" s="131"/>
      <c r="ACG9" s="131"/>
      <c r="ACH9" s="131"/>
      <c r="ACI9" s="131"/>
      <c r="ACJ9" s="131"/>
      <c r="ACK9" s="131"/>
      <c r="ACL9" s="131"/>
      <c r="ACM9" s="131"/>
      <c r="ACN9" s="131"/>
      <c r="ACO9" s="131"/>
      <c r="ACP9" s="131"/>
      <c r="ACQ9" s="131"/>
      <c r="ACR9" s="131"/>
      <c r="ACS9" s="131"/>
      <c r="ACT9" s="131"/>
      <c r="ACU9" s="131"/>
      <c r="ACV9" s="131"/>
      <c r="ACW9" s="131"/>
      <c r="ACX9" s="131"/>
      <c r="ACY9" s="131"/>
      <c r="ACZ9" s="131"/>
      <c r="ADA9" s="131"/>
      <c r="ADB9" s="131"/>
      <c r="ADC9" s="131"/>
      <c r="ADD9" s="131"/>
      <c r="ADE9" s="131"/>
      <c r="ADF9" s="131"/>
      <c r="ADG9" s="131"/>
      <c r="ADH9" s="131"/>
      <c r="ADI9" s="131"/>
      <c r="ADJ9" s="131"/>
      <c r="ADK9" s="131"/>
      <c r="ADL9" s="131"/>
      <c r="ADM9" s="131"/>
      <c r="ADN9" s="131"/>
      <c r="ADO9" s="131"/>
      <c r="ADP9" s="131"/>
      <c r="ADQ9" s="131"/>
      <c r="ADR9" s="131"/>
      <c r="ADS9" s="131"/>
      <c r="ADT9" s="131"/>
      <c r="ADU9" s="131"/>
      <c r="ADV9" s="131"/>
      <c r="ADW9" s="131"/>
      <c r="ADX9" s="131"/>
      <c r="ADY9" s="131"/>
      <c r="ADZ9" s="131"/>
      <c r="AEA9" s="131"/>
      <c r="AEB9" s="131"/>
      <c r="AEC9" s="131"/>
      <c r="AED9" s="131"/>
      <c r="AEE9" s="131"/>
      <c r="AEF9" s="131"/>
      <c r="AEG9" s="131"/>
      <c r="AEH9" s="131"/>
      <c r="AEI9" s="131"/>
      <c r="AEJ9" s="131"/>
      <c r="AEK9" s="131"/>
      <c r="AEL9" s="131"/>
      <c r="AEM9" s="131"/>
      <c r="AEN9" s="131"/>
      <c r="AEO9" s="131"/>
      <c r="AEP9" s="131"/>
      <c r="AEQ9" s="131"/>
      <c r="AER9" s="131"/>
      <c r="AES9" s="131"/>
      <c r="AET9" s="131"/>
      <c r="AEU9" s="131"/>
      <c r="AEV9" s="131"/>
      <c r="AEW9" s="131"/>
      <c r="AEX9" s="131"/>
      <c r="AEY9" s="131"/>
      <c r="AEZ9" s="131"/>
      <c r="AFA9" s="131"/>
      <c r="AFB9" s="131"/>
      <c r="AFC9" s="131"/>
      <c r="AFD9" s="131"/>
      <c r="AFE9" s="131"/>
      <c r="AFF9" s="131"/>
      <c r="AFG9" s="131"/>
      <c r="AFH9" s="131"/>
      <c r="AFI9" s="131"/>
      <c r="AFJ9" s="131"/>
      <c r="AFK9" s="131"/>
      <c r="AFL9" s="129"/>
      <c r="AFN9" s="129"/>
      <c r="AFO9" s="129"/>
      <c r="AFP9" s="129"/>
      <c r="AFQ9" s="129"/>
      <c r="AFR9" s="129"/>
      <c r="AFS9" s="129"/>
      <c r="AFT9" s="129"/>
      <c r="AFU9" s="129"/>
      <c r="AFV9" s="129"/>
      <c r="AFW9" s="129"/>
      <c r="AFX9" s="129"/>
      <c r="AFY9" s="129"/>
      <c r="AFZ9" s="129"/>
      <c r="AGA9" s="129"/>
      <c r="AGB9" s="129"/>
      <c r="AGC9" s="129"/>
      <c r="AGD9" s="129"/>
      <c r="AGE9" s="129"/>
      <c r="AGF9" s="129"/>
      <c r="AGG9" s="129"/>
      <c r="AGH9" s="129"/>
      <c r="AGI9" s="129"/>
      <c r="AGJ9" s="129"/>
      <c r="AGK9" s="129"/>
      <c r="AGL9" s="129"/>
      <c r="AGM9" s="129"/>
      <c r="AGN9" s="129"/>
      <c r="AGO9" s="129"/>
      <c r="AGP9" s="129"/>
      <c r="AGQ9" s="129"/>
      <c r="AGR9" s="129"/>
      <c r="AGS9" s="129"/>
      <c r="AGT9" s="129"/>
      <c r="AGU9" s="129"/>
      <c r="AGV9" s="129"/>
      <c r="AGW9" s="129"/>
      <c r="AGX9" s="129"/>
      <c r="AGY9" s="129"/>
      <c r="AGZ9" s="129"/>
      <c r="AHA9" s="129"/>
      <c r="AHB9" s="129"/>
      <c r="AHC9" s="129"/>
      <c r="AHD9" s="129"/>
      <c r="AHE9" s="129"/>
      <c r="AHF9" s="129"/>
      <c r="AHG9" s="129"/>
      <c r="AHH9" s="129"/>
      <c r="AHI9" s="129"/>
      <c r="AHJ9" s="129"/>
      <c r="AHK9" s="129"/>
      <c r="AHL9" s="129"/>
      <c r="AHM9" s="129"/>
      <c r="AHN9" s="129"/>
      <c r="AHO9" s="129"/>
      <c r="AHP9" s="129"/>
      <c r="AHQ9" s="129"/>
      <c r="AHR9" s="129"/>
      <c r="AHS9" s="129"/>
      <c r="AHT9" s="129"/>
      <c r="AHU9" s="129"/>
      <c r="AHV9" s="129"/>
      <c r="AHW9" s="129"/>
      <c r="AHX9" s="129"/>
      <c r="AHY9" s="129"/>
      <c r="AHZ9" s="129"/>
      <c r="AIA9" s="129"/>
      <c r="AIB9" s="129"/>
      <c r="AIC9" s="129"/>
      <c r="AID9" s="129"/>
      <c r="AIE9" s="129"/>
      <c r="AIF9" s="129"/>
      <c r="AIG9" s="129"/>
      <c r="AIH9" s="129"/>
      <c r="AII9" s="129"/>
      <c r="AIJ9" s="129"/>
      <c r="AIK9" s="129"/>
      <c r="AIL9" s="129"/>
      <c r="AIM9" s="129"/>
      <c r="AIN9" s="129"/>
      <c r="AIO9" s="129"/>
      <c r="AIP9" s="129"/>
      <c r="AIQ9" s="129"/>
      <c r="AIR9" s="129"/>
      <c r="AIS9" s="129"/>
      <c r="AIT9" s="129"/>
      <c r="AIU9" s="129"/>
      <c r="AIV9" s="129"/>
      <c r="AIW9" s="129"/>
      <c r="AIX9" s="129"/>
      <c r="AIY9" s="129"/>
      <c r="AIZ9" s="129"/>
      <c r="AJA9" s="129"/>
      <c r="AJB9" s="129"/>
      <c r="AJC9" s="129"/>
      <c r="AJD9" s="129"/>
      <c r="AJE9" s="129"/>
      <c r="AJF9" s="129"/>
      <c r="AJG9" s="129"/>
      <c r="AJH9" s="129"/>
      <c r="AJI9" s="129"/>
      <c r="AJJ9" s="129"/>
      <c r="AJK9" s="129"/>
      <c r="AJL9" s="129"/>
      <c r="AJM9" s="129"/>
      <c r="AJN9" s="129"/>
      <c r="AJO9" s="129"/>
      <c r="AJP9" s="129"/>
      <c r="AJQ9" s="129"/>
      <c r="AJR9" s="129"/>
      <c r="AJS9" s="129"/>
      <c r="AJT9" s="129"/>
      <c r="AJU9" s="129"/>
      <c r="AJV9" s="129"/>
      <c r="AJW9" s="129"/>
      <c r="AJX9" s="129"/>
      <c r="AJY9" s="129"/>
      <c r="AJZ9" s="129"/>
      <c r="AKA9" s="129"/>
      <c r="AKB9" s="129"/>
      <c r="AKC9" s="129"/>
      <c r="AKD9" s="129"/>
      <c r="AKE9" s="129"/>
      <c r="AKF9" s="129"/>
      <c r="AKG9" s="129"/>
      <c r="AKH9" s="129"/>
      <c r="AKI9" s="129"/>
      <c r="AKJ9" s="129"/>
      <c r="AKK9" s="129"/>
      <c r="AKL9" s="129"/>
      <c r="AKM9" s="129"/>
      <c r="AKN9" s="129"/>
      <c r="AKO9" s="129"/>
      <c r="AKP9" s="129"/>
      <c r="AKQ9" s="129"/>
      <c r="AKR9" s="129"/>
      <c r="AKS9" s="129"/>
      <c r="AKT9" s="129"/>
      <c r="AKU9" s="129"/>
      <c r="AKV9" s="129"/>
      <c r="AKW9" s="129"/>
      <c r="AKX9" s="129"/>
      <c r="AKY9" s="129"/>
      <c r="AKZ9" s="129"/>
      <c r="ALA9" s="129"/>
      <c r="ALB9" s="129"/>
      <c r="ALC9" s="129"/>
      <c r="ALD9" s="129"/>
      <c r="ALE9" s="129"/>
      <c r="ALF9" s="129"/>
      <c r="ALG9" s="129"/>
      <c r="ALH9" s="129"/>
      <c r="ALI9" s="129"/>
      <c r="ALJ9" s="129"/>
      <c r="ALK9" s="129"/>
      <c r="ALL9" s="129"/>
      <c r="ALM9" s="129"/>
      <c r="ALN9" s="129"/>
      <c r="ALO9" s="129"/>
      <c r="ALP9" s="129"/>
      <c r="ALQ9" s="129"/>
      <c r="ALR9" s="129"/>
      <c r="ALS9" s="129"/>
      <c r="ALT9" s="129"/>
      <c r="ALU9" s="129"/>
      <c r="ALV9" s="129"/>
      <c r="ALW9" s="129"/>
      <c r="ALX9" s="129"/>
      <c r="ALY9" s="129"/>
      <c r="ALZ9" s="129"/>
      <c r="AMA9" s="129"/>
      <c r="AMB9" s="129"/>
      <c r="AMC9" s="129"/>
      <c r="AMD9" s="129"/>
      <c r="AME9" s="129"/>
      <c r="AMF9" s="129"/>
      <c r="AMG9" s="129"/>
      <c r="AMH9" s="129"/>
      <c r="AMI9" s="129"/>
      <c r="AMJ9" s="129"/>
      <c r="AMK9" s="129"/>
      <c r="AML9" s="129"/>
      <c r="AMM9" s="129"/>
      <c r="AMN9" s="129"/>
      <c r="AMO9" s="129"/>
      <c r="AMP9" s="129"/>
      <c r="AMQ9" s="129"/>
      <c r="AMR9" s="129"/>
      <c r="AMS9" s="129"/>
      <c r="AMT9" s="129"/>
      <c r="AMU9" s="129"/>
      <c r="AMV9" s="129"/>
      <c r="AMW9" s="129"/>
      <c r="AMX9" s="129"/>
      <c r="AMY9" s="129"/>
      <c r="AMZ9" s="129"/>
      <c r="ANA9" s="129"/>
      <c r="ANB9" s="129"/>
      <c r="ANC9" s="129"/>
      <c r="AND9" s="129"/>
      <c r="ANE9" s="129"/>
      <c r="ANF9" s="129"/>
      <c r="ANG9" s="129"/>
      <c r="ANH9" s="129"/>
      <c r="ANI9" s="129"/>
      <c r="ANJ9" s="129"/>
      <c r="ANK9" s="129"/>
      <c r="ANL9" s="129"/>
      <c r="ANM9" s="129"/>
      <c r="ANN9" s="129"/>
      <c r="ANO9" s="129"/>
      <c r="ANP9" s="129"/>
      <c r="ANQ9" s="129"/>
      <c r="ANR9" s="129"/>
      <c r="ANS9" s="129"/>
      <c r="ANT9" s="129"/>
      <c r="ANU9" s="129"/>
      <c r="ANV9" s="129"/>
      <c r="ANW9" s="129"/>
      <c r="ANX9" s="129"/>
      <c r="ANY9" s="129"/>
      <c r="ANZ9" s="129"/>
      <c r="AOA9" s="129"/>
      <c r="AOB9" s="129"/>
      <c r="AOC9" s="129"/>
      <c r="AOD9" s="129"/>
      <c r="AOE9" s="129"/>
      <c r="AOF9" s="129"/>
      <c r="AOG9" s="129"/>
      <c r="AOH9" s="129"/>
      <c r="AOI9" s="129"/>
      <c r="AOJ9" s="129"/>
      <c r="AOK9" s="129"/>
      <c r="AOL9" s="129"/>
      <c r="AOM9" s="129"/>
      <c r="AON9" s="129"/>
      <c r="AOO9" s="129"/>
      <c r="AOP9" s="129"/>
      <c r="AOQ9" s="129"/>
      <c r="AOR9" s="129"/>
      <c r="AOS9" s="129"/>
      <c r="AOT9" s="129"/>
      <c r="AOU9" s="129"/>
      <c r="AOV9" s="129"/>
      <c r="AOW9" s="129"/>
      <c r="AOX9" s="129"/>
      <c r="AOY9" s="129"/>
      <c r="AOZ9" s="129"/>
      <c r="APA9" s="129"/>
      <c r="APB9" s="129"/>
      <c r="APC9" s="129"/>
      <c r="APD9" s="129"/>
      <c r="APE9" s="129"/>
      <c r="APF9" s="129"/>
      <c r="APG9" s="129"/>
      <c r="APH9" s="129"/>
      <c r="API9" s="129"/>
      <c r="APJ9" s="129"/>
      <c r="APK9" s="129"/>
      <c r="APL9" s="129"/>
      <c r="APM9" s="129"/>
      <c r="APN9" s="129"/>
      <c r="APO9" s="130"/>
      <c r="APP9" s="130"/>
      <c r="APQ9" s="130"/>
      <c r="APR9" s="130"/>
      <c r="APS9" s="130"/>
      <c r="APT9" s="130"/>
      <c r="APU9" s="130"/>
      <c r="APV9" s="130"/>
      <c r="APW9" s="130"/>
      <c r="APX9" s="130"/>
      <c r="APY9" s="130"/>
      <c r="APZ9" s="130"/>
      <c r="AQA9" s="130"/>
      <c r="AQB9" s="130"/>
      <c r="AQC9" s="130"/>
      <c r="AQD9" s="130"/>
      <c r="AQE9" s="130"/>
      <c r="AQF9" s="130"/>
      <c r="AQG9" s="130"/>
      <c r="AQH9" s="130"/>
      <c r="AQI9" s="130"/>
      <c r="AQJ9" s="130"/>
      <c r="AQK9" s="130"/>
      <c r="AQL9" s="130"/>
      <c r="AQM9" s="130"/>
      <c r="AQN9" s="130"/>
      <c r="AQO9" s="130"/>
      <c r="AQP9" s="130"/>
      <c r="AQQ9" s="130"/>
      <c r="AQR9" s="130"/>
      <c r="AQS9" s="130"/>
      <c r="AQT9" s="130"/>
      <c r="AQU9" s="130"/>
      <c r="AQV9" s="130"/>
      <c r="AQW9" s="130"/>
      <c r="AQX9" s="130"/>
      <c r="AQY9" s="130"/>
      <c r="AQZ9" s="130"/>
      <c r="ARA9" s="130"/>
      <c r="ARB9" s="130"/>
      <c r="ARC9" s="130"/>
      <c r="ARD9" s="130"/>
      <c r="ARE9" s="130"/>
      <c r="ARF9" s="130"/>
      <c r="ARG9" s="130"/>
      <c r="ARH9" s="130"/>
      <c r="ARI9" s="130"/>
      <c r="ARJ9" s="130"/>
      <c r="ARK9" s="130"/>
      <c r="ARL9" s="130"/>
      <c r="ARM9" s="130"/>
      <c r="ARN9" s="130"/>
      <c r="ARO9" s="130"/>
      <c r="ARP9" s="130"/>
      <c r="ARQ9" s="130"/>
      <c r="ARR9" s="130"/>
      <c r="ARS9" s="130"/>
      <c r="ART9" s="130"/>
      <c r="ARU9" s="130"/>
      <c r="ARV9" s="130"/>
      <c r="ARW9" s="130"/>
      <c r="ARX9" s="130"/>
      <c r="ARY9" s="130"/>
      <c r="ARZ9" s="130"/>
      <c r="ASA9" s="130"/>
      <c r="ASB9" s="130"/>
      <c r="ASC9" s="130"/>
      <c r="ASD9" s="130"/>
      <c r="ASE9" s="130"/>
      <c r="ASF9" s="130"/>
      <c r="ASG9" s="130"/>
      <c r="ASH9" s="130"/>
      <c r="ASI9" s="130"/>
      <c r="ASJ9" s="130"/>
      <c r="ASK9" s="130"/>
      <c r="ASL9" s="130"/>
      <c r="ASM9" s="130"/>
      <c r="ASN9" s="130"/>
      <c r="ASO9" s="130"/>
      <c r="ASP9" s="130"/>
      <c r="ASQ9" s="130"/>
      <c r="ASR9" s="130"/>
      <c r="ASS9" s="130"/>
      <c r="AST9" s="130"/>
      <c r="ASU9" s="130"/>
      <c r="ASV9" s="130"/>
      <c r="ASW9" s="130"/>
      <c r="ASX9" s="129"/>
      <c r="ASY9" s="129"/>
      <c r="ASZ9" s="129"/>
      <c r="ATA9" s="129"/>
      <c r="ATB9" s="129"/>
      <c r="ATC9" s="129"/>
      <c r="ATD9" s="129"/>
      <c r="ATE9" s="129"/>
      <c r="ATF9" s="129"/>
      <c r="ATG9" s="129"/>
      <c r="ATH9" s="129"/>
      <c r="ATI9" s="129"/>
      <c r="ATJ9" s="129"/>
      <c r="ATK9" s="129"/>
      <c r="ATL9" s="129"/>
      <c r="ATM9" s="129"/>
      <c r="ATN9" s="129"/>
      <c r="ATO9" s="129"/>
      <c r="ATP9" s="129"/>
      <c r="ATQ9" s="129"/>
      <c r="ATR9" s="129"/>
      <c r="ATS9" s="129"/>
      <c r="ATT9" s="129"/>
      <c r="ATU9" s="129"/>
      <c r="ATV9" s="129"/>
      <c r="ATW9" s="129"/>
      <c r="ATX9" s="129"/>
      <c r="ATY9" s="129"/>
      <c r="ATZ9" s="129"/>
      <c r="AUA9" s="129"/>
      <c r="AUB9" s="129"/>
      <c r="AUC9" s="129"/>
      <c r="AUD9" s="129"/>
      <c r="AUE9" s="129"/>
      <c r="AUF9" s="129"/>
      <c r="AUG9" s="129"/>
      <c r="AUH9" s="129"/>
      <c r="AUI9" s="129"/>
      <c r="AUJ9" s="129"/>
      <c r="AUK9" s="129"/>
      <c r="AUL9" s="129"/>
      <c r="AUM9" s="129"/>
      <c r="AUN9" s="129"/>
      <c r="AUO9" s="129"/>
      <c r="AUP9" s="129"/>
      <c r="AUQ9" s="129"/>
      <c r="AUR9" s="129"/>
      <c r="AUS9" s="129"/>
      <c r="AUT9" s="129"/>
      <c r="AUU9" s="129"/>
      <c r="AUV9" s="129"/>
      <c r="AUW9" s="129"/>
      <c r="AUX9" s="129"/>
      <c r="AUY9" s="129"/>
      <c r="AUZ9" s="129"/>
      <c r="AVA9" s="129"/>
      <c r="AVB9" s="129"/>
      <c r="AVC9" s="129"/>
      <c r="AVD9" s="129"/>
      <c r="AVE9" s="129"/>
      <c r="AVF9" s="129"/>
      <c r="AVG9" s="129"/>
      <c r="AVH9" s="129"/>
    </row>
    <row r="10" spans="1:1297" s="174" customFormat="1" ht="38.25" outlineLevel="1">
      <c r="A10" s="137" t="s">
        <v>187</v>
      </c>
      <c r="B10" s="139" t="s">
        <v>194</v>
      </c>
      <c r="C10" s="139" t="s">
        <v>195</v>
      </c>
      <c r="D10" s="139" t="s">
        <v>196</v>
      </c>
      <c r="E10" s="137">
        <v>21</v>
      </c>
      <c r="F10" s="136" t="s">
        <v>85</v>
      </c>
      <c r="G10" s="136" t="s">
        <v>11</v>
      </c>
      <c r="H10" s="136" t="s">
        <v>13</v>
      </c>
      <c r="I10" s="136" t="s">
        <v>13</v>
      </c>
      <c r="J10" s="136" t="s">
        <v>13</v>
      </c>
      <c r="K10" s="136" t="s">
        <v>366</v>
      </c>
      <c r="L10" s="136" t="s">
        <v>366</v>
      </c>
      <c r="M10" s="136"/>
      <c r="N10" s="136" t="s">
        <v>366</v>
      </c>
      <c r="O10" s="136"/>
      <c r="P10" s="172">
        <v>3750</v>
      </c>
      <c r="Q10" s="172">
        <v>3500</v>
      </c>
      <c r="R10" s="172">
        <v>5000</v>
      </c>
      <c r="S10" s="172">
        <v>5750</v>
      </c>
      <c r="T10" s="172">
        <v>5750</v>
      </c>
      <c r="U10" s="174">
        <v>2750</v>
      </c>
      <c r="V10" s="174">
        <v>3250</v>
      </c>
      <c r="W10" s="174">
        <v>3750</v>
      </c>
      <c r="X10" s="174">
        <v>3500</v>
      </c>
      <c r="Y10" s="174">
        <v>5000</v>
      </c>
      <c r="Z10" s="179">
        <v>5750</v>
      </c>
      <c r="AA10" s="174">
        <v>5000</v>
      </c>
      <c r="AB10" s="179">
        <v>5750</v>
      </c>
      <c r="AC10" s="174">
        <v>5500</v>
      </c>
      <c r="AD10" s="174">
        <v>5500</v>
      </c>
      <c r="AE10" s="178">
        <v>2750</v>
      </c>
      <c r="AF10" s="174">
        <v>5000</v>
      </c>
      <c r="AG10" s="174">
        <v>5750</v>
      </c>
      <c r="AH10" s="178" t="s">
        <v>399</v>
      </c>
      <c r="AI10" s="178" t="s">
        <v>399</v>
      </c>
      <c r="AJ10" s="178" t="s">
        <v>399</v>
      </c>
      <c r="AK10" s="174">
        <v>2750</v>
      </c>
      <c r="AL10" s="174">
        <v>2750</v>
      </c>
      <c r="AM10" s="174">
        <v>3500</v>
      </c>
      <c r="AN10" s="174">
        <v>5750</v>
      </c>
      <c r="AO10" s="174">
        <v>5750</v>
      </c>
      <c r="AP10" s="172">
        <v>5750</v>
      </c>
      <c r="AQ10" s="172">
        <v>5750</v>
      </c>
      <c r="AR10" s="172">
        <v>5000</v>
      </c>
      <c r="AS10" s="172">
        <v>5000</v>
      </c>
      <c r="AT10" s="172">
        <v>5000</v>
      </c>
      <c r="AU10" s="172">
        <v>5000</v>
      </c>
      <c r="AV10" s="172">
        <v>5000</v>
      </c>
      <c r="AW10" s="172">
        <v>5000</v>
      </c>
      <c r="AY10" s="172">
        <v>2750</v>
      </c>
      <c r="AZ10" s="172">
        <v>2750</v>
      </c>
      <c r="BA10" s="172">
        <v>3750</v>
      </c>
      <c r="BB10" s="172">
        <v>4250</v>
      </c>
      <c r="BC10" s="172">
        <v>4250</v>
      </c>
      <c r="BD10" s="172">
        <v>3500</v>
      </c>
      <c r="BE10" s="172">
        <v>5000</v>
      </c>
      <c r="BF10" s="172">
        <v>5750</v>
      </c>
      <c r="BG10" s="172">
        <v>3500</v>
      </c>
      <c r="BH10" s="172">
        <v>3500</v>
      </c>
      <c r="BI10" s="172">
        <v>5000</v>
      </c>
      <c r="BJ10" s="172">
        <v>5000</v>
      </c>
      <c r="BK10" s="172">
        <v>5750</v>
      </c>
      <c r="BL10" s="172">
        <v>4000</v>
      </c>
      <c r="BM10" s="172">
        <v>4000</v>
      </c>
      <c r="BN10" s="172">
        <v>5500</v>
      </c>
      <c r="BO10" s="172">
        <v>5500</v>
      </c>
      <c r="BP10" s="172">
        <v>6500</v>
      </c>
      <c r="BQ10" s="172">
        <v>6500</v>
      </c>
      <c r="BR10" s="174">
        <v>3700</v>
      </c>
      <c r="BS10" s="174">
        <v>3700</v>
      </c>
      <c r="BT10" s="174">
        <v>6000</v>
      </c>
      <c r="BU10" s="174">
        <v>6000</v>
      </c>
      <c r="BV10" s="174">
        <v>3700</v>
      </c>
      <c r="BW10" s="174">
        <v>3700</v>
      </c>
      <c r="BY10" s="174" t="s">
        <v>399</v>
      </c>
      <c r="BZ10" s="174" t="s">
        <v>399</v>
      </c>
      <c r="CA10" s="174">
        <v>2750</v>
      </c>
      <c r="CB10" s="174">
        <v>3500</v>
      </c>
      <c r="CC10" s="174">
        <v>3500</v>
      </c>
      <c r="CD10" s="174">
        <v>3500</v>
      </c>
      <c r="CE10" s="174">
        <v>4000</v>
      </c>
      <c r="CF10" s="174">
        <v>4000</v>
      </c>
      <c r="CG10" s="174">
        <v>4000</v>
      </c>
      <c r="CH10" s="174">
        <v>4000</v>
      </c>
      <c r="CI10" s="174">
        <v>4000</v>
      </c>
      <c r="CJ10" s="174">
        <v>5500</v>
      </c>
      <c r="CK10" s="174">
        <v>5500</v>
      </c>
      <c r="CL10" s="174">
        <v>6000</v>
      </c>
      <c r="CM10" s="174">
        <v>6000</v>
      </c>
      <c r="CN10" s="174">
        <v>6000</v>
      </c>
      <c r="CO10" s="174">
        <v>6500</v>
      </c>
      <c r="CP10" s="174">
        <v>6500</v>
      </c>
      <c r="CQ10" s="174">
        <v>6500</v>
      </c>
      <c r="CR10" s="174">
        <v>6500</v>
      </c>
      <c r="CS10" s="174">
        <v>6500</v>
      </c>
      <c r="CT10" s="174">
        <v>6000</v>
      </c>
      <c r="CU10" s="174">
        <v>6500</v>
      </c>
      <c r="CW10" s="174">
        <v>2750</v>
      </c>
      <c r="CX10" s="174">
        <v>2750</v>
      </c>
      <c r="CY10" s="174">
        <v>3750</v>
      </c>
      <c r="CZ10" s="174">
        <v>3500</v>
      </c>
      <c r="DA10" s="174">
        <v>5000</v>
      </c>
      <c r="DB10" s="174">
        <v>4000</v>
      </c>
      <c r="DC10" s="174">
        <v>4000</v>
      </c>
      <c r="DD10" s="174">
        <v>5500</v>
      </c>
      <c r="DE10" s="179">
        <v>6000</v>
      </c>
      <c r="DF10" s="179">
        <v>6000</v>
      </c>
      <c r="DG10" s="178" t="s">
        <v>399</v>
      </c>
      <c r="DH10" s="178" t="s">
        <v>399</v>
      </c>
      <c r="DI10" s="178">
        <v>2750</v>
      </c>
      <c r="DJ10" s="178" t="s">
        <v>399</v>
      </c>
      <c r="DK10" s="178" t="s">
        <v>399</v>
      </c>
      <c r="DL10" s="178">
        <v>3250</v>
      </c>
      <c r="DM10" s="178">
        <v>3250</v>
      </c>
      <c r="DN10" s="178">
        <v>4000</v>
      </c>
      <c r="DO10" s="178">
        <v>4000</v>
      </c>
      <c r="DP10" s="178">
        <v>5500</v>
      </c>
      <c r="DQ10" s="178">
        <v>5500</v>
      </c>
      <c r="DR10" s="178">
        <v>4500</v>
      </c>
      <c r="DS10" s="178">
        <v>4500</v>
      </c>
      <c r="DU10" s="174">
        <v>3750</v>
      </c>
      <c r="DV10" s="174">
        <v>3750</v>
      </c>
      <c r="DW10" s="174">
        <v>5000</v>
      </c>
      <c r="DX10" s="174">
        <v>5000</v>
      </c>
      <c r="DY10" s="174">
        <v>5000</v>
      </c>
      <c r="DZ10" s="174">
        <v>5500</v>
      </c>
      <c r="EA10" s="174">
        <v>5500</v>
      </c>
      <c r="EB10" s="174">
        <v>5500</v>
      </c>
      <c r="EC10" s="174">
        <v>2750</v>
      </c>
      <c r="ED10" s="174">
        <v>4250</v>
      </c>
      <c r="EE10" s="174">
        <v>5750</v>
      </c>
      <c r="EF10" s="174">
        <v>5000</v>
      </c>
      <c r="EG10" s="174">
        <v>6500</v>
      </c>
      <c r="EZ10" s="178" t="s">
        <v>399</v>
      </c>
      <c r="FA10" s="178" t="s">
        <v>399</v>
      </c>
      <c r="FB10" s="178" t="s">
        <v>399</v>
      </c>
      <c r="FC10" s="178" t="s">
        <v>399</v>
      </c>
      <c r="FD10" s="178" t="s">
        <v>399</v>
      </c>
      <c r="FE10" s="178" t="s">
        <v>399</v>
      </c>
      <c r="FF10" s="178" t="s">
        <v>399</v>
      </c>
      <c r="FG10" s="178" t="s">
        <v>399</v>
      </c>
      <c r="FH10" s="178" t="s">
        <v>399</v>
      </c>
      <c r="FI10" s="178" t="s">
        <v>399</v>
      </c>
      <c r="FJ10" s="178" t="s">
        <v>399</v>
      </c>
      <c r="FK10" s="178" t="s">
        <v>399</v>
      </c>
      <c r="FL10" s="178" t="s">
        <v>399</v>
      </c>
      <c r="FM10" s="178" t="s">
        <v>399</v>
      </c>
      <c r="FN10" s="178" t="s">
        <v>399</v>
      </c>
      <c r="FO10" s="178" t="s">
        <v>399</v>
      </c>
      <c r="FP10" s="178" t="s">
        <v>399</v>
      </c>
      <c r="FR10" s="174">
        <v>6750</v>
      </c>
      <c r="FS10" s="174">
        <v>6750</v>
      </c>
      <c r="FT10" s="174">
        <v>7250</v>
      </c>
      <c r="FU10" s="174">
        <v>7250</v>
      </c>
      <c r="FW10" s="174">
        <v>6500</v>
      </c>
      <c r="FX10" s="174">
        <v>6500</v>
      </c>
      <c r="FY10" s="174">
        <v>7000</v>
      </c>
      <c r="FZ10" s="174">
        <v>7000</v>
      </c>
      <c r="GA10" s="174">
        <v>7300</v>
      </c>
      <c r="GB10" s="174">
        <v>7300</v>
      </c>
      <c r="GC10" s="174">
        <v>8000</v>
      </c>
      <c r="GD10" s="174">
        <v>8000</v>
      </c>
      <c r="GE10" s="174">
        <v>8400</v>
      </c>
      <c r="GF10" s="174">
        <v>8400</v>
      </c>
      <c r="GG10" s="174">
        <v>8800</v>
      </c>
      <c r="GH10" s="174">
        <v>8800</v>
      </c>
      <c r="GI10" s="174">
        <v>9500</v>
      </c>
      <c r="GJ10" s="174">
        <v>9500</v>
      </c>
      <c r="GL10" s="174">
        <v>3500</v>
      </c>
      <c r="GM10" s="174">
        <v>3500</v>
      </c>
      <c r="GN10" s="174">
        <v>3500</v>
      </c>
      <c r="GO10" s="174">
        <v>6000</v>
      </c>
      <c r="GP10" s="174">
        <v>3500</v>
      </c>
      <c r="GR10" s="172">
        <v>2750</v>
      </c>
      <c r="GS10" s="172">
        <v>3750</v>
      </c>
      <c r="GT10" s="172">
        <v>4250</v>
      </c>
      <c r="GU10" s="172">
        <v>3500</v>
      </c>
      <c r="GV10" s="172">
        <v>5000</v>
      </c>
      <c r="GW10" s="172">
        <v>5750</v>
      </c>
      <c r="GX10" s="172">
        <v>2750</v>
      </c>
      <c r="GY10" s="172">
        <v>3750</v>
      </c>
      <c r="GZ10" s="172">
        <v>4250</v>
      </c>
      <c r="HA10" s="172">
        <v>3500</v>
      </c>
      <c r="HB10" s="172">
        <v>5000</v>
      </c>
      <c r="HC10" s="172">
        <v>5750</v>
      </c>
      <c r="HD10" s="172">
        <v>3500</v>
      </c>
      <c r="HE10" s="172">
        <v>5000</v>
      </c>
      <c r="HF10" s="172">
        <v>5750</v>
      </c>
      <c r="HH10" s="172">
        <v>2750</v>
      </c>
      <c r="HI10" s="172">
        <v>3750</v>
      </c>
      <c r="HJ10" s="172">
        <v>4250</v>
      </c>
      <c r="HK10" s="172">
        <v>3500</v>
      </c>
      <c r="HL10" s="172">
        <v>5000</v>
      </c>
      <c r="HM10" s="172">
        <v>5750</v>
      </c>
      <c r="HN10" s="172">
        <v>3500</v>
      </c>
      <c r="HO10" s="172">
        <v>5000</v>
      </c>
      <c r="HP10" s="172">
        <v>5750</v>
      </c>
      <c r="HS10" s="172">
        <v>2500</v>
      </c>
      <c r="HT10" s="175"/>
      <c r="HU10" s="175"/>
      <c r="HV10" s="175"/>
      <c r="HW10" s="175"/>
      <c r="HX10" s="175"/>
      <c r="HY10" s="175"/>
      <c r="HZ10" s="175"/>
      <c r="IA10" s="175"/>
      <c r="IB10" s="175"/>
      <c r="IC10" s="175"/>
      <c r="ID10" s="175"/>
      <c r="IE10" s="175" t="s">
        <v>399</v>
      </c>
      <c r="IF10" s="172">
        <v>2750</v>
      </c>
      <c r="IG10" s="172">
        <v>3500</v>
      </c>
      <c r="IH10" s="172">
        <v>2900</v>
      </c>
      <c r="II10" s="172">
        <v>2600</v>
      </c>
      <c r="IJ10" s="172">
        <v>2600</v>
      </c>
      <c r="IK10" s="172">
        <v>2600</v>
      </c>
      <c r="IL10" s="172">
        <v>2600</v>
      </c>
      <c r="IM10" s="175" t="s">
        <v>399</v>
      </c>
      <c r="IN10" s="172">
        <v>2500</v>
      </c>
      <c r="IO10" s="175" t="s">
        <v>399</v>
      </c>
      <c r="IP10" s="172">
        <v>2900</v>
      </c>
      <c r="IQ10" s="172">
        <v>2900</v>
      </c>
      <c r="IR10" s="172">
        <v>2600</v>
      </c>
      <c r="IS10" s="172">
        <v>2600</v>
      </c>
      <c r="IT10" s="172"/>
      <c r="IU10" s="175" t="s">
        <v>399</v>
      </c>
      <c r="IV10" s="175"/>
      <c r="IW10" s="175"/>
      <c r="IX10" s="175"/>
      <c r="IY10" s="175"/>
      <c r="IZ10" s="175"/>
      <c r="JA10" s="175"/>
      <c r="JB10" s="175"/>
      <c r="JC10" s="175"/>
      <c r="JD10" s="175"/>
      <c r="JE10" s="175"/>
      <c r="JF10" s="175" t="s">
        <v>399</v>
      </c>
      <c r="JG10" s="172">
        <v>2500</v>
      </c>
      <c r="JH10" s="172">
        <v>3000</v>
      </c>
      <c r="JI10" s="172"/>
      <c r="JJ10" s="172"/>
      <c r="JK10" s="172"/>
      <c r="JL10" s="172"/>
      <c r="JM10" s="172">
        <v>3000</v>
      </c>
      <c r="JN10" s="172">
        <v>3400</v>
      </c>
      <c r="JO10" s="172">
        <v>3400</v>
      </c>
      <c r="JP10" s="175" t="s">
        <v>399</v>
      </c>
      <c r="JQ10" s="172">
        <v>2750</v>
      </c>
      <c r="JR10" s="172">
        <v>3500</v>
      </c>
      <c r="JS10" s="172"/>
      <c r="JT10" s="172"/>
      <c r="JU10" s="172">
        <v>3500</v>
      </c>
      <c r="JV10" s="172">
        <v>3900</v>
      </c>
      <c r="JW10" s="172">
        <v>3900</v>
      </c>
      <c r="JX10" s="172">
        <v>2600</v>
      </c>
      <c r="JY10" s="172">
        <v>2600</v>
      </c>
      <c r="JZ10" s="172">
        <v>2600</v>
      </c>
      <c r="KA10" s="172">
        <v>2900</v>
      </c>
      <c r="KB10" s="172">
        <v>2900</v>
      </c>
      <c r="KC10" s="172">
        <v>3900</v>
      </c>
      <c r="KD10" s="172"/>
      <c r="KE10" s="175" t="s">
        <v>399</v>
      </c>
      <c r="KF10" s="175" t="s">
        <v>399</v>
      </c>
      <c r="KG10" s="172">
        <v>2500</v>
      </c>
      <c r="KH10" s="172"/>
      <c r="KI10" s="172"/>
      <c r="KJ10" s="172">
        <v>2500</v>
      </c>
      <c r="KK10" s="175" t="s">
        <v>399</v>
      </c>
      <c r="KL10" s="175" t="s">
        <v>399</v>
      </c>
      <c r="KM10" s="172">
        <v>2760</v>
      </c>
      <c r="KN10" s="172"/>
      <c r="KO10" s="172"/>
      <c r="KP10" s="172">
        <v>2760</v>
      </c>
      <c r="KQ10" s="172"/>
      <c r="KR10" s="172"/>
      <c r="KS10" s="172"/>
      <c r="KT10" s="172"/>
      <c r="KU10" s="172"/>
      <c r="KV10" s="172"/>
      <c r="KW10" s="172"/>
      <c r="KX10" s="172"/>
      <c r="KY10" s="172"/>
      <c r="KZ10" s="172"/>
      <c r="LA10" s="172"/>
      <c r="LB10" s="172"/>
      <c r="LC10" s="172"/>
      <c r="LD10" s="172"/>
      <c r="LE10" s="172"/>
      <c r="LF10" s="172"/>
      <c r="LG10" s="172"/>
      <c r="LH10" s="172"/>
      <c r="LI10" s="172"/>
      <c r="LJ10" s="172"/>
      <c r="LK10" s="177"/>
      <c r="LL10" s="177"/>
      <c r="LM10" s="177"/>
      <c r="LN10" s="177"/>
      <c r="LO10" s="177"/>
      <c r="LP10" s="172"/>
      <c r="LQ10" s="172"/>
      <c r="LR10" s="172"/>
      <c r="LS10" s="172"/>
      <c r="LT10" s="172"/>
      <c r="LU10" s="177"/>
      <c r="LV10" s="177"/>
      <c r="LW10" s="177"/>
      <c r="LX10" s="177"/>
      <c r="LY10" s="177"/>
      <c r="LZ10" s="177"/>
      <c r="MA10" s="177"/>
      <c r="MB10" s="177"/>
      <c r="MC10" s="177"/>
      <c r="MD10" s="177"/>
      <c r="ME10" s="177"/>
      <c r="MF10" s="177"/>
      <c r="MG10" s="177"/>
      <c r="MH10" s="172"/>
      <c r="MI10" s="172"/>
      <c r="MJ10" s="172"/>
      <c r="MK10" s="172"/>
      <c r="ML10" s="172"/>
      <c r="MM10" s="172"/>
      <c r="MN10" s="172"/>
      <c r="MO10" s="172"/>
      <c r="MP10" s="172"/>
      <c r="MQ10" s="176"/>
      <c r="MR10" s="176"/>
      <c r="MS10" s="176"/>
      <c r="MT10" s="176"/>
      <c r="MU10" s="176"/>
      <c r="MV10" s="176"/>
      <c r="MW10" s="176"/>
      <c r="MX10" s="176"/>
      <c r="MY10" s="176"/>
      <c r="MZ10" s="172"/>
      <c r="NA10" s="172"/>
      <c r="NB10" s="177"/>
      <c r="NC10" s="177"/>
      <c r="ND10" s="177"/>
      <c r="NE10" s="177"/>
      <c r="NF10" s="177"/>
      <c r="NG10" s="172"/>
      <c r="NH10" s="172"/>
      <c r="NI10" s="172"/>
      <c r="NJ10" s="172"/>
      <c r="NK10" s="172"/>
      <c r="NL10" s="176"/>
      <c r="NM10" s="176"/>
      <c r="NN10" s="176"/>
      <c r="NO10" s="176"/>
      <c r="NP10" s="176"/>
      <c r="NQ10" s="172"/>
      <c r="NR10" s="172"/>
      <c r="NS10" s="175" t="s">
        <v>399</v>
      </c>
      <c r="NT10" s="172">
        <v>2500</v>
      </c>
      <c r="NU10" s="172">
        <v>3000</v>
      </c>
      <c r="NV10" s="175" t="s">
        <v>399</v>
      </c>
      <c r="NW10" s="172">
        <v>2750</v>
      </c>
      <c r="NX10" s="172">
        <v>3500</v>
      </c>
      <c r="NY10" s="175" t="s">
        <v>399</v>
      </c>
      <c r="NZ10" s="172">
        <v>2500</v>
      </c>
      <c r="OA10" s="172">
        <v>3000</v>
      </c>
      <c r="OB10" s="175" t="s">
        <v>399</v>
      </c>
      <c r="OC10" s="172">
        <v>2750</v>
      </c>
      <c r="OD10" s="172">
        <v>3500</v>
      </c>
      <c r="OE10" s="172"/>
      <c r="OF10" s="175" t="s">
        <v>399</v>
      </c>
      <c r="OG10" s="172">
        <v>2500</v>
      </c>
      <c r="OH10" s="172">
        <v>3000</v>
      </c>
      <c r="OI10" s="175" t="s">
        <v>399</v>
      </c>
      <c r="OJ10" s="172">
        <v>2750</v>
      </c>
      <c r="OK10" s="172">
        <v>3500</v>
      </c>
      <c r="OL10" s="175" t="s">
        <v>399</v>
      </c>
      <c r="OM10" s="172">
        <v>2750</v>
      </c>
      <c r="ON10" s="172">
        <v>3500</v>
      </c>
      <c r="OO10" s="172"/>
      <c r="OQ10" s="129"/>
      <c r="OR10" s="129"/>
      <c r="OS10" s="129"/>
      <c r="OT10" s="129"/>
      <c r="OU10" s="129"/>
      <c r="OV10" s="129"/>
      <c r="OW10" s="129"/>
      <c r="OX10" s="129"/>
      <c r="OY10" s="129"/>
      <c r="OZ10" s="129"/>
      <c r="PA10" s="129"/>
      <c r="PB10" s="129"/>
      <c r="PC10" s="129"/>
      <c r="PD10" s="129"/>
      <c r="PE10" s="129"/>
      <c r="PF10" s="129"/>
      <c r="PG10" s="129"/>
      <c r="PH10" s="129"/>
      <c r="PI10" s="129"/>
      <c r="PJ10" s="129"/>
      <c r="PK10" s="129"/>
      <c r="PL10" s="129"/>
      <c r="PM10" s="129"/>
      <c r="PN10" s="129"/>
      <c r="PO10" s="129"/>
      <c r="PP10" s="129"/>
      <c r="PQ10" s="129"/>
      <c r="PR10" s="129"/>
      <c r="PS10" s="129"/>
      <c r="PT10" s="129"/>
      <c r="PU10" s="129"/>
      <c r="PV10" s="129"/>
      <c r="PW10" s="129"/>
      <c r="PX10" s="129"/>
      <c r="PY10" s="129"/>
      <c r="PZ10" s="129"/>
      <c r="QA10" s="129"/>
      <c r="QB10" s="129"/>
      <c r="QC10" s="129"/>
      <c r="QD10" s="129"/>
      <c r="QE10" s="129"/>
      <c r="QF10" s="129"/>
      <c r="QG10" s="129"/>
      <c r="QH10" s="129"/>
      <c r="QI10" s="129"/>
      <c r="QJ10" s="129"/>
      <c r="QK10" s="129"/>
      <c r="QL10" s="129"/>
      <c r="QM10" s="129"/>
      <c r="QN10" s="129"/>
      <c r="QO10" s="129"/>
      <c r="QP10" s="129"/>
      <c r="QQ10" s="129"/>
      <c r="QR10" s="129"/>
      <c r="QS10" s="129"/>
      <c r="QT10" s="129"/>
      <c r="QU10" s="129"/>
      <c r="QV10" s="129"/>
      <c r="QW10" s="129"/>
      <c r="QX10" s="129"/>
      <c r="QY10" s="129"/>
      <c r="QZ10" s="129"/>
      <c r="RA10" s="129"/>
      <c r="RB10" s="129"/>
      <c r="RC10" s="129"/>
      <c r="RD10" s="129"/>
      <c r="RE10" s="129"/>
      <c r="RF10" s="129"/>
      <c r="RG10" s="129"/>
      <c r="RH10" s="129"/>
      <c r="RI10" s="129"/>
      <c r="RJ10" s="129"/>
      <c r="RK10" s="129"/>
      <c r="RL10" s="129"/>
      <c r="RM10" s="129"/>
      <c r="RN10" s="129"/>
      <c r="RO10" s="129"/>
      <c r="RP10" s="129"/>
      <c r="RQ10" s="134"/>
      <c r="RR10" s="134"/>
      <c r="RS10" s="134"/>
      <c r="RT10" s="134"/>
      <c r="RU10" s="129"/>
      <c r="RV10" s="129"/>
      <c r="RW10" s="129"/>
      <c r="RX10" s="129"/>
      <c r="RY10" s="129"/>
      <c r="RZ10" s="129"/>
      <c r="SA10" s="129"/>
      <c r="SB10" s="129"/>
      <c r="SC10" s="129"/>
      <c r="SD10" s="129"/>
      <c r="SE10" s="129"/>
      <c r="SF10" s="129"/>
      <c r="SG10" s="129"/>
      <c r="SH10" s="129"/>
      <c r="SI10" s="129"/>
      <c r="SJ10" s="129"/>
      <c r="SK10" s="129"/>
      <c r="SL10" s="129"/>
      <c r="SM10" s="129"/>
      <c r="SN10" s="129"/>
      <c r="SO10" s="129"/>
      <c r="SP10" s="129"/>
      <c r="SQ10" s="129"/>
      <c r="SR10" s="129"/>
      <c r="SS10" s="129"/>
      <c r="ST10" s="129"/>
      <c r="SU10" s="129"/>
      <c r="SV10" s="129"/>
      <c r="SW10" s="129"/>
      <c r="SX10" s="129"/>
      <c r="SY10" s="129"/>
      <c r="SZ10" s="129"/>
      <c r="TA10" s="129"/>
      <c r="TB10" s="129"/>
      <c r="TC10" s="129"/>
      <c r="TD10" s="133"/>
      <c r="TE10" s="132"/>
      <c r="TF10" s="132"/>
      <c r="TG10" s="129"/>
      <c r="TH10" s="129"/>
      <c r="TI10" s="129"/>
      <c r="TJ10" s="129"/>
      <c r="TK10" s="129"/>
      <c r="TL10" s="129"/>
      <c r="TM10" s="129"/>
      <c r="TN10" s="129"/>
      <c r="TO10" s="129"/>
      <c r="TP10" s="129"/>
      <c r="TQ10" s="129"/>
      <c r="TR10" s="129"/>
      <c r="TS10" s="129"/>
      <c r="TT10" s="129"/>
      <c r="TU10" s="129"/>
      <c r="TV10" s="129"/>
      <c r="TW10" s="129"/>
      <c r="TX10" s="132"/>
      <c r="TY10" s="132"/>
      <c r="TZ10" s="132"/>
      <c r="UA10" s="129"/>
      <c r="UB10" s="129"/>
      <c r="UC10" s="129"/>
      <c r="UD10" s="129"/>
      <c r="UE10" s="129"/>
      <c r="UF10" s="129"/>
      <c r="UG10" s="129"/>
      <c r="UH10" s="129"/>
      <c r="UI10" s="129"/>
      <c r="UJ10" s="129"/>
      <c r="UK10" s="129"/>
      <c r="UL10" s="129"/>
      <c r="UM10" s="129"/>
      <c r="UN10" s="129"/>
      <c r="UO10" s="129"/>
      <c r="UP10" s="129"/>
      <c r="UQ10" s="129"/>
      <c r="UR10" s="129"/>
      <c r="US10" s="129"/>
      <c r="UT10" s="129"/>
      <c r="UU10" s="129"/>
      <c r="UV10" s="129"/>
      <c r="UW10" s="129"/>
      <c r="UX10" s="129"/>
      <c r="UY10" s="129"/>
      <c r="UZ10" s="129"/>
      <c r="VA10" s="129"/>
      <c r="VB10" s="129"/>
      <c r="VC10" s="129"/>
      <c r="VD10" s="129"/>
      <c r="VE10" s="129"/>
      <c r="VF10" s="129"/>
      <c r="VG10" s="129"/>
      <c r="VH10" s="129"/>
      <c r="VI10" s="129"/>
      <c r="VJ10" s="129"/>
      <c r="VK10" s="129"/>
      <c r="VL10" s="132"/>
      <c r="VM10" s="132"/>
      <c r="VN10" s="132"/>
      <c r="VO10" s="132"/>
      <c r="VP10" s="129"/>
      <c r="VR10" s="131"/>
      <c r="VS10" s="131"/>
      <c r="VT10" s="131"/>
      <c r="VU10" s="131"/>
      <c r="VV10" s="131"/>
      <c r="VW10" s="131"/>
      <c r="VX10" s="131"/>
      <c r="VY10" s="131"/>
      <c r="VZ10" s="131"/>
      <c r="WA10" s="131"/>
      <c r="WB10" s="131"/>
      <c r="WC10" s="131"/>
      <c r="WD10" s="131"/>
      <c r="WE10" s="131"/>
      <c r="WF10" s="131"/>
      <c r="WG10" s="131"/>
      <c r="WH10" s="131"/>
      <c r="WI10" s="131"/>
      <c r="WJ10" s="131"/>
      <c r="WK10" s="131"/>
      <c r="WL10" s="131"/>
      <c r="WM10" s="131"/>
      <c r="WN10" s="131"/>
      <c r="WO10" s="131"/>
      <c r="WP10" s="131"/>
      <c r="WQ10" s="131"/>
      <c r="WR10" s="131"/>
      <c r="WS10" s="131"/>
      <c r="WT10" s="131"/>
      <c r="WU10" s="131"/>
      <c r="WV10" s="131"/>
      <c r="WW10" s="131"/>
      <c r="WX10" s="131"/>
      <c r="WY10" s="131"/>
      <c r="WZ10" s="131"/>
      <c r="XA10" s="131"/>
      <c r="XB10" s="131"/>
      <c r="XC10" s="131"/>
      <c r="XD10" s="131"/>
      <c r="XE10" s="131"/>
      <c r="XF10" s="131"/>
      <c r="XG10" s="131"/>
      <c r="XH10" s="131"/>
      <c r="XI10" s="131"/>
      <c r="XJ10" s="131"/>
      <c r="XK10" s="131"/>
      <c r="XL10" s="131"/>
      <c r="XM10" s="131"/>
      <c r="XN10" s="131"/>
      <c r="XO10" s="131"/>
      <c r="XP10" s="131"/>
      <c r="XQ10" s="131"/>
      <c r="XR10" s="131"/>
      <c r="XS10" s="131"/>
      <c r="XT10" s="131"/>
      <c r="XU10" s="131"/>
      <c r="XV10" s="131"/>
      <c r="XW10" s="131"/>
      <c r="XX10" s="131"/>
      <c r="XY10" s="131"/>
      <c r="XZ10" s="131"/>
      <c r="YA10" s="131"/>
      <c r="YB10" s="131"/>
      <c r="YC10" s="131"/>
      <c r="YD10" s="131"/>
      <c r="YE10" s="131"/>
      <c r="YF10" s="131"/>
      <c r="YG10" s="131"/>
      <c r="YH10" s="131"/>
      <c r="YI10" s="131"/>
      <c r="YJ10" s="131"/>
      <c r="YK10" s="131"/>
      <c r="YL10" s="131"/>
      <c r="YM10" s="131"/>
      <c r="YN10" s="131"/>
      <c r="YO10" s="131"/>
      <c r="YP10" s="131"/>
      <c r="YQ10" s="131"/>
      <c r="YR10" s="131"/>
      <c r="YS10" s="131"/>
      <c r="YT10" s="131"/>
      <c r="YU10" s="131"/>
      <c r="YV10" s="131"/>
      <c r="YW10" s="131"/>
      <c r="YX10" s="131"/>
      <c r="YY10" s="131"/>
      <c r="YZ10" s="131"/>
      <c r="ZA10" s="131"/>
      <c r="ZB10" s="131"/>
      <c r="ZC10" s="131"/>
      <c r="ZD10" s="131"/>
      <c r="ZE10" s="131"/>
      <c r="ZF10" s="131"/>
      <c r="ZG10" s="131"/>
      <c r="ZH10" s="131"/>
      <c r="ZI10" s="131"/>
      <c r="ZJ10" s="131"/>
      <c r="ZK10" s="131"/>
      <c r="ZL10" s="131"/>
      <c r="ZM10" s="131"/>
      <c r="ZN10" s="131"/>
      <c r="ZO10" s="131"/>
      <c r="ZP10" s="131"/>
      <c r="ZQ10" s="131"/>
      <c r="ZR10" s="131"/>
      <c r="ZS10" s="131"/>
      <c r="ZT10" s="131"/>
      <c r="ZU10" s="131"/>
      <c r="ZV10" s="131"/>
      <c r="ZW10" s="131"/>
      <c r="ZX10" s="131"/>
      <c r="ZY10" s="131"/>
      <c r="ZZ10" s="131"/>
      <c r="AAA10" s="131"/>
      <c r="AAB10" s="131"/>
      <c r="AAC10" s="131"/>
      <c r="AAD10" s="131"/>
      <c r="AAE10" s="131"/>
      <c r="AAF10" s="131"/>
      <c r="AAG10" s="131"/>
      <c r="AAH10" s="131"/>
      <c r="AAJ10" s="131"/>
      <c r="AAK10" s="131"/>
      <c r="AAL10" s="131"/>
      <c r="AAM10" s="131"/>
      <c r="AAN10" s="131"/>
      <c r="AAO10" s="131"/>
      <c r="AAP10" s="131"/>
      <c r="AAQ10" s="131"/>
      <c r="AAR10" s="131"/>
      <c r="AAS10" s="131"/>
      <c r="AAT10" s="131"/>
      <c r="AAU10" s="131"/>
      <c r="AAV10" s="131"/>
      <c r="AAW10" s="131"/>
      <c r="AAX10" s="131"/>
      <c r="AAY10" s="131"/>
      <c r="AAZ10" s="131"/>
      <c r="ABA10" s="131"/>
      <c r="ABB10" s="131"/>
      <c r="ABC10" s="131"/>
      <c r="ABD10" s="131"/>
      <c r="ABE10" s="131"/>
      <c r="ABF10" s="131"/>
      <c r="ABG10" s="131"/>
      <c r="ABH10" s="131"/>
      <c r="ABI10" s="131"/>
      <c r="ABJ10" s="131"/>
      <c r="ABK10" s="131"/>
      <c r="ABL10" s="131"/>
      <c r="ABM10" s="131"/>
      <c r="ABN10" s="131"/>
      <c r="ABO10" s="131"/>
      <c r="ABP10" s="131"/>
      <c r="ABQ10" s="131"/>
      <c r="ABR10" s="131"/>
      <c r="ABS10" s="131"/>
      <c r="ABT10" s="131"/>
      <c r="ABU10" s="131"/>
      <c r="ABV10" s="131"/>
      <c r="ABW10" s="131"/>
      <c r="ABX10" s="131"/>
      <c r="ABY10" s="131"/>
      <c r="ABZ10" s="131"/>
      <c r="ACA10" s="131"/>
      <c r="ACB10" s="131"/>
      <c r="ACC10" s="131"/>
      <c r="ACD10" s="131"/>
      <c r="ACE10" s="131"/>
      <c r="ACF10" s="131"/>
      <c r="ACG10" s="131"/>
      <c r="ACH10" s="131"/>
      <c r="ACI10" s="131"/>
      <c r="ACJ10" s="131"/>
      <c r="ACK10" s="131"/>
      <c r="ACL10" s="131"/>
      <c r="ACM10" s="131"/>
      <c r="ACN10" s="131"/>
      <c r="ACO10" s="131"/>
      <c r="ACP10" s="131"/>
      <c r="ACQ10" s="131"/>
      <c r="ACR10" s="131"/>
      <c r="ACS10" s="131"/>
      <c r="ACT10" s="131"/>
      <c r="ACU10" s="131"/>
      <c r="ACV10" s="131"/>
      <c r="ACW10" s="131"/>
      <c r="ACX10" s="131"/>
      <c r="ACY10" s="131"/>
      <c r="ACZ10" s="131"/>
      <c r="ADA10" s="131"/>
      <c r="ADB10" s="131"/>
      <c r="ADC10" s="131"/>
      <c r="ADD10" s="131"/>
      <c r="ADE10" s="131"/>
      <c r="ADF10" s="131"/>
      <c r="ADG10" s="131"/>
      <c r="ADH10" s="131"/>
      <c r="ADI10" s="131"/>
      <c r="ADJ10" s="131"/>
      <c r="ADK10" s="131"/>
      <c r="ADL10" s="131"/>
      <c r="ADM10" s="131"/>
      <c r="ADN10" s="131"/>
      <c r="ADO10" s="131"/>
      <c r="ADP10" s="131"/>
      <c r="ADQ10" s="131"/>
      <c r="ADR10" s="131"/>
      <c r="ADS10" s="131"/>
      <c r="ADT10" s="131"/>
      <c r="ADU10" s="131"/>
      <c r="ADV10" s="131"/>
      <c r="ADW10" s="131"/>
      <c r="ADX10" s="131"/>
      <c r="ADY10" s="131"/>
      <c r="ADZ10" s="131"/>
      <c r="AEA10" s="131"/>
      <c r="AEB10" s="131"/>
      <c r="AEC10" s="131"/>
      <c r="AED10" s="131"/>
      <c r="AEE10" s="131"/>
      <c r="AEF10" s="131"/>
      <c r="AEG10" s="131"/>
      <c r="AEH10" s="131"/>
      <c r="AEI10" s="131"/>
      <c r="AEJ10" s="131"/>
      <c r="AEK10" s="131"/>
      <c r="AEL10" s="131"/>
      <c r="AEM10" s="131"/>
      <c r="AEN10" s="131"/>
      <c r="AEO10" s="131"/>
      <c r="AEP10" s="131"/>
      <c r="AEQ10" s="131"/>
      <c r="AER10" s="131"/>
      <c r="AES10" s="131"/>
      <c r="AET10" s="131"/>
      <c r="AEU10" s="131"/>
      <c r="AEV10" s="131"/>
      <c r="AEW10" s="131"/>
      <c r="AEX10" s="131"/>
      <c r="AEY10" s="131"/>
      <c r="AEZ10" s="131"/>
      <c r="AFA10" s="131"/>
      <c r="AFB10" s="131"/>
      <c r="AFC10" s="131"/>
      <c r="AFD10" s="131"/>
      <c r="AFE10" s="131"/>
      <c r="AFF10" s="131"/>
      <c r="AFG10" s="131"/>
      <c r="AFH10" s="131"/>
      <c r="AFI10" s="131"/>
      <c r="AFJ10" s="131"/>
      <c r="AFK10" s="131"/>
      <c r="AFL10" s="129"/>
      <c r="AFN10" s="129"/>
      <c r="AFO10" s="129"/>
      <c r="AFP10" s="129"/>
      <c r="AFQ10" s="129"/>
      <c r="AFR10" s="129"/>
      <c r="AFS10" s="129"/>
      <c r="AFT10" s="129"/>
      <c r="AFU10" s="129"/>
      <c r="AFV10" s="129"/>
      <c r="AFW10" s="129"/>
      <c r="AFX10" s="129"/>
      <c r="AFY10" s="129"/>
      <c r="AFZ10" s="129"/>
      <c r="AGA10" s="129"/>
      <c r="AGB10" s="129"/>
      <c r="AGC10" s="129"/>
      <c r="AGD10" s="129"/>
      <c r="AGE10" s="129"/>
      <c r="AGF10" s="129"/>
      <c r="AGG10" s="129"/>
      <c r="AGH10" s="129"/>
      <c r="AGI10" s="129"/>
      <c r="AGJ10" s="129"/>
      <c r="AGK10" s="129"/>
      <c r="AGL10" s="129"/>
      <c r="AGM10" s="129"/>
      <c r="AGN10" s="129"/>
      <c r="AGO10" s="129"/>
      <c r="AGP10" s="129"/>
      <c r="AGQ10" s="129"/>
      <c r="AGR10" s="129"/>
      <c r="AGS10" s="129"/>
      <c r="AGT10" s="129"/>
      <c r="AGU10" s="129"/>
      <c r="AGV10" s="129"/>
      <c r="AGW10" s="129"/>
      <c r="AGX10" s="129"/>
      <c r="AGY10" s="129"/>
      <c r="AGZ10" s="129"/>
      <c r="AHA10" s="129"/>
      <c r="AHB10" s="129"/>
      <c r="AHC10" s="129"/>
      <c r="AHD10" s="129"/>
      <c r="AHE10" s="129"/>
      <c r="AHF10" s="129"/>
      <c r="AHG10" s="129"/>
      <c r="AHH10" s="129"/>
      <c r="AHI10" s="129"/>
      <c r="AHJ10" s="129"/>
      <c r="AHK10" s="129"/>
      <c r="AHL10" s="129"/>
      <c r="AHM10" s="129"/>
      <c r="AHN10" s="129"/>
      <c r="AHO10" s="129"/>
      <c r="AHP10" s="129"/>
      <c r="AHQ10" s="129"/>
      <c r="AHR10" s="129"/>
      <c r="AHS10" s="129"/>
      <c r="AHT10" s="129"/>
      <c r="AHU10" s="129"/>
      <c r="AHV10" s="129"/>
      <c r="AHW10" s="129"/>
      <c r="AHX10" s="129"/>
      <c r="AHY10" s="129"/>
      <c r="AHZ10" s="129"/>
      <c r="AIA10" s="129"/>
      <c r="AIB10" s="129"/>
      <c r="AIC10" s="129"/>
      <c r="AID10" s="129"/>
      <c r="AIE10" s="129"/>
      <c r="AIF10" s="129"/>
      <c r="AIG10" s="129"/>
      <c r="AIH10" s="129"/>
      <c r="AII10" s="129"/>
      <c r="AIJ10" s="129"/>
      <c r="AIK10" s="129"/>
      <c r="AIL10" s="129"/>
      <c r="AIM10" s="129"/>
      <c r="AIN10" s="129"/>
      <c r="AIO10" s="129"/>
      <c r="AIP10" s="129"/>
      <c r="AIQ10" s="129"/>
      <c r="AIR10" s="129"/>
      <c r="AIS10" s="129"/>
      <c r="AIT10" s="129"/>
      <c r="AIU10" s="129"/>
      <c r="AIV10" s="129"/>
      <c r="AIW10" s="129"/>
      <c r="AIX10" s="129"/>
      <c r="AIY10" s="129"/>
      <c r="AIZ10" s="129"/>
      <c r="AJA10" s="129"/>
      <c r="AJB10" s="129"/>
      <c r="AJC10" s="129"/>
      <c r="AJD10" s="129"/>
      <c r="AJE10" s="129"/>
      <c r="AJF10" s="129"/>
      <c r="AJG10" s="129"/>
      <c r="AJH10" s="129"/>
      <c r="AJI10" s="129"/>
      <c r="AJJ10" s="129"/>
      <c r="AJK10" s="129"/>
      <c r="AJL10" s="129"/>
      <c r="AJM10" s="129"/>
      <c r="AJN10" s="129"/>
      <c r="AJO10" s="129"/>
      <c r="AJP10" s="129"/>
      <c r="AJQ10" s="129"/>
      <c r="AJR10" s="129"/>
      <c r="AJS10" s="129"/>
      <c r="AJT10" s="129"/>
      <c r="AJU10" s="129"/>
      <c r="AJV10" s="129"/>
      <c r="AJW10" s="129"/>
      <c r="AJX10" s="129"/>
      <c r="AJY10" s="129"/>
      <c r="AJZ10" s="129"/>
      <c r="AKA10" s="129"/>
      <c r="AKB10" s="129"/>
      <c r="AKC10" s="129"/>
      <c r="AKD10" s="129"/>
      <c r="AKE10" s="129"/>
      <c r="AKF10" s="129"/>
      <c r="AKG10" s="129"/>
      <c r="AKH10" s="129"/>
      <c r="AKI10" s="129"/>
      <c r="AKJ10" s="129"/>
      <c r="AKK10" s="129"/>
      <c r="AKL10" s="129"/>
      <c r="AKM10" s="129"/>
      <c r="AKN10" s="129"/>
      <c r="AKO10" s="129"/>
      <c r="AKP10" s="129"/>
      <c r="AKQ10" s="129"/>
      <c r="AKR10" s="129"/>
      <c r="AKS10" s="129"/>
      <c r="AKT10" s="129"/>
      <c r="AKU10" s="129"/>
      <c r="AKV10" s="129"/>
      <c r="AKW10" s="129"/>
      <c r="AKX10" s="129"/>
      <c r="AKY10" s="129"/>
      <c r="AKZ10" s="129"/>
      <c r="ALA10" s="129"/>
      <c r="ALB10" s="129"/>
      <c r="ALC10" s="129"/>
      <c r="ALD10" s="129"/>
      <c r="ALE10" s="129"/>
      <c r="ALF10" s="129"/>
      <c r="ALG10" s="129"/>
      <c r="ALH10" s="129"/>
      <c r="ALI10" s="129"/>
      <c r="ALJ10" s="129"/>
      <c r="ALK10" s="129"/>
      <c r="ALL10" s="129"/>
      <c r="ALM10" s="129"/>
      <c r="ALN10" s="129"/>
      <c r="ALO10" s="129"/>
      <c r="ALP10" s="129"/>
      <c r="ALQ10" s="129"/>
      <c r="ALR10" s="129"/>
      <c r="ALS10" s="129"/>
      <c r="ALT10" s="129"/>
      <c r="ALU10" s="129"/>
      <c r="ALV10" s="129"/>
      <c r="ALW10" s="129"/>
      <c r="ALX10" s="129"/>
      <c r="ALY10" s="129"/>
      <c r="ALZ10" s="129"/>
      <c r="AMA10" s="129"/>
      <c r="AMB10" s="129"/>
      <c r="AMC10" s="129"/>
      <c r="AMD10" s="129"/>
      <c r="AME10" s="129"/>
      <c r="AMF10" s="129"/>
      <c r="AMG10" s="129"/>
      <c r="AMH10" s="129"/>
      <c r="AMI10" s="129"/>
      <c r="AMJ10" s="129"/>
      <c r="AMK10" s="129"/>
      <c r="AML10" s="129"/>
      <c r="AMM10" s="129"/>
      <c r="AMN10" s="129"/>
      <c r="AMO10" s="129"/>
      <c r="AMP10" s="129"/>
      <c r="AMQ10" s="129"/>
      <c r="AMR10" s="129"/>
      <c r="AMS10" s="129"/>
      <c r="AMT10" s="129"/>
      <c r="AMU10" s="129"/>
      <c r="AMV10" s="129"/>
      <c r="AMW10" s="129"/>
      <c r="AMX10" s="129"/>
      <c r="AMY10" s="129"/>
      <c r="AMZ10" s="129"/>
      <c r="ANA10" s="129"/>
      <c r="ANB10" s="129"/>
      <c r="ANC10" s="129"/>
      <c r="AND10" s="129"/>
      <c r="ANE10" s="129"/>
      <c r="ANF10" s="129"/>
      <c r="ANG10" s="129"/>
      <c r="ANH10" s="129"/>
      <c r="ANI10" s="129"/>
      <c r="ANJ10" s="129"/>
      <c r="ANK10" s="129"/>
      <c r="ANL10" s="129"/>
      <c r="ANM10" s="129"/>
      <c r="ANN10" s="129"/>
      <c r="ANO10" s="129"/>
      <c r="ANP10" s="129"/>
      <c r="ANQ10" s="129"/>
      <c r="ANR10" s="129"/>
      <c r="ANS10" s="129"/>
      <c r="ANT10" s="129"/>
      <c r="ANU10" s="129"/>
      <c r="ANV10" s="129"/>
      <c r="ANW10" s="129"/>
      <c r="ANX10" s="129"/>
      <c r="ANY10" s="129"/>
      <c r="ANZ10" s="129"/>
      <c r="AOA10" s="129"/>
      <c r="AOB10" s="129"/>
      <c r="AOC10" s="129"/>
      <c r="AOD10" s="129"/>
      <c r="AOE10" s="129"/>
      <c r="AOF10" s="129"/>
      <c r="AOG10" s="129"/>
      <c r="AOH10" s="129"/>
      <c r="AOI10" s="129"/>
      <c r="AOJ10" s="129"/>
      <c r="AOK10" s="129"/>
      <c r="AOL10" s="129"/>
      <c r="AOM10" s="129"/>
      <c r="AON10" s="129"/>
      <c r="AOO10" s="129"/>
      <c r="AOP10" s="129"/>
      <c r="AOQ10" s="129"/>
      <c r="AOR10" s="129"/>
      <c r="AOS10" s="129"/>
      <c r="AOT10" s="129"/>
      <c r="AOU10" s="129"/>
      <c r="AOV10" s="129"/>
      <c r="AOW10" s="129"/>
      <c r="AOX10" s="129"/>
      <c r="AOY10" s="129"/>
      <c r="AOZ10" s="129"/>
      <c r="APA10" s="129"/>
      <c r="APB10" s="129"/>
      <c r="APC10" s="129"/>
      <c r="APD10" s="129"/>
      <c r="APE10" s="129"/>
      <c r="APF10" s="129"/>
      <c r="APG10" s="129"/>
      <c r="APH10" s="129"/>
      <c r="API10" s="129"/>
      <c r="APJ10" s="129"/>
      <c r="APK10" s="129"/>
      <c r="APL10" s="129"/>
      <c r="APM10" s="129"/>
      <c r="APN10" s="129"/>
      <c r="APO10" s="130"/>
      <c r="APP10" s="130"/>
      <c r="APQ10" s="130"/>
      <c r="APR10" s="130"/>
      <c r="APS10" s="130"/>
      <c r="APT10" s="130"/>
      <c r="APU10" s="130"/>
      <c r="APV10" s="130"/>
      <c r="APW10" s="130"/>
      <c r="APX10" s="130"/>
      <c r="APY10" s="130"/>
      <c r="APZ10" s="130"/>
      <c r="AQA10" s="130"/>
      <c r="AQB10" s="130"/>
      <c r="AQC10" s="130"/>
      <c r="AQD10" s="130"/>
      <c r="AQE10" s="130"/>
      <c r="AQF10" s="130"/>
      <c r="AQG10" s="130"/>
      <c r="AQH10" s="130"/>
      <c r="AQI10" s="130"/>
      <c r="AQJ10" s="130"/>
      <c r="AQK10" s="130"/>
      <c r="AQL10" s="130"/>
      <c r="AQM10" s="130"/>
      <c r="AQN10" s="130"/>
      <c r="AQO10" s="130"/>
      <c r="AQP10" s="130"/>
      <c r="AQQ10" s="130"/>
      <c r="AQR10" s="130"/>
      <c r="AQS10" s="130"/>
      <c r="AQT10" s="130"/>
      <c r="AQU10" s="130"/>
      <c r="AQV10" s="130"/>
      <c r="AQW10" s="130"/>
      <c r="AQX10" s="130"/>
      <c r="AQY10" s="130"/>
      <c r="AQZ10" s="130"/>
      <c r="ARA10" s="130"/>
      <c r="ARB10" s="130"/>
      <c r="ARC10" s="130"/>
      <c r="ARD10" s="130"/>
      <c r="ARE10" s="130"/>
      <c r="ARF10" s="130"/>
      <c r="ARG10" s="130"/>
      <c r="ARH10" s="130"/>
      <c r="ARI10" s="130"/>
      <c r="ARJ10" s="130"/>
      <c r="ARK10" s="130"/>
      <c r="ARL10" s="130"/>
      <c r="ARM10" s="130"/>
      <c r="ARN10" s="130"/>
      <c r="ARO10" s="130"/>
      <c r="ARP10" s="130"/>
      <c r="ARQ10" s="130"/>
      <c r="ARR10" s="130"/>
      <c r="ARS10" s="130"/>
      <c r="ART10" s="130"/>
      <c r="ARU10" s="130"/>
      <c r="ARV10" s="130"/>
      <c r="ARW10" s="130"/>
      <c r="ARX10" s="130"/>
      <c r="ARY10" s="130"/>
      <c r="ARZ10" s="130"/>
      <c r="ASA10" s="130"/>
      <c r="ASB10" s="130"/>
      <c r="ASC10" s="130"/>
      <c r="ASD10" s="130"/>
      <c r="ASE10" s="130"/>
      <c r="ASF10" s="130"/>
      <c r="ASG10" s="130"/>
      <c r="ASH10" s="130"/>
      <c r="ASI10" s="130"/>
      <c r="ASJ10" s="130"/>
      <c r="ASK10" s="130"/>
      <c r="ASL10" s="130"/>
      <c r="ASM10" s="130"/>
      <c r="ASN10" s="130"/>
      <c r="ASO10" s="130"/>
      <c r="ASP10" s="130"/>
      <c r="ASQ10" s="130"/>
      <c r="ASR10" s="130"/>
      <c r="ASS10" s="130"/>
      <c r="AST10" s="130"/>
      <c r="ASU10" s="130"/>
      <c r="ASV10" s="130"/>
      <c r="ASW10" s="130"/>
      <c r="ASX10" s="129"/>
      <c r="ASY10" s="129"/>
      <c r="ASZ10" s="129"/>
      <c r="ATA10" s="129"/>
      <c r="ATB10" s="129"/>
      <c r="ATC10" s="129"/>
      <c r="ATD10" s="129"/>
      <c r="ATE10" s="129"/>
      <c r="ATF10" s="129"/>
      <c r="ATG10" s="129"/>
      <c r="ATH10" s="129"/>
      <c r="ATI10" s="129"/>
      <c r="ATJ10" s="129"/>
      <c r="ATK10" s="129"/>
      <c r="ATL10" s="129"/>
      <c r="ATM10" s="129"/>
      <c r="ATN10" s="129"/>
      <c r="ATO10" s="129"/>
      <c r="ATP10" s="129"/>
      <c r="ATQ10" s="129"/>
      <c r="ATR10" s="129"/>
      <c r="ATS10" s="129"/>
      <c r="ATT10" s="129"/>
      <c r="ATU10" s="129"/>
      <c r="ATV10" s="129"/>
      <c r="ATW10" s="129"/>
      <c r="ATX10" s="129"/>
      <c r="ATY10" s="129"/>
      <c r="ATZ10" s="129"/>
      <c r="AUA10" s="129"/>
      <c r="AUB10" s="129"/>
      <c r="AUC10" s="129"/>
      <c r="AUD10" s="129"/>
      <c r="AUE10" s="129"/>
      <c r="AUF10" s="129"/>
      <c r="AUG10" s="129"/>
      <c r="AUH10" s="129"/>
      <c r="AUI10" s="129"/>
      <c r="AUJ10" s="129"/>
      <c r="AUK10" s="129"/>
      <c r="AUL10" s="129"/>
      <c r="AUM10" s="129"/>
      <c r="AUN10" s="129"/>
      <c r="AUO10" s="129"/>
      <c r="AUP10" s="129"/>
      <c r="AUQ10" s="129"/>
      <c r="AUR10" s="129"/>
      <c r="AUS10" s="129"/>
      <c r="AUT10" s="129"/>
      <c r="AUU10" s="129"/>
      <c r="AUV10" s="129"/>
      <c r="AUW10" s="129"/>
      <c r="AUX10" s="129"/>
      <c r="AUY10" s="129"/>
      <c r="AUZ10" s="129"/>
      <c r="AVA10" s="129"/>
      <c r="AVB10" s="129"/>
      <c r="AVC10" s="129"/>
      <c r="AVD10" s="129"/>
      <c r="AVE10" s="129"/>
      <c r="AVF10" s="129"/>
      <c r="AVG10" s="129"/>
      <c r="AVH10" s="129"/>
    </row>
    <row r="11" spans="1:1297" s="172" customFormat="1" ht="41.25" outlineLevel="1">
      <c r="A11" s="137" t="s">
        <v>197</v>
      </c>
      <c r="B11" s="173" t="s">
        <v>198</v>
      </c>
      <c r="C11" s="139" t="s">
        <v>4023</v>
      </c>
      <c r="D11" s="139" t="s">
        <v>4022</v>
      </c>
      <c r="E11" s="137">
        <v>36</v>
      </c>
      <c r="F11" s="138" t="s">
        <v>85</v>
      </c>
      <c r="G11" s="136" t="s">
        <v>11</v>
      </c>
      <c r="H11" s="136" t="s">
        <v>366</v>
      </c>
      <c r="I11" s="136" t="s">
        <v>366</v>
      </c>
      <c r="J11" s="136" t="s">
        <v>366</v>
      </c>
      <c r="K11" s="136" t="s">
        <v>13</v>
      </c>
      <c r="L11" s="136" t="s">
        <v>13</v>
      </c>
      <c r="M11" s="136" t="s">
        <v>13</v>
      </c>
      <c r="N11" s="136" t="s">
        <v>366</v>
      </c>
      <c r="O11" s="138"/>
      <c r="U11" s="129"/>
      <c r="V11" s="129"/>
      <c r="BY11" s="129"/>
      <c r="BZ11" s="129"/>
      <c r="CA11" s="129"/>
      <c r="CC11" s="129"/>
      <c r="CD11" s="129"/>
      <c r="CF11" s="129"/>
      <c r="CG11" s="129"/>
      <c r="CH11" s="129"/>
      <c r="CI11" s="129"/>
      <c r="CJ11" s="129"/>
      <c r="CK11" s="129"/>
      <c r="CM11" s="129"/>
      <c r="CN11" s="129"/>
      <c r="CP11" s="129"/>
      <c r="CQ11" s="129"/>
      <c r="HS11" s="129"/>
      <c r="HT11" s="129"/>
      <c r="HU11" s="129"/>
      <c r="HV11" s="129"/>
      <c r="HW11" s="129"/>
      <c r="HX11" s="129"/>
      <c r="HY11" s="129"/>
      <c r="HZ11" s="129"/>
      <c r="IA11" s="129"/>
      <c r="IB11" s="129"/>
      <c r="IC11" s="129"/>
      <c r="ID11" s="129"/>
      <c r="IE11" s="129"/>
      <c r="IF11" s="129"/>
      <c r="IH11" s="129"/>
      <c r="II11" s="129"/>
      <c r="IJ11" s="129"/>
      <c r="IK11" s="129"/>
      <c r="IL11" s="129"/>
      <c r="IM11" s="129"/>
      <c r="IN11" s="129"/>
      <c r="IO11" s="129"/>
      <c r="IP11" s="129"/>
      <c r="IQ11" s="129"/>
      <c r="IR11" s="129"/>
      <c r="IS11" s="129"/>
      <c r="IT11" s="129"/>
      <c r="IU11" s="129"/>
      <c r="IV11" s="129"/>
      <c r="IW11" s="129"/>
      <c r="IX11" s="129"/>
      <c r="IY11" s="129"/>
      <c r="IZ11" s="129"/>
      <c r="JA11" s="129"/>
      <c r="JB11" s="129"/>
      <c r="JC11" s="129"/>
      <c r="JD11" s="129"/>
      <c r="JE11" s="129"/>
      <c r="JF11" s="129"/>
      <c r="JG11" s="129"/>
      <c r="JH11" s="129"/>
      <c r="JI11" s="129"/>
      <c r="JJ11" s="129"/>
      <c r="JK11" s="129"/>
      <c r="JL11" s="129"/>
      <c r="JM11" s="129"/>
      <c r="JN11" s="129"/>
      <c r="JO11" s="129"/>
      <c r="JP11" s="129"/>
      <c r="JQ11" s="129"/>
      <c r="JR11" s="129"/>
      <c r="JS11" s="129"/>
      <c r="JT11" s="129"/>
      <c r="JU11" s="129"/>
      <c r="JV11" s="129"/>
      <c r="JW11" s="129"/>
      <c r="JX11" s="129"/>
      <c r="JY11" s="129"/>
      <c r="JZ11" s="129"/>
      <c r="KA11" s="129"/>
      <c r="KB11" s="129"/>
      <c r="KC11" s="129"/>
      <c r="KD11" s="129"/>
      <c r="KE11" s="129"/>
      <c r="KF11" s="129"/>
      <c r="KG11" s="129"/>
      <c r="KH11" s="129"/>
      <c r="KI11" s="129"/>
      <c r="KJ11" s="129"/>
      <c r="KK11" s="129"/>
      <c r="KL11" s="129"/>
      <c r="KM11" s="129"/>
      <c r="KN11" s="129"/>
      <c r="KO11" s="129"/>
      <c r="KP11" s="129"/>
      <c r="KQ11" s="129"/>
      <c r="KR11" s="129"/>
      <c r="KS11" s="129"/>
      <c r="KT11" s="129"/>
      <c r="KU11" s="129"/>
      <c r="KV11" s="129"/>
      <c r="KW11" s="129"/>
      <c r="KX11" s="129"/>
      <c r="KY11" s="129"/>
      <c r="KZ11" s="129"/>
      <c r="LA11" s="129"/>
      <c r="LB11" s="129"/>
      <c r="LC11" s="129"/>
      <c r="LD11" s="129"/>
      <c r="LE11" s="129"/>
      <c r="LF11" s="129"/>
      <c r="LG11" s="129"/>
      <c r="LH11" s="129"/>
      <c r="LI11" s="129"/>
      <c r="LJ11" s="129"/>
      <c r="LK11" s="135"/>
      <c r="LL11" s="135"/>
      <c r="LM11" s="135"/>
      <c r="LN11" s="135"/>
      <c r="LO11" s="135"/>
      <c r="LP11" s="129"/>
      <c r="LQ11" s="129"/>
      <c r="LR11" s="129"/>
      <c r="LS11" s="129"/>
      <c r="LT11" s="129"/>
      <c r="LU11" s="135"/>
      <c r="LV11" s="135"/>
      <c r="LW11" s="135"/>
      <c r="LX11" s="135"/>
      <c r="LY11" s="135"/>
      <c r="LZ11" s="135"/>
      <c r="MA11" s="135"/>
      <c r="MB11" s="135"/>
      <c r="MC11" s="135"/>
      <c r="MD11" s="135"/>
      <c r="ME11" s="135"/>
      <c r="MF11" s="135"/>
      <c r="MG11" s="135"/>
      <c r="MH11" s="129"/>
      <c r="MI11" s="129"/>
      <c r="MJ11" s="129"/>
      <c r="MK11" s="129"/>
      <c r="ML11" s="129"/>
      <c r="MM11" s="129"/>
      <c r="MN11" s="129"/>
      <c r="MO11" s="129"/>
      <c r="MP11" s="129"/>
      <c r="MQ11" s="132"/>
      <c r="MR11" s="132"/>
      <c r="MS11" s="132"/>
      <c r="MT11" s="132"/>
      <c r="MU11" s="132"/>
      <c r="MV11" s="132"/>
      <c r="MW11" s="132"/>
      <c r="MX11" s="132"/>
      <c r="MY11" s="132"/>
      <c r="MZ11" s="129"/>
      <c r="NA11" s="129"/>
      <c r="NB11" s="135"/>
      <c r="NC11" s="135"/>
      <c r="ND11" s="135"/>
      <c r="NE11" s="135"/>
      <c r="NF11" s="135"/>
      <c r="NG11" s="129"/>
      <c r="NH11" s="129"/>
      <c r="NI11" s="129"/>
      <c r="NJ11" s="129"/>
      <c r="NK11" s="129"/>
      <c r="NL11" s="132"/>
      <c r="NM11" s="132"/>
      <c r="NN11" s="132"/>
      <c r="NO11" s="132"/>
      <c r="NP11" s="132"/>
      <c r="NQ11" s="129"/>
      <c r="NR11" s="129"/>
      <c r="NS11" s="129"/>
      <c r="NT11" s="129"/>
      <c r="NU11" s="129"/>
      <c r="NV11" s="129"/>
      <c r="NW11" s="129"/>
      <c r="NX11" s="129"/>
      <c r="NY11" s="129"/>
      <c r="NZ11" s="129"/>
      <c r="OA11" s="129"/>
      <c r="OB11" s="129"/>
      <c r="OC11" s="129"/>
      <c r="OD11" s="129"/>
      <c r="OE11" s="129"/>
      <c r="OF11" s="129"/>
      <c r="OG11" s="129"/>
      <c r="OH11" s="129"/>
      <c r="OI11" s="129"/>
      <c r="OJ11" s="129"/>
      <c r="OK11" s="129"/>
      <c r="OL11" s="129"/>
      <c r="OM11" s="129"/>
      <c r="ON11" s="129"/>
      <c r="OO11" s="129"/>
      <c r="OQ11" s="129">
        <v>500</v>
      </c>
      <c r="OR11" s="129"/>
      <c r="OS11" s="129"/>
      <c r="OT11" s="129">
        <v>500</v>
      </c>
      <c r="OU11" s="129">
        <v>500</v>
      </c>
      <c r="OV11" s="129"/>
      <c r="OW11" s="129"/>
      <c r="OX11" s="129">
        <v>500</v>
      </c>
      <c r="OY11" s="129">
        <v>500</v>
      </c>
      <c r="OZ11" s="129"/>
      <c r="PA11" s="129"/>
      <c r="PB11" s="129">
        <v>500</v>
      </c>
      <c r="PC11" s="129"/>
      <c r="PD11" s="129"/>
      <c r="PE11" s="129"/>
      <c r="PF11" s="129">
        <v>500</v>
      </c>
      <c r="PG11" s="129"/>
      <c r="PH11" s="129"/>
      <c r="PI11" s="129">
        <v>500</v>
      </c>
      <c r="PJ11" s="129"/>
      <c r="PK11" s="129"/>
      <c r="PL11" s="129">
        <v>500</v>
      </c>
      <c r="PM11" s="129">
        <v>500</v>
      </c>
      <c r="PN11" s="129"/>
      <c r="PO11" s="129"/>
      <c r="PP11" s="129"/>
      <c r="PQ11" s="129">
        <v>500</v>
      </c>
      <c r="PR11" s="129">
        <v>500</v>
      </c>
      <c r="PS11" s="129">
        <v>500</v>
      </c>
      <c r="PT11" s="129">
        <v>500</v>
      </c>
      <c r="PU11" s="129">
        <v>500</v>
      </c>
      <c r="PV11" s="129">
        <v>500</v>
      </c>
      <c r="PW11" s="129">
        <v>500</v>
      </c>
      <c r="PX11" s="129">
        <v>500</v>
      </c>
      <c r="PY11" s="129">
        <v>500</v>
      </c>
      <c r="PZ11" s="129">
        <v>500</v>
      </c>
      <c r="QA11" s="129">
        <v>500</v>
      </c>
      <c r="QB11" s="129">
        <v>500</v>
      </c>
      <c r="QC11" s="129">
        <v>500</v>
      </c>
      <c r="QD11" s="129">
        <v>500</v>
      </c>
      <c r="QE11" s="129">
        <v>500</v>
      </c>
      <c r="QF11" s="129">
        <v>500</v>
      </c>
      <c r="QG11" s="129">
        <v>500</v>
      </c>
      <c r="QH11" s="129">
        <v>500</v>
      </c>
      <c r="QI11" s="129"/>
      <c r="QJ11" s="129"/>
      <c r="QK11" s="129">
        <v>500</v>
      </c>
      <c r="QL11" s="129">
        <v>500</v>
      </c>
      <c r="QM11" s="129">
        <v>500</v>
      </c>
      <c r="QN11" s="129"/>
      <c r="QO11" s="129"/>
      <c r="QP11" s="129"/>
      <c r="QQ11" s="129"/>
      <c r="QR11" s="129">
        <v>500</v>
      </c>
      <c r="QS11" s="129"/>
      <c r="QT11" s="129"/>
      <c r="QU11" s="129"/>
      <c r="QV11" s="129">
        <v>500</v>
      </c>
      <c r="QW11" s="133">
        <v>500</v>
      </c>
      <c r="QX11" s="133">
        <v>500</v>
      </c>
      <c r="QY11" s="133" t="s">
        <v>3843</v>
      </c>
      <c r="QZ11" s="129">
        <v>500</v>
      </c>
      <c r="RA11" s="129">
        <v>500</v>
      </c>
      <c r="RB11" s="129">
        <v>500</v>
      </c>
      <c r="RC11" s="129">
        <v>500</v>
      </c>
      <c r="RD11" s="129">
        <v>500</v>
      </c>
      <c r="RE11" s="129">
        <v>500</v>
      </c>
      <c r="RF11" s="129">
        <v>500</v>
      </c>
      <c r="RG11" s="129">
        <v>500</v>
      </c>
      <c r="RH11" s="156" t="s">
        <v>399</v>
      </c>
      <c r="RI11" s="129">
        <v>500</v>
      </c>
      <c r="RJ11" s="129">
        <v>500</v>
      </c>
      <c r="RK11" s="129">
        <v>500</v>
      </c>
      <c r="RL11" s="129">
        <v>500</v>
      </c>
      <c r="RM11" s="129">
        <v>500</v>
      </c>
      <c r="RN11" s="129">
        <v>500</v>
      </c>
      <c r="RO11" s="129">
        <v>500</v>
      </c>
      <c r="RP11" s="129">
        <v>500</v>
      </c>
      <c r="RQ11" s="134">
        <v>400</v>
      </c>
      <c r="RR11" s="134">
        <v>400</v>
      </c>
      <c r="RS11" s="134"/>
      <c r="RT11" s="134"/>
      <c r="RU11" s="129"/>
      <c r="RV11" s="129">
        <v>500</v>
      </c>
      <c r="RW11" s="129">
        <v>500</v>
      </c>
      <c r="RX11" s="129">
        <v>500</v>
      </c>
      <c r="RY11" s="129">
        <v>500</v>
      </c>
      <c r="RZ11" s="129">
        <v>500</v>
      </c>
      <c r="SA11" s="129">
        <v>500</v>
      </c>
      <c r="SB11" s="129">
        <v>500</v>
      </c>
      <c r="SC11" s="129">
        <v>500</v>
      </c>
      <c r="SD11" s="129">
        <v>500</v>
      </c>
      <c r="SE11" s="129">
        <v>500</v>
      </c>
      <c r="SF11" s="156" t="s">
        <v>399</v>
      </c>
      <c r="SG11" s="156" t="s">
        <v>399</v>
      </c>
      <c r="SH11" s="156" t="s">
        <v>399</v>
      </c>
      <c r="SI11" s="156" t="s">
        <v>399</v>
      </c>
      <c r="SJ11" s="156" t="s">
        <v>399</v>
      </c>
      <c r="SK11" s="156" t="s">
        <v>399</v>
      </c>
      <c r="SL11" s="156" t="s">
        <v>399</v>
      </c>
      <c r="SM11" s="156" t="s">
        <v>399</v>
      </c>
      <c r="SN11" s="129"/>
      <c r="SO11" s="129">
        <v>500</v>
      </c>
      <c r="SP11" s="129">
        <v>500</v>
      </c>
      <c r="SQ11" s="129">
        <v>500</v>
      </c>
      <c r="SR11" s="129">
        <v>500</v>
      </c>
      <c r="SS11" s="129">
        <v>500</v>
      </c>
      <c r="ST11" s="129">
        <v>500</v>
      </c>
      <c r="SU11" s="129">
        <v>500</v>
      </c>
      <c r="SV11" s="129">
        <v>500</v>
      </c>
      <c r="SW11" s="129"/>
      <c r="SX11" s="129">
        <v>420</v>
      </c>
      <c r="SY11" s="129">
        <v>420</v>
      </c>
      <c r="SZ11" s="129">
        <v>500</v>
      </c>
      <c r="TA11" s="129">
        <v>500</v>
      </c>
      <c r="TB11" s="156" t="s">
        <v>399</v>
      </c>
      <c r="TC11" s="129">
        <v>500</v>
      </c>
      <c r="TD11" s="133">
        <v>400</v>
      </c>
      <c r="TE11" s="132">
        <v>400</v>
      </c>
      <c r="TF11" s="132">
        <v>400</v>
      </c>
      <c r="TG11" s="128">
        <v>400</v>
      </c>
      <c r="TH11" s="129">
        <v>500</v>
      </c>
      <c r="TI11" s="129">
        <v>500</v>
      </c>
      <c r="TJ11" s="129"/>
      <c r="TK11" s="129">
        <v>420</v>
      </c>
      <c r="TL11" s="129">
        <v>420</v>
      </c>
      <c r="TM11" s="129">
        <v>500</v>
      </c>
      <c r="TN11" s="129">
        <v>500</v>
      </c>
      <c r="TO11" s="129">
        <v>500</v>
      </c>
      <c r="TP11" s="129">
        <v>500</v>
      </c>
      <c r="TQ11" s="128" t="s">
        <v>4021</v>
      </c>
      <c r="TR11" s="129">
        <v>500</v>
      </c>
      <c r="TS11" s="129">
        <v>500</v>
      </c>
      <c r="TT11" s="129">
        <v>500</v>
      </c>
      <c r="TU11" s="129">
        <v>500</v>
      </c>
      <c r="TV11" s="129">
        <v>500</v>
      </c>
      <c r="TW11" s="156" t="s">
        <v>3843</v>
      </c>
      <c r="TX11" s="132">
        <v>400</v>
      </c>
      <c r="TY11" s="132">
        <v>400</v>
      </c>
      <c r="TZ11" s="132">
        <v>400</v>
      </c>
      <c r="UA11" s="129"/>
      <c r="UB11" s="129">
        <v>300</v>
      </c>
      <c r="UC11" s="129">
        <v>300</v>
      </c>
      <c r="UD11" s="129">
        <v>400</v>
      </c>
      <c r="UE11" s="129">
        <v>400</v>
      </c>
      <c r="UF11" s="129">
        <v>500</v>
      </c>
      <c r="UG11" s="129">
        <v>500</v>
      </c>
      <c r="UH11" s="129">
        <v>300</v>
      </c>
      <c r="UI11" s="129">
        <v>300</v>
      </c>
      <c r="UJ11" s="129">
        <v>200</v>
      </c>
      <c r="UK11" s="129">
        <v>250</v>
      </c>
      <c r="UL11" s="129"/>
      <c r="UM11" s="129">
        <v>420</v>
      </c>
      <c r="UN11" s="129">
        <v>420</v>
      </c>
      <c r="UO11" s="129">
        <v>500</v>
      </c>
      <c r="UP11" s="129"/>
      <c r="UQ11" s="129"/>
      <c r="UR11" s="129"/>
      <c r="US11" s="129">
        <v>500</v>
      </c>
      <c r="UT11" s="129">
        <v>500</v>
      </c>
      <c r="UU11" s="129"/>
      <c r="UV11" s="129"/>
      <c r="UW11" s="129">
        <v>500</v>
      </c>
      <c r="UX11" s="129">
        <v>500</v>
      </c>
      <c r="UY11" s="129">
        <v>500</v>
      </c>
      <c r="UZ11" s="129">
        <v>500</v>
      </c>
      <c r="VA11" s="129">
        <v>500</v>
      </c>
      <c r="VB11" s="129"/>
      <c r="VC11" s="129">
        <v>420</v>
      </c>
      <c r="VD11" s="129">
        <v>420</v>
      </c>
      <c r="VE11" s="129">
        <v>500</v>
      </c>
      <c r="VF11" s="129">
        <v>500</v>
      </c>
      <c r="VG11" s="129">
        <v>500</v>
      </c>
      <c r="VH11" s="156" t="s">
        <v>399</v>
      </c>
      <c r="VI11" s="129">
        <v>500</v>
      </c>
      <c r="VJ11" s="129">
        <v>500</v>
      </c>
      <c r="VK11" s="129"/>
      <c r="VL11" s="132">
        <v>400</v>
      </c>
      <c r="VM11" s="132">
        <v>400</v>
      </c>
      <c r="VN11" s="132">
        <v>400</v>
      </c>
      <c r="VO11" s="132">
        <v>400</v>
      </c>
      <c r="VP11" s="129"/>
      <c r="VR11" s="131"/>
      <c r="VS11" s="131"/>
      <c r="VT11" s="131"/>
      <c r="VU11" s="131">
        <v>400</v>
      </c>
      <c r="VV11" s="131"/>
      <c r="VW11" s="131"/>
      <c r="VX11" s="131"/>
      <c r="VY11" s="131"/>
      <c r="VZ11" s="131"/>
      <c r="WA11" s="131"/>
      <c r="WB11" s="131">
        <v>400</v>
      </c>
      <c r="WC11" s="131"/>
      <c r="WD11" s="131"/>
      <c r="WE11" s="131"/>
      <c r="WF11" s="131">
        <v>400</v>
      </c>
      <c r="WG11" s="131"/>
      <c r="WH11" s="131"/>
      <c r="WI11" s="131"/>
      <c r="WJ11" s="131"/>
      <c r="WK11" s="131"/>
      <c r="WL11" s="131"/>
      <c r="WM11" s="131">
        <v>400</v>
      </c>
      <c r="WN11" s="131"/>
      <c r="WO11" s="131"/>
      <c r="WP11" s="131"/>
      <c r="WQ11" s="131">
        <v>400</v>
      </c>
      <c r="WR11" s="131"/>
      <c r="WS11" s="131"/>
      <c r="WT11" s="131"/>
      <c r="WU11" s="131"/>
      <c r="WV11" s="131"/>
      <c r="WW11" s="131"/>
      <c r="WX11" s="131">
        <v>400</v>
      </c>
      <c r="WY11" s="131"/>
      <c r="WZ11" s="131"/>
      <c r="XA11" s="131"/>
      <c r="XB11" s="131">
        <v>400</v>
      </c>
      <c r="XC11" s="131"/>
      <c r="XD11" s="131"/>
      <c r="XE11" s="131"/>
      <c r="XF11" s="131"/>
      <c r="XG11" s="131"/>
      <c r="XH11" s="131"/>
      <c r="XI11" s="131">
        <v>400</v>
      </c>
      <c r="XJ11" s="131"/>
      <c r="XK11" s="131"/>
      <c r="XL11" s="131"/>
      <c r="XM11" s="131">
        <v>400</v>
      </c>
      <c r="XN11" s="131"/>
      <c r="XO11" s="131"/>
      <c r="XP11" s="131"/>
      <c r="XQ11" s="131"/>
      <c r="XR11" s="131"/>
      <c r="XS11" s="131"/>
      <c r="XT11" s="131">
        <v>400</v>
      </c>
      <c r="XU11" s="131"/>
      <c r="XV11" s="131"/>
      <c r="XW11" s="131"/>
      <c r="XX11" s="131">
        <v>400</v>
      </c>
      <c r="XY11" s="131"/>
      <c r="XZ11" s="131"/>
      <c r="YA11" s="131"/>
      <c r="YB11" s="131"/>
      <c r="YC11" s="131"/>
      <c r="YD11" s="131"/>
      <c r="YE11" s="131">
        <v>400</v>
      </c>
      <c r="YF11" s="131"/>
      <c r="YG11" s="131"/>
      <c r="YH11" s="131"/>
      <c r="YI11" s="131">
        <v>400</v>
      </c>
      <c r="YJ11" s="131"/>
      <c r="YK11" s="131"/>
      <c r="YL11" s="131"/>
      <c r="YM11" s="131"/>
      <c r="YN11" s="131"/>
      <c r="YO11" s="131"/>
      <c r="YP11" s="131">
        <v>400</v>
      </c>
      <c r="YQ11" s="131"/>
      <c r="YR11" s="131"/>
      <c r="YS11" s="131"/>
      <c r="YT11" s="131">
        <v>400</v>
      </c>
      <c r="YU11" s="131"/>
      <c r="YV11" s="131"/>
      <c r="YW11" s="131"/>
      <c r="YX11" s="131"/>
      <c r="YY11" s="131"/>
      <c r="YZ11" s="131"/>
      <c r="ZA11" s="131">
        <v>400</v>
      </c>
      <c r="ZB11" s="131"/>
      <c r="ZC11" s="131"/>
      <c r="ZD11" s="131"/>
      <c r="ZE11" s="131">
        <v>400</v>
      </c>
      <c r="ZF11" s="131"/>
      <c r="ZG11" s="131"/>
      <c r="ZH11" s="131"/>
      <c r="ZI11" s="131"/>
      <c r="ZJ11" s="131"/>
      <c r="ZK11" s="131"/>
      <c r="ZL11" s="131">
        <v>400</v>
      </c>
      <c r="ZM11" s="131"/>
      <c r="ZN11" s="131"/>
      <c r="ZO11" s="131"/>
      <c r="ZP11" s="131">
        <v>400</v>
      </c>
      <c r="ZQ11" s="131"/>
      <c r="ZR11" s="131"/>
      <c r="ZS11" s="131"/>
      <c r="ZT11" s="131"/>
      <c r="ZU11" s="131"/>
      <c r="ZV11" s="131"/>
      <c r="ZW11" s="131">
        <v>400</v>
      </c>
      <c r="ZX11" s="131"/>
      <c r="ZY11" s="131"/>
      <c r="ZZ11" s="131"/>
      <c r="AAA11" s="131">
        <v>400</v>
      </c>
      <c r="AAB11" s="131"/>
      <c r="AAC11" s="131"/>
      <c r="AAD11" s="131"/>
      <c r="AAE11" s="131"/>
      <c r="AAF11" s="131"/>
      <c r="AAG11" s="131"/>
      <c r="AAH11" s="131">
        <v>400</v>
      </c>
      <c r="AAJ11" s="131"/>
      <c r="AAK11" s="131"/>
      <c r="AAL11" s="131"/>
      <c r="AAM11" s="131">
        <v>400</v>
      </c>
      <c r="AAN11" s="131"/>
      <c r="AAO11" s="131"/>
      <c r="AAP11" s="131"/>
      <c r="AAQ11" s="131"/>
      <c r="AAR11" s="131"/>
      <c r="AAS11" s="131"/>
      <c r="AAT11" s="131">
        <v>400</v>
      </c>
      <c r="AAU11" s="131"/>
      <c r="AAV11" s="131"/>
      <c r="AAW11" s="131"/>
      <c r="AAX11" s="131">
        <v>400</v>
      </c>
      <c r="AAY11" s="131"/>
      <c r="AAZ11" s="131"/>
      <c r="ABA11" s="131"/>
      <c r="ABB11" s="131"/>
      <c r="ABC11" s="131"/>
      <c r="ABD11" s="131"/>
      <c r="ABE11" s="131">
        <v>400</v>
      </c>
      <c r="ABF11" s="131"/>
      <c r="ABG11" s="131"/>
      <c r="ABH11" s="131"/>
      <c r="ABI11" s="131">
        <v>400</v>
      </c>
      <c r="ABJ11" s="131"/>
      <c r="ABK11" s="131"/>
      <c r="ABL11" s="131"/>
      <c r="ABM11" s="131"/>
      <c r="ABN11" s="131"/>
      <c r="ABO11" s="131"/>
      <c r="ABP11" s="131">
        <v>400</v>
      </c>
      <c r="ABQ11" s="131"/>
      <c r="ABR11" s="131"/>
      <c r="ABS11" s="131"/>
      <c r="ABT11" s="131">
        <v>400</v>
      </c>
      <c r="ABU11" s="131"/>
      <c r="ABV11" s="131"/>
      <c r="ABW11" s="131"/>
      <c r="ABX11" s="131"/>
      <c r="ABY11" s="131"/>
      <c r="ABZ11" s="131"/>
      <c r="ACA11" s="131">
        <v>400</v>
      </c>
      <c r="ACB11" s="131"/>
      <c r="ACC11" s="131"/>
      <c r="ACD11" s="131"/>
      <c r="ACE11" s="131">
        <v>400</v>
      </c>
      <c r="ACF11" s="131"/>
      <c r="ACG11" s="131"/>
      <c r="ACH11" s="131"/>
      <c r="ACI11" s="131"/>
      <c r="ACJ11" s="131"/>
      <c r="ACK11" s="131"/>
      <c r="ACL11" s="131">
        <v>400</v>
      </c>
      <c r="ACM11" s="131"/>
      <c r="ACN11" s="131"/>
      <c r="ACO11" s="131"/>
      <c r="ACP11" s="131">
        <v>400</v>
      </c>
      <c r="ACQ11" s="131"/>
      <c r="ACR11" s="131"/>
      <c r="ACS11" s="131"/>
      <c r="ACT11" s="131"/>
      <c r="ACU11" s="131"/>
      <c r="ACV11" s="131"/>
      <c r="ACW11" s="131">
        <v>400</v>
      </c>
      <c r="ACX11" s="131"/>
      <c r="ACY11" s="131"/>
      <c r="ACZ11" s="131"/>
      <c r="ADA11" s="131">
        <v>400</v>
      </c>
      <c r="ADB11" s="131"/>
      <c r="ADC11" s="131"/>
      <c r="ADD11" s="131"/>
      <c r="ADE11" s="131"/>
      <c r="ADF11" s="131"/>
      <c r="ADG11" s="131"/>
      <c r="ADH11" s="131">
        <v>400</v>
      </c>
      <c r="ADI11" s="131"/>
      <c r="ADJ11" s="131"/>
      <c r="ADK11" s="131"/>
      <c r="ADL11" s="131">
        <v>400</v>
      </c>
      <c r="ADM11" s="131"/>
      <c r="ADN11" s="131"/>
      <c r="ADO11" s="131"/>
      <c r="ADP11" s="131"/>
      <c r="ADQ11" s="131"/>
      <c r="ADR11" s="131"/>
      <c r="ADS11" s="131">
        <v>400</v>
      </c>
      <c r="ADT11" s="131"/>
      <c r="ADU11" s="131"/>
      <c r="ADV11" s="131"/>
      <c r="ADW11" s="131">
        <v>400</v>
      </c>
      <c r="ADX11" s="131"/>
      <c r="ADY11" s="131"/>
      <c r="ADZ11" s="131"/>
      <c r="AEA11" s="131"/>
      <c r="AEB11" s="131"/>
      <c r="AEC11" s="131"/>
      <c r="AED11" s="131">
        <v>400</v>
      </c>
      <c r="AEE11" s="131"/>
      <c r="AEF11" s="131"/>
      <c r="AEG11" s="131"/>
      <c r="AEH11" s="131">
        <v>400</v>
      </c>
      <c r="AEI11" s="131"/>
      <c r="AEJ11" s="131"/>
      <c r="AEK11" s="131"/>
      <c r="AEL11" s="131"/>
      <c r="AEM11" s="131"/>
      <c r="AEN11" s="131"/>
      <c r="AEO11" s="131">
        <v>400</v>
      </c>
      <c r="AEP11" s="131"/>
      <c r="AEQ11" s="131"/>
      <c r="AER11" s="131"/>
      <c r="AES11" s="131">
        <v>400</v>
      </c>
      <c r="AET11" s="131"/>
      <c r="AEU11" s="131"/>
      <c r="AEV11" s="131"/>
      <c r="AEW11" s="131"/>
      <c r="AEX11" s="131"/>
      <c r="AEY11" s="131"/>
      <c r="AEZ11" s="131">
        <v>400</v>
      </c>
      <c r="AFA11" s="131"/>
      <c r="AFB11" s="131"/>
      <c r="AFC11" s="131"/>
      <c r="AFD11" s="131">
        <v>400</v>
      </c>
      <c r="AFE11" s="131"/>
      <c r="AFF11" s="131"/>
      <c r="AFG11" s="131"/>
      <c r="AFH11" s="131"/>
      <c r="AFI11" s="131"/>
      <c r="AFJ11" s="131"/>
      <c r="AFK11" s="131">
        <v>400</v>
      </c>
      <c r="AFL11" s="128" t="s">
        <v>4021</v>
      </c>
      <c r="AFN11" s="129"/>
      <c r="AFO11" s="129"/>
      <c r="AFP11" s="129"/>
      <c r="AFQ11" s="129"/>
      <c r="AFR11" s="129"/>
      <c r="AFS11" s="129"/>
      <c r="AFT11" s="129"/>
      <c r="AFU11" s="129"/>
      <c r="AFV11" s="129"/>
      <c r="AFW11" s="129"/>
      <c r="AFX11" s="129"/>
      <c r="AFY11" s="129"/>
      <c r="AFZ11" s="129"/>
      <c r="AGA11" s="129"/>
      <c r="AGB11" s="129"/>
      <c r="AGC11" s="129"/>
      <c r="AGD11" s="129"/>
      <c r="AGE11" s="129"/>
      <c r="AGF11" s="129"/>
      <c r="AGG11" s="129"/>
      <c r="AGH11" s="129"/>
      <c r="AGI11" s="129"/>
      <c r="AGJ11" s="129"/>
      <c r="AGK11" s="129"/>
      <c r="AGL11" s="129"/>
      <c r="AGM11" s="129"/>
      <c r="AGN11" s="129"/>
      <c r="AGO11" s="129"/>
      <c r="AGP11" s="129"/>
      <c r="AGQ11" s="129"/>
      <c r="AGR11" s="129"/>
      <c r="AGS11" s="129"/>
      <c r="AGT11" s="129"/>
      <c r="AGU11" s="129"/>
      <c r="AGV11" s="129"/>
      <c r="AGW11" s="129"/>
      <c r="AGX11" s="129"/>
      <c r="AGY11" s="129"/>
      <c r="AGZ11" s="129"/>
      <c r="AHA11" s="129"/>
      <c r="AHB11" s="129"/>
      <c r="AHC11" s="129"/>
      <c r="AHD11" s="129"/>
      <c r="AHE11" s="129"/>
      <c r="AHF11" s="129"/>
      <c r="AHG11" s="129"/>
      <c r="AHH11" s="129"/>
      <c r="AHI11" s="129"/>
      <c r="AHJ11" s="129"/>
      <c r="AHK11" s="129"/>
      <c r="AHL11" s="129"/>
      <c r="AHM11" s="129"/>
      <c r="AHN11" s="129"/>
      <c r="AHO11" s="129"/>
      <c r="AHP11" s="129"/>
      <c r="AHQ11" s="129"/>
      <c r="AHR11" s="129"/>
      <c r="AHS11" s="129"/>
      <c r="AHT11" s="129"/>
      <c r="AHU11" s="129"/>
      <c r="AHV11" s="129"/>
      <c r="AHW11" s="129"/>
      <c r="AHX11" s="129"/>
      <c r="AHY11" s="129"/>
      <c r="AHZ11" s="129"/>
      <c r="AIA11" s="129"/>
      <c r="AIB11" s="129"/>
      <c r="AIC11" s="129"/>
      <c r="AID11" s="129"/>
      <c r="AIE11" s="129"/>
      <c r="AIF11" s="129"/>
      <c r="AIG11" s="129"/>
      <c r="AIH11" s="129"/>
      <c r="AII11" s="129"/>
      <c r="AIJ11" s="129"/>
      <c r="AIK11" s="129"/>
      <c r="AIL11" s="129"/>
      <c r="AIM11" s="129"/>
      <c r="AIN11" s="129"/>
      <c r="AIO11" s="129"/>
      <c r="AIP11" s="129"/>
      <c r="AIQ11" s="129"/>
      <c r="AIR11" s="129"/>
      <c r="AIS11" s="129"/>
      <c r="AIT11" s="129"/>
      <c r="AIU11" s="129"/>
      <c r="AIV11" s="129"/>
      <c r="AIW11" s="129"/>
      <c r="AIX11" s="129"/>
      <c r="AIY11" s="129"/>
      <c r="AIZ11" s="129"/>
      <c r="AJA11" s="129"/>
      <c r="AJB11" s="129"/>
      <c r="AJC11" s="129"/>
      <c r="AJD11" s="129"/>
      <c r="AJE11" s="129"/>
      <c r="AJF11" s="129"/>
      <c r="AJG11" s="129"/>
      <c r="AJH11" s="129"/>
      <c r="AJI11" s="129"/>
      <c r="AJJ11" s="129"/>
      <c r="AJK11" s="129"/>
      <c r="AJL11" s="129"/>
      <c r="AJM11" s="129"/>
      <c r="AJN11" s="129"/>
      <c r="AJO11" s="129"/>
      <c r="AJP11" s="129"/>
      <c r="AJQ11" s="129"/>
      <c r="AJR11" s="129"/>
      <c r="AJS11" s="129"/>
      <c r="AJT11" s="129"/>
      <c r="AJU11" s="129"/>
      <c r="AJV11" s="129"/>
      <c r="AJW11" s="129"/>
      <c r="AJX11" s="129"/>
      <c r="AJY11" s="129"/>
      <c r="AJZ11" s="129"/>
      <c r="AKA11" s="129"/>
      <c r="AKB11" s="129"/>
      <c r="AKC11" s="129"/>
      <c r="AKD11" s="129"/>
      <c r="AKE11" s="129"/>
      <c r="AKF11" s="129"/>
      <c r="AKG11" s="129"/>
      <c r="AKH11" s="129"/>
      <c r="AKI11" s="129"/>
      <c r="AKJ11" s="129"/>
      <c r="AKK11" s="129"/>
      <c r="AKL11" s="129"/>
      <c r="AKM11" s="129"/>
      <c r="AKN11" s="129"/>
      <c r="AKO11" s="129"/>
      <c r="AKP11" s="129"/>
      <c r="AKQ11" s="129"/>
      <c r="AKR11" s="129"/>
      <c r="AKS11" s="129"/>
      <c r="AKT11" s="129"/>
      <c r="AKU11" s="129"/>
      <c r="AKV11" s="129"/>
      <c r="AKW11" s="129"/>
      <c r="AKX11" s="129"/>
      <c r="AKY11" s="129"/>
      <c r="AKZ11" s="129"/>
      <c r="ALA11" s="129"/>
      <c r="ALB11" s="129"/>
      <c r="ALC11" s="129"/>
      <c r="ALD11" s="129"/>
      <c r="ALE11" s="129"/>
      <c r="ALF11" s="129"/>
      <c r="ALG11" s="129"/>
      <c r="ALH11" s="129"/>
      <c r="ALI11" s="129"/>
      <c r="ALJ11" s="129"/>
      <c r="ALK11" s="129"/>
      <c r="ALL11" s="129"/>
      <c r="ALM11" s="129"/>
      <c r="ALN11" s="129"/>
      <c r="ALO11" s="129"/>
      <c r="ALP11" s="129"/>
      <c r="ALQ11" s="129"/>
      <c r="ALR11" s="129"/>
      <c r="ALS11" s="129"/>
      <c r="ALT11" s="129"/>
      <c r="ALU11" s="129"/>
      <c r="ALV11" s="129"/>
      <c r="ALW11" s="129"/>
      <c r="ALX11" s="129"/>
      <c r="ALY11" s="129"/>
      <c r="ALZ11" s="129"/>
      <c r="AMA11" s="129"/>
      <c r="AMB11" s="129"/>
      <c r="AMC11" s="129"/>
      <c r="AMD11" s="129"/>
      <c r="AME11" s="129"/>
      <c r="AMF11" s="129"/>
      <c r="AMG11" s="129"/>
      <c r="AMH11" s="129"/>
      <c r="AMI11" s="129"/>
      <c r="AMJ11" s="129"/>
      <c r="AMK11" s="129"/>
      <c r="AML11" s="129"/>
      <c r="AMM11" s="129"/>
      <c r="AMN11" s="129"/>
      <c r="AMO11" s="129"/>
      <c r="AMP11" s="129"/>
      <c r="AMQ11" s="129"/>
      <c r="AMR11" s="129"/>
      <c r="AMS11" s="129"/>
      <c r="AMT11" s="129"/>
      <c r="AMU11" s="129"/>
      <c r="AMV11" s="129"/>
      <c r="AMW11" s="129"/>
      <c r="AMX11" s="129"/>
      <c r="AMY11" s="129"/>
      <c r="AMZ11" s="129"/>
      <c r="ANA11" s="129"/>
      <c r="ANB11" s="129"/>
      <c r="ANC11" s="129"/>
      <c r="AND11" s="129"/>
      <c r="ANE11" s="129"/>
      <c r="ANF11" s="129"/>
      <c r="ANG11" s="129"/>
      <c r="ANH11" s="129"/>
      <c r="ANI11" s="129"/>
      <c r="ANJ11" s="129"/>
      <c r="ANK11" s="129"/>
      <c r="ANL11" s="129"/>
      <c r="ANM11" s="129"/>
      <c r="ANN11" s="129"/>
      <c r="ANO11" s="129"/>
      <c r="ANP11" s="129"/>
      <c r="ANQ11" s="129"/>
      <c r="ANR11" s="129"/>
      <c r="ANS11" s="129"/>
      <c r="ANT11" s="129"/>
      <c r="ANU11" s="129"/>
      <c r="ANV11" s="129"/>
      <c r="ANW11" s="129"/>
      <c r="ANX11" s="129"/>
      <c r="ANY11" s="129"/>
      <c r="ANZ11" s="129"/>
      <c r="AOA11" s="129"/>
      <c r="AOB11" s="129"/>
      <c r="AOC11" s="129"/>
      <c r="AOD11" s="129"/>
      <c r="AOE11" s="129"/>
      <c r="AOF11" s="129"/>
      <c r="AOG11" s="129"/>
      <c r="AOH11" s="129"/>
      <c r="AOI11" s="129"/>
      <c r="AOJ11" s="129"/>
      <c r="AOK11" s="129"/>
      <c r="AOL11" s="129"/>
      <c r="AOM11" s="129"/>
      <c r="AON11" s="129"/>
      <c r="AOO11" s="129"/>
      <c r="AOP11" s="129"/>
      <c r="AOQ11" s="129"/>
      <c r="AOR11" s="129"/>
      <c r="AOS11" s="129"/>
      <c r="AOT11" s="129"/>
      <c r="AOU11" s="129"/>
      <c r="AOV11" s="129"/>
      <c r="AOW11" s="129"/>
      <c r="AOX11" s="129"/>
      <c r="AOY11" s="129"/>
      <c r="AOZ11" s="129"/>
      <c r="APA11" s="129"/>
      <c r="APB11" s="129"/>
      <c r="APC11" s="129"/>
      <c r="APD11" s="129"/>
      <c r="APE11" s="129"/>
      <c r="APF11" s="129"/>
      <c r="APG11" s="129"/>
      <c r="APH11" s="129"/>
      <c r="API11" s="129"/>
      <c r="APJ11" s="129"/>
      <c r="APK11" s="129"/>
      <c r="APL11" s="129"/>
      <c r="APM11" s="129"/>
      <c r="APN11" s="129"/>
      <c r="APO11" s="130"/>
      <c r="APP11" s="130"/>
      <c r="APQ11" s="130"/>
      <c r="APR11" s="130"/>
      <c r="APS11" s="130"/>
      <c r="APT11" s="130"/>
      <c r="APU11" s="130"/>
      <c r="APV11" s="130"/>
      <c r="APW11" s="130"/>
      <c r="APX11" s="130"/>
      <c r="APY11" s="130"/>
      <c r="APZ11" s="130"/>
      <c r="AQA11" s="130"/>
      <c r="AQB11" s="130"/>
      <c r="AQC11" s="130"/>
      <c r="AQD11" s="130"/>
      <c r="AQE11" s="130"/>
      <c r="AQF11" s="130"/>
      <c r="AQG11" s="130"/>
      <c r="AQH11" s="130"/>
      <c r="AQI11" s="130"/>
      <c r="AQJ11" s="130"/>
      <c r="AQK11" s="130"/>
      <c r="AQL11" s="130"/>
      <c r="AQM11" s="130"/>
      <c r="AQN11" s="130"/>
      <c r="AQO11" s="130"/>
      <c r="AQP11" s="130"/>
      <c r="AQQ11" s="130"/>
      <c r="AQR11" s="130"/>
      <c r="AQS11" s="130"/>
      <c r="AQT11" s="130"/>
      <c r="AQU11" s="130"/>
      <c r="AQV11" s="130"/>
      <c r="AQW11" s="130"/>
      <c r="AQX11" s="130"/>
      <c r="AQY11" s="130"/>
      <c r="AQZ11" s="130"/>
      <c r="ARA11" s="130"/>
      <c r="ARB11" s="130"/>
      <c r="ARC11" s="130"/>
      <c r="ARD11" s="130"/>
      <c r="ARE11" s="130"/>
      <c r="ARF11" s="130"/>
      <c r="ARG11" s="130"/>
      <c r="ARH11" s="130"/>
      <c r="ARI11" s="130"/>
      <c r="ARJ11" s="130"/>
      <c r="ARK11" s="130"/>
      <c r="ARL11" s="130"/>
      <c r="ARM11" s="130"/>
      <c r="ARN11" s="130"/>
      <c r="ARO11" s="130"/>
      <c r="ARP11" s="130"/>
      <c r="ARQ11" s="130"/>
      <c r="ARR11" s="130"/>
      <c r="ARS11" s="130"/>
      <c r="ART11" s="130"/>
      <c r="ARU11" s="130"/>
      <c r="ARV11" s="130"/>
      <c r="ARW11" s="130"/>
      <c r="ARX11" s="130"/>
      <c r="ARY11" s="130"/>
      <c r="ARZ11" s="130"/>
      <c r="ASA11" s="130"/>
      <c r="ASB11" s="130"/>
      <c r="ASC11" s="130"/>
      <c r="ASD11" s="130"/>
      <c r="ASE11" s="130"/>
      <c r="ASF11" s="130"/>
      <c r="ASG11" s="130"/>
      <c r="ASH11" s="130"/>
      <c r="ASI11" s="130"/>
      <c r="ASJ11" s="130"/>
      <c r="ASK11" s="130"/>
      <c r="ASL11" s="130"/>
      <c r="ASM11" s="130"/>
      <c r="ASN11" s="130"/>
      <c r="ASO11" s="130"/>
      <c r="ASP11" s="130"/>
      <c r="ASQ11" s="130"/>
      <c r="ASR11" s="130"/>
      <c r="ASS11" s="130"/>
      <c r="AST11" s="130"/>
      <c r="ASU11" s="130"/>
      <c r="ASV11" s="130"/>
      <c r="ASW11" s="130"/>
      <c r="ASX11" s="129"/>
      <c r="ASY11" s="129"/>
      <c r="ASZ11" s="129"/>
      <c r="ATA11" s="129"/>
      <c r="ATB11" s="129"/>
      <c r="ATC11" s="129"/>
      <c r="ATD11" s="129"/>
      <c r="ATE11" s="129"/>
      <c r="ATF11" s="129"/>
      <c r="ATG11" s="129"/>
      <c r="ATH11" s="129"/>
      <c r="ATI11" s="129"/>
      <c r="ATJ11" s="129"/>
      <c r="ATK11" s="129"/>
      <c r="ATL11" s="129"/>
      <c r="ATM11" s="129"/>
      <c r="ATN11" s="129"/>
      <c r="ATO11" s="129"/>
      <c r="ATP11" s="129"/>
      <c r="ATQ11" s="129"/>
      <c r="ATR11" s="129"/>
      <c r="ATS11" s="129"/>
      <c r="ATT11" s="129"/>
      <c r="ATU11" s="129"/>
      <c r="ATV11" s="129"/>
      <c r="ATW11" s="129"/>
      <c r="ATX11" s="129"/>
      <c r="ATY11" s="129"/>
      <c r="ATZ11" s="129"/>
      <c r="AUA11" s="129"/>
      <c r="AUB11" s="129"/>
      <c r="AUC11" s="129"/>
      <c r="AUD11" s="129"/>
      <c r="AUE11" s="129"/>
      <c r="AUF11" s="129"/>
      <c r="AUG11" s="129"/>
      <c r="AUH11" s="129"/>
      <c r="AUI11" s="129"/>
      <c r="AUJ11" s="129"/>
      <c r="AUK11" s="129"/>
      <c r="AUL11" s="129"/>
      <c r="AUM11" s="129"/>
      <c r="AUN11" s="129"/>
      <c r="AUO11" s="129"/>
      <c r="AUP11" s="129"/>
      <c r="AUQ11" s="129"/>
      <c r="AUR11" s="129"/>
      <c r="AUS11" s="129"/>
      <c r="AUT11" s="129"/>
      <c r="AUU11" s="129"/>
      <c r="AUV11" s="129"/>
      <c r="AUW11" s="129"/>
      <c r="AUX11" s="129"/>
      <c r="AUY11" s="129"/>
      <c r="AUZ11" s="129"/>
      <c r="AVA11" s="129"/>
      <c r="AVB11" s="129"/>
      <c r="AVC11" s="129"/>
      <c r="AVD11" s="129"/>
      <c r="AVE11" s="129"/>
      <c r="AVF11" s="129"/>
      <c r="AVG11" s="129"/>
      <c r="AVH11" s="129"/>
    </row>
    <row r="12" spans="1:1297" s="172" customFormat="1" ht="54" outlineLevel="1">
      <c r="A12" s="137" t="s">
        <v>197</v>
      </c>
      <c r="B12" s="173" t="s">
        <v>199</v>
      </c>
      <c r="C12" s="139" t="s">
        <v>4020</v>
      </c>
      <c r="D12" s="139" t="s">
        <v>4019</v>
      </c>
      <c r="E12" s="137">
        <v>37</v>
      </c>
      <c r="F12" s="138" t="s">
        <v>85</v>
      </c>
      <c r="G12" s="136" t="s">
        <v>11</v>
      </c>
      <c r="H12" s="136" t="s">
        <v>366</v>
      </c>
      <c r="I12" s="136" t="s">
        <v>366</v>
      </c>
      <c r="J12" s="136" t="s">
        <v>366</v>
      </c>
      <c r="K12" s="136" t="s">
        <v>13</v>
      </c>
      <c r="L12" s="136" t="s">
        <v>13</v>
      </c>
      <c r="M12" s="136" t="s">
        <v>13</v>
      </c>
      <c r="N12" s="136" t="s">
        <v>366</v>
      </c>
      <c r="O12" s="138"/>
      <c r="U12" s="129"/>
      <c r="V12" s="129"/>
      <c r="BY12" s="129"/>
      <c r="BZ12" s="129"/>
      <c r="CA12" s="129"/>
      <c r="CC12" s="129"/>
      <c r="CD12" s="129"/>
      <c r="CF12" s="129"/>
      <c r="CG12" s="129"/>
      <c r="CH12" s="129"/>
      <c r="CI12" s="129"/>
      <c r="CJ12" s="129"/>
      <c r="CK12" s="129"/>
      <c r="CM12" s="129"/>
      <c r="CN12" s="129"/>
      <c r="CP12" s="129"/>
      <c r="CQ12" s="129"/>
      <c r="HS12" s="129"/>
      <c r="HT12" s="129"/>
      <c r="HU12" s="129"/>
      <c r="HV12" s="129"/>
      <c r="HW12" s="129"/>
      <c r="HX12" s="129"/>
      <c r="HY12" s="129"/>
      <c r="HZ12" s="129"/>
      <c r="IA12" s="129"/>
      <c r="IB12" s="129"/>
      <c r="IC12" s="129"/>
      <c r="ID12" s="129"/>
      <c r="IE12" s="129"/>
      <c r="IF12" s="129"/>
      <c r="IH12" s="129"/>
      <c r="II12" s="129"/>
      <c r="IJ12" s="129"/>
      <c r="IK12" s="129"/>
      <c r="IL12" s="129"/>
      <c r="IM12" s="129"/>
      <c r="IN12" s="129"/>
      <c r="IO12" s="129"/>
      <c r="IP12" s="129"/>
      <c r="IQ12" s="129"/>
      <c r="IR12" s="129"/>
      <c r="IS12" s="129"/>
      <c r="IT12" s="129"/>
      <c r="IU12" s="129"/>
      <c r="IV12" s="129"/>
      <c r="IW12" s="129"/>
      <c r="IX12" s="129"/>
      <c r="IY12" s="129"/>
      <c r="IZ12" s="129"/>
      <c r="JA12" s="129"/>
      <c r="JB12" s="129"/>
      <c r="JC12" s="129"/>
      <c r="JD12" s="129"/>
      <c r="JE12" s="129"/>
      <c r="JF12" s="129"/>
      <c r="JG12" s="129"/>
      <c r="JH12" s="129"/>
      <c r="JI12" s="129"/>
      <c r="JJ12" s="129"/>
      <c r="JK12" s="129"/>
      <c r="JL12" s="129"/>
      <c r="JM12" s="129"/>
      <c r="JN12" s="129"/>
      <c r="JO12" s="129"/>
      <c r="JP12" s="129"/>
      <c r="JQ12" s="129"/>
      <c r="JR12" s="129"/>
      <c r="JS12" s="129"/>
      <c r="JT12" s="129"/>
      <c r="JU12" s="129"/>
      <c r="JV12" s="129"/>
      <c r="JW12" s="129"/>
      <c r="JX12" s="129"/>
      <c r="JY12" s="129"/>
      <c r="JZ12" s="129"/>
      <c r="KA12" s="129"/>
      <c r="KB12" s="129"/>
      <c r="KC12" s="129"/>
      <c r="KD12" s="129"/>
      <c r="KE12" s="129"/>
      <c r="KF12" s="129"/>
      <c r="KG12" s="129"/>
      <c r="KH12" s="129"/>
      <c r="KI12" s="129"/>
      <c r="KJ12" s="129"/>
      <c r="KK12" s="129"/>
      <c r="KL12" s="129"/>
      <c r="KM12" s="129"/>
      <c r="KN12" s="129"/>
      <c r="KO12" s="129"/>
      <c r="KP12" s="129"/>
      <c r="KQ12" s="129"/>
      <c r="KR12" s="129"/>
      <c r="KS12" s="129"/>
      <c r="KT12" s="129"/>
      <c r="KU12" s="129"/>
      <c r="KV12" s="129"/>
      <c r="KW12" s="129"/>
      <c r="KX12" s="129"/>
      <c r="KY12" s="129"/>
      <c r="KZ12" s="129"/>
      <c r="LA12" s="129"/>
      <c r="LB12" s="129"/>
      <c r="LC12" s="129"/>
      <c r="LD12" s="129"/>
      <c r="LE12" s="129"/>
      <c r="LF12" s="129"/>
      <c r="LG12" s="129"/>
      <c r="LH12" s="129"/>
      <c r="LI12" s="129"/>
      <c r="LJ12" s="129"/>
      <c r="LK12" s="135"/>
      <c r="LL12" s="135"/>
      <c r="LM12" s="135"/>
      <c r="LN12" s="135"/>
      <c r="LO12" s="135"/>
      <c r="LP12" s="129"/>
      <c r="LQ12" s="129"/>
      <c r="LR12" s="129"/>
      <c r="LS12" s="129"/>
      <c r="LT12" s="129"/>
      <c r="LU12" s="135"/>
      <c r="LV12" s="135"/>
      <c r="LW12" s="135"/>
      <c r="LX12" s="135"/>
      <c r="LY12" s="135"/>
      <c r="LZ12" s="135"/>
      <c r="MA12" s="135"/>
      <c r="MB12" s="135"/>
      <c r="MC12" s="135"/>
      <c r="MD12" s="135"/>
      <c r="ME12" s="135"/>
      <c r="MF12" s="135"/>
      <c r="MG12" s="135"/>
      <c r="MH12" s="129"/>
      <c r="MI12" s="129"/>
      <c r="MJ12" s="129"/>
      <c r="MK12" s="129"/>
      <c r="ML12" s="129"/>
      <c r="MM12" s="129"/>
      <c r="MN12" s="129"/>
      <c r="MO12" s="129"/>
      <c r="MP12" s="129"/>
      <c r="MQ12" s="132"/>
      <c r="MR12" s="132"/>
      <c r="MS12" s="132"/>
      <c r="MT12" s="132"/>
      <c r="MU12" s="132"/>
      <c r="MV12" s="132"/>
      <c r="MW12" s="132"/>
      <c r="MX12" s="132"/>
      <c r="MY12" s="132"/>
      <c r="MZ12" s="129"/>
      <c r="NA12" s="129"/>
      <c r="NB12" s="135"/>
      <c r="NC12" s="135"/>
      <c r="ND12" s="135"/>
      <c r="NE12" s="135"/>
      <c r="NF12" s="135"/>
      <c r="NG12" s="129"/>
      <c r="NH12" s="129"/>
      <c r="NI12" s="129"/>
      <c r="NJ12" s="129"/>
      <c r="NK12" s="129"/>
      <c r="NL12" s="132"/>
      <c r="NM12" s="132"/>
      <c r="NN12" s="132"/>
      <c r="NO12" s="132"/>
      <c r="NP12" s="132"/>
      <c r="NQ12" s="129"/>
      <c r="NR12" s="129"/>
      <c r="NS12" s="129"/>
      <c r="NT12" s="129"/>
      <c r="NU12" s="129"/>
      <c r="NV12" s="129"/>
      <c r="NW12" s="129"/>
      <c r="NX12" s="129"/>
      <c r="NY12" s="129"/>
      <c r="NZ12" s="129"/>
      <c r="OA12" s="129"/>
      <c r="OB12" s="129"/>
      <c r="OC12" s="129"/>
      <c r="OD12" s="129"/>
      <c r="OE12" s="129"/>
      <c r="OF12" s="129"/>
      <c r="OG12" s="129"/>
      <c r="OH12" s="129"/>
      <c r="OI12" s="129"/>
      <c r="OJ12" s="129"/>
      <c r="OK12" s="129"/>
      <c r="OL12" s="129"/>
      <c r="OM12" s="129"/>
      <c r="ON12" s="129"/>
      <c r="OO12" s="129"/>
      <c r="OQ12" s="129">
        <v>300</v>
      </c>
      <c r="OR12" s="129"/>
      <c r="OS12" s="129"/>
      <c r="OT12" s="129">
        <v>300</v>
      </c>
      <c r="OU12" s="129">
        <v>300</v>
      </c>
      <c r="OV12" s="129"/>
      <c r="OW12" s="129"/>
      <c r="OX12" s="129">
        <v>300</v>
      </c>
      <c r="OY12" s="129">
        <v>300</v>
      </c>
      <c r="OZ12" s="129"/>
      <c r="PA12" s="129"/>
      <c r="PB12" s="129">
        <v>300</v>
      </c>
      <c r="PC12" s="129"/>
      <c r="PD12" s="129"/>
      <c r="PE12" s="129"/>
      <c r="PF12" s="129">
        <v>300</v>
      </c>
      <c r="PG12" s="129"/>
      <c r="PH12" s="129"/>
      <c r="PI12" s="129">
        <v>300</v>
      </c>
      <c r="PJ12" s="129"/>
      <c r="PK12" s="129"/>
      <c r="PL12" s="129">
        <v>300</v>
      </c>
      <c r="PM12" s="129">
        <v>300</v>
      </c>
      <c r="PN12" s="129"/>
      <c r="PO12" s="129"/>
      <c r="PP12" s="129"/>
      <c r="PQ12" s="129">
        <v>300</v>
      </c>
      <c r="PR12" s="129">
        <v>300</v>
      </c>
      <c r="PS12" s="156" t="s">
        <v>399</v>
      </c>
      <c r="PT12" s="156" t="s">
        <v>399</v>
      </c>
      <c r="PU12" s="156" t="s">
        <v>399</v>
      </c>
      <c r="PV12" s="156" t="s">
        <v>399</v>
      </c>
      <c r="PW12" s="156" t="s">
        <v>399</v>
      </c>
      <c r="PX12" s="156" t="s">
        <v>399</v>
      </c>
      <c r="PY12" s="156" t="s">
        <v>399</v>
      </c>
      <c r="PZ12" s="156" t="s">
        <v>399</v>
      </c>
      <c r="QA12" s="156" t="s">
        <v>399</v>
      </c>
      <c r="QB12" s="156" t="s">
        <v>399</v>
      </c>
      <c r="QC12" s="156" t="s">
        <v>399</v>
      </c>
      <c r="QD12" s="129">
        <v>300</v>
      </c>
      <c r="QE12" s="129">
        <v>300</v>
      </c>
      <c r="QF12" s="129">
        <v>300</v>
      </c>
      <c r="QG12" s="129">
        <v>300</v>
      </c>
      <c r="QH12" s="129">
        <v>300</v>
      </c>
      <c r="QI12" s="129"/>
      <c r="QJ12" s="129"/>
      <c r="QK12" s="129">
        <v>300</v>
      </c>
      <c r="QL12" s="129">
        <v>300</v>
      </c>
      <c r="QM12" s="129">
        <v>300</v>
      </c>
      <c r="QN12" s="156"/>
      <c r="QO12" s="129"/>
      <c r="QP12" s="129"/>
      <c r="QQ12" s="129"/>
      <c r="QR12" s="156" t="s">
        <v>4017</v>
      </c>
      <c r="QS12" s="156"/>
      <c r="QT12" s="129"/>
      <c r="QU12" s="129"/>
      <c r="QV12" s="156" t="s">
        <v>4017</v>
      </c>
      <c r="QW12" s="168" t="s">
        <v>399</v>
      </c>
      <c r="QX12" s="168" t="s">
        <v>399</v>
      </c>
      <c r="QY12" s="133" t="s">
        <v>3843</v>
      </c>
      <c r="QZ12" s="156" t="s">
        <v>399</v>
      </c>
      <c r="RA12" s="156" t="s">
        <v>399</v>
      </c>
      <c r="RB12" s="129">
        <v>300</v>
      </c>
      <c r="RC12" s="129">
        <v>300</v>
      </c>
      <c r="RD12" s="156" t="s">
        <v>4017</v>
      </c>
      <c r="RE12" s="156" t="s">
        <v>4017</v>
      </c>
      <c r="RF12" s="156" t="s">
        <v>4017</v>
      </c>
      <c r="RG12" s="156" t="s">
        <v>399</v>
      </c>
      <c r="RH12" s="129">
        <v>400</v>
      </c>
      <c r="RI12" s="156" t="s">
        <v>399</v>
      </c>
      <c r="RJ12" s="156" t="s">
        <v>399</v>
      </c>
      <c r="RK12" s="129">
        <v>300</v>
      </c>
      <c r="RL12" s="129">
        <v>300</v>
      </c>
      <c r="RM12" s="156" t="s">
        <v>4017</v>
      </c>
      <c r="RN12" s="129">
        <v>300</v>
      </c>
      <c r="RO12" s="129">
        <v>300</v>
      </c>
      <c r="RP12" s="129">
        <v>300</v>
      </c>
      <c r="RQ12" s="134">
        <v>300</v>
      </c>
      <c r="RR12" s="134">
        <v>300</v>
      </c>
      <c r="RS12" s="134"/>
      <c r="RT12" s="134"/>
      <c r="RU12" s="129"/>
      <c r="RV12" s="129">
        <v>300</v>
      </c>
      <c r="RW12" s="129">
        <v>300</v>
      </c>
      <c r="RX12" s="129">
        <v>300</v>
      </c>
      <c r="RY12" s="129">
        <v>300</v>
      </c>
      <c r="RZ12" s="129">
        <v>300</v>
      </c>
      <c r="SA12" s="156" t="s">
        <v>399</v>
      </c>
      <c r="SB12" s="156" t="s">
        <v>399</v>
      </c>
      <c r="SC12" s="156" t="s">
        <v>399</v>
      </c>
      <c r="SD12" s="156" t="s">
        <v>399</v>
      </c>
      <c r="SE12" s="156" t="s">
        <v>399</v>
      </c>
      <c r="SF12" s="156" t="s">
        <v>399</v>
      </c>
      <c r="SG12" s="156" t="s">
        <v>399</v>
      </c>
      <c r="SH12" s="156" t="s">
        <v>399</v>
      </c>
      <c r="SI12" s="156" t="s">
        <v>399</v>
      </c>
      <c r="SJ12" s="156" t="s">
        <v>399</v>
      </c>
      <c r="SK12" s="156" t="s">
        <v>399</v>
      </c>
      <c r="SL12" s="156" t="s">
        <v>399</v>
      </c>
      <c r="SM12" s="156" t="s">
        <v>399</v>
      </c>
      <c r="SN12" s="129"/>
      <c r="SO12" s="129">
        <v>300</v>
      </c>
      <c r="SP12" s="129">
        <v>300</v>
      </c>
      <c r="SQ12" s="129">
        <v>300</v>
      </c>
      <c r="SR12" s="129">
        <v>300</v>
      </c>
      <c r="SS12" s="129">
        <v>300</v>
      </c>
      <c r="ST12" s="129">
        <v>300</v>
      </c>
      <c r="SU12" s="129">
        <v>300</v>
      </c>
      <c r="SV12" s="129">
        <v>300</v>
      </c>
      <c r="SW12" s="129"/>
      <c r="SX12" s="156" t="s">
        <v>4018</v>
      </c>
      <c r="SY12" s="156" t="s">
        <v>4018</v>
      </c>
      <c r="SZ12" s="156" t="s">
        <v>4017</v>
      </c>
      <c r="TA12" s="156" t="s">
        <v>4017</v>
      </c>
      <c r="TB12" s="129">
        <v>400</v>
      </c>
      <c r="TC12" s="156" t="s">
        <v>399</v>
      </c>
      <c r="TD12" s="168" t="s">
        <v>399</v>
      </c>
      <c r="TE12" s="167" t="s">
        <v>399</v>
      </c>
      <c r="TF12" s="167" t="s">
        <v>399</v>
      </c>
      <c r="TG12" s="156"/>
      <c r="TH12" s="129">
        <v>300</v>
      </c>
      <c r="TI12" s="129">
        <v>300</v>
      </c>
      <c r="TJ12" s="156"/>
      <c r="TK12" s="156" t="s">
        <v>4018</v>
      </c>
      <c r="TL12" s="156" t="s">
        <v>4018</v>
      </c>
      <c r="TM12" s="156" t="s">
        <v>4017</v>
      </c>
      <c r="TN12" s="156" t="s">
        <v>399</v>
      </c>
      <c r="TO12" s="156" t="s">
        <v>399</v>
      </c>
      <c r="TP12" s="156" t="s">
        <v>399</v>
      </c>
      <c r="TQ12" s="156"/>
      <c r="TR12" s="129">
        <v>300</v>
      </c>
      <c r="TS12" s="129">
        <v>300</v>
      </c>
      <c r="TT12" s="129"/>
      <c r="TU12" s="129"/>
      <c r="TV12" s="156"/>
      <c r="TW12" s="156" t="s">
        <v>3843</v>
      </c>
      <c r="TX12" s="167" t="s">
        <v>399</v>
      </c>
      <c r="TY12" s="167" t="s">
        <v>399</v>
      </c>
      <c r="TZ12" s="167" t="s">
        <v>399</v>
      </c>
      <c r="UA12" s="129"/>
      <c r="UB12" s="129"/>
      <c r="UC12" s="129"/>
      <c r="UD12" s="129"/>
      <c r="UE12" s="129"/>
      <c r="UF12" s="129"/>
      <c r="UG12" s="129"/>
      <c r="UH12" s="129"/>
      <c r="UI12" s="129"/>
      <c r="UJ12" s="129"/>
      <c r="UK12" s="129"/>
      <c r="UL12" s="129"/>
      <c r="UM12" s="156" t="s">
        <v>4018</v>
      </c>
      <c r="UN12" s="156" t="s">
        <v>4018</v>
      </c>
      <c r="UO12" s="156" t="s">
        <v>4017</v>
      </c>
      <c r="UP12" s="156"/>
      <c r="UQ12" s="129"/>
      <c r="UR12" s="129"/>
      <c r="US12" s="156" t="s">
        <v>4017</v>
      </c>
      <c r="UT12" s="156" t="s">
        <v>399</v>
      </c>
      <c r="UU12" s="129"/>
      <c r="UV12" s="129"/>
      <c r="UW12" s="156" t="s">
        <v>399</v>
      </c>
      <c r="UX12" s="156" t="s">
        <v>4017</v>
      </c>
      <c r="UY12" s="156" t="s">
        <v>4017</v>
      </c>
      <c r="UZ12" s="156" t="s">
        <v>399</v>
      </c>
      <c r="VA12" s="156" t="s">
        <v>399</v>
      </c>
      <c r="VB12" s="129"/>
      <c r="VC12" s="156" t="s">
        <v>4018</v>
      </c>
      <c r="VD12" s="156" t="s">
        <v>4018</v>
      </c>
      <c r="VE12" s="156" t="s">
        <v>4017</v>
      </c>
      <c r="VF12" s="156" t="s">
        <v>4017</v>
      </c>
      <c r="VG12" s="156" t="s">
        <v>399</v>
      </c>
      <c r="VH12" s="129">
        <v>400</v>
      </c>
      <c r="VI12" s="156" t="s">
        <v>399</v>
      </c>
      <c r="VJ12" s="129">
        <v>500</v>
      </c>
      <c r="VK12" s="129"/>
      <c r="VL12" s="167" t="s">
        <v>399</v>
      </c>
      <c r="VM12" s="167" t="s">
        <v>399</v>
      </c>
      <c r="VN12" s="167" t="s">
        <v>399</v>
      </c>
      <c r="VO12" s="167" t="s">
        <v>399</v>
      </c>
      <c r="VP12" s="129"/>
      <c r="VR12" s="131"/>
      <c r="VS12" s="131"/>
      <c r="VT12" s="131"/>
      <c r="VU12" s="131">
        <v>300</v>
      </c>
      <c r="VV12" s="131"/>
      <c r="VW12" s="131"/>
      <c r="VX12" s="131"/>
      <c r="VY12" s="131"/>
      <c r="VZ12" s="131"/>
      <c r="WA12" s="131"/>
      <c r="WB12" s="131">
        <v>300</v>
      </c>
      <c r="WC12" s="131"/>
      <c r="WD12" s="131"/>
      <c r="WE12" s="131"/>
      <c r="WF12" s="131">
        <v>300</v>
      </c>
      <c r="WG12" s="131"/>
      <c r="WH12" s="131"/>
      <c r="WI12" s="131"/>
      <c r="WJ12" s="131"/>
      <c r="WK12" s="131"/>
      <c r="WL12" s="131"/>
      <c r="WM12" s="131">
        <v>300</v>
      </c>
      <c r="WN12" s="131"/>
      <c r="WO12" s="131"/>
      <c r="WP12" s="131"/>
      <c r="WQ12" s="131">
        <v>300</v>
      </c>
      <c r="WR12" s="131"/>
      <c r="WS12" s="131"/>
      <c r="WT12" s="131"/>
      <c r="WU12" s="131"/>
      <c r="WV12" s="131"/>
      <c r="WW12" s="131"/>
      <c r="WX12" s="131">
        <v>300</v>
      </c>
      <c r="WY12" s="131"/>
      <c r="WZ12" s="131"/>
      <c r="XA12" s="131"/>
      <c r="XB12" s="131">
        <v>300</v>
      </c>
      <c r="XC12" s="131"/>
      <c r="XD12" s="131"/>
      <c r="XE12" s="131"/>
      <c r="XF12" s="131"/>
      <c r="XG12" s="131"/>
      <c r="XH12" s="131"/>
      <c r="XI12" s="131">
        <v>300</v>
      </c>
      <c r="XJ12" s="131"/>
      <c r="XK12" s="131"/>
      <c r="XL12" s="131"/>
      <c r="XM12" s="131">
        <v>300</v>
      </c>
      <c r="XN12" s="131"/>
      <c r="XO12" s="131"/>
      <c r="XP12" s="131"/>
      <c r="XQ12" s="131"/>
      <c r="XR12" s="131"/>
      <c r="XS12" s="131"/>
      <c r="XT12" s="131">
        <v>300</v>
      </c>
      <c r="XU12" s="131"/>
      <c r="XV12" s="131"/>
      <c r="XW12" s="131"/>
      <c r="XX12" s="131">
        <v>300</v>
      </c>
      <c r="XY12" s="131"/>
      <c r="XZ12" s="131"/>
      <c r="YA12" s="131"/>
      <c r="YB12" s="131"/>
      <c r="YC12" s="131"/>
      <c r="YD12" s="131"/>
      <c r="YE12" s="131">
        <v>300</v>
      </c>
      <c r="YF12" s="131"/>
      <c r="YG12" s="131"/>
      <c r="YH12" s="131"/>
      <c r="YI12" s="131">
        <v>300</v>
      </c>
      <c r="YJ12" s="131"/>
      <c r="YK12" s="131"/>
      <c r="YL12" s="131"/>
      <c r="YM12" s="131"/>
      <c r="YN12" s="131"/>
      <c r="YO12" s="131"/>
      <c r="YP12" s="131">
        <v>300</v>
      </c>
      <c r="YQ12" s="131"/>
      <c r="YR12" s="131"/>
      <c r="YS12" s="131"/>
      <c r="YT12" s="131">
        <v>300</v>
      </c>
      <c r="YU12" s="131"/>
      <c r="YV12" s="131"/>
      <c r="YW12" s="131"/>
      <c r="YX12" s="131"/>
      <c r="YY12" s="131"/>
      <c r="YZ12" s="131"/>
      <c r="ZA12" s="131">
        <v>300</v>
      </c>
      <c r="ZB12" s="131"/>
      <c r="ZC12" s="131"/>
      <c r="ZD12" s="131"/>
      <c r="ZE12" s="131">
        <v>300</v>
      </c>
      <c r="ZF12" s="131"/>
      <c r="ZG12" s="131"/>
      <c r="ZH12" s="131"/>
      <c r="ZI12" s="131"/>
      <c r="ZJ12" s="131"/>
      <c r="ZK12" s="131"/>
      <c r="ZL12" s="131">
        <v>300</v>
      </c>
      <c r="ZM12" s="131"/>
      <c r="ZN12" s="131"/>
      <c r="ZO12" s="131"/>
      <c r="ZP12" s="131">
        <v>300</v>
      </c>
      <c r="ZQ12" s="131"/>
      <c r="ZR12" s="131"/>
      <c r="ZS12" s="131"/>
      <c r="ZT12" s="131"/>
      <c r="ZU12" s="131"/>
      <c r="ZV12" s="131"/>
      <c r="ZW12" s="131">
        <v>300</v>
      </c>
      <c r="ZX12" s="131"/>
      <c r="ZY12" s="131"/>
      <c r="ZZ12" s="131"/>
      <c r="AAA12" s="131">
        <v>300</v>
      </c>
      <c r="AAB12" s="131"/>
      <c r="AAC12" s="131"/>
      <c r="AAD12" s="131"/>
      <c r="AAE12" s="131"/>
      <c r="AAF12" s="131"/>
      <c r="AAG12" s="131"/>
      <c r="AAH12" s="131">
        <v>300</v>
      </c>
      <c r="AAJ12" s="131"/>
      <c r="AAK12" s="131"/>
      <c r="AAL12" s="131"/>
      <c r="AAM12" s="131">
        <v>300</v>
      </c>
      <c r="AAN12" s="131"/>
      <c r="AAO12" s="131"/>
      <c r="AAP12" s="131"/>
      <c r="AAQ12" s="131"/>
      <c r="AAR12" s="131"/>
      <c r="AAS12" s="131"/>
      <c r="AAT12" s="131">
        <v>300</v>
      </c>
      <c r="AAU12" s="131"/>
      <c r="AAV12" s="131"/>
      <c r="AAW12" s="131"/>
      <c r="AAX12" s="131">
        <v>300</v>
      </c>
      <c r="AAY12" s="131"/>
      <c r="AAZ12" s="131"/>
      <c r="ABA12" s="131"/>
      <c r="ABB12" s="131"/>
      <c r="ABC12" s="131"/>
      <c r="ABD12" s="131"/>
      <c r="ABE12" s="131">
        <v>300</v>
      </c>
      <c r="ABF12" s="131"/>
      <c r="ABG12" s="131"/>
      <c r="ABH12" s="131"/>
      <c r="ABI12" s="131">
        <v>300</v>
      </c>
      <c r="ABJ12" s="131"/>
      <c r="ABK12" s="131"/>
      <c r="ABL12" s="131"/>
      <c r="ABM12" s="131"/>
      <c r="ABN12" s="131"/>
      <c r="ABO12" s="131"/>
      <c r="ABP12" s="131">
        <v>300</v>
      </c>
      <c r="ABQ12" s="131"/>
      <c r="ABR12" s="131"/>
      <c r="ABS12" s="131"/>
      <c r="ABT12" s="131">
        <v>300</v>
      </c>
      <c r="ABU12" s="131"/>
      <c r="ABV12" s="131"/>
      <c r="ABW12" s="131"/>
      <c r="ABX12" s="131"/>
      <c r="ABY12" s="131"/>
      <c r="ABZ12" s="131"/>
      <c r="ACA12" s="131">
        <v>300</v>
      </c>
      <c r="ACB12" s="131"/>
      <c r="ACC12" s="131"/>
      <c r="ACD12" s="131"/>
      <c r="ACE12" s="131">
        <v>300</v>
      </c>
      <c r="ACF12" s="131"/>
      <c r="ACG12" s="131"/>
      <c r="ACH12" s="131"/>
      <c r="ACI12" s="131"/>
      <c r="ACJ12" s="131"/>
      <c r="ACK12" s="131"/>
      <c r="ACL12" s="131">
        <v>300</v>
      </c>
      <c r="ACM12" s="131"/>
      <c r="ACN12" s="131"/>
      <c r="ACO12" s="131"/>
      <c r="ACP12" s="131">
        <v>300</v>
      </c>
      <c r="ACQ12" s="131"/>
      <c r="ACR12" s="131"/>
      <c r="ACS12" s="131"/>
      <c r="ACT12" s="131"/>
      <c r="ACU12" s="131"/>
      <c r="ACV12" s="131"/>
      <c r="ACW12" s="131">
        <v>300</v>
      </c>
      <c r="ACX12" s="131"/>
      <c r="ACY12" s="131"/>
      <c r="ACZ12" s="131"/>
      <c r="ADA12" s="131">
        <v>300</v>
      </c>
      <c r="ADB12" s="131"/>
      <c r="ADC12" s="131"/>
      <c r="ADD12" s="131"/>
      <c r="ADE12" s="131"/>
      <c r="ADF12" s="131"/>
      <c r="ADG12" s="131"/>
      <c r="ADH12" s="131">
        <v>300</v>
      </c>
      <c r="ADI12" s="131"/>
      <c r="ADJ12" s="131"/>
      <c r="ADK12" s="131"/>
      <c r="ADL12" s="131">
        <v>300</v>
      </c>
      <c r="ADM12" s="131"/>
      <c r="ADN12" s="131"/>
      <c r="ADO12" s="131"/>
      <c r="ADP12" s="131"/>
      <c r="ADQ12" s="131"/>
      <c r="ADR12" s="131"/>
      <c r="ADS12" s="131">
        <v>300</v>
      </c>
      <c r="ADT12" s="131"/>
      <c r="ADU12" s="131"/>
      <c r="ADV12" s="131"/>
      <c r="ADW12" s="131">
        <v>300</v>
      </c>
      <c r="ADX12" s="131"/>
      <c r="ADY12" s="131"/>
      <c r="ADZ12" s="131"/>
      <c r="AEA12" s="131"/>
      <c r="AEB12" s="131"/>
      <c r="AEC12" s="131"/>
      <c r="AED12" s="131">
        <v>300</v>
      </c>
      <c r="AEE12" s="131"/>
      <c r="AEF12" s="131"/>
      <c r="AEG12" s="131"/>
      <c r="AEH12" s="131">
        <v>300</v>
      </c>
      <c r="AEI12" s="131"/>
      <c r="AEJ12" s="131"/>
      <c r="AEK12" s="131"/>
      <c r="AEL12" s="131"/>
      <c r="AEM12" s="131"/>
      <c r="AEN12" s="131"/>
      <c r="AEO12" s="131">
        <v>300</v>
      </c>
      <c r="AEP12" s="131"/>
      <c r="AEQ12" s="131"/>
      <c r="AER12" s="131"/>
      <c r="AES12" s="131">
        <v>300</v>
      </c>
      <c r="AET12" s="131"/>
      <c r="AEU12" s="131"/>
      <c r="AEV12" s="131"/>
      <c r="AEW12" s="131"/>
      <c r="AEX12" s="131"/>
      <c r="AEY12" s="131"/>
      <c r="AEZ12" s="131">
        <v>300</v>
      </c>
      <c r="AFA12" s="131"/>
      <c r="AFB12" s="131"/>
      <c r="AFC12" s="131"/>
      <c r="AFD12" s="131">
        <v>300</v>
      </c>
      <c r="AFE12" s="131"/>
      <c r="AFF12" s="131"/>
      <c r="AFG12" s="131"/>
      <c r="AFH12" s="131"/>
      <c r="AFI12" s="131"/>
      <c r="AFJ12" s="131"/>
      <c r="AFK12" s="131">
        <v>300</v>
      </c>
      <c r="AFL12" s="156"/>
      <c r="AFN12" s="129"/>
      <c r="AFO12" s="129"/>
      <c r="AFP12" s="129"/>
      <c r="AFQ12" s="129"/>
      <c r="AFR12" s="129"/>
      <c r="AFS12" s="129"/>
      <c r="AFT12" s="129"/>
      <c r="AFU12" s="129"/>
      <c r="AFV12" s="129"/>
      <c r="AFW12" s="129"/>
      <c r="AFX12" s="129"/>
      <c r="AFY12" s="129"/>
      <c r="AFZ12" s="129"/>
      <c r="AGA12" s="129"/>
      <c r="AGB12" s="129"/>
      <c r="AGC12" s="129"/>
      <c r="AGD12" s="129"/>
      <c r="AGE12" s="129"/>
      <c r="AGF12" s="129"/>
      <c r="AGG12" s="129"/>
      <c r="AGH12" s="129"/>
      <c r="AGI12" s="129"/>
      <c r="AGJ12" s="129"/>
      <c r="AGK12" s="129"/>
      <c r="AGL12" s="129"/>
      <c r="AGM12" s="129"/>
      <c r="AGN12" s="129"/>
      <c r="AGO12" s="129"/>
      <c r="AGP12" s="129"/>
      <c r="AGQ12" s="129"/>
      <c r="AGR12" s="129"/>
      <c r="AGS12" s="129"/>
      <c r="AGT12" s="129"/>
      <c r="AGU12" s="129"/>
      <c r="AGV12" s="129"/>
      <c r="AGW12" s="129"/>
      <c r="AGX12" s="129"/>
      <c r="AGY12" s="129"/>
      <c r="AGZ12" s="129"/>
      <c r="AHA12" s="129"/>
      <c r="AHB12" s="129"/>
      <c r="AHC12" s="129"/>
      <c r="AHD12" s="129"/>
      <c r="AHE12" s="129"/>
      <c r="AHF12" s="129"/>
      <c r="AHG12" s="129"/>
      <c r="AHH12" s="129"/>
      <c r="AHI12" s="129"/>
      <c r="AHJ12" s="129"/>
      <c r="AHK12" s="129"/>
      <c r="AHL12" s="129"/>
      <c r="AHM12" s="129"/>
      <c r="AHN12" s="129"/>
      <c r="AHO12" s="129"/>
      <c r="AHP12" s="129"/>
      <c r="AHQ12" s="129"/>
      <c r="AHR12" s="129"/>
      <c r="AHS12" s="129"/>
      <c r="AHT12" s="129"/>
      <c r="AHU12" s="129"/>
      <c r="AHV12" s="129"/>
      <c r="AHW12" s="129"/>
      <c r="AHX12" s="129"/>
      <c r="AHY12" s="129"/>
      <c r="AHZ12" s="129"/>
      <c r="AIA12" s="129"/>
      <c r="AIB12" s="129"/>
      <c r="AIC12" s="129"/>
      <c r="AID12" s="129"/>
      <c r="AIE12" s="129"/>
      <c r="AIF12" s="129"/>
      <c r="AIG12" s="129"/>
      <c r="AIH12" s="129"/>
      <c r="AII12" s="129"/>
      <c r="AIJ12" s="129"/>
      <c r="AIK12" s="129"/>
      <c r="AIL12" s="129"/>
      <c r="AIM12" s="129"/>
      <c r="AIN12" s="129"/>
      <c r="AIO12" s="129"/>
      <c r="AIP12" s="129"/>
      <c r="AIQ12" s="129"/>
      <c r="AIR12" s="129"/>
      <c r="AIS12" s="129"/>
      <c r="AIT12" s="129"/>
      <c r="AIU12" s="129"/>
      <c r="AIV12" s="129"/>
      <c r="AIW12" s="129"/>
      <c r="AIX12" s="129"/>
      <c r="AIY12" s="129"/>
      <c r="AIZ12" s="129"/>
      <c r="AJA12" s="129"/>
      <c r="AJB12" s="129"/>
      <c r="AJC12" s="129"/>
      <c r="AJD12" s="129"/>
      <c r="AJE12" s="129"/>
      <c r="AJF12" s="129"/>
      <c r="AJG12" s="129"/>
      <c r="AJH12" s="129"/>
      <c r="AJI12" s="129"/>
      <c r="AJJ12" s="129"/>
      <c r="AJK12" s="129"/>
      <c r="AJL12" s="129"/>
      <c r="AJM12" s="129"/>
      <c r="AJN12" s="129"/>
      <c r="AJO12" s="129"/>
      <c r="AJP12" s="129"/>
      <c r="AJQ12" s="129"/>
      <c r="AJR12" s="129"/>
      <c r="AJS12" s="129"/>
      <c r="AJT12" s="129"/>
      <c r="AJU12" s="129"/>
      <c r="AJV12" s="129"/>
      <c r="AJW12" s="129"/>
      <c r="AJX12" s="129"/>
      <c r="AJY12" s="129"/>
      <c r="AJZ12" s="129"/>
      <c r="AKA12" s="129"/>
      <c r="AKB12" s="129"/>
      <c r="AKC12" s="129"/>
      <c r="AKD12" s="129"/>
      <c r="AKE12" s="129"/>
      <c r="AKF12" s="129"/>
      <c r="AKG12" s="129"/>
      <c r="AKH12" s="129"/>
      <c r="AKI12" s="129"/>
      <c r="AKJ12" s="129"/>
      <c r="AKK12" s="129"/>
      <c r="AKL12" s="129"/>
      <c r="AKM12" s="129"/>
      <c r="AKN12" s="129"/>
      <c r="AKO12" s="129"/>
      <c r="AKP12" s="129"/>
      <c r="AKQ12" s="129"/>
      <c r="AKR12" s="129"/>
      <c r="AKS12" s="129"/>
      <c r="AKT12" s="129"/>
      <c r="AKU12" s="129"/>
      <c r="AKV12" s="129"/>
      <c r="AKW12" s="129"/>
      <c r="AKX12" s="129"/>
      <c r="AKY12" s="129"/>
      <c r="AKZ12" s="129"/>
      <c r="ALA12" s="129"/>
      <c r="ALB12" s="129"/>
      <c r="ALC12" s="129"/>
      <c r="ALD12" s="129"/>
      <c r="ALE12" s="129"/>
      <c r="ALF12" s="129"/>
      <c r="ALG12" s="129"/>
      <c r="ALH12" s="129"/>
      <c r="ALI12" s="129"/>
      <c r="ALJ12" s="129"/>
      <c r="ALK12" s="129"/>
      <c r="ALL12" s="129"/>
      <c r="ALM12" s="129"/>
      <c r="ALN12" s="129"/>
      <c r="ALO12" s="129"/>
      <c r="ALP12" s="129"/>
      <c r="ALQ12" s="129"/>
      <c r="ALR12" s="129"/>
      <c r="ALS12" s="129"/>
      <c r="ALT12" s="129"/>
      <c r="ALU12" s="129"/>
      <c r="ALV12" s="129"/>
      <c r="ALW12" s="129"/>
      <c r="ALX12" s="129"/>
      <c r="ALY12" s="129"/>
      <c r="ALZ12" s="129"/>
      <c r="AMA12" s="129"/>
      <c r="AMB12" s="129"/>
      <c r="AMC12" s="129"/>
      <c r="AMD12" s="129"/>
      <c r="AME12" s="129"/>
      <c r="AMF12" s="129"/>
      <c r="AMG12" s="129"/>
      <c r="AMH12" s="129"/>
      <c r="AMI12" s="129"/>
      <c r="AMJ12" s="129"/>
      <c r="AMK12" s="129"/>
      <c r="AML12" s="129"/>
      <c r="AMM12" s="129"/>
      <c r="AMN12" s="129"/>
      <c r="AMO12" s="129"/>
      <c r="AMP12" s="129"/>
      <c r="AMQ12" s="129"/>
      <c r="AMR12" s="129"/>
      <c r="AMS12" s="129"/>
      <c r="AMT12" s="129"/>
      <c r="AMU12" s="129"/>
      <c r="AMV12" s="129"/>
      <c r="AMW12" s="129"/>
      <c r="AMX12" s="129"/>
      <c r="AMY12" s="129"/>
      <c r="AMZ12" s="129"/>
      <c r="ANA12" s="129"/>
      <c r="ANB12" s="129"/>
      <c r="ANC12" s="129"/>
      <c r="AND12" s="129"/>
      <c r="ANE12" s="129"/>
      <c r="ANF12" s="129"/>
      <c r="ANG12" s="129"/>
      <c r="ANH12" s="129"/>
      <c r="ANI12" s="129"/>
      <c r="ANJ12" s="129"/>
      <c r="ANK12" s="129"/>
      <c r="ANL12" s="129"/>
      <c r="ANM12" s="129"/>
      <c r="ANN12" s="129"/>
      <c r="ANO12" s="129"/>
      <c r="ANP12" s="129"/>
      <c r="ANQ12" s="129"/>
      <c r="ANR12" s="129"/>
      <c r="ANS12" s="129"/>
      <c r="ANT12" s="129"/>
      <c r="ANU12" s="129"/>
      <c r="ANV12" s="129"/>
      <c r="ANW12" s="129"/>
      <c r="ANX12" s="129"/>
      <c r="ANY12" s="129"/>
      <c r="ANZ12" s="129"/>
      <c r="AOA12" s="129"/>
      <c r="AOB12" s="129"/>
      <c r="AOC12" s="129"/>
      <c r="AOD12" s="129"/>
      <c r="AOE12" s="129"/>
      <c r="AOF12" s="129"/>
      <c r="AOG12" s="129"/>
      <c r="AOH12" s="129"/>
      <c r="AOI12" s="129"/>
      <c r="AOJ12" s="129"/>
      <c r="AOK12" s="129"/>
      <c r="AOL12" s="129"/>
      <c r="AOM12" s="129"/>
      <c r="AON12" s="129"/>
      <c r="AOO12" s="129"/>
      <c r="AOP12" s="129"/>
      <c r="AOQ12" s="129"/>
      <c r="AOR12" s="129"/>
      <c r="AOS12" s="129"/>
      <c r="AOT12" s="129"/>
      <c r="AOU12" s="129"/>
      <c r="AOV12" s="129"/>
      <c r="AOW12" s="129"/>
      <c r="AOX12" s="129"/>
      <c r="AOY12" s="129"/>
      <c r="AOZ12" s="129"/>
      <c r="APA12" s="129"/>
      <c r="APB12" s="129"/>
      <c r="APC12" s="129"/>
      <c r="APD12" s="129"/>
      <c r="APE12" s="129"/>
      <c r="APF12" s="129"/>
      <c r="APG12" s="129"/>
      <c r="APH12" s="129"/>
      <c r="API12" s="129"/>
      <c r="APJ12" s="129"/>
      <c r="APK12" s="129"/>
      <c r="APL12" s="129"/>
      <c r="APM12" s="129"/>
      <c r="APN12" s="129"/>
      <c r="APO12" s="130"/>
      <c r="APP12" s="130"/>
      <c r="APQ12" s="130"/>
      <c r="APR12" s="130"/>
      <c r="APS12" s="130"/>
      <c r="APT12" s="130"/>
      <c r="APU12" s="130"/>
      <c r="APV12" s="130"/>
      <c r="APW12" s="130"/>
      <c r="APX12" s="130"/>
      <c r="APY12" s="130"/>
      <c r="APZ12" s="130"/>
      <c r="AQA12" s="130"/>
      <c r="AQB12" s="130"/>
      <c r="AQC12" s="130"/>
      <c r="AQD12" s="130"/>
      <c r="AQE12" s="130"/>
      <c r="AQF12" s="130"/>
      <c r="AQG12" s="130"/>
      <c r="AQH12" s="130"/>
      <c r="AQI12" s="130"/>
      <c r="AQJ12" s="130"/>
      <c r="AQK12" s="130"/>
      <c r="AQL12" s="130"/>
      <c r="AQM12" s="130"/>
      <c r="AQN12" s="130"/>
      <c r="AQO12" s="130"/>
      <c r="AQP12" s="130"/>
      <c r="AQQ12" s="130"/>
      <c r="AQR12" s="130"/>
      <c r="AQS12" s="130"/>
      <c r="AQT12" s="130"/>
      <c r="AQU12" s="130"/>
      <c r="AQV12" s="130"/>
      <c r="AQW12" s="130"/>
      <c r="AQX12" s="130"/>
      <c r="AQY12" s="130"/>
      <c r="AQZ12" s="130"/>
      <c r="ARA12" s="130"/>
      <c r="ARB12" s="130"/>
      <c r="ARC12" s="130"/>
      <c r="ARD12" s="130"/>
      <c r="ARE12" s="130"/>
      <c r="ARF12" s="130"/>
      <c r="ARG12" s="130"/>
      <c r="ARH12" s="130"/>
      <c r="ARI12" s="130"/>
      <c r="ARJ12" s="130"/>
      <c r="ARK12" s="130"/>
      <c r="ARL12" s="130"/>
      <c r="ARM12" s="130"/>
      <c r="ARN12" s="130"/>
      <c r="ARO12" s="130"/>
      <c r="ARP12" s="130"/>
      <c r="ARQ12" s="130"/>
      <c r="ARR12" s="130"/>
      <c r="ARS12" s="130"/>
      <c r="ART12" s="130"/>
      <c r="ARU12" s="130"/>
      <c r="ARV12" s="130"/>
      <c r="ARW12" s="130"/>
      <c r="ARX12" s="130"/>
      <c r="ARY12" s="130"/>
      <c r="ARZ12" s="130"/>
      <c r="ASA12" s="130"/>
      <c r="ASB12" s="130"/>
      <c r="ASC12" s="130"/>
      <c r="ASD12" s="130"/>
      <c r="ASE12" s="130"/>
      <c r="ASF12" s="130"/>
      <c r="ASG12" s="130"/>
      <c r="ASH12" s="130"/>
      <c r="ASI12" s="130"/>
      <c r="ASJ12" s="130"/>
      <c r="ASK12" s="130"/>
      <c r="ASL12" s="130"/>
      <c r="ASM12" s="130"/>
      <c r="ASN12" s="130"/>
      <c r="ASO12" s="130"/>
      <c r="ASP12" s="130"/>
      <c r="ASQ12" s="130"/>
      <c r="ASR12" s="130"/>
      <c r="ASS12" s="130"/>
      <c r="AST12" s="130"/>
      <c r="ASU12" s="130"/>
      <c r="ASV12" s="130"/>
      <c r="ASW12" s="130"/>
      <c r="ASX12" s="129"/>
      <c r="ASY12" s="129"/>
      <c r="ASZ12" s="129"/>
      <c r="ATA12" s="129"/>
      <c r="ATB12" s="129"/>
      <c r="ATC12" s="129"/>
      <c r="ATD12" s="129"/>
      <c r="ATE12" s="129"/>
      <c r="ATF12" s="129"/>
      <c r="ATG12" s="129"/>
      <c r="ATH12" s="129"/>
      <c r="ATI12" s="129"/>
      <c r="ATJ12" s="129"/>
      <c r="ATK12" s="129"/>
      <c r="ATL12" s="129"/>
      <c r="ATM12" s="129"/>
      <c r="ATN12" s="129"/>
      <c r="ATO12" s="129"/>
      <c r="ATP12" s="129"/>
      <c r="ATQ12" s="129"/>
      <c r="ATR12" s="129"/>
      <c r="ATS12" s="129"/>
      <c r="ATT12" s="129"/>
      <c r="ATU12" s="129"/>
      <c r="ATV12" s="129"/>
      <c r="ATW12" s="129"/>
      <c r="ATX12" s="129"/>
      <c r="ATY12" s="129"/>
      <c r="ATZ12" s="129"/>
      <c r="AUA12" s="129"/>
      <c r="AUB12" s="129"/>
      <c r="AUC12" s="129"/>
      <c r="AUD12" s="129"/>
      <c r="AUE12" s="129"/>
      <c r="AUF12" s="129"/>
      <c r="AUG12" s="129"/>
      <c r="AUH12" s="129"/>
      <c r="AUI12" s="129"/>
      <c r="AUJ12" s="129"/>
      <c r="AUK12" s="129"/>
      <c r="AUL12" s="129"/>
      <c r="AUM12" s="129"/>
      <c r="AUN12" s="129"/>
      <c r="AUO12" s="129"/>
      <c r="AUP12" s="129"/>
      <c r="AUQ12" s="129"/>
      <c r="AUR12" s="129"/>
      <c r="AUS12" s="129"/>
      <c r="AUT12" s="129"/>
      <c r="AUU12" s="129"/>
      <c r="AUV12" s="129"/>
      <c r="AUW12" s="129"/>
      <c r="AUX12" s="129"/>
      <c r="AUY12" s="129"/>
      <c r="AUZ12" s="129"/>
      <c r="AVA12" s="129"/>
      <c r="AVB12" s="129"/>
      <c r="AVC12" s="129"/>
      <c r="AVD12" s="129"/>
      <c r="AVE12" s="129"/>
      <c r="AVF12" s="129"/>
      <c r="AVG12" s="129"/>
      <c r="AVH12" s="129"/>
    </row>
    <row r="13" spans="1:1297" s="172" customFormat="1" ht="51" outlineLevel="1">
      <c r="A13" s="137" t="s">
        <v>197</v>
      </c>
      <c r="B13" s="173" t="s">
        <v>188</v>
      </c>
      <c r="C13" s="139" t="s">
        <v>189</v>
      </c>
      <c r="D13" s="139" t="s">
        <v>190</v>
      </c>
      <c r="E13" s="137">
        <v>38</v>
      </c>
      <c r="F13" s="138" t="s">
        <v>85</v>
      </c>
      <c r="G13" s="136" t="s">
        <v>11</v>
      </c>
      <c r="H13" s="136" t="s">
        <v>13</v>
      </c>
      <c r="I13" s="136" t="s">
        <v>13</v>
      </c>
      <c r="J13" s="136" t="s">
        <v>13</v>
      </c>
      <c r="K13" s="136" t="s">
        <v>366</v>
      </c>
      <c r="L13" s="136" t="s">
        <v>366</v>
      </c>
      <c r="M13" s="136"/>
      <c r="N13" s="136" t="s">
        <v>366</v>
      </c>
      <c r="O13" s="138"/>
      <c r="U13" s="129"/>
      <c r="V13" s="129"/>
      <c r="BY13" s="129"/>
      <c r="BZ13" s="129"/>
      <c r="CA13" s="129"/>
      <c r="CC13" s="129"/>
      <c r="CD13" s="129"/>
      <c r="CF13" s="129"/>
      <c r="CG13" s="129"/>
      <c r="CH13" s="129"/>
      <c r="CI13" s="129"/>
      <c r="CJ13" s="129"/>
      <c r="CK13" s="129"/>
      <c r="CM13" s="129"/>
      <c r="CN13" s="129"/>
      <c r="CP13" s="129"/>
      <c r="CQ13" s="129"/>
      <c r="HS13" s="129"/>
      <c r="HT13" s="129"/>
      <c r="HU13" s="129"/>
      <c r="HV13" s="129"/>
      <c r="HW13" s="129"/>
      <c r="HX13" s="129"/>
      <c r="HY13" s="129"/>
      <c r="HZ13" s="129"/>
      <c r="IA13" s="129"/>
      <c r="IB13" s="129"/>
      <c r="IC13" s="129"/>
      <c r="ID13" s="129"/>
      <c r="IE13" s="129"/>
      <c r="IF13" s="129"/>
      <c r="IH13" s="129"/>
      <c r="II13" s="129"/>
      <c r="IJ13" s="129"/>
      <c r="IK13" s="129"/>
      <c r="IL13" s="129"/>
      <c r="IM13" s="129"/>
      <c r="IN13" s="129"/>
      <c r="IO13" s="129"/>
      <c r="IP13" s="129"/>
      <c r="IQ13" s="129"/>
      <c r="IR13" s="129"/>
      <c r="IS13" s="129"/>
      <c r="IT13" s="129"/>
      <c r="IU13" s="129"/>
      <c r="IV13" s="129"/>
      <c r="IW13" s="129"/>
      <c r="IX13" s="129"/>
      <c r="IY13" s="129"/>
      <c r="IZ13" s="129"/>
      <c r="JA13" s="129"/>
      <c r="JB13" s="129"/>
      <c r="JC13" s="129"/>
      <c r="JD13" s="129"/>
      <c r="JE13" s="129"/>
      <c r="JF13" s="129"/>
      <c r="JG13" s="129"/>
      <c r="JH13" s="129"/>
      <c r="JI13" s="129"/>
      <c r="JJ13" s="129"/>
      <c r="JK13" s="129"/>
      <c r="JL13" s="129"/>
      <c r="JM13" s="129"/>
      <c r="JN13" s="129"/>
      <c r="JO13" s="129"/>
      <c r="JP13" s="129"/>
      <c r="JQ13" s="129"/>
      <c r="JR13" s="129"/>
      <c r="JS13" s="129"/>
      <c r="JT13" s="129"/>
      <c r="JU13" s="129"/>
      <c r="JV13" s="129"/>
      <c r="JW13" s="129"/>
      <c r="JX13" s="129"/>
      <c r="JY13" s="129"/>
      <c r="JZ13" s="129"/>
      <c r="KA13" s="129"/>
      <c r="KB13" s="129"/>
      <c r="KC13" s="129"/>
      <c r="KD13" s="129"/>
      <c r="KE13" s="129"/>
      <c r="KF13" s="129"/>
      <c r="KG13" s="129"/>
      <c r="KH13" s="129"/>
      <c r="KI13" s="129"/>
      <c r="KJ13" s="129"/>
      <c r="KK13" s="129"/>
      <c r="KL13" s="129"/>
      <c r="KM13" s="129"/>
      <c r="KN13" s="129"/>
      <c r="KO13" s="129"/>
      <c r="KP13" s="129"/>
      <c r="KQ13" s="129"/>
      <c r="KR13" s="129"/>
      <c r="KS13" s="129"/>
      <c r="KT13" s="129"/>
      <c r="KU13" s="129"/>
      <c r="KV13" s="129"/>
      <c r="KW13" s="129"/>
      <c r="KX13" s="129"/>
      <c r="KY13" s="129"/>
      <c r="KZ13" s="129"/>
      <c r="LA13" s="129"/>
      <c r="LB13" s="129"/>
      <c r="LC13" s="129"/>
      <c r="LD13" s="129"/>
      <c r="LE13" s="129"/>
      <c r="LF13" s="129"/>
      <c r="LG13" s="129"/>
      <c r="LH13" s="129"/>
      <c r="LI13" s="129"/>
      <c r="LJ13" s="129"/>
      <c r="LK13" s="135"/>
      <c r="LL13" s="135"/>
      <c r="LM13" s="135"/>
      <c r="LN13" s="135"/>
      <c r="LO13" s="135"/>
      <c r="LP13" s="129"/>
      <c r="LQ13" s="129"/>
      <c r="LR13" s="129"/>
      <c r="LS13" s="129"/>
      <c r="LT13" s="129"/>
      <c r="LU13" s="135"/>
      <c r="LV13" s="135"/>
      <c r="LW13" s="135"/>
      <c r="LX13" s="135"/>
      <c r="LY13" s="135"/>
      <c r="LZ13" s="135"/>
      <c r="MA13" s="135"/>
      <c r="MB13" s="135"/>
      <c r="MC13" s="135"/>
      <c r="MD13" s="135"/>
      <c r="ME13" s="135"/>
      <c r="MF13" s="135"/>
      <c r="MG13" s="135"/>
      <c r="MH13" s="129"/>
      <c r="MI13" s="129"/>
      <c r="MJ13" s="129"/>
      <c r="MK13" s="129"/>
      <c r="ML13" s="129"/>
      <c r="MM13" s="129"/>
      <c r="MN13" s="129"/>
      <c r="MO13" s="129"/>
      <c r="MP13" s="129"/>
      <c r="MQ13" s="132"/>
      <c r="MR13" s="132"/>
      <c r="MS13" s="132"/>
      <c r="MT13" s="132"/>
      <c r="MU13" s="132"/>
      <c r="MV13" s="132"/>
      <c r="MW13" s="132"/>
      <c r="MX13" s="132"/>
      <c r="MY13" s="132"/>
      <c r="MZ13" s="129"/>
      <c r="NA13" s="129"/>
      <c r="NB13" s="135"/>
      <c r="NC13" s="135"/>
      <c r="ND13" s="135"/>
      <c r="NE13" s="135"/>
      <c r="NF13" s="135"/>
      <c r="NG13" s="129"/>
      <c r="NH13" s="129"/>
      <c r="NI13" s="129"/>
      <c r="NJ13" s="129"/>
      <c r="NK13" s="129"/>
      <c r="NL13" s="132"/>
      <c r="NM13" s="132"/>
      <c r="NN13" s="132"/>
      <c r="NO13" s="132"/>
      <c r="NP13" s="132"/>
      <c r="NQ13" s="129"/>
      <c r="NR13" s="129"/>
      <c r="NS13" s="129"/>
      <c r="NT13" s="129"/>
      <c r="NU13" s="129"/>
      <c r="NV13" s="129"/>
      <c r="NW13" s="129"/>
      <c r="NX13" s="129"/>
      <c r="NY13" s="129"/>
      <c r="NZ13" s="129"/>
      <c r="OA13" s="129"/>
      <c r="OB13" s="129"/>
      <c r="OC13" s="129"/>
      <c r="OD13" s="129"/>
      <c r="OE13" s="129"/>
      <c r="OF13" s="129"/>
      <c r="OG13" s="129"/>
      <c r="OH13" s="129"/>
      <c r="OI13" s="129"/>
      <c r="OJ13" s="129"/>
      <c r="OK13" s="129"/>
      <c r="OL13" s="129"/>
      <c r="OM13" s="129"/>
      <c r="ON13" s="129"/>
      <c r="OO13" s="129"/>
      <c r="OQ13" s="129">
        <v>400</v>
      </c>
      <c r="OR13" s="129"/>
      <c r="OS13" s="129"/>
      <c r="OT13" s="129">
        <v>400</v>
      </c>
      <c r="OU13" s="129">
        <v>400</v>
      </c>
      <c r="OV13" s="129"/>
      <c r="OW13" s="129"/>
      <c r="OX13" s="129">
        <v>400</v>
      </c>
      <c r="OY13" s="129">
        <v>400</v>
      </c>
      <c r="OZ13" s="129"/>
      <c r="PA13" s="129"/>
      <c r="PB13" s="129">
        <v>400</v>
      </c>
      <c r="PC13" s="129"/>
      <c r="PD13" s="129"/>
      <c r="PE13" s="129"/>
      <c r="PF13" s="129">
        <v>400</v>
      </c>
      <c r="PG13" s="129"/>
      <c r="PH13" s="129"/>
      <c r="PI13" s="129">
        <v>400</v>
      </c>
      <c r="PJ13" s="129"/>
      <c r="PK13" s="129"/>
      <c r="PL13" s="129">
        <v>400</v>
      </c>
      <c r="PM13" s="129">
        <v>400</v>
      </c>
      <c r="PN13" s="129"/>
      <c r="PO13" s="129"/>
      <c r="PP13" s="129"/>
      <c r="PQ13" s="129">
        <v>400</v>
      </c>
      <c r="PR13" s="129">
        <v>400</v>
      </c>
      <c r="PS13" s="156" t="s">
        <v>399</v>
      </c>
      <c r="PT13" s="156" t="s">
        <v>399</v>
      </c>
      <c r="PU13" s="156" t="s">
        <v>399</v>
      </c>
      <c r="PV13" s="156" t="s">
        <v>399</v>
      </c>
      <c r="PW13" s="156" t="s">
        <v>399</v>
      </c>
      <c r="PX13" s="156" t="s">
        <v>399</v>
      </c>
      <c r="PY13" s="156" t="s">
        <v>399</v>
      </c>
      <c r="PZ13" s="156" t="s">
        <v>399</v>
      </c>
      <c r="QA13" s="156" t="s">
        <v>399</v>
      </c>
      <c r="QB13" s="156" t="s">
        <v>399</v>
      </c>
      <c r="QC13" s="156" t="s">
        <v>399</v>
      </c>
      <c r="QD13" s="129">
        <v>400</v>
      </c>
      <c r="QE13" s="129">
        <v>400</v>
      </c>
      <c r="QF13" s="129">
        <v>400</v>
      </c>
      <c r="QG13" s="129">
        <v>400</v>
      </c>
      <c r="QH13" s="129">
        <v>400</v>
      </c>
      <c r="QI13" s="129"/>
      <c r="QJ13" s="129"/>
      <c r="QK13" s="129">
        <v>400</v>
      </c>
      <c r="QL13" s="129">
        <v>400</v>
      </c>
      <c r="QM13" s="129">
        <v>400</v>
      </c>
      <c r="QN13" s="156"/>
      <c r="QO13" s="129"/>
      <c r="QP13" s="129"/>
      <c r="QQ13" s="129"/>
      <c r="QR13" s="156" t="s">
        <v>4017</v>
      </c>
      <c r="QS13" s="156"/>
      <c r="QT13" s="129"/>
      <c r="QU13" s="129"/>
      <c r="QV13" s="156" t="s">
        <v>4017</v>
      </c>
      <c r="QW13" s="168" t="s">
        <v>399</v>
      </c>
      <c r="QX13" s="168" t="s">
        <v>399</v>
      </c>
      <c r="QY13" s="133" t="s">
        <v>3843</v>
      </c>
      <c r="QZ13" s="156" t="s">
        <v>399</v>
      </c>
      <c r="RA13" s="156" t="s">
        <v>399</v>
      </c>
      <c r="RB13" s="156" t="s">
        <v>4017</v>
      </c>
      <c r="RC13" s="156" t="s">
        <v>4017</v>
      </c>
      <c r="RD13" s="156" t="s">
        <v>4017</v>
      </c>
      <c r="RE13" s="156" t="s">
        <v>4017</v>
      </c>
      <c r="RF13" s="156" t="s">
        <v>4017</v>
      </c>
      <c r="RG13" s="156" t="s">
        <v>399</v>
      </c>
      <c r="RH13" s="129">
        <v>400</v>
      </c>
      <c r="RI13" s="156" t="s">
        <v>399</v>
      </c>
      <c r="RJ13" s="156" t="s">
        <v>399</v>
      </c>
      <c r="RK13" s="156" t="s">
        <v>4017</v>
      </c>
      <c r="RL13" s="156" t="s">
        <v>4017</v>
      </c>
      <c r="RM13" s="156" t="s">
        <v>4017</v>
      </c>
      <c r="RN13" s="129">
        <v>400</v>
      </c>
      <c r="RO13" s="129">
        <v>400</v>
      </c>
      <c r="RP13" s="129">
        <v>400</v>
      </c>
      <c r="RQ13" s="134">
        <v>300</v>
      </c>
      <c r="RR13" s="134">
        <v>300</v>
      </c>
      <c r="RS13" s="134"/>
      <c r="RT13" s="134"/>
      <c r="RU13" s="129"/>
      <c r="RV13" s="129">
        <v>400</v>
      </c>
      <c r="RW13" s="129">
        <v>400</v>
      </c>
      <c r="RX13" s="129">
        <v>400</v>
      </c>
      <c r="RY13" s="129">
        <v>400</v>
      </c>
      <c r="RZ13" s="129">
        <v>400</v>
      </c>
      <c r="SA13" s="156" t="s">
        <v>399</v>
      </c>
      <c r="SB13" s="156" t="s">
        <v>399</v>
      </c>
      <c r="SC13" s="156" t="s">
        <v>399</v>
      </c>
      <c r="SD13" s="156" t="s">
        <v>399</v>
      </c>
      <c r="SE13" s="156" t="s">
        <v>399</v>
      </c>
      <c r="SF13" s="129">
        <v>400</v>
      </c>
      <c r="SG13" s="129">
        <v>400</v>
      </c>
      <c r="SH13" s="129">
        <v>400</v>
      </c>
      <c r="SI13" s="129">
        <v>400</v>
      </c>
      <c r="SJ13" s="129">
        <v>400</v>
      </c>
      <c r="SK13" s="129">
        <v>400</v>
      </c>
      <c r="SL13" s="129">
        <v>400</v>
      </c>
      <c r="SM13" s="129">
        <v>400</v>
      </c>
      <c r="SN13" s="129"/>
      <c r="SO13" s="129">
        <v>400</v>
      </c>
      <c r="SP13" s="129">
        <v>400</v>
      </c>
      <c r="SQ13" s="129">
        <v>400</v>
      </c>
      <c r="SR13" s="129">
        <v>400</v>
      </c>
      <c r="SS13" s="129">
        <v>400</v>
      </c>
      <c r="ST13" s="129">
        <v>400</v>
      </c>
      <c r="SU13" s="129">
        <v>400</v>
      </c>
      <c r="SV13" s="129">
        <v>400</v>
      </c>
      <c r="SW13" s="129"/>
      <c r="SX13" s="156" t="s">
        <v>4018</v>
      </c>
      <c r="SY13" s="156" t="s">
        <v>4018</v>
      </c>
      <c r="SZ13" s="156" t="s">
        <v>4017</v>
      </c>
      <c r="TA13" s="156" t="s">
        <v>4017</v>
      </c>
      <c r="TB13" s="129">
        <v>400</v>
      </c>
      <c r="TC13" s="156" t="s">
        <v>399</v>
      </c>
      <c r="TD13" s="168" t="s">
        <v>399</v>
      </c>
      <c r="TE13" s="167" t="s">
        <v>399</v>
      </c>
      <c r="TF13" s="167" t="s">
        <v>399</v>
      </c>
      <c r="TG13" s="156"/>
      <c r="TH13" s="156" t="s">
        <v>4017</v>
      </c>
      <c r="TI13" s="156" t="s">
        <v>4017</v>
      </c>
      <c r="TJ13" s="156"/>
      <c r="TK13" s="156" t="s">
        <v>4018</v>
      </c>
      <c r="TL13" s="156" t="s">
        <v>4018</v>
      </c>
      <c r="TM13" s="156" t="s">
        <v>4017</v>
      </c>
      <c r="TN13" s="156" t="s">
        <v>399</v>
      </c>
      <c r="TO13" s="156" t="s">
        <v>399</v>
      </c>
      <c r="TP13" s="156" t="s">
        <v>399</v>
      </c>
      <c r="TQ13" s="156"/>
      <c r="TR13" s="156" t="s">
        <v>4017</v>
      </c>
      <c r="TS13" s="156" t="s">
        <v>4017</v>
      </c>
      <c r="TT13" s="129"/>
      <c r="TU13" s="129"/>
      <c r="TV13" s="156"/>
      <c r="TW13" s="156" t="s">
        <v>3843</v>
      </c>
      <c r="TX13" s="167" t="s">
        <v>399</v>
      </c>
      <c r="TY13" s="167" t="s">
        <v>399</v>
      </c>
      <c r="TZ13" s="167" t="s">
        <v>399</v>
      </c>
      <c r="UA13" s="129"/>
      <c r="UB13" s="129"/>
      <c r="UC13" s="129"/>
      <c r="UD13" s="129"/>
      <c r="UE13" s="129"/>
      <c r="UF13" s="129"/>
      <c r="UG13" s="129"/>
      <c r="UH13" s="129"/>
      <c r="UI13" s="129"/>
      <c r="UJ13" s="129"/>
      <c r="UK13" s="129"/>
      <c r="UL13" s="129"/>
      <c r="UM13" s="156" t="s">
        <v>4018</v>
      </c>
      <c r="UN13" s="156" t="s">
        <v>4018</v>
      </c>
      <c r="UO13" s="156" t="s">
        <v>4017</v>
      </c>
      <c r="UP13" s="156"/>
      <c r="UQ13" s="129"/>
      <c r="UR13" s="129"/>
      <c r="US13" s="156" t="s">
        <v>4017</v>
      </c>
      <c r="UT13" s="156" t="s">
        <v>399</v>
      </c>
      <c r="UU13" s="129"/>
      <c r="UV13" s="129"/>
      <c r="UW13" s="156" t="s">
        <v>399</v>
      </c>
      <c r="UX13" s="156" t="s">
        <v>4017</v>
      </c>
      <c r="UY13" s="156" t="s">
        <v>4017</v>
      </c>
      <c r="UZ13" s="156" t="s">
        <v>399</v>
      </c>
      <c r="VA13" s="156" t="s">
        <v>399</v>
      </c>
      <c r="VB13" s="129"/>
      <c r="VC13" s="156" t="s">
        <v>4018</v>
      </c>
      <c r="VD13" s="156" t="s">
        <v>4018</v>
      </c>
      <c r="VE13" s="156" t="s">
        <v>4017</v>
      </c>
      <c r="VF13" s="156" t="s">
        <v>4017</v>
      </c>
      <c r="VG13" s="156" t="s">
        <v>399</v>
      </c>
      <c r="VH13" s="129">
        <v>400</v>
      </c>
      <c r="VI13" s="156" t="s">
        <v>399</v>
      </c>
      <c r="VJ13" s="129">
        <v>500</v>
      </c>
      <c r="VK13" s="129"/>
      <c r="VL13" s="167" t="s">
        <v>399</v>
      </c>
      <c r="VM13" s="167" t="s">
        <v>399</v>
      </c>
      <c r="VN13" s="167" t="s">
        <v>399</v>
      </c>
      <c r="VO13" s="167" t="s">
        <v>399</v>
      </c>
      <c r="VP13" s="129"/>
      <c r="VR13" s="131"/>
      <c r="VS13" s="131"/>
      <c r="VT13" s="131"/>
      <c r="VU13" s="131">
        <v>300</v>
      </c>
      <c r="VV13" s="131"/>
      <c r="VW13" s="131"/>
      <c r="VX13" s="131"/>
      <c r="VY13" s="131"/>
      <c r="VZ13" s="131"/>
      <c r="WA13" s="131"/>
      <c r="WB13" s="131">
        <v>300</v>
      </c>
      <c r="WC13" s="131"/>
      <c r="WD13" s="131"/>
      <c r="WE13" s="131"/>
      <c r="WF13" s="131">
        <v>300</v>
      </c>
      <c r="WG13" s="131"/>
      <c r="WH13" s="131"/>
      <c r="WI13" s="131"/>
      <c r="WJ13" s="131"/>
      <c r="WK13" s="131"/>
      <c r="WL13" s="131"/>
      <c r="WM13" s="131">
        <v>300</v>
      </c>
      <c r="WN13" s="131"/>
      <c r="WO13" s="131"/>
      <c r="WP13" s="131"/>
      <c r="WQ13" s="131">
        <v>300</v>
      </c>
      <c r="WR13" s="131"/>
      <c r="WS13" s="131"/>
      <c r="WT13" s="131"/>
      <c r="WU13" s="131"/>
      <c r="WV13" s="131"/>
      <c r="WW13" s="131"/>
      <c r="WX13" s="131">
        <v>300</v>
      </c>
      <c r="WY13" s="131"/>
      <c r="WZ13" s="131"/>
      <c r="XA13" s="131"/>
      <c r="XB13" s="131">
        <v>300</v>
      </c>
      <c r="XC13" s="131"/>
      <c r="XD13" s="131"/>
      <c r="XE13" s="131"/>
      <c r="XF13" s="131"/>
      <c r="XG13" s="131"/>
      <c r="XH13" s="131"/>
      <c r="XI13" s="131">
        <v>300</v>
      </c>
      <c r="XJ13" s="131"/>
      <c r="XK13" s="131"/>
      <c r="XL13" s="131"/>
      <c r="XM13" s="131">
        <v>300</v>
      </c>
      <c r="XN13" s="131"/>
      <c r="XO13" s="131"/>
      <c r="XP13" s="131"/>
      <c r="XQ13" s="131"/>
      <c r="XR13" s="131"/>
      <c r="XS13" s="131"/>
      <c r="XT13" s="131">
        <v>300</v>
      </c>
      <c r="XU13" s="131"/>
      <c r="XV13" s="131"/>
      <c r="XW13" s="131"/>
      <c r="XX13" s="131">
        <v>300</v>
      </c>
      <c r="XY13" s="131"/>
      <c r="XZ13" s="131"/>
      <c r="YA13" s="131"/>
      <c r="YB13" s="131"/>
      <c r="YC13" s="131"/>
      <c r="YD13" s="131"/>
      <c r="YE13" s="131">
        <v>300</v>
      </c>
      <c r="YF13" s="131"/>
      <c r="YG13" s="131"/>
      <c r="YH13" s="131"/>
      <c r="YI13" s="131">
        <v>300</v>
      </c>
      <c r="YJ13" s="131"/>
      <c r="YK13" s="131"/>
      <c r="YL13" s="131"/>
      <c r="YM13" s="131"/>
      <c r="YN13" s="131"/>
      <c r="YO13" s="131"/>
      <c r="YP13" s="131">
        <v>300</v>
      </c>
      <c r="YQ13" s="131"/>
      <c r="YR13" s="131"/>
      <c r="YS13" s="131"/>
      <c r="YT13" s="131">
        <v>300</v>
      </c>
      <c r="YU13" s="131"/>
      <c r="YV13" s="131"/>
      <c r="YW13" s="131"/>
      <c r="YX13" s="131"/>
      <c r="YY13" s="131"/>
      <c r="YZ13" s="131"/>
      <c r="ZA13" s="131">
        <v>300</v>
      </c>
      <c r="ZB13" s="131"/>
      <c r="ZC13" s="131"/>
      <c r="ZD13" s="131"/>
      <c r="ZE13" s="131">
        <v>300</v>
      </c>
      <c r="ZF13" s="131"/>
      <c r="ZG13" s="131"/>
      <c r="ZH13" s="131"/>
      <c r="ZI13" s="131"/>
      <c r="ZJ13" s="131"/>
      <c r="ZK13" s="131"/>
      <c r="ZL13" s="131">
        <v>300</v>
      </c>
      <c r="ZM13" s="131"/>
      <c r="ZN13" s="131"/>
      <c r="ZO13" s="131"/>
      <c r="ZP13" s="131">
        <v>300</v>
      </c>
      <c r="ZQ13" s="131"/>
      <c r="ZR13" s="131"/>
      <c r="ZS13" s="131"/>
      <c r="ZT13" s="131"/>
      <c r="ZU13" s="131"/>
      <c r="ZV13" s="131"/>
      <c r="ZW13" s="131">
        <v>300</v>
      </c>
      <c r="ZX13" s="131"/>
      <c r="ZY13" s="131"/>
      <c r="ZZ13" s="131"/>
      <c r="AAA13" s="131">
        <v>300</v>
      </c>
      <c r="AAB13" s="131"/>
      <c r="AAC13" s="131"/>
      <c r="AAD13" s="131"/>
      <c r="AAE13" s="131"/>
      <c r="AAF13" s="131"/>
      <c r="AAG13" s="131"/>
      <c r="AAH13" s="131">
        <v>300</v>
      </c>
      <c r="AAJ13" s="131"/>
      <c r="AAK13" s="131"/>
      <c r="AAL13" s="131"/>
      <c r="AAM13" s="131">
        <v>300</v>
      </c>
      <c r="AAN13" s="131"/>
      <c r="AAO13" s="131"/>
      <c r="AAP13" s="131"/>
      <c r="AAQ13" s="131"/>
      <c r="AAR13" s="131"/>
      <c r="AAS13" s="131"/>
      <c r="AAT13" s="131">
        <v>300</v>
      </c>
      <c r="AAU13" s="131"/>
      <c r="AAV13" s="131"/>
      <c r="AAW13" s="131"/>
      <c r="AAX13" s="131">
        <v>300</v>
      </c>
      <c r="AAY13" s="131"/>
      <c r="AAZ13" s="131"/>
      <c r="ABA13" s="131"/>
      <c r="ABB13" s="131"/>
      <c r="ABC13" s="131"/>
      <c r="ABD13" s="131"/>
      <c r="ABE13" s="131">
        <v>300</v>
      </c>
      <c r="ABF13" s="131"/>
      <c r="ABG13" s="131"/>
      <c r="ABH13" s="131"/>
      <c r="ABI13" s="131">
        <v>300</v>
      </c>
      <c r="ABJ13" s="131"/>
      <c r="ABK13" s="131"/>
      <c r="ABL13" s="131"/>
      <c r="ABM13" s="131"/>
      <c r="ABN13" s="131"/>
      <c r="ABO13" s="131"/>
      <c r="ABP13" s="131">
        <v>300</v>
      </c>
      <c r="ABQ13" s="131"/>
      <c r="ABR13" s="131"/>
      <c r="ABS13" s="131"/>
      <c r="ABT13" s="131">
        <v>300</v>
      </c>
      <c r="ABU13" s="131"/>
      <c r="ABV13" s="131"/>
      <c r="ABW13" s="131"/>
      <c r="ABX13" s="131"/>
      <c r="ABY13" s="131"/>
      <c r="ABZ13" s="131"/>
      <c r="ACA13" s="131">
        <v>300</v>
      </c>
      <c r="ACB13" s="131"/>
      <c r="ACC13" s="131"/>
      <c r="ACD13" s="131"/>
      <c r="ACE13" s="131">
        <v>300</v>
      </c>
      <c r="ACF13" s="131"/>
      <c r="ACG13" s="131"/>
      <c r="ACH13" s="131"/>
      <c r="ACI13" s="131"/>
      <c r="ACJ13" s="131"/>
      <c r="ACK13" s="131"/>
      <c r="ACL13" s="131">
        <v>300</v>
      </c>
      <c r="ACM13" s="131"/>
      <c r="ACN13" s="131"/>
      <c r="ACO13" s="131"/>
      <c r="ACP13" s="131">
        <v>300</v>
      </c>
      <c r="ACQ13" s="131"/>
      <c r="ACR13" s="131"/>
      <c r="ACS13" s="131"/>
      <c r="ACT13" s="131"/>
      <c r="ACU13" s="131"/>
      <c r="ACV13" s="131"/>
      <c r="ACW13" s="131">
        <v>300</v>
      </c>
      <c r="ACX13" s="131"/>
      <c r="ACY13" s="131"/>
      <c r="ACZ13" s="131"/>
      <c r="ADA13" s="131">
        <v>300</v>
      </c>
      <c r="ADB13" s="131"/>
      <c r="ADC13" s="131"/>
      <c r="ADD13" s="131"/>
      <c r="ADE13" s="131"/>
      <c r="ADF13" s="131"/>
      <c r="ADG13" s="131"/>
      <c r="ADH13" s="131">
        <v>300</v>
      </c>
      <c r="ADI13" s="131"/>
      <c r="ADJ13" s="131"/>
      <c r="ADK13" s="131"/>
      <c r="ADL13" s="131">
        <v>300</v>
      </c>
      <c r="ADM13" s="131"/>
      <c r="ADN13" s="131"/>
      <c r="ADO13" s="131"/>
      <c r="ADP13" s="131"/>
      <c r="ADQ13" s="131"/>
      <c r="ADR13" s="131"/>
      <c r="ADS13" s="131">
        <v>300</v>
      </c>
      <c r="ADT13" s="131"/>
      <c r="ADU13" s="131"/>
      <c r="ADV13" s="131"/>
      <c r="ADW13" s="131">
        <v>300</v>
      </c>
      <c r="ADX13" s="131"/>
      <c r="ADY13" s="131"/>
      <c r="ADZ13" s="131"/>
      <c r="AEA13" s="131"/>
      <c r="AEB13" s="131"/>
      <c r="AEC13" s="131"/>
      <c r="AED13" s="131">
        <v>300</v>
      </c>
      <c r="AEE13" s="131"/>
      <c r="AEF13" s="131"/>
      <c r="AEG13" s="131"/>
      <c r="AEH13" s="131">
        <v>300</v>
      </c>
      <c r="AEI13" s="131"/>
      <c r="AEJ13" s="131"/>
      <c r="AEK13" s="131"/>
      <c r="AEL13" s="131"/>
      <c r="AEM13" s="131"/>
      <c r="AEN13" s="131"/>
      <c r="AEO13" s="131">
        <v>300</v>
      </c>
      <c r="AEP13" s="131"/>
      <c r="AEQ13" s="131"/>
      <c r="AER13" s="131"/>
      <c r="AES13" s="131">
        <v>300</v>
      </c>
      <c r="AET13" s="131"/>
      <c r="AEU13" s="131"/>
      <c r="AEV13" s="131"/>
      <c r="AEW13" s="131"/>
      <c r="AEX13" s="131"/>
      <c r="AEY13" s="131"/>
      <c r="AEZ13" s="131">
        <v>300</v>
      </c>
      <c r="AFA13" s="131"/>
      <c r="AFB13" s="131"/>
      <c r="AFC13" s="131"/>
      <c r="AFD13" s="131">
        <v>300</v>
      </c>
      <c r="AFE13" s="131"/>
      <c r="AFF13" s="131"/>
      <c r="AFG13" s="131"/>
      <c r="AFH13" s="131"/>
      <c r="AFI13" s="131"/>
      <c r="AFJ13" s="131"/>
      <c r="AFK13" s="131">
        <v>300</v>
      </c>
      <c r="AFL13" s="156"/>
      <c r="AFN13" s="129"/>
      <c r="AFO13" s="129"/>
      <c r="AFP13" s="129"/>
      <c r="AFQ13" s="129"/>
      <c r="AFR13" s="129"/>
      <c r="AFS13" s="129"/>
      <c r="AFT13" s="129"/>
      <c r="AFU13" s="129"/>
      <c r="AFV13" s="129"/>
      <c r="AFW13" s="129"/>
      <c r="AFX13" s="129"/>
      <c r="AFY13" s="129"/>
      <c r="AFZ13" s="129"/>
      <c r="AGA13" s="129"/>
      <c r="AGB13" s="129"/>
      <c r="AGC13" s="129"/>
      <c r="AGD13" s="129"/>
      <c r="AGE13" s="129"/>
      <c r="AGF13" s="129"/>
      <c r="AGG13" s="129"/>
      <c r="AGH13" s="129"/>
      <c r="AGI13" s="129"/>
      <c r="AGJ13" s="129"/>
      <c r="AGK13" s="129"/>
      <c r="AGL13" s="129"/>
      <c r="AGM13" s="129"/>
      <c r="AGN13" s="129"/>
      <c r="AGO13" s="129"/>
      <c r="AGP13" s="129"/>
      <c r="AGQ13" s="129"/>
      <c r="AGR13" s="129"/>
      <c r="AGS13" s="129"/>
      <c r="AGT13" s="129"/>
      <c r="AGU13" s="129"/>
      <c r="AGV13" s="129"/>
      <c r="AGW13" s="129"/>
      <c r="AGX13" s="129"/>
      <c r="AGY13" s="129"/>
      <c r="AGZ13" s="129"/>
      <c r="AHA13" s="129"/>
      <c r="AHB13" s="129"/>
      <c r="AHC13" s="129"/>
      <c r="AHD13" s="129"/>
      <c r="AHE13" s="129"/>
      <c r="AHF13" s="129"/>
      <c r="AHG13" s="129"/>
      <c r="AHH13" s="129"/>
      <c r="AHI13" s="129"/>
      <c r="AHJ13" s="129"/>
      <c r="AHK13" s="129"/>
      <c r="AHL13" s="129"/>
      <c r="AHM13" s="129"/>
      <c r="AHN13" s="129"/>
      <c r="AHO13" s="129"/>
      <c r="AHP13" s="129"/>
      <c r="AHQ13" s="129"/>
      <c r="AHR13" s="129"/>
      <c r="AHS13" s="129"/>
      <c r="AHT13" s="129"/>
      <c r="AHU13" s="129"/>
      <c r="AHV13" s="129"/>
      <c r="AHW13" s="129"/>
      <c r="AHX13" s="129"/>
      <c r="AHY13" s="129"/>
      <c r="AHZ13" s="129"/>
      <c r="AIA13" s="129"/>
      <c r="AIB13" s="129"/>
      <c r="AIC13" s="129"/>
      <c r="AID13" s="129"/>
      <c r="AIE13" s="129"/>
      <c r="AIF13" s="129"/>
      <c r="AIG13" s="129"/>
      <c r="AIH13" s="129"/>
      <c r="AII13" s="129"/>
      <c r="AIJ13" s="129"/>
      <c r="AIK13" s="129"/>
      <c r="AIL13" s="129"/>
      <c r="AIM13" s="129"/>
      <c r="AIN13" s="129"/>
      <c r="AIO13" s="129"/>
      <c r="AIP13" s="129"/>
      <c r="AIQ13" s="129"/>
      <c r="AIR13" s="129"/>
      <c r="AIS13" s="129"/>
      <c r="AIT13" s="129"/>
      <c r="AIU13" s="129"/>
      <c r="AIV13" s="129"/>
      <c r="AIW13" s="129"/>
      <c r="AIX13" s="129"/>
      <c r="AIY13" s="129"/>
      <c r="AIZ13" s="129"/>
      <c r="AJA13" s="129"/>
      <c r="AJB13" s="129"/>
      <c r="AJC13" s="129"/>
      <c r="AJD13" s="129"/>
      <c r="AJE13" s="129"/>
      <c r="AJF13" s="129"/>
      <c r="AJG13" s="129"/>
      <c r="AJH13" s="129"/>
      <c r="AJI13" s="129"/>
      <c r="AJJ13" s="129"/>
      <c r="AJK13" s="129"/>
      <c r="AJL13" s="129"/>
      <c r="AJM13" s="129"/>
      <c r="AJN13" s="129"/>
      <c r="AJO13" s="129"/>
      <c r="AJP13" s="129"/>
      <c r="AJQ13" s="129"/>
      <c r="AJR13" s="129"/>
      <c r="AJS13" s="129"/>
      <c r="AJT13" s="129"/>
      <c r="AJU13" s="129"/>
      <c r="AJV13" s="129"/>
      <c r="AJW13" s="129"/>
      <c r="AJX13" s="129"/>
      <c r="AJY13" s="129"/>
      <c r="AJZ13" s="129"/>
      <c r="AKA13" s="129"/>
      <c r="AKB13" s="129"/>
      <c r="AKC13" s="129"/>
      <c r="AKD13" s="129"/>
      <c r="AKE13" s="129"/>
      <c r="AKF13" s="129"/>
      <c r="AKG13" s="129"/>
      <c r="AKH13" s="129"/>
      <c r="AKI13" s="129"/>
      <c r="AKJ13" s="129"/>
      <c r="AKK13" s="129"/>
      <c r="AKL13" s="129"/>
      <c r="AKM13" s="129"/>
      <c r="AKN13" s="129"/>
      <c r="AKO13" s="129"/>
      <c r="AKP13" s="129"/>
      <c r="AKQ13" s="129"/>
      <c r="AKR13" s="129"/>
      <c r="AKS13" s="129"/>
      <c r="AKT13" s="129"/>
      <c r="AKU13" s="129"/>
      <c r="AKV13" s="129"/>
      <c r="AKW13" s="129"/>
      <c r="AKX13" s="129"/>
      <c r="AKY13" s="129"/>
      <c r="AKZ13" s="129"/>
      <c r="ALA13" s="129"/>
      <c r="ALB13" s="129"/>
      <c r="ALC13" s="129"/>
      <c r="ALD13" s="129"/>
      <c r="ALE13" s="129"/>
      <c r="ALF13" s="129"/>
      <c r="ALG13" s="129"/>
      <c r="ALH13" s="129"/>
      <c r="ALI13" s="129"/>
      <c r="ALJ13" s="129"/>
      <c r="ALK13" s="129"/>
      <c r="ALL13" s="129"/>
      <c r="ALM13" s="129"/>
      <c r="ALN13" s="129"/>
      <c r="ALO13" s="129"/>
      <c r="ALP13" s="129"/>
      <c r="ALQ13" s="129"/>
      <c r="ALR13" s="129"/>
      <c r="ALS13" s="129"/>
      <c r="ALT13" s="129"/>
      <c r="ALU13" s="129"/>
      <c r="ALV13" s="129"/>
      <c r="ALW13" s="129"/>
      <c r="ALX13" s="129"/>
      <c r="ALY13" s="129"/>
      <c r="ALZ13" s="129"/>
      <c r="AMA13" s="129"/>
      <c r="AMB13" s="129"/>
      <c r="AMC13" s="129"/>
      <c r="AMD13" s="129"/>
      <c r="AME13" s="129"/>
      <c r="AMF13" s="129"/>
      <c r="AMG13" s="129"/>
      <c r="AMH13" s="129"/>
      <c r="AMI13" s="129"/>
      <c r="AMJ13" s="129"/>
      <c r="AMK13" s="129"/>
      <c r="AML13" s="129"/>
      <c r="AMM13" s="129"/>
      <c r="AMN13" s="129"/>
      <c r="AMO13" s="129"/>
      <c r="AMP13" s="129"/>
      <c r="AMQ13" s="129"/>
      <c r="AMR13" s="129"/>
      <c r="AMS13" s="129"/>
      <c r="AMT13" s="129"/>
      <c r="AMU13" s="129"/>
      <c r="AMV13" s="129"/>
      <c r="AMW13" s="129"/>
      <c r="AMX13" s="129"/>
      <c r="AMY13" s="129"/>
      <c r="AMZ13" s="129"/>
      <c r="ANA13" s="129"/>
      <c r="ANB13" s="129"/>
      <c r="ANC13" s="129"/>
      <c r="AND13" s="129"/>
      <c r="ANE13" s="129"/>
      <c r="ANF13" s="129"/>
      <c r="ANG13" s="129"/>
      <c r="ANH13" s="129"/>
      <c r="ANI13" s="129"/>
      <c r="ANJ13" s="129"/>
      <c r="ANK13" s="129"/>
      <c r="ANL13" s="129"/>
      <c r="ANM13" s="129"/>
      <c r="ANN13" s="129"/>
      <c r="ANO13" s="129"/>
      <c r="ANP13" s="129"/>
      <c r="ANQ13" s="129"/>
      <c r="ANR13" s="129"/>
      <c r="ANS13" s="129"/>
      <c r="ANT13" s="129"/>
      <c r="ANU13" s="129"/>
      <c r="ANV13" s="129"/>
      <c r="ANW13" s="129"/>
      <c r="ANX13" s="129"/>
      <c r="ANY13" s="129"/>
      <c r="ANZ13" s="129"/>
      <c r="AOA13" s="129"/>
      <c r="AOB13" s="129"/>
      <c r="AOC13" s="129"/>
      <c r="AOD13" s="129"/>
      <c r="AOE13" s="129"/>
      <c r="AOF13" s="129"/>
      <c r="AOG13" s="129"/>
      <c r="AOH13" s="129"/>
      <c r="AOI13" s="129"/>
      <c r="AOJ13" s="129"/>
      <c r="AOK13" s="129"/>
      <c r="AOL13" s="129"/>
      <c r="AOM13" s="129"/>
      <c r="AON13" s="129"/>
      <c r="AOO13" s="129"/>
      <c r="AOP13" s="129"/>
      <c r="AOQ13" s="129"/>
      <c r="AOR13" s="129"/>
      <c r="AOS13" s="129"/>
      <c r="AOT13" s="129"/>
      <c r="AOU13" s="129"/>
      <c r="AOV13" s="129"/>
      <c r="AOW13" s="129"/>
      <c r="AOX13" s="129"/>
      <c r="AOY13" s="129"/>
      <c r="AOZ13" s="129"/>
      <c r="APA13" s="129"/>
      <c r="APB13" s="129"/>
      <c r="APC13" s="129"/>
      <c r="APD13" s="129"/>
      <c r="APE13" s="129"/>
      <c r="APF13" s="129"/>
      <c r="APG13" s="129"/>
      <c r="APH13" s="129"/>
      <c r="API13" s="129"/>
      <c r="APJ13" s="129"/>
      <c r="APK13" s="129"/>
      <c r="APL13" s="129"/>
      <c r="APM13" s="129"/>
      <c r="APN13" s="129"/>
      <c r="APO13" s="130"/>
      <c r="APP13" s="130"/>
      <c r="APQ13" s="130"/>
      <c r="APR13" s="130"/>
      <c r="APS13" s="130"/>
      <c r="APT13" s="130"/>
      <c r="APU13" s="130"/>
      <c r="APV13" s="130"/>
      <c r="APW13" s="130"/>
      <c r="APX13" s="130"/>
      <c r="APY13" s="130"/>
      <c r="APZ13" s="130"/>
      <c r="AQA13" s="130"/>
      <c r="AQB13" s="130"/>
      <c r="AQC13" s="130"/>
      <c r="AQD13" s="130"/>
      <c r="AQE13" s="130"/>
      <c r="AQF13" s="130"/>
      <c r="AQG13" s="130"/>
      <c r="AQH13" s="130"/>
      <c r="AQI13" s="130"/>
      <c r="AQJ13" s="130"/>
      <c r="AQK13" s="130"/>
      <c r="AQL13" s="130"/>
      <c r="AQM13" s="130"/>
      <c r="AQN13" s="130"/>
      <c r="AQO13" s="130"/>
      <c r="AQP13" s="130"/>
      <c r="AQQ13" s="130"/>
      <c r="AQR13" s="130"/>
      <c r="AQS13" s="130"/>
      <c r="AQT13" s="130"/>
      <c r="AQU13" s="130"/>
      <c r="AQV13" s="130"/>
      <c r="AQW13" s="130"/>
      <c r="AQX13" s="130"/>
      <c r="AQY13" s="130"/>
      <c r="AQZ13" s="130"/>
      <c r="ARA13" s="130"/>
      <c r="ARB13" s="130"/>
      <c r="ARC13" s="130"/>
      <c r="ARD13" s="130"/>
      <c r="ARE13" s="130"/>
      <c r="ARF13" s="130"/>
      <c r="ARG13" s="130"/>
      <c r="ARH13" s="130"/>
      <c r="ARI13" s="130"/>
      <c r="ARJ13" s="130"/>
      <c r="ARK13" s="130"/>
      <c r="ARL13" s="130"/>
      <c r="ARM13" s="130"/>
      <c r="ARN13" s="130"/>
      <c r="ARO13" s="130"/>
      <c r="ARP13" s="130"/>
      <c r="ARQ13" s="130"/>
      <c r="ARR13" s="130"/>
      <c r="ARS13" s="130"/>
      <c r="ART13" s="130"/>
      <c r="ARU13" s="130"/>
      <c r="ARV13" s="130"/>
      <c r="ARW13" s="130"/>
      <c r="ARX13" s="130"/>
      <c r="ARY13" s="130"/>
      <c r="ARZ13" s="130"/>
      <c r="ASA13" s="130"/>
      <c r="ASB13" s="130"/>
      <c r="ASC13" s="130"/>
      <c r="ASD13" s="130"/>
      <c r="ASE13" s="130"/>
      <c r="ASF13" s="130"/>
      <c r="ASG13" s="130"/>
      <c r="ASH13" s="130"/>
      <c r="ASI13" s="130"/>
      <c r="ASJ13" s="130"/>
      <c r="ASK13" s="130"/>
      <c r="ASL13" s="130"/>
      <c r="ASM13" s="130"/>
      <c r="ASN13" s="130"/>
      <c r="ASO13" s="130"/>
      <c r="ASP13" s="130"/>
      <c r="ASQ13" s="130"/>
      <c r="ASR13" s="130"/>
      <c r="ASS13" s="130"/>
      <c r="AST13" s="130"/>
      <c r="ASU13" s="130"/>
      <c r="ASV13" s="130"/>
      <c r="ASW13" s="130"/>
      <c r="ASX13" s="129"/>
      <c r="ASY13" s="129"/>
      <c r="ASZ13" s="129"/>
      <c r="ATA13" s="129"/>
      <c r="ATB13" s="129"/>
      <c r="ATC13" s="129"/>
      <c r="ATD13" s="129"/>
      <c r="ATE13" s="129"/>
      <c r="ATF13" s="129"/>
      <c r="ATG13" s="129"/>
      <c r="ATH13" s="129"/>
      <c r="ATI13" s="129"/>
      <c r="ATJ13" s="129"/>
      <c r="ATK13" s="129"/>
      <c r="ATL13" s="129"/>
      <c r="ATM13" s="129"/>
      <c r="ATN13" s="129"/>
      <c r="ATO13" s="129"/>
      <c r="ATP13" s="129"/>
      <c r="ATQ13" s="129"/>
      <c r="ATR13" s="129"/>
      <c r="ATS13" s="129"/>
      <c r="ATT13" s="129"/>
      <c r="ATU13" s="129"/>
      <c r="ATV13" s="129"/>
      <c r="ATW13" s="129"/>
      <c r="ATX13" s="129"/>
      <c r="ATY13" s="129"/>
      <c r="ATZ13" s="129"/>
      <c r="AUA13" s="129"/>
      <c r="AUB13" s="129"/>
      <c r="AUC13" s="129"/>
      <c r="AUD13" s="129"/>
      <c r="AUE13" s="129"/>
      <c r="AUF13" s="129"/>
      <c r="AUG13" s="129"/>
      <c r="AUH13" s="129"/>
      <c r="AUI13" s="129"/>
      <c r="AUJ13" s="129"/>
      <c r="AUK13" s="129"/>
      <c r="AUL13" s="129"/>
      <c r="AUM13" s="129"/>
      <c r="AUN13" s="129"/>
      <c r="AUO13" s="129"/>
      <c r="AUP13" s="129"/>
      <c r="AUQ13" s="129"/>
      <c r="AUR13" s="129"/>
      <c r="AUS13" s="129"/>
      <c r="AUT13" s="129"/>
      <c r="AUU13" s="129"/>
      <c r="AUV13" s="129"/>
      <c r="AUW13" s="129"/>
      <c r="AUX13" s="129"/>
      <c r="AUY13" s="129"/>
      <c r="AUZ13" s="129"/>
      <c r="AVA13" s="129"/>
      <c r="AVB13" s="129"/>
      <c r="AVC13" s="129"/>
      <c r="AVD13" s="129"/>
      <c r="AVE13" s="129"/>
      <c r="AVF13" s="129"/>
      <c r="AVG13" s="129"/>
      <c r="AVH13" s="129"/>
    </row>
    <row r="14" spans="1:1297" s="172" customFormat="1" ht="25.5" outlineLevel="1">
      <c r="A14" s="137" t="s">
        <v>197</v>
      </c>
      <c r="B14" s="173" t="s">
        <v>200</v>
      </c>
      <c r="C14" s="139" t="s">
        <v>201</v>
      </c>
      <c r="D14" s="139" t="s">
        <v>202</v>
      </c>
      <c r="E14" s="137">
        <v>39</v>
      </c>
      <c r="F14" s="138" t="s">
        <v>85</v>
      </c>
      <c r="G14" s="136" t="s">
        <v>11</v>
      </c>
      <c r="H14" s="136" t="s">
        <v>366</v>
      </c>
      <c r="I14" s="136" t="s">
        <v>366</v>
      </c>
      <c r="J14" s="136" t="s">
        <v>366</v>
      </c>
      <c r="K14" s="136" t="s">
        <v>13</v>
      </c>
      <c r="L14" s="136" t="s">
        <v>13</v>
      </c>
      <c r="M14" s="136" t="s">
        <v>13</v>
      </c>
      <c r="N14" s="136" t="s">
        <v>366</v>
      </c>
      <c r="O14" s="138"/>
      <c r="U14" s="129"/>
      <c r="V14" s="129"/>
      <c r="BY14" s="129"/>
      <c r="BZ14" s="129"/>
      <c r="CA14" s="129"/>
      <c r="CC14" s="129"/>
      <c r="CD14" s="129"/>
      <c r="CF14" s="129"/>
      <c r="CG14" s="129"/>
      <c r="CH14" s="129"/>
      <c r="CI14" s="129"/>
      <c r="CJ14" s="129"/>
      <c r="CK14" s="129"/>
      <c r="CM14" s="129"/>
      <c r="CN14" s="129"/>
      <c r="CP14" s="129"/>
      <c r="CQ14" s="129"/>
      <c r="HS14" s="129"/>
      <c r="HT14" s="129"/>
      <c r="HU14" s="129"/>
      <c r="HV14" s="129"/>
      <c r="HW14" s="129"/>
      <c r="HX14" s="129"/>
      <c r="HY14" s="129"/>
      <c r="HZ14" s="129"/>
      <c r="IA14" s="129"/>
      <c r="IB14" s="129"/>
      <c r="IC14" s="129"/>
      <c r="ID14" s="129"/>
      <c r="IE14" s="129"/>
      <c r="IF14" s="129"/>
      <c r="IH14" s="129"/>
      <c r="II14" s="129"/>
      <c r="IJ14" s="129"/>
      <c r="IK14" s="129"/>
      <c r="IL14" s="129"/>
      <c r="IM14" s="129"/>
      <c r="IN14" s="129"/>
      <c r="IO14" s="129"/>
      <c r="IP14" s="129"/>
      <c r="IQ14" s="129"/>
      <c r="IR14" s="129"/>
      <c r="IS14" s="129"/>
      <c r="IT14" s="129"/>
      <c r="IU14" s="129"/>
      <c r="IV14" s="129"/>
      <c r="IW14" s="129"/>
      <c r="IX14" s="129"/>
      <c r="IY14" s="129"/>
      <c r="IZ14" s="129"/>
      <c r="JA14" s="129"/>
      <c r="JB14" s="129"/>
      <c r="JC14" s="129"/>
      <c r="JD14" s="129"/>
      <c r="JE14" s="129"/>
      <c r="JF14" s="129"/>
      <c r="JG14" s="129"/>
      <c r="JH14" s="129"/>
      <c r="JI14" s="129"/>
      <c r="JJ14" s="129"/>
      <c r="JK14" s="129"/>
      <c r="JL14" s="129"/>
      <c r="JM14" s="129"/>
      <c r="JN14" s="129"/>
      <c r="JO14" s="129"/>
      <c r="JP14" s="129"/>
      <c r="JQ14" s="129"/>
      <c r="JR14" s="129"/>
      <c r="JS14" s="129"/>
      <c r="JT14" s="129"/>
      <c r="JU14" s="129"/>
      <c r="JV14" s="129"/>
      <c r="JW14" s="129"/>
      <c r="JX14" s="129"/>
      <c r="JY14" s="129"/>
      <c r="JZ14" s="129"/>
      <c r="KA14" s="129"/>
      <c r="KB14" s="129"/>
      <c r="KC14" s="129"/>
      <c r="KD14" s="129"/>
      <c r="KE14" s="129"/>
      <c r="KF14" s="129"/>
      <c r="KG14" s="129"/>
      <c r="KH14" s="129"/>
      <c r="KI14" s="129"/>
      <c r="KJ14" s="129"/>
      <c r="KK14" s="129"/>
      <c r="KL14" s="129"/>
      <c r="KM14" s="129"/>
      <c r="KN14" s="129"/>
      <c r="KO14" s="129"/>
      <c r="KP14" s="129"/>
      <c r="KQ14" s="129"/>
      <c r="KR14" s="129"/>
      <c r="KS14" s="129"/>
      <c r="KT14" s="129"/>
      <c r="KU14" s="129"/>
      <c r="KV14" s="129"/>
      <c r="KW14" s="129"/>
      <c r="KX14" s="129"/>
      <c r="KY14" s="129"/>
      <c r="KZ14" s="129"/>
      <c r="LA14" s="129"/>
      <c r="LB14" s="129"/>
      <c r="LC14" s="129"/>
      <c r="LD14" s="129"/>
      <c r="LE14" s="129"/>
      <c r="LF14" s="129"/>
      <c r="LG14" s="129"/>
      <c r="LH14" s="129"/>
      <c r="LI14" s="129"/>
      <c r="LJ14" s="129"/>
      <c r="LK14" s="135"/>
      <c r="LL14" s="135"/>
      <c r="LM14" s="135"/>
      <c r="LN14" s="135"/>
      <c r="LO14" s="135"/>
      <c r="LP14" s="129"/>
      <c r="LQ14" s="129"/>
      <c r="LR14" s="129"/>
      <c r="LS14" s="129"/>
      <c r="LT14" s="129"/>
      <c r="LU14" s="135"/>
      <c r="LV14" s="135"/>
      <c r="LW14" s="135"/>
      <c r="LX14" s="135"/>
      <c r="LY14" s="135"/>
      <c r="LZ14" s="135"/>
      <c r="MA14" s="135"/>
      <c r="MB14" s="135"/>
      <c r="MC14" s="135"/>
      <c r="MD14" s="135"/>
      <c r="ME14" s="135"/>
      <c r="MF14" s="135"/>
      <c r="MG14" s="135"/>
      <c r="MH14" s="129"/>
      <c r="MI14" s="129"/>
      <c r="MJ14" s="129"/>
      <c r="MK14" s="129"/>
      <c r="ML14" s="129"/>
      <c r="MM14" s="129"/>
      <c r="MN14" s="129"/>
      <c r="MO14" s="129"/>
      <c r="MP14" s="129"/>
      <c r="MQ14" s="132"/>
      <c r="MR14" s="132"/>
      <c r="MS14" s="132"/>
      <c r="MT14" s="132"/>
      <c r="MU14" s="132"/>
      <c r="MV14" s="132"/>
      <c r="MW14" s="132"/>
      <c r="MX14" s="132"/>
      <c r="MY14" s="132"/>
      <c r="MZ14" s="129"/>
      <c r="NA14" s="129"/>
      <c r="NB14" s="135"/>
      <c r="NC14" s="135"/>
      <c r="ND14" s="135"/>
      <c r="NE14" s="135"/>
      <c r="NF14" s="135"/>
      <c r="NG14" s="129"/>
      <c r="NH14" s="129"/>
      <c r="NI14" s="129"/>
      <c r="NJ14" s="129"/>
      <c r="NK14" s="129"/>
      <c r="NL14" s="132"/>
      <c r="NM14" s="132"/>
      <c r="NN14" s="132"/>
      <c r="NO14" s="132"/>
      <c r="NP14" s="132"/>
      <c r="NQ14" s="129"/>
      <c r="NR14" s="129"/>
      <c r="NS14" s="129"/>
      <c r="NT14" s="129"/>
      <c r="NU14" s="129"/>
      <c r="NV14" s="129"/>
      <c r="NW14" s="129"/>
      <c r="NX14" s="129"/>
      <c r="NY14" s="129"/>
      <c r="NZ14" s="129"/>
      <c r="OA14" s="129"/>
      <c r="OB14" s="129"/>
      <c r="OC14" s="129"/>
      <c r="OD14" s="129"/>
      <c r="OE14" s="129"/>
      <c r="OF14" s="129"/>
      <c r="OG14" s="129"/>
      <c r="OH14" s="129"/>
      <c r="OI14" s="129"/>
      <c r="OJ14" s="129"/>
      <c r="OK14" s="129"/>
      <c r="OL14" s="129"/>
      <c r="OM14" s="129"/>
      <c r="ON14" s="129"/>
      <c r="OO14" s="129"/>
      <c r="OQ14" s="129"/>
      <c r="OR14" s="129"/>
      <c r="OS14" s="129"/>
      <c r="OT14" s="129"/>
      <c r="OU14" s="129"/>
      <c r="OV14" s="129"/>
      <c r="OW14" s="129"/>
      <c r="OX14" s="129"/>
      <c r="OY14" s="129"/>
      <c r="OZ14" s="129"/>
      <c r="PA14" s="129"/>
      <c r="PB14" s="129"/>
      <c r="PC14" s="129"/>
      <c r="PD14" s="129"/>
      <c r="PE14" s="129"/>
      <c r="PF14" s="129"/>
      <c r="PG14" s="129"/>
      <c r="PH14" s="129"/>
      <c r="PI14" s="129"/>
      <c r="PJ14" s="129"/>
      <c r="PK14" s="129"/>
      <c r="PL14" s="129"/>
      <c r="PM14" s="129"/>
      <c r="PN14" s="129"/>
      <c r="PO14" s="129"/>
      <c r="PP14" s="129"/>
      <c r="PQ14" s="129"/>
      <c r="PR14" s="129"/>
      <c r="PS14" s="156"/>
      <c r="PT14" s="156"/>
      <c r="PU14" s="156"/>
      <c r="PV14" s="156"/>
      <c r="PW14" s="156"/>
      <c r="PX14" s="156"/>
      <c r="PY14" s="156"/>
      <c r="PZ14" s="156"/>
      <c r="QA14" s="156"/>
      <c r="QB14" s="156"/>
      <c r="QC14" s="156"/>
      <c r="QD14" s="129"/>
      <c r="QE14" s="129"/>
      <c r="QF14" s="129"/>
      <c r="QG14" s="129"/>
      <c r="QH14" s="129"/>
      <c r="QI14" s="129"/>
      <c r="QJ14" s="129"/>
      <c r="QK14" s="129"/>
      <c r="QL14" s="129"/>
      <c r="QM14" s="129"/>
      <c r="QN14" s="129"/>
      <c r="QO14" s="129"/>
      <c r="QP14" s="129"/>
      <c r="QQ14" s="129"/>
      <c r="QR14" s="129">
        <v>1600</v>
      </c>
      <c r="QS14" s="129"/>
      <c r="QT14" s="129"/>
      <c r="QU14" s="129"/>
      <c r="QV14" s="129">
        <v>900</v>
      </c>
      <c r="QW14" s="133">
        <v>1050</v>
      </c>
      <c r="QX14" s="133">
        <v>1200</v>
      </c>
      <c r="QY14" s="133" t="s">
        <v>3843</v>
      </c>
      <c r="QZ14" s="129">
        <v>800</v>
      </c>
      <c r="RA14" s="129">
        <v>900</v>
      </c>
      <c r="RB14" s="129">
        <v>900</v>
      </c>
      <c r="RC14" s="129">
        <v>800</v>
      </c>
      <c r="RD14" s="128">
        <v>1600</v>
      </c>
      <c r="RE14" s="128">
        <v>1600</v>
      </c>
      <c r="RF14" s="129">
        <v>900</v>
      </c>
      <c r="RG14" s="129">
        <v>900</v>
      </c>
      <c r="RH14" s="129">
        <v>960</v>
      </c>
      <c r="RI14" s="129">
        <v>800</v>
      </c>
      <c r="RJ14" s="129">
        <v>1200</v>
      </c>
      <c r="RK14" s="129">
        <v>900</v>
      </c>
      <c r="RL14" s="129">
        <v>800</v>
      </c>
      <c r="RM14" s="128">
        <v>1600</v>
      </c>
      <c r="RN14" s="129"/>
      <c r="RO14" s="129"/>
      <c r="RP14" s="129"/>
      <c r="RQ14" s="134">
        <v>1600</v>
      </c>
      <c r="RR14" s="134">
        <v>1600</v>
      </c>
      <c r="RS14" s="134"/>
      <c r="RT14" s="134"/>
      <c r="RU14" s="129"/>
      <c r="RV14" s="129"/>
      <c r="RW14" s="129"/>
      <c r="RX14" s="129"/>
      <c r="RY14" s="129"/>
      <c r="RZ14" s="129"/>
      <c r="SA14" s="156"/>
      <c r="SB14" s="156"/>
      <c r="SC14" s="156"/>
      <c r="SD14" s="156"/>
      <c r="SE14" s="156"/>
      <c r="SF14" s="129"/>
      <c r="SG14" s="129"/>
      <c r="SH14" s="129"/>
      <c r="SI14" s="129"/>
      <c r="SJ14" s="129"/>
      <c r="SK14" s="129"/>
      <c r="SL14" s="129"/>
      <c r="SM14" s="129"/>
      <c r="SN14" s="129"/>
      <c r="SO14" s="129"/>
      <c r="SP14" s="129"/>
      <c r="SQ14" s="129"/>
      <c r="SR14" s="129"/>
      <c r="SS14" s="129"/>
      <c r="ST14" s="129"/>
      <c r="SU14" s="129"/>
      <c r="SV14" s="129"/>
      <c r="SW14" s="129"/>
      <c r="SX14" s="129">
        <v>1600</v>
      </c>
      <c r="SY14" s="129">
        <v>1600</v>
      </c>
      <c r="SZ14" s="129">
        <v>1600</v>
      </c>
      <c r="TA14" s="129">
        <v>900</v>
      </c>
      <c r="TB14" s="129">
        <v>960</v>
      </c>
      <c r="TC14" s="129">
        <v>800</v>
      </c>
      <c r="TD14" s="133">
        <v>1250</v>
      </c>
      <c r="TE14" s="132">
        <v>800</v>
      </c>
      <c r="TF14" s="132">
        <v>800</v>
      </c>
      <c r="TG14" s="129">
        <v>1600</v>
      </c>
      <c r="TH14" s="129">
        <v>900</v>
      </c>
      <c r="TI14" s="129">
        <v>800</v>
      </c>
      <c r="TJ14" s="129"/>
      <c r="TK14" s="128">
        <v>1600</v>
      </c>
      <c r="TL14" s="128">
        <v>1600</v>
      </c>
      <c r="TM14" s="129">
        <v>900</v>
      </c>
      <c r="TN14" s="129">
        <v>800</v>
      </c>
      <c r="TO14" s="129">
        <v>1250</v>
      </c>
      <c r="TP14" s="129">
        <v>900</v>
      </c>
      <c r="TQ14" s="129">
        <v>1000</v>
      </c>
      <c r="TR14" s="129">
        <v>900</v>
      </c>
      <c r="TS14" s="129">
        <v>800</v>
      </c>
      <c r="TT14" s="155">
        <v>900</v>
      </c>
      <c r="TU14" s="129">
        <v>800</v>
      </c>
      <c r="TV14" s="129">
        <v>800</v>
      </c>
      <c r="TW14" s="156" t="s">
        <v>3843</v>
      </c>
      <c r="TX14" s="132">
        <v>1250</v>
      </c>
      <c r="TY14" s="132">
        <v>800</v>
      </c>
      <c r="TZ14" s="132">
        <v>800</v>
      </c>
      <c r="UA14" s="129"/>
      <c r="UB14" s="128">
        <v>1500</v>
      </c>
      <c r="UC14" s="128">
        <v>1500</v>
      </c>
      <c r="UD14" s="128">
        <v>1500</v>
      </c>
      <c r="UE14" s="128">
        <v>1500</v>
      </c>
      <c r="UF14" s="128">
        <v>1500</v>
      </c>
      <c r="UG14" s="128">
        <v>1500</v>
      </c>
      <c r="UH14" s="128">
        <v>1500</v>
      </c>
      <c r="UI14" s="128">
        <v>1500</v>
      </c>
      <c r="UJ14" s="129">
        <v>1000</v>
      </c>
      <c r="UK14" s="129">
        <v>875</v>
      </c>
      <c r="UL14" s="129"/>
      <c r="UM14" s="129">
        <v>600</v>
      </c>
      <c r="UN14" s="129">
        <v>600</v>
      </c>
      <c r="UO14" s="129">
        <v>600</v>
      </c>
      <c r="UP14" s="129"/>
      <c r="UQ14" s="129"/>
      <c r="UR14" s="129"/>
      <c r="US14" s="129">
        <v>600</v>
      </c>
      <c r="UT14" s="129">
        <v>600</v>
      </c>
      <c r="UU14" s="129"/>
      <c r="UV14" s="129"/>
      <c r="UW14" s="129">
        <v>600</v>
      </c>
      <c r="UX14" s="129">
        <v>600</v>
      </c>
      <c r="UY14" s="129">
        <v>600</v>
      </c>
      <c r="UZ14" s="129">
        <v>600</v>
      </c>
      <c r="VA14" s="129">
        <v>600</v>
      </c>
      <c r="VB14" s="129"/>
      <c r="VC14" s="129"/>
      <c r="VD14" s="129"/>
      <c r="VE14" s="129"/>
      <c r="VF14" s="129"/>
      <c r="VG14" s="129"/>
      <c r="VH14" s="129"/>
      <c r="VI14" s="129"/>
      <c r="VJ14" s="129"/>
      <c r="VK14" s="129"/>
      <c r="VL14" s="132">
        <v>600</v>
      </c>
      <c r="VM14" s="132"/>
      <c r="VN14" s="132">
        <v>1600</v>
      </c>
      <c r="VO14" s="132">
        <v>1250</v>
      </c>
      <c r="VP14" s="129"/>
      <c r="VR14" s="131">
        <v>1600</v>
      </c>
      <c r="VS14" s="131">
        <v>1600</v>
      </c>
      <c r="VT14" s="131">
        <v>1600</v>
      </c>
      <c r="VU14" s="131">
        <v>1600</v>
      </c>
      <c r="VV14" s="131">
        <v>1600</v>
      </c>
      <c r="VW14" s="131">
        <v>1600</v>
      </c>
      <c r="VX14" s="131">
        <v>1600</v>
      </c>
      <c r="VY14" s="131">
        <v>1600</v>
      </c>
      <c r="VZ14" s="131">
        <v>1600</v>
      </c>
      <c r="WA14" s="131">
        <v>1600</v>
      </c>
      <c r="WB14" s="131">
        <v>1600</v>
      </c>
      <c r="WC14" s="131">
        <v>1600</v>
      </c>
      <c r="WD14" s="131">
        <v>1600</v>
      </c>
      <c r="WE14" s="131">
        <v>1600</v>
      </c>
      <c r="WF14" s="131">
        <v>1600</v>
      </c>
      <c r="WG14" s="131">
        <v>1600</v>
      </c>
      <c r="WH14" s="131">
        <v>1600</v>
      </c>
      <c r="WI14" s="131">
        <v>1600</v>
      </c>
      <c r="WJ14" s="131">
        <v>1600</v>
      </c>
      <c r="WK14" s="131">
        <v>1600</v>
      </c>
      <c r="WL14" s="131">
        <v>1600</v>
      </c>
      <c r="WM14" s="131">
        <v>1600</v>
      </c>
      <c r="WN14" s="131">
        <v>1600</v>
      </c>
      <c r="WO14" s="131">
        <v>1600</v>
      </c>
      <c r="WP14" s="131">
        <v>1600</v>
      </c>
      <c r="WQ14" s="131">
        <v>1600</v>
      </c>
      <c r="WR14" s="131">
        <v>1600</v>
      </c>
      <c r="WS14" s="131">
        <v>1600</v>
      </c>
      <c r="WT14" s="131">
        <v>1600</v>
      </c>
      <c r="WU14" s="131">
        <v>1600</v>
      </c>
      <c r="WV14" s="131">
        <v>1600</v>
      </c>
      <c r="WW14" s="131">
        <v>1600</v>
      </c>
      <c r="WX14" s="131">
        <v>1600</v>
      </c>
      <c r="WY14" s="131">
        <v>1600</v>
      </c>
      <c r="WZ14" s="131">
        <v>1600</v>
      </c>
      <c r="XA14" s="131">
        <v>1600</v>
      </c>
      <c r="XB14" s="131">
        <v>1600</v>
      </c>
      <c r="XC14" s="131">
        <v>1600</v>
      </c>
      <c r="XD14" s="131">
        <v>1600</v>
      </c>
      <c r="XE14" s="131">
        <v>1600</v>
      </c>
      <c r="XF14" s="131">
        <v>1600</v>
      </c>
      <c r="XG14" s="131">
        <v>1600</v>
      </c>
      <c r="XH14" s="131">
        <v>1600</v>
      </c>
      <c r="XI14" s="131">
        <v>1600</v>
      </c>
      <c r="XJ14" s="131">
        <v>1600</v>
      </c>
      <c r="XK14" s="131">
        <v>1600</v>
      </c>
      <c r="XL14" s="131">
        <v>1600</v>
      </c>
      <c r="XM14" s="131">
        <v>1600</v>
      </c>
      <c r="XN14" s="131">
        <v>1600</v>
      </c>
      <c r="XO14" s="131">
        <v>1600</v>
      </c>
      <c r="XP14" s="131">
        <v>1600</v>
      </c>
      <c r="XQ14" s="131">
        <v>1600</v>
      </c>
      <c r="XR14" s="131">
        <v>1600</v>
      </c>
      <c r="XS14" s="131">
        <v>1600</v>
      </c>
      <c r="XT14" s="131">
        <v>1600</v>
      </c>
      <c r="XU14" s="131">
        <v>1600</v>
      </c>
      <c r="XV14" s="131">
        <v>1600</v>
      </c>
      <c r="XW14" s="131">
        <v>1600</v>
      </c>
      <c r="XX14" s="131">
        <v>1600</v>
      </c>
      <c r="XY14" s="131">
        <v>1600</v>
      </c>
      <c r="XZ14" s="131">
        <v>1600</v>
      </c>
      <c r="YA14" s="131">
        <v>1600</v>
      </c>
      <c r="YB14" s="131">
        <v>1600</v>
      </c>
      <c r="YC14" s="131">
        <v>1600</v>
      </c>
      <c r="YD14" s="131">
        <v>1600</v>
      </c>
      <c r="YE14" s="131">
        <v>1600</v>
      </c>
      <c r="YF14" s="131">
        <v>1600</v>
      </c>
      <c r="YG14" s="131">
        <v>1600</v>
      </c>
      <c r="YH14" s="131">
        <v>1600</v>
      </c>
      <c r="YI14" s="131">
        <v>1600</v>
      </c>
      <c r="YJ14" s="131">
        <v>1600</v>
      </c>
      <c r="YK14" s="131">
        <v>1600</v>
      </c>
      <c r="YL14" s="131">
        <v>1600</v>
      </c>
      <c r="YM14" s="131">
        <v>1600</v>
      </c>
      <c r="YN14" s="131">
        <v>1600</v>
      </c>
      <c r="YO14" s="131">
        <v>1600</v>
      </c>
      <c r="YP14" s="131">
        <v>1600</v>
      </c>
      <c r="YQ14" s="131">
        <v>1600</v>
      </c>
      <c r="YR14" s="131">
        <v>1600</v>
      </c>
      <c r="YS14" s="131">
        <v>1600</v>
      </c>
      <c r="YT14" s="131">
        <v>1600</v>
      </c>
      <c r="YU14" s="131">
        <v>1600</v>
      </c>
      <c r="YV14" s="131">
        <v>1600</v>
      </c>
      <c r="YW14" s="131">
        <v>1600</v>
      </c>
      <c r="YX14" s="131">
        <v>1600</v>
      </c>
      <c r="YY14" s="131">
        <v>1600</v>
      </c>
      <c r="YZ14" s="131">
        <v>1600</v>
      </c>
      <c r="ZA14" s="131">
        <v>1600</v>
      </c>
      <c r="ZB14" s="131">
        <v>1600</v>
      </c>
      <c r="ZC14" s="131">
        <v>1600</v>
      </c>
      <c r="ZD14" s="131">
        <v>1600</v>
      </c>
      <c r="ZE14" s="131">
        <v>1600</v>
      </c>
      <c r="ZF14" s="131">
        <v>1600</v>
      </c>
      <c r="ZG14" s="131">
        <v>1600</v>
      </c>
      <c r="ZH14" s="131">
        <v>1600</v>
      </c>
      <c r="ZI14" s="131">
        <v>1600</v>
      </c>
      <c r="ZJ14" s="131">
        <v>1600</v>
      </c>
      <c r="ZK14" s="131">
        <v>1600</v>
      </c>
      <c r="ZL14" s="131">
        <v>1600</v>
      </c>
      <c r="ZM14" s="131">
        <v>1600</v>
      </c>
      <c r="ZN14" s="131">
        <v>1600</v>
      </c>
      <c r="ZO14" s="131">
        <v>1600</v>
      </c>
      <c r="ZP14" s="131">
        <v>1600</v>
      </c>
      <c r="ZQ14" s="131">
        <v>1600</v>
      </c>
      <c r="ZR14" s="131">
        <v>1600</v>
      </c>
      <c r="ZS14" s="131">
        <v>1600</v>
      </c>
      <c r="ZT14" s="131">
        <v>1600</v>
      </c>
      <c r="ZU14" s="131">
        <v>1600</v>
      </c>
      <c r="ZV14" s="131">
        <v>1600</v>
      </c>
      <c r="ZW14" s="131">
        <v>1600</v>
      </c>
      <c r="ZX14" s="131">
        <v>1600</v>
      </c>
      <c r="ZY14" s="131">
        <v>1600</v>
      </c>
      <c r="ZZ14" s="131">
        <v>1600</v>
      </c>
      <c r="AAA14" s="131">
        <v>1600</v>
      </c>
      <c r="AAB14" s="131">
        <v>1600</v>
      </c>
      <c r="AAC14" s="131">
        <v>1600</v>
      </c>
      <c r="AAD14" s="131">
        <v>1600</v>
      </c>
      <c r="AAE14" s="131">
        <v>1600</v>
      </c>
      <c r="AAF14" s="131">
        <v>1600</v>
      </c>
      <c r="AAG14" s="131">
        <v>1600</v>
      </c>
      <c r="AAH14" s="131">
        <v>1600</v>
      </c>
      <c r="AAJ14" s="131">
        <v>1600</v>
      </c>
      <c r="AAK14" s="131">
        <v>1600</v>
      </c>
      <c r="AAL14" s="131">
        <v>1600</v>
      </c>
      <c r="AAM14" s="131">
        <v>1600</v>
      </c>
      <c r="AAN14" s="131">
        <v>1600</v>
      </c>
      <c r="AAO14" s="131">
        <v>1600</v>
      </c>
      <c r="AAP14" s="131">
        <v>1600</v>
      </c>
      <c r="AAQ14" s="131">
        <v>1600</v>
      </c>
      <c r="AAR14" s="131">
        <v>1600</v>
      </c>
      <c r="AAS14" s="131">
        <v>1600</v>
      </c>
      <c r="AAT14" s="131">
        <v>1600</v>
      </c>
      <c r="AAU14" s="131">
        <v>1600</v>
      </c>
      <c r="AAV14" s="131">
        <v>1600</v>
      </c>
      <c r="AAW14" s="131">
        <v>1600</v>
      </c>
      <c r="AAX14" s="131">
        <v>1600</v>
      </c>
      <c r="AAY14" s="131">
        <v>1600</v>
      </c>
      <c r="AAZ14" s="131">
        <v>1600</v>
      </c>
      <c r="ABA14" s="131">
        <v>1600</v>
      </c>
      <c r="ABB14" s="131">
        <v>1600</v>
      </c>
      <c r="ABC14" s="131">
        <v>1600</v>
      </c>
      <c r="ABD14" s="131">
        <v>1600</v>
      </c>
      <c r="ABE14" s="131">
        <v>1600</v>
      </c>
      <c r="ABF14" s="131">
        <v>1600</v>
      </c>
      <c r="ABG14" s="131">
        <v>1600</v>
      </c>
      <c r="ABH14" s="131">
        <v>1600</v>
      </c>
      <c r="ABI14" s="131">
        <v>1600</v>
      </c>
      <c r="ABJ14" s="131">
        <v>1600</v>
      </c>
      <c r="ABK14" s="131">
        <v>1600</v>
      </c>
      <c r="ABL14" s="131">
        <v>1600</v>
      </c>
      <c r="ABM14" s="131">
        <v>1600</v>
      </c>
      <c r="ABN14" s="131">
        <v>1600</v>
      </c>
      <c r="ABO14" s="131">
        <v>1600</v>
      </c>
      <c r="ABP14" s="131">
        <v>1600</v>
      </c>
      <c r="ABQ14" s="131">
        <v>1600</v>
      </c>
      <c r="ABR14" s="131">
        <v>1600</v>
      </c>
      <c r="ABS14" s="131">
        <v>1600</v>
      </c>
      <c r="ABT14" s="131">
        <v>1600</v>
      </c>
      <c r="ABU14" s="131">
        <v>1600</v>
      </c>
      <c r="ABV14" s="131">
        <v>1600</v>
      </c>
      <c r="ABW14" s="131">
        <v>1600</v>
      </c>
      <c r="ABX14" s="131">
        <v>1600</v>
      </c>
      <c r="ABY14" s="131">
        <v>1600</v>
      </c>
      <c r="ABZ14" s="131">
        <v>1600</v>
      </c>
      <c r="ACA14" s="131">
        <v>1600</v>
      </c>
      <c r="ACB14" s="131">
        <v>1600</v>
      </c>
      <c r="ACC14" s="131">
        <v>1600</v>
      </c>
      <c r="ACD14" s="131">
        <v>1600</v>
      </c>
      <c r="ACE14" s="131">
        <v>1600</v>
      </c>
      <c r="ACF14" s="131">
        <v>1600</v>
      </c>
      <c r="ACG14" s="131">
        <v>1600</v>
      </c>
      <c r="ACH14" s="131">
        <v>1600</v>
      </c>
      <c r="ACI14" s="131">
        <v>1600</v>
      </c>
      <c r="ACJ14" s="131">
        <v>1600</v>
      </c>
      <c r="ACK14" s="131">
        <v>1600</v>
      </c>
      <c r="ACL14" s="131">
        <v>1600</v>
      </c>
      <c r="ACM14" s="131">
        <v>1600</v>
      </c>
      <c r="ACN14" s="131">
        <v>1600</v>
      </c>
      <c r="ACO14" s="131">
        <v>1600</v>
      </c>
      <c r="ACP14" s="131">
        <v>1600</v>
      </c>
      <c r="ACQ14" s="131">
        <v>1600</v>
      </c>
      <c r="ACR14" s="131">
        <v>1600</v>
      </c>
      <c r="ACS14" s="131">
        <v>1600</v>
      </c>
      <c r="ACT14" s="131">
        <v>1600</v>
      </c>
      <c r="ACU14" s="131">
        <v>1600</v>
      </c>
      <c r="ACV14" s="131">
        <v>1600</v>
      </c>
      <c r="ACW14" s="131">
        <v>1600</v>
      </c>
      <c r="ACX14" s="131">
        <v>1600</v>
      </c>
      <c r="ACY14" s="131">
        <v>1600</v>
      </c>
      <c r="ACZ14" s="131">
        <v>1600</v>
      </c>
      <c r="ADA14" s="131">
        <v>1600</v>
      </c>
      <c r="ADB14" s="131">
        <v>1600</v>
      </c>
      <c r="ADC14" s="131">
        <v>1600</v>
      </c>
      <c r="ADD14" s="131">
        <v>1600</v>
      </c>
      <c r="ADE14" s="131">
        <v>1600</v>
      </c>
      <c r="ADF14" s="131">
        <v>1600</v>
      </c>
      <c r="ADG14" s="131">
        <v>1600</v>
      </c>
      <c r="ADH14" s="131">
        <v>1600</v>
      </c>
      <c r="ADI14" s="131">
        <v>1600</v>
      </c>
      <c r="ADJ14" s="131">
        <v>1600</v>
      </c>
      <c r="ADK14" s="131">
        <v>1600</v>
      </c>
      <c r="ADL14" s="131">
        <v>1600</v>
      </c>
      <c r="ADM14" s="131">
        <v>1600</v>
      </c>
      <c r="ADN14" s="131">
        <v>1600</v>
      </c>
      <c r="ADO14" s="131">
        <v>1600</v>
      </c>
      <c r="ADP14" s="131">
        <v>1600</v>
      </c>
      <c r="ADQ14" s="131">
        <v>1600</v>
      </c>
      <c r="ADR14" s="131">
        <v>1600</v>
      </c>
      <c r="ADS14" s="131">
        <v>1600</v>
      </c>
      <c r="ADT14" s="131">
        <v>1600</v>
      </c>
      <c r="ADU14" s="131">
        <v>1600</v>
      </c>
      <c r="ADV14" s="131">
        <v>1600</v>
      </c>
      <c r="ADW14" s="131">
        <v>1600</v>
      </c>
      <c r="ADX14" s="131">
        <v>1600</v>
      </c>
      <c r="ADY14" s="131">
        <v>1600</v>
      </c>
      <c r="ADZ14" s="131">
        <v>1600</v>
      </c>
      <c r="AEA14" s="131">
        <v>1600</v>
      </c>
      <c r="AEB14" s="131">
        <v>1600</v>
      </c>
      <c r="AEC14" s="131">
        <v>1600</v>
      </c>
      <c r="AED14" s="131">
        <v>1600</v>
      </c>
      <c r="AEE14" s="131">
        <v>1600</v>
      </c>
      <c r="AEF14" s="131">
        <v>1600</v>
      </c>
      <c r="AEG14" s="131">
        <v>1600</v>
      </c>
      <c r="AEH14" s="131">
        <v>1600</v>
      </c>
      <c r="AEI14" s="131">
        <v>1600</v>
      </c>
      <c r="AEJ14" s="131">
        <v>1600</v>
      </c>
      <c r="AEK14" s="131">
        <v>1600</v>
      </c>
      <c r="AEL14" s="131">
        <v>1600</v>
      </c>
      <c r="AEM14" s="131">
        <v>1600</v>
      </c>
      <c r="AEN14" s="131">
        <v>1600</v>
      </c>
      <c r="AEO14" s="131">
        <v>1600</v>
      </c>
      <c r="AEP14" s="131">
        <v>1600</v>
      </c>
      <c r="AEQ14" s="131">
        <v>1600</v>
      </c>
      <c r="AER14" s="131">
        <v>1600</v>
      </c>
      <c r="AES14" s="131">
        <v>1600</v>
      </c>
      <c r="AET14" s="131">
        <v>1600</v>
      </c>
      <c r="AEU14" s="131">
        <v>1600</v>
      </c>
      <c r="AEV14" s="131">
        <v>1600</v>
      </c>
      <c r="AEW14" s="131">
        <v>1600</v>
      </c>
      <c r="AEX14" s="131">
        <v>1600</v>
      </c>
      <c r="AEY14" s="131">
        <v>1600</v>
      </c>
      <c r="AEZ14" s="131">
        <v>1600</v>
      </c>
      <c r="AFA14" s="131">
        <v>1600</v>
      </c>
      <c r="AFB14" s="131">
        <v>1600</v>
      </c>
      <c r="AFC14" s="131">
        <v>1600</v>
      </c>
      <c r="AFD14" s="131">
        <v>1600</v>
      </c>
      <c r="AFE14" s="131">
        <v>1600</v>
      </c>
      <c r="AFF14" s="131">
        <v>1600</v>
      </c>
      <c r="AFG14" s="131">
        <v>1600</v>
      </c>
      <c r="AFH14" s="131">
        <v>1600</v>
      </c>
      <c r="AFI14" s="131">
        <v>1600</v>
      </c>
      <c r="AFJ14" s="131">
        <v>1600</v>
      </c>
      <c r="AFK14" s="131">
        <v>1600</v>
      </c>
      <c r="AFL14" s="129">
        <v>1000</v>
      </c>
      <c r="AFN14" s="129"/>
      <c r="AFO14" s="129"/>
      <c r="AFP14" s="129"/>
      <c r="AFQ14" s="129"/>
      <c r="AFR14" s="129"/>
      <c r="AFS14" s="129"/>
      <c r="AFT14" s="129"/>
      <c r="AFU14" s="129"/>
      <c r="AFV14" s="129"/>
      <c r="AFW14" s="129"/>
      <c r="AFX14" s="129"/>
      <c r="AFY14" s="129"/>
      <c r="AFZ14" s="129"/>
      <c r="AGA14" s="129"/>
      <c r="AGB14" s="129"/>
      <c r="AGC14" s="129"/>
      <c r="AGD14" s="129"/>
      <c r="AGE14" s="129"/>
      <c r="AGF14" s="129"/>
      <c r="AGG14" s="129"/>
      <c r="AGH14" s="129"/>
      <c r="AGI14" s="129"/>
      <c r="AGJ14" s="129"/>
      <c r="AGK14" s="129"/>
      <c r="AGL14" s="129"/>
      <c r="AGM14" s="129"/>
      <c r="AGN14" s="129"/>
      <c r="AGO14" s="129"/>
      <c r="AGP14" s="129"/>
      <c r="AGQ14" s="129"/>
      <c r="AGR14" s="129"/>
      <c r="AGS14" s="129"/>
      <c r="AGT14" s="129"/>
      <c r="AGU14" s="129"/>
      <c r="AGV14" s="129"/>
      <c r="AGW14" s="129"/>
      <c r="AGX14" s="129"/>
      <c r="AGY14" s="129"/>
      <c r="AGZ14" s="129"/>
      <c r="AHA14" s="129"/>
      <c r="AHB14" s="129"/>
      <c r="AHC14" s="129"/>
      <c r="AHD14" s="129"/>
      <c r="AHE14" s="129"/>
      <c r="AHF14" s="129"/>
      <c r="AHG14" s="129"/>
      <c r="AHH14" s="129"/>
      <c r="AHI14" s="129"/>
      <c r="AHJ14" s="129"/>
      <c r="AHK14" s="129"/>
      <c r="AHL14" s="129"/>
      <c r="AHM14" s="129"/>
      <c r="AHN14" s="129"/>
      <c r="AHO14" s="129"/>
      <c r="AHP14" s="129"/>
      <c r="AHQ14" s="129"/>
      <c r="AHR14" s="129"/>
      <c r="AHS14" s="129"/>
      <c r="AHT14" s="129"/>
      <c r="AHU14" s="129"/>
      <c r="AHV14" s="129"/>
      <c r="AHW14" s="129"/>
      <c r="AHX14" s="129"/>
      <c r="AHY14" s="129"/>
      <c r="AHZ14" s="129"/>
      <c r="AIA14" s="129"/>
      <c r="AIB14" s="129"/>
      <c r="AIC14" s="129"/>
      <c r="AID14" s="129"/>
      <c r="AIE14" s="129"/>
      <c r="AIF14" s="129"/>
      <c r="AIG14" s="129"/>
      <c r="AIH14" s="129"/>
      <c r="AII14" s="129"/>
      <c r="AIJ14" s="129"/>
      <c r="AIK14" s="129"/>
      <c r="AIL14" s="129"/>
      <c r="AIM14" s="129"/>
      <c r="AIN14" s="129"/>
      <c r="AIO14" s="129"/>
      <c r="AIP14" s="129"/>
      <c r="AIQ14" s="129"/>
      <c r="AIR14" s="129"/>
      <c r="AIS14" s="129"/>
      <c r="AIT14" s="129"/>
      <c r="AIU14" s="129"/>
      <c r="AIV14" s="129"/>
      <c r="AIW14" s="129"/>
      <c r="AIX14" s="129"/>
      <c r="AIY14" s="129"/>
      <c r="AIZ14" s="129"/>
      <c r="AJA14" s="129"/>
      <c r="AJB14" s="129"/>
      <c r="AJC14" s="129"/>
      <c r="AJD14" s="129"/>
      <c r="AJE14" s="129"/>
      <c r="AJF14" s="129"/>
      <c r="AJG14" s="129"/>
      <c r="AJH14" s="129"/>
      <c r="AJI14" s="129"/>
      <c r="AJJ14" s="129"/>
      <c r="AJK14" s="129"/>
      <c r="AJL14" s="129"/>
      <c r="AJM14" s="129"/>
      <c r="AJN14" s="129"/>
      <c r="AJO14" s="129"/>
      <c r="AJP14" s="129"/>
      <c r="AJQ14" s="129"/>
      <c r="AJR14" s="129"/>
      <c r="AJS14" s="129"/>
      <c r="AJT14" s="129"/>
      <c r="AJU14" s="129"/>
      <c r="AJV14" s="129"/>
      <c r="AJW14" s="129"/>
      <c r="AJX14" s="129"/>
      <c r="AJY14" s="129"/>
      <c r="AJZ14" s="129"/>
      <c r="AKA14" s="129"/>
      <c r="AKB14" s="129"/>
      <c r="AKC14" s="129"/>
      <c r="AKD14" s="129"/>
      <c r="AKE14" s="129"/>
      <c r="AKF14" s="129"/>
      <c r="AKG14" s="129"/>
      <c r="AKH14" s="129"/>
      <c r="AKI14" s="129"/>
      <c r="AKJ14" s="129"/>
      <c r="AKK14" s="129"/>
      <c r="AKL14" s="129"/>
      <c r="AKM14" s="129"/>
      <c r="AKN14" s="129"/>
      <c r="AKO14" s="129"/>
      <c r="AKP14" s="129"/>
      <c r="AKQ14" s="129"/>
      <c r="AKR14" s="129"/>
      <c r="AKS14" s="129"/>
      <c r="AKT14" s="129"/>
      <c r="AKU14" s="129"/>
      <c r="AKV14" s="129"/>
      <c r="AKW14" s="129"/>
      <c r="AKX14" s="129"/>
      <c r="AKY14" s="129"/>
      <c r="AKZ14" s="129"/>
      <c r="ALA14" s="129"/>
      <c r="ALB14" s="129"/>
      <c r="ALC14" s="129"/>
      <c r="ALD14" s="129"/>
      <c r="ALE14" s="129"/>
      <c r="ALF14" s="129"/>
      <c r="ALG14" s="129"/>
      <c r="ALH14" s="129"/>
      <c r="ALI14" s="129"/>
      <c r="ALJ14" s="129"/>
      <c r="ALK14" s="129"/>
      <c r="ALL14" s="129"/>
      <c r="ALM14" s="129"/>
      <c r="ALN14" s="129"/>
      <c r="ALO14" s="129"/>
      <c r="ALP14" s="129"/>
      <c r="ALQ14" s="129"/>
      <c r="ALR14" s="129"/>
      <c r="ALS14" s="129"/>
      <c r="ALT14" s="129"/>
      <c r="ALU14" s="129"/>
      <c r="ALV14" s="129"/>
      <c r="ALW14" s="129"/>
      <c r="ALX14" s="129"/>
      <c r="ALY14" s="129"/>
      <c r="ALZ14" s="129"/>
      <c r="AMA14" s="129"/>
      <c r="AMB14" s="129"/>
      <c r="AMC14" s="129"/>
      <c r="AMD14" s="129"/>
      <c r="AME14" s="129"/>
      <c r="AMF14" s="129"/>
      <c r="AMG14" s="129"/>
      <c r="AMH14" s="129"/>
      <c r="AMI14" s="129"/>
      <c r="AMJ14" s="129"/>
      <c r="AMK14" s="129"/>
      <c r="AML14" s="129"/>
      <c r="AMM14" s="129"/>
      <c r="AMN14" s="129"/>
      <c r="AMO14" s="129"/>
      <c r="AMP14" s="129"/>
      <c r="AMQ14" s="129"/>
      <c r="AMR14" s="129"/>
      <c r="AMS14" s="129"/>
      <c r="AMT14" s="129"/>
      <c r="AMU14" s="129"/>
      <c r="AMV14" s="129"/>
      <c r="AMW14" s="129"/>
      <c r="AMX14" s="129"/>
      <c r="AMY14" s="129"/>
      <c r="AMZ14" s="129"/>
      <c r="ANA14" s="129"/>
      <c r="ANB14" s="129"/>
      <c r="ANC14" s="129"/>
      <c r="AND14" s="129"/>
      <c r="ANE14" s="129"/>
      <c r="ANF14" s="129"/>
      <c r="ANG14" s="129"/>
      <c r="ANH14" s="129"/>
      <c r="ANI14" s="129"/>
      <c r="ANJ14" s="129"/>
      <c r="ANK14" s="129"/>
      <c r="ANL14" s="129"/>
      <c r="ANM14" s="129"/>
      <c r="ANN14" s="129"/>
      <c r="ANO14" s="129"/>
      <c r="ANP14" s="129"/>
      <c r="ANQ14" s="129"/>
      <c r="ANR14" s="129"/>
      <c r="ANS14" s="129"/>
      <c r="ANT14" s="129"/>
      <c r="ANU14" s="129"/>
      <c r="ANV14" s="129"/>
      <c r="ANW14" s="129"/>
      <c r="ANX14" s="129"/>
      <c r="ANY14" s="129"/>
      <c r="ANZ14" s="129"/>
      <c r="AOA14" s="129"/>
      <c r="AOB14" s="129"/>
      <c r="AOC14" s="129"/>
      <c r="AOD14" s="129"/>
      <c r="AOE14" s="129"/>
      <c r="AOF14" s="129"/>
      <c r="AOG14" s="129"/>
      <c r="AOH14" s="129"/>
      <c r="AOI14" s="129"/>
      <c r="AOJ14" s="129"/>
      <c r="AOK14" s="129"/>
      <c r="AOL14" s="129"/>
      <c r="AOM14" s="129"/>
      <c r="AON14" s="129"/>
      <c r="AOO14" s="129"/>
      <c r="AOP14" s="129"/>
      <c r="AOQ14" s="129"/>
      <c r="AOR14" s="129"/>
      <c r="AOS14" s="129"/>
      <c r="AOT14" s="129"/>
      <c r="AOU14" s="129"/>
      <c r="AOV14" s="129"/>
      <c r="AOW14" s="129"/>
      <c r="AOX14" s="129"/>
      <c r="AOY14" s="129"/>
      <c r="AOZ14" s="129"/>
      <c r="APA14" s="129"/>
      <c r="APB14" s="129"/>
      <c r="APC14" s="129"/>
      <c r="APD14" s="129"/>
      <c r="APE14" s="129"/>
      <c r="APF14" s="129"/>
      <c r="APG14" s="129"/>
      <c r="APH14" s="129"/>
      <c r="API14" s="129"/>
      <c r="APJ14" s="129"/>
      <c r="APK14" s="129"/>
      <c r="APL14" s="129"/>
      <c r="APM14" s="129"/>
      <c r="APN14" s="129"/>
      <c r="APO14" s="130"/>
      <c r="APP14" s="130"/>
      <c r="APQ14" s="130"/>
      <c r="APR14" s="130"/>
      <c r="APS14" s="130"/>
      <c r="APT14" s="130"/>
      <c r="APU14" s="130"/>
      <c r="APV14" s="130"/>
      <c r="APW14" s="130"/>
      <c r="APX14" s="130"/>
      <c r="APY14" s="130"/>
      <c r="APZ14" s="130"/>
      <c r="AQA14" s="130"/>
      <c r="AQB14" s="130"/>
      <c r="AQC14" s="130"/>
      <c r="AQD14" s="130"/>
      <c r="AQE14" s="130"/>
      <c r="AQF14" s="130"/>
      <c r="AQG14" s="130"/>
      <c r="AQH14" s="130"/>
      <c r="AQI14" s="130"/>
      <c r="AQJ14" s="130"/>
      <c r="AQK14" s="130"/>
      <c r="AQL14" s="130"/>
      <c r="AQM14" s="130"/>
      <c r="AQN14" s="130"/>
      <c r="AQO14" s="130"/>
      <c r="AQP14" s="130"/>
      <c r="AQQ14" s="130"/>
      <c r="AQR14" s="130"/>
      <c r="AQS14" s="130"/>
      <c r="AQT14" s="130"/>
      <c r="AQU14" s="130"/>
      <c r="AQV14" s="130"/>
      <c r="AQW14" s="130"/>
      <c r="AQX14" s="130"/>
      <c r="AQY14" s="130"/>
      <c r="AQZ14" s="130"/>
      <c r="ARA14" s="130"/>
      <c r="ARB14" s="130"/>
      <c r="ARC14" s="130"/>
      <c r="ARD14" s="130"/>
      <c r="ARE14" s="130"/>
      <c r="ARF14" s="130"/>
      <c r="ARG14" s="130"/>
      <c r="ARH14" s="130"/>
      <c r="ARI14" s="130"/>
      <c r="ARJ14" s="130"/>
      <c r="ARK14" s="130"/>
      <c r="ARL14" s="130"/>
      <c r="ARM14" s="130"/>
      <c r="ARN14" s="130"/>
      <c r="ARO14" s="130"/>
      <c r="ARP14" s="130"/>
      <c r="ARQ14" s="130"/>
      <c r="ARR14" s="130"/>
      <c r="ARS14" s="130"/>
      <c r="ART14" s="130"/>
      <c r="ARU14" s="130"/>
      <c r="ARV14" s="130"/>
      <c r="ARW14" s="130"/>
      <c r="ARX14" s="130"/>
      <c r="ARY14" s="130"/>
      <c r="ARZ14" s="130"/>
      <c r="ASA14" s="130"/>
      <c r="ASB14" s="130"/>
      <c r="ASC14" s="130"/>
      <c r="ASD14" s="130"/>
      <c r="ASE14" s="130"/>
      <c r="ASF14" s="130"/>
      <c r="ASG14" s="130"/>
      <c r="ASH14" s="130"/>
      <c r="ASI14" s="130"/>
      <c r="ASJ14" s="130"/>
      <c r="ASK14" s="130"/>
      <c r="ASL14" s="130"/>
      <c r="ASM14" s="130"/>
      <c r="ASN14" s="130"/>
      <c r="ASO14" s="130"/>
      <c r="ASP14" s="130"/>
      <c r="ASQ14" s="130"/>
      <c r="ASR14" s="130"/>
      <c r="ASS14" s="130"/>
      <c r="AST14" s="130"/>
      <c r="ASU14" s="130"/>
      <c r="ASV14" s="130"/>
      <c r="ASW14" s="130"/>
      <c r="ASX14" s="129"/>
      <c r="ASY14" s="129"/>
      <c r="ASZ14" s="129"/>
      <c r="ATA14" s="129"/>
      <c r="ATB14" s="129"/>
      <c r="ATC14" s="129"/>
      <c r="ATD14" s="129"/>
      <c r="ATE14" s="129"/>
      <c r="ATF14" s="129"/>
      <c r="ATG14" s="129"/>
      <c r="ATH14" s="129"/>
      <c r="ATI14" s="129"/>
      <c r="ATJ14" s="129"/>
      <c r="ATK14" s="129"/>
      <c r="ATL14" s="129"/>
      <c r="ATM14" s="129"/>
      <c r="ATN14" s="129"/>
      <c r="ATO14" s="129"/>
      <c r="ATP14" s="129"/>
      <c r="ATQ14" s="129"/>
      <c r="ATR14" s="129"/>
      <c r="ATS14" s="129"/>
      <c r="ATT14" s="129"/>
      <c r="ATU14" s="129"/>
      <c r="ATV14" s="129"/>
      <c r="ATW14" s="129"/>
      <c r="ATX14" s="129"/>
      <c r="ATY14" s="129"/>
      <c r="ATZ14" s="129"/>
      <c r="AUA14" s="129"/>
      <c r="AUB14" s="129"/>
      <c r="AUC14" s="129"/>
      <c r="AUD14" s="129"/>
      <c r="AUE14" s="129"/>
      <c r="AUF14" s="129"/>
      <c r="AUG14" s="129"/>
      <c r="AUH14" s="129"/>
      <c r="AUI14" s="129"/>
      <c r="AUJ14" s="129"/>
      <c r="AUK14" s="129"/>
      <c r="AUL14" s="129"/>
      <c r="AUM14" s="129"/>
      <c r="AUN14" s="129"/>
      <c r="AUO14" s="129"/>
      <c r="AUP14" s="129"/>
      <c r="AUQ14" s="129"/>
      <c r="AUR14" s="129"/>
      <c r="AUS14" s="129"/>
      <c r="AUT14" s="129"/>
      <c r="AUU14" s="129"/>
      <c r="AUV14" s="129"/>
      <c r="AUW14" s="129"/>
      <c r="AUX14" s="129"/>
      <c r="AUY14" s="129"/>
      <c r="AUZ14" s="129"/>
      <c r="AVA14" s="129"/>
      <c r="AVB14" s="129"/>
      <c r="AVC14" s="129"/>
      <c r="AVD14" s="129"/>
      <c r="AVE14" s="129"/>
      <c r="AVF14" s="129"/>
      <c r="AVG14" s="129">
        <v>1000</v>
      </c>
      <c r="AVH14" s="129"/>
    </row>
    <row r="15" spans="1:1297" s="172" customFormat="1" ht="25.5" outlineLevel="1">
      <c r="A15" s="137" t="s">
        <v>197</v>
      </c>
      <c r="B15" s="173" t="s">
        <v>203</v>
      </c>
      <c r="C15" s="139" t="s">
        <v>204</v>
      </c>
      <c r="D15" s="139" t="s">
        <v>205</v>
      </c>
      <c r="E15" s="137">
        <v>40</v>
      </c>
      <c r="F15" s="138" t="s">
        <v>85</v>
      </c>
      <c r="G15" s="136" t="s">
        <v>11</v>
      </c>
      <c r="H15" s="136" t="s">
        <v>366</v>
      </c>
      <c r="I15" s="136" t="s">
        <v>366</v>
      </c>
      <c r="J15" s="136" t="s">
        <v>366</v>
      </c>
      <c r="K15" s="136" t="s">
        <v>13</v>
      </c>
      <c r="L15" s="136" t="s">
        <v>13</v>
      </c>
      <c r="M15" s="136" t="s">
        <v>13</v>
      </c>
      <c r="N15" s="136" t="s">
        <v>366</v>
      </c>
      <c r="O15" s="138"/>
      <c r="U15" s="129"/>
      <c r="V15" s="129"/>
      <c r="BY15" s="129"/>
      <c r="BZ15" s="129"/>
      <c r="CA15" s="129"/>
      <c r="CC15" s="129"/>
      <c r="CD15" s="129"/>
      <c r="CF15" s="129"/>
      <c r="CG15" s="129"/>
      <c r="CH15" s="129"/>
      <c r="CI15" s="129"/>
      <c r="CJ15" s="129"/>
      <c r="CK15" s="129"/>
      <c r="CM15" s="129"/>
      <c r="CN15" s="129"/>
      <c r="CP15" s="129"/>
      <c r="CQ15" s="129"/>
      <c r="HS15" s="129"/>
      <c r="HT15" s="129"/>
      <c r="HU15" s="129"/>
      <c r="HV15" s="129"/>
      <c r="HW15" s="129"/>
      <c r="HX15" s="129"/>
      <c r="HY15" s="129"/>
      <c r="HZ15" s="129"/>
      <c r="IA15" s="129"/>
      <c r="IB15" s="129"/>
      <c r="IC15" s="129"/>
      <c r="ID15" s="129"/>
      <c r="IE15" s="129"/>
      <c r="IF15" s="129"/>
      <c r="IH15" s="129"/>
      <c r="II15" s="129"/>
      <c r="IJ15" s="129"/>
      <c r="IK15" s="129"/>
      <c r="IL15" s="129"/>
      <c r="IM15" s="129"/>
      <c r="IN15" s="129"/>
      <c r="IO15" s="129"/>
      <c r="IP15" s="129"/>
      <c r="IQ15" s="129"/>
      <c r="IR15" s="129"/>
      <c r="IS15" s="129"/>
      <c r="IT15" s="129"/>
      <c r="IU15" s="129"/>
      <c r="IV15" s="129"/>
      <c r="IW15" s="129"/>
      <c r="IX15" s="129"/>
      <c r="IY15" s="129"/>
      <c r="IZ15" s="129"/>
      <c r="JA15" s="129"/>
      <c r="JB15" s="129"/>
      <c r="JC15" s="129"/>
      <c r="JD15" s="129"/>
      <c r="JE15" s="129"/>
      <c r="JF15" s="129"/>
      <c r="JG15" s="129"/>
      <c r="JH15" s="129"/>
      <c r="JI15" s="129"/>
      <c r="JJ15" s="129"/>
      <c r="JK15" s="129"/>
      <c r="JL15" s="129"/>
      <c r="JM15" s="129"/>
      <c r="JN15" s="129"/>
      <c r="JO15" s="129"/>
      <c r="JP15" s="129"/>
      <c r="JQ15" s="129"/>
      <c r="JR15" s="129"/>
      <c r="JS15" s="129"/>
      <c r="JT15" s="129"/>
      <c r="JU15" s="129"/>
      <c r="JV15" s="129"/>
      <c r="JW15" s="129"/>
      <c r="JX15" s="129"/>
      <c r="JY15" s="129"/>
      <c r="JZ15" s="129"/>
      <c r="KA15" s="129"/>
      <c r="KB15" s="129"/>
      <c r="KC15" s="129"/>
      <c r="KD15" s="129"/>
      <c r="KE15" s="129"/>
      <c r="KF15" s="129"/>
      <c r="KG15" s="129"/>
      <c r="KH15" s="129"/>
      <c r="KI15" s="129"/>
      <c r="KJ15" s="129"/>
      <c r="KK15" s="129"/>
      <c r="KL15" s="129"/>
      <c r="KM15" s="129"/>
      <c r="KN15" s="129"/>
      <c r="KO15" s="129"/>
      <c r="KP15" s="129"/>
      <c r="KQ15" s="129"/>
      <c r="KR15" s="129"/>
      <c r="KS15" s="129"/>
      <c r="KT15" s="129"/>
      <c r="KU15" s="129"/>
      <c r="KV15" s="129"/>
      <c r="KW15" s="129"/>
      <c r="KX15" s="129"/>
      <c r="KY15" s="129"/>
      <c r="KZ15" s="129"/>
      <c r="LA15" s="129"/>
      <c r="LB15" s="129"/>
      <c r="LC15" s="129"/>
      <c r="LD15" s="129"/>
      <c r="LE15" s="129"/>
      <c r="LF15" s="129"/>
      <c r="LG15" s="129"/>
      <c r="LH15" s="129"/>
      <c r="LI15" s="129"/>
      <c r="LJ15" s="129"/>
      <c r="LK15" s="135"/>
      <c r="LL15" s="135"/>
      <c r="LM15" s="135"/>
      <c r="LN15" s="135"/>
      <c r="LO15" s="135"/>
      <c r="LP15" s="129"/>
      <c r="LQ15" s="129"/>
      <c r="LR15" s="129"/>
      <c r="LS15" s="129"/>
      <c r="LT15" s="129"/>
      <c r="LU15" s="135"/>
      <c r="LV15" s="135"/>
      <c r="LW15" s="135"/>
      <c r="LX15" s="135"/>
      <c r="LY15" s="135"/>
      <c r="LZ15" s="135"/>
      <c r="MA15" s="135"/>
      <c r="MB15" s="135"/>
      <c r="MC15" s="135"/>
      <c r="MD15" s="135"/>
      <c r="ME15" s="135"/>
      <c r="MF15" s="135"/>
      <c r="MG15" s="135"/>
      <c r="MH15" s="129"/>
      <c r="MI15" s="129"/>
      <c r="MJ15" s="129"/>
      <c r="MK15" s="129"/>
      <c r="ML15" s="129"/>
      <c r="MM15" s="129"/>
      <c r="MN15" s="129"/>
      <c r="MO15" s="129"/>
      <c r="MP15" s="129"/>
      <c r="MQ15" s="132"/>
      <c r="MR15" s="132"/>
      <c r="MS15" s="132"/>
      <c r="MT15" s="132"/>
      <c r="MU15" s="132"/>
      <c r="MV15" s="132"/>
      <c r="MW15" s="132"/>
      <c r="MX15" s="132"/>
      <c r="MY15" s="132"/>
      <c r="MZ15" s="129"/>
      <c r="NA15" s="129"/>
      <c r="NB15" s="135"/>
      <c r="NC15" s="135"/>
      <c r="ND15" s="135"/>
      <c r="NE15" s="135"/>
      <c r="NF15" s="135"/>
      <c r="NG15" s="129"/>
      <c r="NH15" s="129"/>
      <c r="NI15" s="129"/>
      <c r="NJ15" s="129"/>
      <c r="NK15" s="129"/>
      <c r="NL15" s="132"/>
      <c r="NM15" s="132"/>
      <c r="NN15" s="132"/>
      <c r="NO15" s="132"/>
      <c r="NP15" s="132"/>
      <c r="NQ15" s="129"/>
      <c r="NR15" s="129"/>
      <c r="NS15" s="129"/>
      <c r="NT15" s="129"/>
      <c r="NU15" s="129"/>
      <c r="NV15" s="129"/>
      <c r="NW15" s="129"/>
      <c r="NX15" s="129"/>
      <c r="NY15" s="129"/>
      <c r="NZ15" s="129"/>
      <c r="OA15" s="129"/>
      <c r="OB15" s="129"/>
      <c r="OC15" s="129"/>
      <c r="OD15" s="129"/>
      <c r="OE15" s="129"/>
      <c r="OF15" s="129"/>
      <c r="OG15" s="129"/>
      <c r="OH15" s="129"/>
      <c r="OI15" s="129"/>
      <c r="OJ15" s="129"/>
      <c r="OK15" s="129"/>
      <c r="OL15" s="129"/>
      <c r="OM15" s="129"/>
      <c r="ON15" s="129"/>
      <c r="OO15" s="129"/>
      <c r="OQ15" s="129"/>
      <c r="OR15" s="129"/>
      <c r="OS15" s="129"/>
      <c r="OT15" s="129"/>
      <c r="OU15" s="129"/>
      <c r="OV15" s="129"/>
      <c r="OW15" s="129"/>
      <c r="OX15" s="129"/>
      <c r="OY15" s="129"/>
      <c r="OZ15" s="129"/>
      <c r="PA15" s="129"/>
      <c r="PB15" s="129"/>
      <c r="PC15" s="129"/>
      <c r="PD15" s="129"/>
      <c r="PE15" s="129"/>
      <c r="PF15" s="129"/>
      <c r="PG15" s="129"/>
      <c r="PH15" s="129"/>
      <c r="PI15" s="129"/>
      <c r="PJ15" s="129"/>
      <c r="PK15" s="129"/>
      <c r="PL15" s="129"/>
      <c r="PM15" s="129"/>
      <c r="PN15" s="129"/>
      <c r="PO15" s="129"/>
      <c r="PP15" s="129"/>
      <c r="PQ15" s="129"/>
      <c r="PR15" s="129"/>
      <c r="PS15" s="129"/>
      <c r="PT15" s="129"/>
      <c r="PU15" s="129"/>
      <c r="PV15" s="129"/>
      <c r="PW15" s="129"/>
      <c r="PX15" s="129"/>
      <c r="PY15" s="129"/>
      <c r="PZ15" s="129"/>
      <c r="QA15" s="129"/>
      <c r="QB15" s="129"/>
      <c r="QC15" s="129"/>
      <c r="QD15" s="129"/>
      <c r="QE15" s="129"/>
      <c r="QF15" s="129"/>
      <c r="QG15" s="129"/>
      <c r="QH15" s="129"/>
      <c r="QI15" s="129"/>
      <c r="QJ15" s="129"/>
      <c r="QK15" s="129"/>
      <c r="QL15" s="129"/>
      <c r="QM15" s="129"/>
      <c r="QN15" s="129"/>
      <c r="QO15" s="129"/>
      <c r="QP15" s="129"/>
      <c r="QQ15" s="129"/>
      <c r="QR15" s="129"/>
      <c r="QS15" s="129"/>
      <c r="QT15" s="129"/>
      <c r="QU15" s="129"/>
      <c r="QV15" s="129"/>
      <c r="QW15" s="129"/>
      <c r="QX15" s="129"/>
      <c r="QY15" s="129"/>
      <c r="QZ15" s="129"/>
      <c r="RA15" s="129"/>
      <c r="RB15" s="129"/>
      <c r="RC15" s="129"/>
      <c r="RD15" s="128">
        <v>1000</v>
      </c>
      <c r="RE15" s="128">
        <v>1000</v>
      </c>
      <c r="RF15" s="129">
        <v>900</v>
      </c>
      <c r="RG15" s="129">
        <v>900</v>
      </c>
      <c r="RH15" s="129">
        <v>900</v>
      </c>
      <c r="RI15" s="129">
        <v>800</v>
      </c>
      <c r="RJ15" s="129">
        <v>600</v>
      </c>
      <c r="RK15" s="129">
        <v>900</v>
      </c>
      <c r="RL15" s="129">
        <v>800</v>
      </c>
      <c r="RM15" s="128">
        <v>1000</v>
      </c>
      <c r="RN15" s="129"/>
      <c r="RO15" s="129"/>
      <c r="RP15" s="129"/>
      <c r="RQ15" s="134">
        <v>1000</v>
      </c>
      <c r="RR15" s="134">
        <v>1000</v>
      </c>
      <c r="RS15" s="134"/>
      <c r="RT15" s="134"/>
      <c r="RU15" s="129"/>
      <c r="RV15" s="129"/>
      <c r="RW15" s="129"/>
      <c r="RX15" s="129"/>
      <c r="RY15" s="129"/>
      <c r="RZ15" s="129"/>
      <c r="SA15" s="129"/>
      <c r="SB15" s="129"/>
      <c r="SC15" s="129"/>
      <c r="SD15" s="129"/>
      <c r="SE15" s="129"/>
      <c r="SF15" s="129"/>
      <c r="SG15" s="129"/>
      <c r="SH15" s="129"/>
      <c r="SI15" s="129"/>
      <c r="SJ15" s="129"/>
      <c r="SK15" s="129"/>
      <c r="SL15" s="129"/>
      <c r="SM15" s="129"/>
      <c r="SN15" s="129"/>
      <c r="SO15" s="129"/>
      <c r="SP15" s="129"/>
      <c r="SQ15" s="129"/>
      <c r="SR15" s="129"/>
      <c r="SS15" s="129"/>
      <c r="ST15" s="129"/>
      <c r="SU15" s="129"/>
      <c r="SV15" s="129"/>
      <c r="SW15" s="129"/>
      <c r="SX15" s="129"/>
      <c r="SY15" s="129"/>
      <c r="SZ15" s="129"/>
      <c r="TA15" s="129"/>
      <c r="TB15" s="129"/>
      <c r="TC15" s="129"/>
      <c r="TD15" s="133"/>
      <c r="TE15" s="132"/>
      <c r="TF15" s="132"/>
      <c r="TG15" s="129"/>
      <c r="TH15" s="129"/>
      <c r="TI15" s="129"/>
      <c r="TJ15" s="129"/>
      <c r="TK15" s="128">
        <v>1000</v>
      </c>
      <c r="TL15" s="128">
        <v>1000</v>
      </c>
      <c r="TM15" s="129">
        <v>900</v>
      </c>
      <c r="TN15" s="129">
        <v>800</v>
      </c>
      <c r="TO15" s="129">
        <v>1050</v>
      </c>
      <c r="TP15" s="129">
        <v>900</v>
      </c>
      <c r="TQ15" s="129">
        <v>1000</v>
      </c>
      <c r="TR15" s="129">
        <v>900</v>
      </c>
      <c r="TS15" s="129">
        <v>800</v>
      </c>
      <c r="TT15" s="155">
        <v>900</v>
      </c>
      <c r="TU15" s="129">
        <v>800</v>
      </c>
      <c r="TV15" s="129">
        <v>800</v>
      </c>
      <c r="TW15" s="156" t="s">
        <v>3843</v>
      </c>
      <c r="TX15" s="132">
        <v>800</v>
      </c>
      <c r="TY15" s="132">
        <v>800</v>
      </c>
      <c r="TZ15" s="132">
        <v>800</v>
      </c>
      <c r="UA15" s="129"/>
      <c r="UB15" s="128">
        <v>1000</v>
      </c>
      <c r="UC15" s="128">
        <v>1000</v>
      </c>
      <c r="UD15" s="128">
        <v>1000</v>
      </c>
      <c r="UE15" s="128">
        <v>1000</v>
      </c>
      <c r="UF15" s="128">
        <v>1000</v>
      </c>
      <c r="UG15" s="128">
        <v>1000</v>
      </c>
      <c r="UH15" s="128">
        <v>1000</v>
      </c>
      <c r="UI15" s="128">
        <v>1000</v>
      </c>
      <c r="UJ15" s="129">
        <v>1000</v>
      </c>
      <c r="UK15" s="129">
        <v>875</v>
      </c>
      <c r="UL15" s="129"/>
      <c r="UM15" s="129"/>
      <c r="UN15" s="129"/>
      <c r="UO15" s="129"/>
      <c r="UP15" s="129"/>
      <c r="UQ15" s="129"/>
      <c r="UR15" s="129"/>
      <c r="US15" s="129"/>
      <c r="UT15" s="129"/>
      <c r="UU15" s="129"/>
      <c r="UV15" s="129"/>
      <c r="UW15" s="129"/>
      <c r="UX15" s="129"/>
      <c r="UY15" s="129"/>
      <c r="UZ15" s="129"/>
      <c r="VA15" s="129"/>
      <c r="VB15" s="129"/>
      <c r="VC15" s="129"/>
      <c r="VD15" s="129"/>
      <c r="VE15" s="129"/>
      <c r="VF15" s="129"/>
      <c r="VG15" s="129"/>
      <c r="VH15" s="129"/>
      <c r="VI15" s="129"/>
      <c r="VJ15" s="129"/>
      <c r="VK15" s="129"/>
      <c r="VL15" s="132"/>
      <c r="VM15" s="132"/>
      <c r="VN15" s="132"/>
      <c r="VO15" s="132">
        <v>1250</v>
      </c>
      <c r="VP15" s="129"/>
      <c r="VR15" s="131">
        <v>1000</v>
      </c>
      <c r="VS15" s="131">
        <v>1000</v>
      </c>
      <c r="VT15" s="131">
        <v>1000</v>
      </c>
      <c r="VU15" s="131">
        <v>1000</v>
      </c>
      <c r="VV15" s="131">
        <v>1000</v>
      </c>
      <c r="VW15" s="131">
        <v>1000</v>
      </c>
      <c r="VX15" s="131">
        <v>1000</v>
      </c>
      <c r="VY15" s="131">
        <v>1000</v>
      </c>
      <c r="VZ15" s="131">
        <v>1000</v>
      </c>
      <c r="WA15" s="131">
        <v>1000</v>
      </c>
      <c r="WB15" s="131">
        <v>1000</v>
      </c>
      <c r="WC15" s="131">
        <v>1000</v>
      </c>
      <c r="WD15" s="131">
        <v>1000</v>
      </c>
      <c r="WE15" s="131">
        <v>1000</v>
      </c>
      <c r="WF15" s="131">
        <v>1000</v>
      </c>
      <c r="WG15" s="131">
        <v>1000</v>
      </c>
      <c r="WH15" s="131">
        <v>1000</v>
      </c>
      <c r="WI15" s="131">
        <v>1000</v>
      </c>
      <c r="WJ15" s="131">
        <v>1000</v>
      </c>
      <c r="WK15" s="131">
        <v>1000</v>
      </c>
      <c r="WL15" s="131">
        <v>1000</v>
      </c>
      <c r="WM15" s="131">
        <v>1000</v>
      </c>
      <c r="WN15" s="131">
        <v>1000</v>
      </c>
      <c r="WO15" s="131">
        <v>1000</v>
      </c>
      <c r="WP15" s="131">
        <v>1000</v>
      </c>
      <c r="WQ15" s="131">
        <v>1000</v>
      </c>
      <c r="WR15" s="131">
        <v>1000</v>
      </c>
      <c r="WS15" s="131">
        <v>1000</v>
      </c>
      <c r="WT15" s="131">
        <v>1000</v>
      </c>
      <c r="WU15" s="131">
        <v>1000</v>
      </c>
      <c r="WV15" s="131">
        <v>1000</v>
      </c>
      <c r="WW15" s="131">
        <v>1000</v>
      </c>
      <c r="WX15" s="131">
        <v>1000</v>
      </c>
      <c r="WY15" s="131">
        <v>1000</v>
      </c>
      <c r="WZ15" s="131">
        <v>1000</v>
      </c>
      <c r="XA15" s="131">
        <v>1000</v>
      </c>
      <c r="XB15" s="131">
        <v>1000</v>
      </c>
      <c r="XC15" s="131">
        <v>1000</v>
      </c>
      <c r="XD15" s="131">
        <v>1000</v>
      </c>
      <c r="XE15" s="131">
        <v>1000</v>
      </c>
      <c r="XF15" s="131">
        <v>1000</v>
      </c>
      <c r="XG15" s="131">
        <v>1000</v>
      </c>
      <c r="XH15" s="131">
        <v>1000</v>
      </c>
      <c r="XI15" s="131">
        <v>1000</v>
      </c>
      <c r="XJ15" s="131">
        <v>1000</v>
      </c>
      <c r="XK15" s="131">
        <v>1000</v>
      </c>
      <c r="XL15" s="131">
        <v>1000</v>
      </c>
      <c r="XM15" s="131">
        <v>1000</v>
      </c>
      <c r="XN15" s="131">
        <v>1000</v>
      </c>
      <c r="XO15" s="131">
        <v>1000</v>
      </c>
      <c r="XP15" s="131">
        <v>1000</v>
      </c>
      <c r="XQ15" s="131">
        <v>1000</v>
      </c>
      <c r="XR15" s="131">
        <v>1000</v>
      </c>
      <c r="XS15" s="131">
        <v>1000</v>
      </c>
      <c r="XT15" s="131">
        <v>1000</v>
      </c>
      <c r="XU15" s="131">
        <v>1000</v>
      </c>
      <c r="XV15" s="131">
        <v>1000</v>
      </c>
      <c r="XW15" s="131">
        <v>1000</v>
      </c>
      <c r="XX15" s="131">
        <v>1000</v>
      </c>
      <c r="XY15" s="131">
        <v>1000</v>
      </c>
      <c r="XZ15" s="131">
        <v>1000</v>
      </c>
      <c r="YA15" s="131">
        <v>1000</v>
      </c>
      <c r="YB15" s="131">
        <v>1000</v>
      </c>
      <c r="YC15" s="131">
        <v>1000</v>
      </c>
      <c r="YD15" s="131">
        <v>1000</v>
      </c>
      <c r="YE15" s="131">
        <v>1000</v>
      </c>
      <c r="YF15" s="131">
        <v>1000</v>
      </c>
      <c r="YG15" s="131">
        <v>1000</v>
      </c>
      <c r="YH15" s="131">
        <v>1000</v>
      </c>
      <c r="YI15" s="131">
        <v>1000</v>
      </c>
      <c r="YJ15" s="131">
        <v>1000</v>
      </c>
      <c r="YK15" s="131">
        <v>1000</v>
      </c>
      <c r="YL15" s="131">
        <v>1000</v>
      </c>
      <c r="YM15" s="131">
        <v>1000</v>
      </c>
      <c r="YN15" s="131">
        <v>1000</v>
      </c>
      <c r="YO15" s="131">
        <v>1000</v>
      </c>
      <c r="YP15" s="131">
        <v>1000</v>
      </c>
      <c r="YQ15" s="131">
        <v>1000</v>
      </c>
      <c r="YR15" s="131">
        <v>1000</v>
      </c>
      <c r="YS15" s="131">
        <v>1000</v>
      </c>
      <c r="YT15" s="131">
        <v>1000</v>
      </c>
      <c r="YU15" s="131">
        <v>1000</v>
      </c>
      <c r="YV15" s="131">
        <v>1000</v>
      </c>
      <c r="YW15" s="131">
        <v>1000</v>
      </c>
      <c r="YX15" s="131">
        <v>1000</v>
      </c>
      <c r="YY15" s="131">
        <v>1000</v>
      </c>
      <c r="YZ15" s="131">
        <v>1000</v>
      </c>
      <c r="ZA15" s="131">
        <v>1000</v>
      </c>
      <c r="ZB15" s="131">
        <v>1000</v>
      </c>
      <c r="ZC15" s="131">
        <v>1000</v>
      </c>
      <c r="ZD15" s="131">
        <v>1000</v>
      </c>
      <c r="ZE15" s="131">
        <v>1000</v>
      </c>
      <c r="ZF15" s="131">
        <v>1000</v>
      </c>
      <c r="ZG15" s="131">
        <v>1000</v>
      </c>
      <c r="ZH15" s="131">
        <v>1000</v>
      </c>
      <c r="ZI15" s="131">
        <v>1000</v>
      </c>
      <c r="ZJ15" s="131">
        <v>1000</v>
      </c>
      <c r="ZK15" s="131">
        <v>1000</v>
      </c>
      <c r="ZL15" s="131">
        <v>1000</v>
      </c>
      <c r="ZM15" s="131">
        <v>1000</v>
      </c>
      <c r="ZN15" s="131">
        <v>1000</v>
      </c>
      <c r="ZO15" s="131">
        <v>1000</v>
      </c>
      <c r="ZP15" s="131">
        <v>1000</v>
      </c>
      <c r="ZQ15" s="131">
        <v>1000</v>
      </c>
      <c r="ZR15" s="131">
        <v>1000</v>
      </c>
      <c r="ZS15" s="131">
        <v>1000</v>
      </c>
      <c r="ZT15" s="131">
        <v>1000</v>
      </c>
      <c r="ZU15" s="131">
        <v>1000</v>
      </c>
      <c r="ZV15" s="131">
        <v>1000</v>
      </c>
      <c r="ZW15" s="131">
        <v>1000</v>
      </c>
      <c r="ZX15" s="131">
        <v>1000</v>
      </c>
      <c r="ZY15" s="131">
        <v>1000</v>
      </c>
      <c r="ZZ15" s="131">
        <v>1000</v>
      </c>
      <c r="AAA15" s="131">
        <v>1000</v>
      </c>
      <c r="AAB15" s="131">
        <v>1000</v>
      </c>
      <c r="AAC15" s="131">
        <v>1000</v>
      </c>
      <c r="AAD15" s="131">
        <v>1000</v>
      </c>
      <c r="AAE15" s="131">
        <v>1000</v>
      </c>
      <c r="AAF15" s="131">
        <v>1000</v>
      </c>
      <c r="AAG15" s="131">
        <v>1000</v>
      </c>
      <c r="AAH15" s="131">
        <v>1000</v>
      </c>
      <c r="AAJ15" s="131">
        <v>1000</v>
      </c>
      <c r="AAK15" s="131">
        <v>1000</v>
      </c>
      <c r="AAL15" s="131">
        <v>1000</v>
      </c>
      <c r="AAM15" s="131">
        <v>1000</v>
      </c>
      <c r="AAN15" s="131">
        <v>1000</v>
      </c>
      <c r="AAO15" s="131">
        <v>1000</v>
      </c>
      <c r="AAP15" s="131">
        <v>1000</v>
      </c>
      <c r="AAQ15" s="131">
        <v>1000</v>
      </c>
      <c r="AAR15" s="131">
        <v>1000</v>
      </c>
      <c r="AAS15" s="131">
        <v>1000</v>
      </c>
      <c r="AAT15" s="131">
        <v>1000</v>
      </c>
      <c r="AAU15" s="131">
        <v>1000</v>
      </c>
      <c r="AAV15" s="131">
        <v>1000</v>
      </c>
      <c r="AAW15" s="131">
        <v>1000</v>
      </c>
      <c r="AAX15" s="131">
        <v>1000</v>
      </c>
      <c r="AAY15" s="131">
        <v>1000</v>
      </c>
      <c r="AAZ15" s="131">
        <v>1000</v>
      </c>
      <c r="ABA15" s="131">
        <v>1000</v>
      </c>
      <c r="ABB15" s="131">
        <v>1000</v>
      </c>
      <c r="ABC15" s="131">
        <v>1000</v>
      </c>
      <c r="ABD15" s="131">
        <v>1000</v>
      </c>
      <c r="ABE15" s="131">
        <v>1000</v>
      </c>
      <c r="ABF15" s="131">
        <v>1000</v>
      </c>
      <c r="ABG15" s="131">
        <v>1000</v>
      </c>
      <c r="ABH15" s="131">
        <v>1000</v>
      </c>
      <c r="ABI15" s="131">
        <v>1000</v>
      </c>
      <c r="ABJ15" s="131">
        <v>1000</v>
      </c>
      <c r="ABK15" s="131">
        <v>1000</v>
      </c>
      <c r="ABL15" s="131">
        <v>1000</v>
      </c>
      <c r="ABM15" s="131">
        <v>1000</v>
      </c>
      <c r="ABN15" s="131">
        <v>1000</v>
      </c>
      <c r="ABO15" s="131">
        <v>1000</v>
      </c>
      <c r="ABP15" s="131">
        <v>1000</v>
      </c>
      <c r="ABQ15" s="131">
        <v>1000</v>
      </c>
      <c r="ABR15" s="131">
        <v>1000</v>
      </c>
      <c r="ABS15" s="131">
        <v>1000</v>
      </c>
      <c r="ABT15" s="131">
        <v>1000</v>
      </c>
      <c r="ABU15" s="131">
        <v>1000</v>
      </c>
      <c r="ABV15" s="131">
        <v>1000</v>
      </c>
      <c r="ABW15" s="131">
        <v>1000</v>
      </c>
      <c r="ABX15" s="131">
        <v>1000</v>
      </c>
      <c r="ABY15" s="131">
        <v>1000</v>
      </c>
      <c r="ABZ15" s="131">
        <v>1000</v>
      </c>
      <c r="ACA15" s="131">
        <v>1000</v>
      </c>
      <c r="ACB15" s="131">
        <v>1000</v>
      </c>
      <c r="ACC15" s="131">
        <v>1000</v>
      </c>
      <c r="ACD15" s="131">
        <v>1000</v>
      </c>
      <c r="ACE15" s="131">
        <v>1000</v>
      </c>
      <c r="ACF15" s="131">
        <v>1000</v>
      </c>
      <c r="ACG15" s="131">
        <v>1000</v>
      </c>
      <c r="ACH15" s="131">
        <v>1000</v>
      </c>
      <c r="ACI15" s="131">
        <v>1000</v>
      </c>
      <c r="ACJ15" s="131">
        <v>1000</v>
      </c>
      <c r="ACK15" s="131">
        <v>1000</v>
      </c>
      <c r="ACL15" s="131">
        <v>1000</v>
      </c>
      <c r="ACM15" s="131">
        <v>1000</v>
      </c>
      <c r="ACN15" s="131">
        <v>1000</v>
      </c>
      <c r="ACO15" s="131">
        <v>1000</v>
      </c>
      <c r="ACP15" s="131">
        <v>1000</v>
      </c>
      <c r="ACQ15" s="131">
        <v>1000</v>
      </c>
      <c r="ACR15" s="131">
        <v>1000</v>
      </c>
      <c r="ACS15" s="131">
        <v>1000</v>
      </c>
      <c r="ACT15" s="131">
        <v>1000</v>
      </c>
      <c r="ACU15" s="131">
        <v>1000</v>
      </c>
      <c r="ACV15" s="131">
        <v>1000</v>
      </c>
      <c r="ACW15" s="131">
        <v>1000</v>
      </c>
      <c r="ACX15" s="131">
        <v>1000</v>
      </c>
      <c r="ACY15" s="131">
        <v>1000</v>
      </c>
      <c r="ACZ15" s="131">
        <v>1000</v>
      </c>
      <c r="ADA15" s="131">
        <v>1000</v>
      </c>
      <c r="ADB15" s="131">
        <v>1000</v>
      </c>
      <c r="ADC15" s="131">
        <v>1000</v>
      </c>
      <c r="ADD15" s="131">
        <v>1000</v>
      </c>
      <c r="ADE15" s="131">
        <v>1000</v>
      </c>
      <c r="ADF15" s="131">
        <v>1000</v>
      </c>
      <c r="ADG15" s="131">
        <v>1000</v>
      </c>
      <c r="ADH15" s="131">
        <v>1000</v>
      </c>
      <c r="ADI15" s="131">
        <v>1000</v>
      </c>
      <c r="ADJ15" s="131">
        <v>1000</v>
      </c>
      <c r="ADK15" s="131">
        <v>1000</v>
      </c>
      <c r="ADL15" s="131">
        <v>1000</v>
      </c>
      <c r="ADM15" s="131">
        <v>1000</v>
      </c>
      <c r="ADN15" s="131">
        <v>1000</v>
      </c>
      <c r="ADO15" s="131">
        <v>1000</v>
      </c>
      <c r="ADP15" s="131">
        <v>1000</v>
      </c>
      <c r="ADQ15" s="131">
        <v>1000</v>
      </c>
      <c r="ADR15" s="131">
        <v>1000</v>
      </c>
      <c r="ADS15" s="131">
        <v>1000</v>
      </c>
      <c r="ADT15" s="131">
        <v>1000</v>
      </c>
      <c r="ADU15" s="131">
        <v>1000</v>
      </c>
      <c r="ADV15" s="131">
        <v>1000</v>
      </c>
      <c r="ADW15" s="131">
        <v>1000</v>
      </c>
      <c r="ADX15" s="131">
        <v>1000</v>
      </c>
      <c r="ADY15" s="131">
        <v>1000</v>
      </c>
      <c r="ADZ15" s="131">
        <v>1000</v>
      </c>
      <c r="AEA15" s="131">
        <v>1000</v>
      </c>
      <c r="AEB15" s="131">
        <v>1000</v>
      </c>
      <c r="AEC15" s="131">
        <v>1000</v>
      </c>
      <c r="AED15" s="131">
        <v>1000</v>
      </c>
      <c r="AEE15" s="131">
        <v>1000</v>
      </c>
      <c r="AEF15" s="131">
        <v>1000</v>
      </c>
      <c r="AEG15" s="131">
        <v>1000</v>
      </c>
      <c r="AEH15" s="131">
        <v>1000</v>
      </c>
      <c r="AEI15" s="131">
        <v>1000</v>
      </c>
      <c r="AEJ15" s="131">
        <v>1000</v>
      </c>
      <c r="AEK15" s="131">
        <v>1000</v>
      </c>
      <c r="AEL15" s="131">
        <v>1000</v>
      </c>
      <c r="AEM15" s="131">
        <v>1000</v>
      </c>
      <c r="AEN15" s="131">
        <v>1000</v>
      </c>
      <c r="AEO15" s="131">
        <v>1000</v>
      </c>
      <c r="AEP15" s="131">
        <v>1000</v>
      </c>
      <c r="AEQ15" s="131">
        <v>1000</v>
      </c>
      <c r="AER15" s="131">
        <v>1000</v>
      </c>
      <c r="AES15" s="131">
        <v>1000</v>
      </c>
      <c r="AET15" s="131">
        <v>1000</v>
      </c>
      <c r="AEU15" s="131">
        <v>1000</v>
      </c>
      <c r="AEV15" s="131">
        <v>1000</v>
      </c>
      <c r="AEW15" s="131">
        <v>1000</v>
      </c>
      <c r="AEX15" s="131">
        <v>1000</v>
      </c>
      <c r="AEY15" s="131">
        <v>1000</v>
      </c>
      <c r="AEZ15" s="131">
        <v>1000</v>
      </c>
      <c r="AFA15" s="131">
        <v>1000</v>
      </c>
      <c r="AFB15" s="131">
        <v>1000</v>
      </c>
      <c r="AFC15" s="131">
        <v>1000</v>
      </c>
      <c r="AFD15" s="131">
        <v>1000</v>
      </c>
      <c r="AFE15" s="131">
        <v>1000</v>
      </c>
      <c r="AFF15" s="131">
        <v>1000</v>
      </c>
      <c r="AFG15" s="131">
        <v>1000</v>
      </c>
      <c r="AFH15" s="131">
        <v>1000</v>
      </c>
      <c r="AFI15" s="131">
        <v>1000</v>
      </c>
      <c r="AFJ15" s="131">
        <v>1000</v>
      </c>
      <c r="AFK15" s="131">
        <v>1000</v>
      </c>
      <c r="AFL15" s="129">
        <v>1000</v>
      </c>
      <c r="AFN15" s="129"/>
      <c r="AFO15" s="129"/>
      <c r="AFP15" s="129"/>
      <c r="AFQ15" s="129"/>
      <c r="AFR15" s="129"/>
      <c r="AFS15" s="129"/>
      <c r="AFT15" s="129"/>
      <c r="AFU15" s="129"/>
      <c r="AFV15" s="129"/>
      <c r="AFW15" s="129"/>
      <c r="AFX15" s="129"/>
      <c r="AFY15" s="129"/>
      <c r="AFZ15" s="129"/>
      <c r="AGA15" s="129"/>
      <c r="AGB15" s="129"/>
      <c r="AGC15" s="129"/>
      <c r="AGD15" s="129"/>
      <c r="AGE15" s="129"/>
      <c r="AGF15" s="129"/>
      <c r="AGG15" s="129"/>
      <c r="AGH15" s="129"/>
      <c r="AGI15" s="129"/>
      <c r="AGJ15" s="129"/>
      <c r="AGK15" s="129"/>
      <c r="AGL15" s="129"/>
      <c r="AGM15" s="129"/>
      <c r="AGN15" s="129"/>
      <c r="AGO15" s="129"/>
      <c r="AGP15" s="129"/>
      <c r="AGQ15" s="129"/>
      <c r="AGR15" s="129"/>
      <c r="AGS15" s="129"/>
      <c r="AGT15" s="129"/>
      <c r="AGU15" s="129"/>
      <c r="AGV15" s="129"/>
      <c r="AGW15" s="129"/>
      <c r="AGX15" s="129"/>
      <c r="AGY15" s="129"/>
      <c r="AGZ15" s="129"/>
      <c r="AHA15" s="129"/>
      <c r="AHB15" s="129"/>
      <c r="AHC15" s="129"/>
      <c r="AHD15" s="129"/>
      <c r="AHE15" s="129"/>
      <c r="AHF15" s="129"/>
      <c r="AHG15" s="129"/>
      <c r="AHH15" s="129"/>
      <c r="AHI15" s="129"/>
      <c r="AHJ15" s="129"/>
      <c r="AHK15" s="129"/>
      <c r="AHL15" s="129"/>
      <c r="AHM15" s="129"/>
      <c r="AHN15" s="129"/>
      <c r="AHO15" s="129"/>
      <c r="AHP15" s="129"/>
      <c r="AHQ15" s="129"/>
      <c r="AHR15" s="129"/>
      <c r="AHS15" s="129"/>
      <c r="AHT15" s="129"/>
      <c r="AHU15" s="129"/>
      <c r="AHV15" s="129"/>
      <c r="AHW15" s="129"/>
      <c r="AHX15" s="129"/>
      <c r="AHY15" s="129"/>
      <c r="AHZ15" s="129"/>
      <c r="AIA15" s="129"/>
      <c r="AIB15" s="129"/>
      <c r="AIC15" s="129"/>
      <c r="AID15" s="129"/>
      <c r="AIE15" s="129"/>
      <c r="AIF15" s="129"/>
      <c r="AIG15" s="129"/>
      <c r="AIH15" s="129"/>
      <c r="AII15" s="129"/>
      <c r="AIJ15" s="129"/>
      <c r="AIK15" s="129"/>
      <c r="AIL15" s="129"/>
      <c r="AIM15" s="129"/>
      <c r="AIN15" s="129"/>
      <c r="AIO15" s="129"/>
      <c r="AIP15" s="129"/>
      <c r="AIQ15" s="129"/>
      <c r="AIR15" s="129"/>
      <c r="AIS15" s="129"/>
      <c r="AIT15" s="129"/>
      <c r="AIU15" s="129"/>
      <c r="AIV15" s="129"/>
      <c r="AIW15" s="129"/>
      <c r="AIX15" s="129"/>
      <c r="AIY15" s="129"/>
      <c r="AIZ15" s="129"/>
      <c r="AJA15" s="129"/>
      <c r="AJB15" s="129"/>
      <c r="AJC15" s="129"/>
      <c r="AJD15" s="129"/>
      <c r="AJE15" s="129"/>
      <c r="AJF15" s="129"/>
      <c r="AJG15" s="129"/>
      <c r="AJH15" s="129"/>
      <c r="AJI15" s="129"/>
      <c r="AJJ15" s="129"/>
      <c r="AJK15" s="129"/>
      <c r="AJL15" s="129"/>
      <c r="AJM15" s="129"/>
      <c r="AJN15" s="129"/>
      <c r="AJO15" s="129"/>
      <c r="AJP15" s="129"/>
      <c r="AJQ15" s="129"/>
      <c r="AJR15" s="129"/>
      <c r="AJS15" s="129"/>
      <c r="AJT15" s="129"/>
      <c r="AJU15" s="129"/>
      <c r="AJV15" s="129"/>
      <c r="AJW15" s="129"/>
      <c r="AJX15" s="129"/>
      <c r="AJY15" s="129"/>
      <c r="AJZ15" s="129"/>
      <c r="AKA15" s="129"/>
      <c r="AKB15" s="129"/>
      <c r="AKC15" s="129"/>
      <c r="AKD15" s="129"/>
      <c r="AKE15" s="129"/>
      <c r="AKF15" s="129"/>
      <c r="AKG15" s="129"/>
      <c r="AKH15" s="129"/>
      <c r="AKI15" s="129"/>
      <c r="AKJ15" s="129"/>
      <c r="AKK15" s="129"/>
      <c r="AKL15" s="129"/>
      <c r="AKM15" s="129"/>
      <c r="AKN15" s="129"/>
      <c r="AKO15" s="129"/>
      <c r="AKP15" s="129"/>
      <c r="AKQ15" s="129"/>
      <c r="AKR15" s="129"/>
      <c r="AKS15" s="129"/>
      <c r="AKT15" s="129"/>
      <c r="AKU15" s="129"/>
      <c r="AKV15" s="129"/>
      <c r="AKW15" s="129"/>
      <c r="AKX15" s="129"/>
      <c r="AKY15" s="129"/>
      <c r="AKZ15" s="129"/>
      <c r="ALA15" s="129"/>
      <c r="ALB15" s="129"/>
      <c r="ALC15" s="129"/>
      <c r="ALD15" s="129"/>
      <c r="ALE15" s="129"/>
      <c r="ALF15" s="129"/>
      <c r="ALG15" s="129"/>
      <c r="ALH15" s="129"/>
      <c r="ALI15" s="129"/>
      <c r="ALJ15" s="129"/>
      <c r="ALK15" s="129"/>
      <c r="ALL15" s="129"/>
      <c r="ALM15" s="129"/>
      <c r="ALN15" s="129"/>
      <c r="ALO15" s="129"/>
      <c r="ALP15" s="129"/>
      <c r="ALQ15" s="129"/>
      <c r="ALR15" s="129"/>
      <c r="ALS15" s="129"/>
      <c r="ALT15" s="129"/>
      <c r="ALU15" s="129"/>
      <c r="ALV15" s="129"/>
      <c r="ALW15" s="129"/>
      <c r="ALX15" s="129"/>
      <c r="ALY15" s="129"/>
      <c r="ALZ15" s="129"/>
      <c r="AMA15" s="129"/>
      <c r="AMB15" s="129"/>
      <c r="AMC15" s="129"/>
      <c r="AMD15" s="129"/>
      <c r="AME15" s="129"/>
      <c r="AMF15" s="129"/>
      <c r="AMG15" s="129"/>
      <c r="AMH15" s="129"/>
      <c r="AMI15" s="129"/>
      <c r="AMJ15" s="129"/>
      <c r="AMK15" s="129"/>
      <c r="AML15" s="129"/>
      <c r="AMM15" s="129"/>
      <c r="AMN15" s="129"/>
      <c r="AMO15" s="129"/>
      <c r="AMP15" s="129"/>
      <c r="AMQ15" s="129"/>
      <c r="AMR15" s="129"/>
      <c r="AMS15" s="129"/>
      <c r="AMT15" s="129"/>
      <c r="AMU15" s="129"/>
      <c r="AMV15" s="129"/>
      <c r="AMW15" s="129"/>
      <c r="AMX15" s="129"/>
      <c r="AMY15" s="129"/>
      <c r="AMZ15" s="129"/>
      <c r="ANA15" s="129"/>
      <c r="ANB15" s="129"/>
      <c r="ANC15" s="129"/>
      <c r="AND15" s="129"/>
      <c r="ANE15" s="129"/>
      <c r="ANF15" s="129"/>
      <c r="ANG15" s="129"/>
      <c r="ANH15" s="129"/>
      <c r="ANI15" s="129"/>
      <c r="ANJ15" s="129"/>
      <c r="ANK15" s="129"/>
      <c r="ANL15" s="129"/>
      <c r="ANM15" s="129"/>
      <c r="ANN15" s="129"/>
      <c r="ANO15" s="129"/>
      <c r="ANP15" s="129"/>
      <c r="ANQ15" s="129"/>
      <c r="ANR15" s="129"/>
      <c r="ANS15" s="129"/>
      <c r="ANT15" s="129"/>
      <c r="ANU15" s="129"/>
      <c r="ANV15" s="129"/>
      <c r="ANW15" s="129"/>
      <c r="ANX15" s="129"/>
      <c r="ANY15" s="129"/>
      <c r="ANZ15" s="129"/>
      <c r="AOA15" s="129"/>
      <c r="AOB15" s="129"/>
      <c r="AOC15" s="129"/>
      <c r="AOD15" s="129"/>
      <c r="AOE15" s="129"/>
      <c r="AOF15" s="129"/>
      <c r="AOG15" s="129"/>
      <c r="AOH15" s="129"/>
      <c r="AOI15" s="129"/>
      <c r="AOJ15" s="129"/>
      <c r="AOK15" s="129"/>
      <c r="AOL15" s="129"/>
      <c r="AOM15" s="129"/>
      <c r="AON15" s="129"/>
      <c r="AOO15" s="129"/>
      <c r="AOP15" s="129"/>
      <c r="AOQ15" s="129"/>
      <c r="AOR15" s="129"/>
      <c r="AOS15" s="129"/>
      <c r="AOT15" s="129"/>
      <c r="AOU15" s="129"/>
      <c r="AOV15" s="129"/>
      <c r="AOW15" s="129"/>
      <c r="AOX15" s="129"/>
      <c r="AOY15" s="129"/>
      <c r="AOZ15" s="129"/>
      <c r="APA15" s="129"/>
      <c r="APB15" s="129"/>
      <c r="APC15" s="129"/>
      <c r="APD15" s="129"/>
      <c r="APE15" s="129"/>
      <c r="APF15" s="129"/>
      <c r="APG15" s="129"/>
      <c r="APH15" s="129"/>
      <c r="API15" s="129"/>
      <c r="APJ15" s="129"/>
      <c r="APK15" s="129"/>
      <c r="APL15" s="129"/>
      <c r="APM15" s="129"/>
      <c r="APN15" s="129"/>
      <c r="APO15" s="130"/>
      <c r="APP15" s="130"/>
      <c r="APQ15" s="130"/>
      <c r="APR15" s="130"/>
      <c r="APS15" s="130"/>
      <c r="APT15" s="130"/>
      <c r="APU15" s="130"/>
      <c r="APV15" s="130"/>
      <c r="APW15" s="130"/>
      <c r="APX15" s="130"/>
      <c r="APY15" s="130"/>
      <c r="APZ15" s="130"/>
      <c r="AQA15" s="130"/>
      <c r="AQB15" s="130"/>
      <c r="AQC15" s="130"/>
      <c r="AQD15" s="130"/>
      <c r="AQE15" s="130"/>
      <c r="AQF15" s="130"/>
      <c r="AQG15" s="130"/>
      <c r="AQH15" s="130"/>
      <c r="AQI15" s="130"/>
      <c r="AQJ15" s="130"/>
      <c r="AQK15" s="130"/>
      <c r="AQL15" s="130"/>
      <c r="AQM15" s="130"/>
      <c r="AQN15" s="130"/>
      <c r="AQO15" s="130"/>
      <c r="AQP15" s="130"/>
      <c r="AQQ15" s="130"/>
      <c r="AQR15" s="130"/>
      <c r="AQS15" s="130"/>
      <c r="AQT15" s="130"/>
      <c r="AQU15" s="130"/>
      <c r="AQV15" s="130"/>
      <c r="AQW15" s="130"/>
      <c r="AQX15" s="130"/>
      <c r="AQY15" s="130"/>
      <c r="AQZ15" s="130"/>
      <c r="ARA15" s="130"/>
      <c r="ARB15" s="130"/>
      <c r="ARC15" s="130"/>
      <c r="ARD15" s="130"/>
      <c r="ARE15" s="130"/>
      <c r="ARF15" s="130"/>
      <c r="ARG15" s="130"/>
      <c r="ARH15" s="130"/>
      <c r="ARI15" s="130"/>
      <c r="ARJ15" s="130"/>
      <c r="ARK15" s="130"/>
      <c r="ARL15" s="130"/>
      <c r="ARM15" s="130"/>
      <c r="ARN15" s="130"/>
      <c r="ARO15" s="130"/>
      <c r="ARP15" s="130"/>
      <c r="ARQ15" s="130"/>
      <c r="ARR15" s="130"/>
      <c r="ARS15" s="130"/>
      <c r="ART15" s="130"/>
      <c r="ARU15" s="130"/>
      <c r="ARV15" s="130"/>
      <c r="ARW15" s="130"/>
      <c r="ARX15" s="130"/>
      <c r="ARY15" s="130"/>
      <c r="ARZ15" s="130"/>
      <c r="ASA15" s="130"/>
      <c r="ASB15" s="130"/>
      <c r="ASC15" s="130"/>
      <c r="ASD15" s="130"/>
      <c r="ASE15" s="130"/>
      <c r="ASF15" s="130"/>
      <c r="ASG15" s="130"/>
      <c r="ASH15" s="130"/>
      <c r="ASI15" s="130"/>
      <c r="ASJ15" s="130"/>
      <c r="ASK15" s="130"/>
      <c r="ASL15" s="130"/>
      <c r="ASM15" s="130"/>
      <c r="ASN15" s="130"/>
      <c r="ASO15" s="130"/>
      <c r="ASP15" s="130"/>
      <c r="ASQ15" s="130"/>
      <c r="ASR15" s="130"/>
      <c r="ASS15" s="130"/>
      <c r="AST15" s="130"/>
      <c r="ASU15" s="130"/>
      <c r="ASV15" s="130"/>
      <c r="ASW15" s="130"/>
      <c r="ASX15" s="129"/>
      <c r="ASY15" s="129"/>
      <c r="ASZ15" s="129"/>
      <c r="ATA15" s="129"/>
      <c r="ATB15" s="129"/>
      <c r="ATC15" s="129"/>
      <c r="ATD15" s="129"/>
      <c r="ATE15" s="129"/>
      <c r="ATF15" s="129"/>
      <c r="ATG15" s="129"/>
      <c r="ATH15" s="129"/>
      <c r="ATI15" s="129"/>
      <c r="ATJ15" s="129"/>
      <c r="ATK15" s="129"/>
      <c r="ATL15" s="129"/>
      <c r="ATM15" s="129"/>
      <c r="ATN15" s="129"/>
      <c r="ATO15" s="129"/>
      <c r="ATP15" s="129"/>
      <c r="ATQ15" s="129"/>
      <c r="ATR15" s="129"/>
      <c r="ATS15" s="129"/>
      <c r="ATT15" s="129"/>
      <c r="ATU15" s="129"/>
      <c r="ATV15" s="129"/>
      <c r="ATW15" s="129"/>
      <c r="ATX15" s="129"/>
      <c r="ATY15" s="129"/>
      <c r="ATZ15" s="129"/>
      <c r="AUA15" s="129"/>
      <c r="AUB15" s="129"/>
      <c r="AUC15" s="129"/>
      <c r="AUD15" s="129"/>
      <c r="AUE15" s="129"/>
      <c r="AUF15" s="129"/>
      <c r="AUG15" s="129"/>
      <c r="AUH15" s="129"/>
      <c r="AUI15" s="129"/>
      <c r="AUJ15" s="129"/>
      <c r="AUK15" s="129"/>
      <c r="AUL15" s="129"/>
      <c r="AUM15" s="129"/>
      <c r="AUN15" s="129"/>
      <c r="AUO15" s="129"/>
      <c r="AUP15" s="129"/>
      <c r="AUQ15" s="129"/>
      <c r="AUR15" s="129"/>
      <c r="AUS15" s="129"/>
      <c r="AUT15" s="129"/>
      <c r="AUU15" s="129"/>
      <c r="AUV15" s="129"/>
      <c r="AUW15" s="129"/>
      <c r="AUX15" s="129"/>
      <c r="AUY15" s="129"/>
      <c r="AUZ15" s="129"/>
      <c r="AVA15" s="129"/>
      <c r="AVB15" s="129"/>
      <c r="AVC15" s="129"/>
      <c r="AVD15" s="129"/>
      <c r="AVE15" s="129"/>
      <c r="AVF15" s="129"/>
      <c r="AVG15" s="129"/>
      <c r="AVH15" s="129"/>
    </row>
    <row r="16" spans="1:1297" s="172" customFormat="1" ht="25.5" outlineLevel="1">
      <c r="A16" s="137" t="s">
        <v>197</v>
      </c>
      <c r="B16" s="173" t="s">
        <v>206</v>
      </c>
      <c r="C16" s="139">
        <v>0</v>
      </c>
      <c r="D16" s="139">
        <v>0</v>
      </c>
      <c r="E16" s="137">
        <v>152</v>
      </c>
      <c r="F16" s="138" t="s">
        <v>85</v>
      </c>
      <c r="G16" s="136" t="s">
        <v>11</v>
      </c>
      <c r="H16" s="136" t="s">
        <v>13</v>
      </c>
      <c r="I16" s="136" t="s">
        <v>13</v>
      </c>
      <c r="J16" s="136" t="s">
        <v>366</v>
      </c>
      <c r="K16" s="136" t="s">
        <v>13</v>
      </c>
      <c r="L16" s="136" t="s">
        <v>13</v>
      </c>
      <c r="M16" s="136" t="s">
        <v>13</v>
      </c>
      <c r="N16" s="136" t="s">
        <v>13</v>
      </c>
      <c r="O16" s="138"/>
      <c r="U16" s="129"/>
      <c r="V16" s="129"/>
      <c r="BY16" s="129"/>
      <c r="BZ16" s="129"/>
      <c r="CA16" s="129"/>
      <c r="CC16" s="129"/>
      <c r="CD16" s="129"/>
      <c r="CF16" s="129"/>
      <c r="CG16" s="129"/>
      <c r="CH16" s="129"/>
      <c r="CI16" s="129"/>
      <c r="CJ16" s="129"/>
      <c r="CK16" s="129"/>
      <c r="CM16" s="129"/>
      <c r="CN16" s="129"/>
      <c r="CP16" s="129"/>
      <c r="CQ16" s="129"/>
      <c r="HS16" s="129"/>
      <c r="HT16" s="129"/>
      <c r="HU16" s="129"/>
      <c r="HV16" s="129"/>
      <c r="HW16" s="129"/>
      <c r="HX16" s="129"/>
      <c r="HY16" s="129"/>
      <c r="HZ16" s="129"/>
      <c r="IA16" s="129"/>
      <c r="IB16" s="129"/>
      <c r="IC16" s="129"/>
      <c r="ID16" s="129"/>
      <c r="IE16" s="129"/>
      <c r="IF16" s="129"/>
      <c r="IH16" s="129"/>
      <c r="II16" s="129"/>
      <c r="IJ16" s="129"/>
      <c r="IK16" s="129"/>
      <c r="IL16" s="129"/>
      <c r="IM16" s="129"/>
      <c r="IN16" s="129"/>
      <c r="IO16" s="129"/>
      <c r="IP16" s="129"/>
      <c r="IQ16" s="129"/>
      <c r="IR16" s="129"/>
      <c r="IS16" s="129"/>
      <c r="IT16" s="129"/>
      <c r="IU16" s="129"/>
      <c r="IV16" s="129"/>
      <c r="IW16" s="129"/>
      <c r="IX16" s="129"/>
      <c r="IY16" s="129"/>
      <c r="IZ16" s="129"/>
      <c r="JA16" s="129"/>
      <c r="JB16" s="129"/>
      <c r="JC16" s="129"/>
      <c r="JD16" s="129"/>
      <c r="JE16" s="129"/>
      <c r="JF16" s="129"/>
      <c r="JG16" s="129"/>
      <c r="JH16" s="129"/>
      <c r="JI16" s="129"/>
      <c r="JJ16" s="129"/>
      <c r="JK16" s="129"/>
      <c r="JL16" s="129"/>
      <c r="JM16" s="129"/>
      <c r="JN16" s="129"/>
      <c r="JO16" s="129"/>
      <c r="JP16" s="129"/>
      <c r="JQ16" s="129"/>
      <c r="JR16" s="129"/>
      <c r="JS16" s="129"/>
      <c r="JT16" s="129"/>
      <c r="JU16" s="129"/>
      <c r="JV16" s="129"/>
      <c r="JW16" s="129"/>
      <c r="JX16" s="129"/>
      <c r="JY16" s="129"/>
      <c r="JZ16" s="129"/>
      <c r="KA16" s="129"/>
      <c r="KB16" s="129"/>
      <c r="KC16" s="129"/>
      <c r="KD16" s="129"/>
      <c r="KE16" s="129"/>
      <c r="KF16" s="129"/>
      <c r="KG16" s="129"/>
      <c r="KH16" s="129"/>
      <c r="KI16" s="129"/>
      <c r="KJ16" s="129"/>
      <c r="KK16" s="129"/>
      <c r="KL16" s="129"/>
      <c r="KM16" s="129"/>
      <c r="KN16" s="129"/>
      <c r="KO16" s="129"/>
      <c r="KP16" s="129"/>
      <c r="KQ16" s="129"/>
      <c r="KR16" s="129"/>
      <c r="KS16" s="129"/>
      <c r="KT16" s="129"/>
      <c r="KU16" s="129"/>
      <c r="KV16" s="129"/>
      <c r="KW16" s="129"/>
      <c r="KX16" s="129"/>
      <c r="KY16" s="129"/>
      <c r="KZ16" s="129"/>
      <c r="LA16" s="129"/>
      <c r="LB16" s="129"/>
      <c r="LC16" s="129"/>
      <c r="LD16" s="129"/>
      <c r="LE16" s="129"/>
      <c r="LF16" s="129"/>
      <c r="LG16" s="129"/>
      <c r="LH16" s="129"/>
      <c r="LI16" s="129"/>
      <c r="LJ16" s="129"/>
      <c r="LK16" s="135"/>
      <c r="LL16" s="135"/>
      <c r="LM16" s="135"/>
      <c r="LN16" s="135"/>
      <c r="LO16" s="135"/>
      <c r="LP16" s="129"/>
      <c r="LQ16" s="129"/>
      <c r="LR16" s="129"/>
      <c r="LS16" s="129"/>
      <c r="LT16" s="129"/>
      <c r="LU16" s="135"/>
      <c r="LV16" s="135"/>
      <c r="LW16" s="135"/>
      <c r="LX16" s="135"/>
      <c r="LY16" s="135"/>
      <c r="LZ16" s="135"/>
      <c r="MA16" s="135"/>
      <c r="MB16" s="135"/>
      <c r="MC16" s="135"/>
      <c r="MD16" s="135"/>
      <c r="ME16" s="135"/>
      <c r="MF16" s="135"/>
      <c r="MG16" s="135"/>
      <c r="MH16" s="129"/>
      <c r="MI16" s="129"/>
      <c r="MJ16" s="129"/>
      <c r="MK16" s="129"/>
      <c r="ML16" s="129"/>
      <c r="MM16" s="129"/>
      <c r="MN16" s="129"/>
      <c r="MO16" s="129"/>
      <c r="MP16" s="129"/>
      <c r="MQ16" s="132"/>
      <c r="MR16" s="132"/>
      <c r="MS16" s="132"/>
      <c r="MT16" s="132"/>
      <c r="MU16" s="132"/>
      <c r="MV16" s="132"/>
      <c r="MW16" s="132"/>
      <c r="MX16" s="132"/>
      <c r="MY16" s="132"/>
      <c r="MZ16" s="129"/>
      <c r="NA16" s="129"/>
      <c r="NB16" s="135"/>
      <c r="NC16" s="135"/>
      <c r="ND16" s="135"/>
      <c r="NE16" s="135"/>
      <c r="NF16" s="135"/>
      <c r="NG16" s="129"/>
      <c r="NH16" s="129"/>
      <c r="NI16" s="129"/>
      <c r="NJ16" s="129"/>
      <c r="NK16" s="129"/>
      <c r="NL16" s="132"/>
      <c r="NM16" s="132"/>
      <c r="NN16" s="132"/>
      <c r="NO16" s="132"/>
      <c r="NP16" s="132"/>
      <c r="NQ16" s="129"/>
      <c r="NR16" s="129"/>
      <c r="NS16" s="129"/>
      <c r="NT16" s="129"/>
      <c r="NU16" s="129"/>
      <c r="NV16" s="129"/>
      <c r="NW16" s="129"/>
      <c r="NX16" s="129"/>
      <c r="NY16" s="129"/>
      <c r="NZ16" s="129"/>
      <c r="OA16" s="129"/>
      <c r="OB16" s="129"/>
      <c r="OC16" s="129"/>
      <c r="OD16" s="129"/>
      <c r="OE16" s="129"/>
      <c r="OF16" s="129"/>
      <c r="OG16" s="129"/>
      <c r="OH16" s="129"/>
      <c r="OI16" s="129"/>
      <c r="OJ16" s="129"/>
      <c r="OK16" s="129"/>
      <c r="OL16" s="129"/>
      <c r="OM16" s="129"/>
      <c r="ON16" s="129"/>
      <c r="OO16" s="129"/>
      <c r="OQ16" s="129"/>
      <c r="OR16" s="129"/>
      <c r="OS16" s="129"/>
      <c r="OT16" s="129"/>
      <c r="OU16" s="129"/>
      <c r="OV16" s="129"/>
      <c r="OW16" s="129"/>
      <c r="OX16" s="129"/>
      <c r="OY16" s="129"/>
      <c r="OZ16" s="129"/>
      <c r="PA16" s="129"/>
      <c r="PB16" s="129"/>
      <c r="PC16" s="129"/>
      <c r="PD16" s="129"/>
      <c r="PE16" s="129"/>
      <c r="PF16" s="129"/>
      <c r="PG16" s="129"/>
      <c r="PH16" s="129"/>
      <c r="PI16" s="129"/>
      <c r="PJ16" s="129"/>
      <c r="PK16" s="129"/>
      <c r="PL16" s="129"/>
      <c r="PM16" s="129"/>
      <c r="PN16" s="129"/>
      <c r="PO16" s="129"/>
      <c r="PP16" s="129"/>
      <c r="PQ16" s="129"/>
      <c r="PR16" s="129"/>
      <c r="PS16" s="156"/>
      <c r="PT16" s="156"/>
      <c r="PU16" s="156"/>
      <c r="PV16" s="156"/>
      <c r="PW16" s="156"/>
      <c r="PX16" s="156"/>
      <c r="PY16" s="156"/>
      <c r="PZ16" s="156"/>
      <c r="QA16" s="156"/>
      <c r="QB16" s="156"/>
      <c r="QC16" s="156"/>
      <c r="QD16" s="129"/>
      <c r="QE16" s="129"/>
      <c r="QF16" s="129"/>
      <c r="QG16" s="129"/>
      <c r="QH16" s="129"/>
      <c r="QI16" s="129"/>
      <c r="QJ16" s="129"/>
      <c r="QK16" s="129"/>
      <c r="QL16" s="129"/>
      <c r="QM16" s="129"/>
      <c r="QN16" s="129"/>
      <c r="QO16" s="129"/>
      <c r="QP16" s="129"/>
      <c r="QQ16" s="129"/>
      <c r="QR16" s="129"/>
      <c r="QS16" s="129"/>
      <c r="QT16" s="129"/>
      <c r="QU16" s="129"/>
      <c r="QV16" s="129"/>
      <c r="QW16" s="129"/>
      <c r="QX16" s="129"/>
      <c r="QY16" s="129"/>
      <c r="QZ16" s="129"/>
      <c r="RA16" s="129"/>
      <c r="RB16" s="129"/>
      <c r="RC16" s="129"/>
      <c r="RD16" s="128">
        <v>1250</v>
      </c>
      <c r="RE16" s="128">
        <v>1250</v>
      </c>
      <c r="RF16" s="129"/>
      <c r="RG16" s="129"/>
      <c r="RH16" s="129"/>
      <c r="RI16" s="129"/>
      <c r="RJ16" s="129"/>
      <c r="RK16" s="129"/>
      <c r="RL16" s="129"/>
      <c r="RM16" s="128">
        <v>1250</v>
      </c>
      <c r="RN16" s="129"/>
      <c r="RO16" s="129"/>
      <c r="RP16" s="129"/>
      <c r="RQ16" s="134">
        <v>1250</v>
      </c>
      <c r="RR16" s="134">
        <v>1250</v>
      </c>
      <c r="RS16" s="134"/>
      <c r="RT16" s="134"/>
      <c r="RU16" s="129"/>
      <c r="RV16" s="129"/>
      <c r="RW16" s="129"/>
      <c r="RX16" s="129"/>
      <c r="RY16" s="129"/>
      <c r="RZ16" s="129"/>
      <c r="SA16" s="156"/>
      <c r="SB16" s="156"/>
      <c r="SC16" s="156"/>
      <c r="SD16" s="156"/>
      <c r="SE16" s="156"/>
      <c r="SF16" s="129"/>
      <c r="SG16" s="129"/>
      <c r="SH16" s="129"/>
      <c r="SI16" s="129"/>
      <c r="SJ16" s="129"/>
      <c r="SK16" s="129"/>
      <c r="SL16" s="129"/>
      <c r="SM16" s="129"/>
      <c r="SN16" s="129"/>
      <c r="SO16" s="129"/>
      <c r="SP16" s="129"/>
      <c r="SQ16" s="129"/>
      <c r="SR16" s="129"/>
      <c r="SS16" s="129"/>
      <c r="ST16" s="129"/>
      <c r="SU16" s="129"/>
      <c r="SV16" s="129"/>
      <c r="SW16" s="129"/>
      <c r="SX16" s="129"/>
      <c r="SY16" s="129"/>
      <c r="SZ16" s="129"/>
      <c r="TA16" s="129"/>
      <c r="TB16" s="129"/>
      <c r="TC16" s="129"/>
      <c r="TD16" s="133"/>
      <c r="TE16" s="132"/>
      <c r="TF16" s="132"/>
      <c r="TG16" s="129"/>
      <c r="TH16" s="129"/>
      <c r="TI16" s="129"/>
      <c r="TJ16" s="129"/>
      <c r="TK16" s="128">
        <v>1250</v>
      </c>
      <c r="TL16" s="128">
        <v>1250</v>
      </c>
      <c r="TM16" s="129"/>
      <c r="TN16" s="129"/>
      <c r="TO16" s="129"/>
      <c r="TP16" s="129"/>
      <c r="TQ16" s="129"/>
      <c r="TR16" s="129"/>
      <c r="TS16" s="129"/>
      <c r="TT16" s="129" t="s">
        <v>13</v>
      </c>
      <c r="TU16" s="129" t="s">
        <v>13</v>
      </c>
      <c r="TV16" s="129" t="s">
        <v>13</v>
      </c>
      <c r="TW16" s="129" t="s">
        <v>13</v>
      </c>
      <c r="TX16" s="132">
        <v>1000</v>
      </c>
      <c r="TY16" s="132"/>
      <c r="TZ16" s="132"/>
      <c r="UA16" s="129"/>
      <c r="UB16" s="128">
        <v>1250</v>
      </c>
      <c r="UC16" s="128">
        <v>1250</v>
      </c>
      <c r="UD16" s="128">
        <v>1250</v>
      </c>
      <c r="UE16" s="128">
        <v>1250</v>
      </c>
      <c r="UF16" s="128">
        <v>1250</v>
      </c>
      <c r="UG16" s="128">
        <v>1250</v>
      </c>
      <c r="UH16" s="128">
        <v>1250</v>
      </c>
      <c r="UI16" s="128">
        <v>1250</v>
      </c>
      <c r="UJ16" s="129"/>
      <c r="UK16" s="129"/>
      <c r="UL16" s="129"/>
      <c r="UM16" s="129"/>
      <c r="UN16" s="129"/>
      <c r="UO16" s="129"/>
      <c r="UP16" s="129"/>
      <c r="UQ16" s="129"/>
      <c r="UR16" s="129"/>
      <c r="US16" s="129"/>
      <c r="UT16" s="129"/>
      <c r="UU16" s="129"/>
      <c r="UV16" s="129"/>
      <c r="UW16" s="129"/>
      <c r="UX16" s="129"/>
      <c r="UY16" s="129"/>
      <c r="UZ16" s="129"/>
      <c r="VA16" s="129"/>
      <c r="VB16" s="129"/>
      <c r="VC16" s="129"/>
      <c r="VD16" s="129"/>
      <c r="VE16" s="129"/>
      <c r="VF16" s="129"/>
      <c r="VG16" s="129"/>
      <c r="VH16" s="129"/>
      <c r="VI16" s="129"/>
      <c r="VJ16" s="129"/>
      <c r="VK16" s="129"/>
      <c r="VL16" s="132"/>
      <c r="VM16" s="132"/>
      <c r="VN16" s="132"/>
      <c r="VO16" s="132"/>
      <c r="VP16" s="129"/>
      <c r="VR16" s="131">
        <v>1250</v>
      </c>
      <c r="VS16" s="131">
        <v>1250</v>
      </c>
      <c r="VT16" s="131">
        <v>1250</v>
      </c>
      <c r="VU16" s="131">
        <v>1250</v>
      </c>
      <c r="VV16" s="131">
        <v>1250</v>
      </c>
      <c r="VW16" s="131">
        <v>1250</v>
      </c>
      <c r="VX16" s="131">
        <v>1250</v>
      </c>
      <c r="VY16" s="131">
        <v>1250</v>
      </c>
      <c r="VZ16" s="131">
        <v>1250</v>
      </c>
      <c r="WA16" s="131">
        <v>1250</v>
      </c>
      <c r="WB16" s="131">
        <v>1250</v>
      </c>
      <c r="WC16" s="131">
        <v>1250</v>
      </c>
      <c r="WD16" s="131">
        <v>1250</v>
      </c>
      <c r="WE16" s="131">
        <v>1250</v>
      </c>
      <c r="WF16" s="131">
        <v>1250</v>
      </c>
      <c r="WG16" s="131">
        <v>1250</v>
      </c>
      <c r="WH16" s="131">
        <v>1250</v>
      </c>
      <c r="WI16" s="131">
        <v>1250</v>
      </c>
      <c r="WJ16" s="131">
        <v>1250</v>
      </c>
      <c r="WK16" s="131">
        <v>1250</v>
      </c>
      <c r="WL16" s="131">
        <v>1250</v>
      </c>
      <c r="WM16" s="131">
        <v>1250</v>
      </c>
      <c r="WN16" s="131">
        <v>1250</v>
      </c>
      <c r="WO16" s="131">
        <v>1250</v>
      </c>
      <c r="WP16" s="131">
        <v>1250</v>
      </c>
      <c r="WQ16" s="131">
        <v>1250</v>
      </c>
      <c r="WR16" s="131">
        <v>1250</v>
      </c>
      <c r="WS16" s="131">
        <v>1250</v>
      </c>
      <c r="WT16" s="131">
        <v>1250</v>
      </c>
      <c r="WU16" s="131">
        <v>1250</v>
      </c>
      <c r="WV16" s="131">
        <v>1250</v>
      </c>
      <c r="WW16" s="131">
        <v>1250</v>
      </c>
      <c r="WX16" s="131">
        <v>1250</v>
      </c>
      <c r="WY16" s="131">
        <v>1250</v>
      </c>
      <c r="WZ16" s="131">
        <v>1250</v>
      </c>
      <c r="XA16" s="131">
        <v>1250</v>
      </c>
      <c r="XB16" s="131">
        <v>1250</v>
      </c>
      <c r="XC16" s="131">
        <v>1250</v>
      </c>
      <c r="XD16" s="131">
        <v>1250</v>
      </c>
      <c r="XE16" s="131">
        <v>1250</v>
      </c>
      <c r="XF16" s="131">
        <v>1250</v>
      </c>
      <c r="XG16" s="131">
        <v>1250</v>
      </c>
      <c r="XH16" s="131">
        <v>1250</v>
      </c>
      <c r="XI16" s="131">
        <v>1250</v>
      </c>
      <c r="XJ16" s="131">
        <v>1250</v>
      </c>
      <c r="XK16" s="131">
        <v>1250</v>
      </c>
      <c r="XL16" s="131">
        <v>1250</v>
      </c>
      <c r="XM16" s="131">
        <v>1250</v>
      </c>
      <c r="XN16" s="131">
        <v>1250</v>
      </c>
      <c r="XO16" s="131">
        <v>1250</v>
      </c>
      <c r="XP16" s="131">
        <v>1250</v>
      </c>
      <c r="XQ16" s="131">
        <v>1250</v>
      </c>
      <c r="XR16" s="131">
        <v>1250</v>
      </c>
      <c r="XS16" s="131">
        <v>1250</v>
      </c>
      <c r="XT16" s="131">
        <v>1250</v>
      </c>
      <c r="XU16" s="131">
        <v>1250</v>
      </c>
      <c r="XV16" s="131">
        <v>1250</v>
      </c>
      <c r="XW16" s="131">
        <v>1250</v>
      </c>
      <c r="XX16" s="131">
        <v>1250</v>
      </c>
      <c r="XY16" s="131">
        <v>1250</v>
      </c>
      <c r="XZ16" s="131">
        <v>1250</v>
      </c>
      <c r="YA16" s="131">
        <v>1250</v>
      </c>
      <c r="YB16" s="131">
        <v>1250</v>
      </c>
      <c r="YC16" s="131">
        <v>1250</v>
      </c>
      <c r="YD16" s="131">
        <v>1250</v>
      </c>
      <c r="YE16" s="131">
        <v>1250</v>
      </c>
      <c r="YF16" s="131">
        <v>1250</v>
      </c>
      <c r="YG16" s="131">
        <v>1250</v>
      </c>
      <c r="YH16" s="131">
        <v>1250</v>
      </c>
      <c r="YI16" s="131">
        <v>1250</v>
      </c>
      <c r="YJ16" s="131">
        <v>1250</v>
      </c>
      <c r="YK16" s="131">
        <v>1250</v>
      </c>
      <c r="YL16" s="131">
        <v>1250</v>
      </c>
      <c r="YM16" s="131">
        <v>1250</v>
      </c>
      <c r="YN16" s="131">
        <v>1250</v>
      </c>
      <c r="YO16" s="131">
        <v>1250</v>
      </c>
      <c r="YP16" s="131">
        <v>1250</v>
      </c>
      <c r="YQ16" s="131">
        <v>1250</v>
      </c>
      <c r="YR16" s="131">
        <v>1250</v>
      </c>
      <c r="YS16" s="131">
        <v>1250</v>
      </c>
      <c r="YT16" s="131">
        <v>1250</v>
      </c>
      <c r="YU16" s="131">
        <v>1250</v>
      </c>
      <c r="YV16" s="131">
        <v>1250</v>
      </c>
      <c r="YW16" s="131">
        <v>1250</v>
      </c>
      <c r="YX16" s="131">
        <v>1250</v>
      </c>
      <c r="YY16" s="131">
        <v>1250</v>
      </c>
      <c r="YZ16" s="131">
        <v>1250</v>
      </c>
      <c r="ZA16" s="131">
        <v>1250</v>
      </c>
      <c r="ZB16" s="131">
        <v>1250</v>
      </c>
      <c r="ZC16" s="131">
        <v>1250</v>
      </c>
      <c r="ZD16" s="131">
        <v>1250</v>
      </c>
      <c r="ZE16" s="131">
        <v>1250</v>
      </c>
      <c r="ZF16" s="131">
        <v>1250</v>
      </c>
      <c r="ZG16" s="131">
        <v>1250</v>
      </c>
      <c r="ZH16" s="131">
        <v>1250</v>
      </c>
      <c r="ZI16" s="131">
        <v>1250</v>
      </c>
      <c r="ZJ16" s="131">
        <v>1250</v>
      </c>
      <c r="ZK16" s="131">
        <v>1250</v>
      </c>
      <c r="ZL16" s="131">
        <v>1250</v>
      </c>
      <c r="ZM16" s="131">
        <v>1250</v>
      </c>
      <c r="ZN16" s="131">
        <v>1250</v>
      </c>
      <c r="ZO16" s="131">
        <v>1250</v>
      </c>
      <c r="ZP16" s="131">
        <v>1250</v>
      </c>
      <c r="ZQ16" s="131">
        <v>1250</v>
      </c>
      <c r="ZR16" s="131">
        <v>1250</v>
      </c>
      <c r="ZS16" s="131">
        <v>1250</v>
      </c>
      <c r="ZT16" s="131">
        <v>1250</v>
      </c>
      <c r="ZU16" s="131">
        <v>1250</v>
      </c>
      <c r="ZV16" s="131">
        <v>1250</v>
      </c>
      <c r="ZW16" s="131">
        <v>1250</v>
      </c>
      <c r="ZX16" s="131">
        <v>1250</v>
      </c>
      <c r="ZY16" s="131">
        <v>1250</v>
      </c>
      <c r="ZZ16" s="131">
        <v>1250</v>
      </c>
      <c r="AAA16" s="131">
        <v>1250</v>
      </c>
      <c r="AAB16" s="131">
        <v>1250</v>
      </c>
      <c r="AAC16" s="131">
        <v>1250</v>
      </c>
      <c r="AAD16" s="131">
        <v>1250</v>
      </c>
      <c r="AAE16" s="131">
        <v>1250</v>
      </c>
      <c r="AAF16" s="131">
        <v>1250</v>
      </c>
      <c r="AAG16" s="131">
        <v>1250</v>
      </c>
      <c r="AAH16" s="131">
        <v>1250</v>
      </c>
      <c r="AAJ16" s="131"/>
      <c r="AAK16" s="131"/>
      <c r="AAL16" s="131"/>
      <c r="AAM16" s="131">
        <v>1250</v>
      </c>
      <c r="AAN16" s="131">
        <v>1250</v>
      </c>
      <c r="AAO16" s="131">
        <v>1250</v>
      </c>
      <c r="AAP16" s="131">
        <v>1250</v>
      </c>
      <c r="AAQ16" s="131">
        <v>1250</v>
      </c>
      <c r="AAR16" s="131">
        <v>1250</v>
      </c>
      <c r="AAS16" s="131">
        <v>1250</v>
      </c>
      <c r="AAT16" s="131">
        <v>1250</v>
      </c>
      <c r="AAU16" s="131">
        <v>1250</v>
      </c>
      <c r="AAV16" s="131">
        <v>1250</v>
      </c>
      <c r="AAW16" s="131">
        <v>1250</v>
      </c>
      <c r="AAX16" s="131">
        <v>1250</v>
      </c>
      <c r="AAY16" s="131">
        <v>1250</v>
      </c>
      <c r="AAZ16" s="131">
        <v>1250</v>
      </c>
      <c r="ABA16" s="131">
        <v>1250</v>
      </c>
      <c r="ABB16" s="131">
        <v>1250</v>
      </c>
      <c r="ABC16" s="131">
        <v>1250</v>
      </c>
      <c r="ABD16" s="131">
        <v>1250</v>
      </c>
      <c r="ABE16" s="131">
        <v>1250</v>
      </c>
      <c r="ABF16" s="131">
        <v>1250</v>
      </c>
      <c r="ABG16" s="131">
        <v>1250</v>
      </c>
      <c r="ABH16" s="131">
        <v>1250</v>
      </c>
      <c r="ABI16" s="131">
        <v>1250</v>
      </c>
      <c r="ABJ16" s="131">
        <v>1250</v>
      </c>
      <c r="ABK16" s="131">
        <v>1250</v>
      </c>
      <c r="ABL16" s="131">
        <v>1250</v>
      </c>
      <c r="ABM16" s="131">
        <v>1250</v>
      </c>
      <c r="ABN16" s="131">
        <v>1250</v>
      </c>
      <c r="ABO16" s="131">
        <v>1250</v>
      </c>
      <c r="ABP16" s="131">
        <v>1250</v>
      </c>
      <c r="ABQ16" s="131">
        <v>1250</v>
      </c>
      <c r="ABR16" s="131">
        <v>1250</v>
      </c>
      <c r="ABS16" s="131">
        <v>1250</v>
      </c>
      <c r="ABT16" s="131">
        <v>1250</v>
      </c>
      <c r="ABU16" s="131">
        <v>1250</v>
      </c>
      <c r="ABV16" s="131">
        <v>1250</v>
      </c>
      <c r="ABW16" s="131">
        <v>1250</v>
      </c>
      <c r="ABX16" s="131">
        <v>1250</v>
      </c>
      <c r="ABY16" s="131">
        <v>1250</v>
      </c>
      <c r="ABZ16" s="131">
        <v>1250</v>
      </c>
      <c r="ACA16" s="131">
        <v>1250</v>
      </c>
      <c r="ACB16" s="131">
        <v>1250</v>
      </c>
      <c r="ACC16" s="131">
        <v>1250</v>
      </c>
      <c r="ACD16" s="131">
        <v>1250</v>
      </c>
      <c r="ACE16" s="131">
        <v>1250</v>
      </c>
      <c r="ACF16" s="131">
        <v>1250</v>
      </c>
      <c r="ACG16" s="131">
        <v>1250</v>
      </c>
      <c r="ACH16" s="131">
        <v>1250</v>
      </c>
      <c r="ACI16" s="131">
        <v>1250</v>
      </c>
      <c r="ACJ16" s="131">
        <v>1250</v>
      </c>
      <c r="ACK16" s="131">
        <v>1250</v>
      </c>
      <c r="ACL16" s="131">
        <v>1250</v>
      </c>
      <c r="ACM16" s="131">
        <v>1250</v>
      </c>
      <c r="ACN16" s="131">
        <v>1250</v>
      </c>
      <c r="ACO16" s="131">
        <v>1250</v>
      </c>
      <c r="ACP16" s="131">
        <v>1250</v>
      </c>
      <c r="ACQ16" s="131">
        <v>1250</v>
      </c>
      <c r="ACR16" s="131">
        <v>1250</v>
      </c>
      <c r="ACS16" s="131">
        <v>1250</v>
      </c>
      <c r="ACT16" s="131">
        <v>1250</v>
      </c>
      <c r="ACU16" s="131">
        <v>1250</v>
      </c>
      <c r="ACV16" s="131">
        <v>1250</v>
      </c>
      <c r="ACW16" s="131">
        <v>1250</v>
      </c>
      <c r="ACX16" s="131">
        <v>1250</v>
      </c>
      <c r="ACY16" s="131">
        <v>1250</v>
      </c>
      <c r="ACZ16" s="131">
        <v>1250</v>
      </c>
      <c r="ADA16" s="131">
        <v>1250</v>
      </c>
      <c r="ADB16" s="131">
        <v>1250</v>
      </c>
      <c r="ADC16" s="131">
        <v>1250</v>
      </c>
      <c r="ADD16" s="131">
        <v>1250</v>
      </c>
      <c r="ADE16" s="131">
        <v>1250</v>
      </c>
      <c r="ADF16" s="131">
        <v>1250</v>
      </c>
      <c r="ADG16" s="131">
        <v>1250</v>
      </c>
      <c r="ADH16" s="131">
        <v>1250</v>
      </c>
      <c r="ADI16" s="131">
        <v>1250</v>
      </c>
      <c r="ADJ16" s="131">
        <v>1250</v>
      </c>
      <c r="ADK16" s="131">
        <v>1250</v>
      </c>
      <c r="ADL16" s="131">
        <v>1250</v>
      </c>
      <c r="ADM16" s="131">
        <v>1250</v>
      </c>
      <c r="ADN16" s="131">
        <v>1250</v>
      </c>
      <c r="ADO16" s="131">
        <v>1250</v>
      </c>
      <c r="ADP16" s="131">
        <v>1250</v>
      </c>
      <c r="ADQ16" s="131">
        <v>1250</v>
      </c>
      <c r="ADR16" s="131">
        <v>1250</v>
      </c>
      <c r="ADS16" s="131">
        <v>1250</v>
      </c>
      <c r="ADT16" s="131">
        <v>1250</v>
      </c>
      <c r="ADU16" s="131">
        <v>1250</v>
      </c>
      <c r="ADV16" s="131">
        <v>1250</v>
      </c>
      <c r="ADW16" s="131">
        <v>1250</v>
      </c>
      <c r="ADX16" s="131">
        <v>1250</v>
      </c>
      <c r="ADY16" s="131">
        <v>1250</v>
      </c>
      <c r="ADZ16" s="131">
        <v>1250</v>
      </c>
      <c r="AEA16" s="131">
        <v>1250</v>
      </c>
      <c r="AEB16" s="131">
        <v>1250</v>
      </c>
      <c r="AEC16" s="131">
        <v>1250</v>
      </c>
      <c r="AED16" s="131">
        <v>1250</v>
      </c>
      <c r="AEE16" s="131">
        <v>1250</v>
      </c>
      <c r="AEF16" s="131">
        <v>1250</v>
      </c>
      <c r="AEG16" s="131">
        <v>1250</v>
      </c>
      <c r="AEH16" s="131">
        <v>1250</v>
      </c>
      <c r="AEI16" s="131">
        <v>1250</v>
      </c>
      <c r="AEJ16" s="131">
        <v>1250</v>
      </c>
      <c r="AEK16" s="131">
        <v>1250</v>
      </c>
      <c r="AEL16" s="131">
        <v>1250</v>
      </c>
      <c r="AEM16" s="131">
        <v>1250</v>
      </c>
      <c r="AEN16" s="131">
        <v>1250</v>
      </c>
      <c r="AEO16" s="131">
        <v>1250</v>
      </c>
      <c r="AEP16" s="131">
        <v>1250</v>
      </c>
      <c r="AEQ16" s="131">
        <v>1250</v>
      </c>
      <c r="AER16" s="131">
        <v>1250</v>
      </c>
      <c r="AES16" s="131">
        <v>1250</v>
      </c>
      <c r="AET16" s="131">
        <v>1250</v>
      </c>
      <c r="AEU16" s="131">
        <v>1250</v>
      </c>
      <c r="AEV16" s="131">
        <v>1250</v>
      </c>
      <c r="AEW16" s="131">
        <v>1250</v>
      </c>
      <c r="AEX16" s="131">
        <v>1250</v>
      </c>
      <c r="AEY16" s="131">
        <v>1250</v>
      </c>
      <c r="AEZ16" s="131">
        <v>1250</v>
      </c>
      <c r="AFA16" s="131">
        <v>1250</v>
      </c>
      <c r="AFB16" s="131">
        <v>1250</v>
      </c>
      <c r="AFC16" s="131">
        <v>1250</v>
      </c>
      <c r="AFD16" s="131">
        <v>1250</v>
      </c>
      <c r="AFE16" s="131">
        <v>1250</v>
      </c>
      <c r="AFF16" s="131">
        <v>1250</v>
      </c>
      <c r="AFG16" s="131">
        <v>1250</v>
      </c>
      <c r="AFH16" s="131">
        <v>1250</v>
      </c>
      <c r="AFI16" s="131">
        <v>1250</v>
      </c>
      <c r="AFJ16" s="131">
        <v>1250</v>
      </c>
      <c r="AFK16" s="131">
        <v>1250</v>
      </c>
      <c r="AFL16" s="129"/>
      <c r="AFN16" s="129"/>
      <c r="AFO16" s="129"/>
      <c r="AFP16" s="129"/>
      <c r="AFQ16" s="129"/>
      <c r="AFR16" s="129"/>
      <c r="AFS16" s="129"/>
      <c r="AFT16" s="129"/>
      <c r="AFU16" s="129"/>
      <c r="AFV16" s="129"/>
      <c r="AFW16" s="129"/>
      <c r="AFX16" s="129"/>
      <c r="AFY16" s="129"/>
      <c r="AFZ16" s="129"/>
      <c r="AGA16" s="129"/>
      <c r="AGB16" s="129"/>
      <c r="AGC16" s="129"/>
      <c r="AGD16" s="129"/>
      <c r="AGE16" s="129"/>
      <c r="AGF16" s="129"/>
      <c r="AGG16" s="129"/>
      <c r="AGH16" s="129"/>
      <c r="AGI16" s="129"/>
      <c r="AGJ16" s="129"/>
      <c r="AGK16" s="129"/>
      <c r="AGL16" s="129"/>
      <c r="AGM16" s="129"/>
      <c r="AGN16" s="129"/>
      <c r="AGO16" s="129"/>
      <c r="AGP16" s="129"/>
      <c r="AGQ16" s="129"/>
      <c r="AGR16" s="129"/>
      <c r="AGS16" s="129"/>
      <c r="AGT16" s="129"/>
      <c r="AGU16" s="129"/>
      <c r="AGV16" s="129"/>
      <c r="AGW16" s="129"/>
      <c r="AGX16" s="129"/>
      <c r="AGY16" s="129"/>
      <c r="AGZ16" s="129"/>
      <c r="AHA16" s="129"/>
      <c r="AHB16" s="129"/>
      <c r="AHC16" s="129"/>
      <c r="AHD16" s="129"/>
      <c r="AHE16" s="129"/>
      <c r="AHF16" s="129"/>
      <c r="AHG16" s="129"/>
      <c r="AHH16" s="129"/>
      <c r="AHI16" s="129"/>
      <c r="AHJ16" s="129"/>
      <c r="AHK16" s="129"/>
      <c r="AHL16" s="129"/>
      <c r="AHM16" s="129"/>
      <c r="AHN16" s="129"/>
      <c r="AHO16" s="129"/>
      <c r="AHP16" s="129"/>
      <c r="AHQ16" s="129"/>
      <c r="AHR16" s="129"/>
      <c r="AHS16" s="129"/>
      <c r="AHT16" s="129"/>
      <c r="AHU16" s="129"/>
      <c r="AHV16" s="129"/>
      <c r="AHW16" s="129"/>
      <c r="AHX16" s="129"/>
      <c r="AHY16" s="129"/>
      <c r="AHZ16" s="129"/>
      <c r="AIA16" s="129"/>
      <c r="AIB16" s="129"/>
      <c r="AIC16" s="129"/>
      <c r="AID16" s="129"/>
      <c r="AIE16" s="129"/>
      <c r="AIF16" s="129"/>
      <c r="AIG16" s="129"/>
      <c r="AIH16" s="129"/>
      <c r="AII16" s="129"/>
      <c r="AIJ16" s="129"/>
      <c r="AIK16" s="129"/>
      <c r="AIL16" s="129"/>
      <c r="AIM16" s="129"/>
      <c r="AIN16" s="129"/>
      <c r="AIO16" s="129"/>
      <c r="AIP16" s="129"/>
      <c r="AIQ16" s="129"/>
      <c r="AIR16" s="129"/>
      <c r="AIS16" s="129"/>
      <c r="AIT16" s="129"/>
      <c r="AIU16" s="129"/>
      <c r="AIV16" s="129"/>
      <c r="AIW16" s="129"/>
      <c r="AIX16" s="129"/>
      <c r="AIY16" s="129"/>
      <c r="AIZ16" s="129"/>
      <c r="AJA16" s="129"/>
      <c r="AJB16" s="129"/>
      <c r="AJC16" s="129"/>
      <c r="AJD16" s="129"/>
      <c r="AJE16" s="129"/>
      <c r="AJF16" s="129"/>
      <c r="AJG16" s="129"/>
      <c r="AJH16" s="129"/>
      <c r="AJI16" s="129"/>
      <c r="AJJ16" s="129"/>
      <c r="AJK16" s="129"/>
      <c r="AJL16" s="129"/>
      <c r="AJM16" s="129"/>
      <c r="AJN16" s="129"/>
      <c r="AJO16" s="129"/>
      <c r="AJP16" s="129"/>
      <c r="AJQ16" s="129"/>
      <c r="AJR16" s="129"/>
      <c r="AJS16" s="129"/>
      <c r="AJT16" s="129"/>
      <c r="AJU16" s="129"/>
      <c r="AJV16" s="129"/>
      <c r="AJW16" s="129"/>
      <c r="AJX16" s="129"/>
      <c r="AJY16" s="129"/>
      <c r="AJZ16" s="129"/>
      <c r="AKA16" s="129"/>
      <c r="AKB16" s="129"/>
      <c r="AKC16" s="129"/>
      <c r="AKD16" s="129"/>
      <c r="AKE16" s="129"/>
      <c r="AKF16" s="129"/>
      <c r="AKG16" s="129"/>
      <c r="AKH16" s="129"/>
      <c r="AKI16" s="129"/>
      <c r="AKJ16" s="129"/>
      <c r="AKK16" s="129"/>
      <c r="AKL16" s="129"/>
      <c r="AKM16" s="129"/>
      <c r="AKN16" s="129"/>
      <c r="AKO16" s="129"/>
      <c r="AKP16" s="129"/>
      <c r="AKQ16" s="129"/>
      <c r="AKR16" s="129"/>
      <c r="AKS16" s="129"/>
      <c r="AKT16" s="129"/>
      <c r="AKU16" s="129"/>
      <c r="AKV16" s="129"/>
      <c r="AKW16" s="129"/>
      <c r="AKX16" s="129"/>
      <c r="AKY16" s="129"/>
      <c r="AKZ16" s="129"/>
      <c r="ALA16" s="129"/>
      <c r="ALB16" s="129"/>
      <c r="ALC16" s="129"/>
      <c r="ALD16" s="129"/>
      <c r="ALE16" s="129"/>
      <c r="ALF16" s="129"/>
      <c r="ALG16" s="129"/>
      <c r="ALH16" s="129"/>
      <c r="ALI16" s="129"/>
      <c r="ALJ16" s="129"/>
      <c r="ALK16" s="129"/>
      <c r="ALL16" s="129"/>
      <c r="ALM16" s="129"/>
      <c r="ALN16" s="129"/>
      <c r="ALO16" s="129"/>
      <c r="ALP16" s="129"/>
      <c r="ALQ16" s="129"/>
      <c r="ALR16" s="129"/>
      <c r="ALS16" s="129"/>
      <c r="ALT16" s="129"/>
      <c r="ALU16" s="129"/>
      <c r="ALV16" s="129"/>
      <c r="ALW16" s="129"/>
      <c r="ALX16" s="129"/>
      <c r="ALY16" s="129"/>
      <c r="ALZ16" s="129"/>
      <c r="AMA16" s="129"/>
      <c r="AMB16" s="129"/>
      <c r="AMC16" s="129"/>
      <c r="AMD16" s="129"/>
      <c r="AME16" s="129"/>
      <c r="AMF16" s="129"/>
      <c r="AMG16" s="129"/>
      <c r="AMH16" s="129"/>
      <c r="AMI16" s="129"/>
      <c r="AMJ16" s="129"/>
      <c r="AMK16" s="129"/>
      <c r="AML16" s="129"/>
      <c r="AMM16" s="129"/>
      <c r="AMN16" s="129"/>
      <c r="AMO16" s="129"/>
      <c r="AMP16" s="129"/>
      <c r="AMQ16" s="129"/>
      <c r="AMR16" s="129"/>
      <c r="AMS16" s="129"/>
      <c r="AMT16" s="129"/>
      <c r="AMU16" s="129"/>
      <c r="AMV16" s="129"/>
      <c r="AMW16" s="129"/>
      <c r="AMX16" s="129"/>
      <c r="AMY16" s="129"/>
      <c r="AMZ16" s="129"/>
      <c r="ANA16" s="129"/>
      <c r="ANB16" s="129"/>
      <c r="ANC16" s="129"/>
      <c r="AND16" s="129"/>
      <c r="ANE16" s="129"/>
      <c r="ANF16" s="129"/>
      <c r="ANG16" s="129"/>
      <c r="ANH16" s="129"/>
      <c r="ANI16" s="129"/>
      <c r="ANJ16" s="129"/>
      <c r="ANK16" s="129"/>
      <c r="ANL16" s="129"/>
      <c r="ANM16" s="129"/>
      <c r="ANN16" s="129"/>
      <c r="ANO16" s="129"/>
      <c r="ANP16" s="129"/>
      <c r="ANQ16" s="129"/>
      <c r="ANR16" s="129"/>
      <c r="ANS16" s="129"/>
      <c r="ANT16" s="129"/>
      <c r="ANU16" s="129"/>
      <c r="ANV16" s="129"/>
      <c r="ANW16" s="129"/>
      <c r="ANX16" s="129"/>
      <c r="ANY16" s="129"/>
      <c r="ANZ16" s="129"/>
      <c r="AOA16" s="129"/>
      <c r="AOB16" s="129"/>
      <c r="AOC16" s="129"/>
      <c r="AOD16" s="129"/>
      <c r="AOE16" s="129"/>
      <c r="AOF16" s="129"/>
      <c r="AOG16" s="129"/>
      <c r="AOH16" s="129"/>
      <c r="AOI16" s="129"/>
      <c r="AOJ16" s="129"/>
      <c r="AOK16" s="129"/>
      <c r="AOL16" s="129"/>
      <c r="AOM16" s="129"/>
      <c r="AON16" s="129"/>
      <c r="AOO16" s="129"/>
      <c r="AOP16" s="129"/>
      <c r="AOQ16" s="129"/>
      <c r="AOR16" s="129"/>
      <c r="AOS16" s="129"/>
      <c r="AOT16" s="129"/>
      <c r="AOU16" s="129"/>
      <c r="AOV16" s="129"/>
      <c r="AOW16" s="129"/>
      <c r="AOX16" s="129"/>
      <c r="AOY16" s="129"/>
      <c r="AOZ16" s="129"/>
      <c r="APA16" s="129"/>
      <c r="APB16" s="129"/>
      <c r="APC16" s="129"/>
      <c r="APD16" s="129"/>
      <c r="APE16" s="129"/>
      <c r="APF16" s="129"/>
      <c r="APG16" s="129"/>
      <c r="APH16" s="129"/>
      <c r="API16" s="129"/>
      <c r="APJ16" s="129"/>
      <c r="APK16" s="129"/>
      <c r="APL16" s="129"/>
      <c r="APM16" s="129"/>
      <c r="APN16" s="129"/>
      <c r="APO16" s="130"/>
      <c r="APP16" s="130"/>
      <c r="APQ16" s="130"/>
      <c r="APR16" s="130"/>
      <c r="APS16" s="130"/>
      <c r="APT16" s="130"/>
      <c r="APU16" s="130"/>
      <c r="APV16" s="130"/>
      <c r="APW16" s="130"/>
      <c r="APX16" s="130"/>
      <c r="APY16" s="130"/>
      <c r="APZ16" s="130"/>
      <c r="AQA16" s="130"/>
      <c r="AQB16" s="130"/>
      <c r="AQC16" s="130"/>
      <c r="AQD16" s="130"/>
      <c r="AQE16" s="130"/>
      <c r="AQF16" s="130"/>
      <c r="AQG16" s="130"/>
      <c r="AQH16" s="130"/>
      <c r="AQI16" s="130"/>
      <c r="AQJ16" s="130"/>
      <c r="AQK16" s="130"/>
      <c r="AQL16" s="130"/>
      <c r="AQM16" s="130"/>
      <c r="AQN16" s="130"/>
      <c r="AQO16" s="130"/>
      <c r="AQP16" s="130"/>
      <c r="AQQ16" s="130"/>
      <c r="AQR16" s="130"/>
      <c r="AQS16" s="130"/>
      <c r="AQT16" s="130"/>
      <c r="AQU16" s="130"/>
      <c r="AQV16" s="130"/>
      <c r="AQW16" s="130"/>
      <c r="AQX16" s="130"/>
      <c r="AQY16" s="130"/>
      <c r="AQZ16" s="130"/>
      <c r="ARA16" s="130"/>
      <c r="ARB16" s="130"/>
      <c r="ARC16" s="130"/>
      <c r="ARD16" s="130"/>
      <c r="ARE16" s="130"/>
      <c r="ARF16" s="130"/>
      <c r="ARG16" s="130"/>
      <c r="ARH16" s="130"/>
      <c r="ARI16" s="130"/>
      <c r="ARJ16" s="130"/>
      <c r="ARK16" s="130"/>
      <c r="ARL16" s="130"/>
      <c r="ARM16" s="130"/>
      <c r="ARN16" s="130"/>
      <c r="ARO16" s="130"/>
      <c r="ARP16" s="130"/>
      <c r="ARQ16" s="130"/>
      <c r="ARR16" s="130"/>
      <c r="ARS16" s="130"/>
      <c r="ART16" s="130"/>
      <c r="ARU16" s="130"/>
      <c r="ARV16" s="130"/>
      <c r="ARW16" s="130"/>
      <c r="ARX16" s="130"/>
      <c r="ARY16" s="130"/>
      <c r="ARZ16" s="130"/>
      <c r="ASA16" s="130"/>
      <c r="ASB16" s="130"/>
      <c r="ASC16" s="130"/>
      <c r="ASD16" s="130"/>
      <c r="ASE16" s="130"/>
      <c r="ASF16" s="130"/>
      <c r="ASG16" s="130"/>
      <c r="ASH16" s="130"/>
      <c r="ASI16" s="130"/>
      <c r="ASJ16" s="130"/>
      <c r="ASK16" s="130"/>
      <c r="ASL16" s="130"/>
      <c r="ASM16" s="130"/>
      <c r="ASN16" s="130"/>
      <c r="ASO16" s="130"/>
      <c r="ASP16" s="130"/>
      <c r="ASQ16" s="130"/>
      <c r="ASR16" s="130"/>
      <c r="ASS16" s="130"/>
      <c r="AST16" s="130"/>
      <c r="ASU16" s="130"/>
      <c r="ASV16" s="130"/>
      <c r="ASW16" s="130"/>
      <c r="ASX16" s="129"/>
      <c r="ASY16" s="129"/>
      <c r="ASZ16" s="129"/>
      <c r="ATA16" s="129"/>
      <c r="ATB16" s="129"/>
      <c r="ATC16" s="129"/>
      <c r="ATD16" s="129"/>
      <c r="ATE16" s="129"/>
      <c r="ATF16" s="129"/>
      <c r="ATG16" s="129"/>
      <c r="ATH16" s="129"/>
      <c r="ATI16" s="129"/>
      <c r="ATJ16" s="129"/>
      <c r="ATK16" s="129"/>
      <c r="ATL16" s="129"/>
      <c r="ATM16" s="129"/>
      <c r="ATN16" s="129"/>
      <c r="ATO16" s="129"/>
      <c r="ATP16" s="129"/>
      <c r="ATQ16" s="129"/>
      <c r="ATR16" s="129"/>
      <c r="ATS16" s="129"/>
      <c r="ATT16" s="129"/>
      <c r="ATU16" s="129"/>
      <c r="ATV16" s="129"/>
      <c r="ATW16" s="129"/>
      <c r="ATX16" s="129"/>
      <c r="ATY16" s="129"/>
      <c r="ATZ16" s="129"/>
      <c r="AUA16" s="129"/>
      <c r="AUB16" s="129"/>
      <c r="AUC16" s="129"/>
      <c r="AUD16" s="129"/>
      <c r="AUE16" s="129"/>
      <c r="AUF16" s="129"/>
      <c r="AUG16" s="129"/>
      <c r="AUH16" s="129"/>
      <c r="AUI16" s="129"/>
      <c r="AUJ16" s="129"/>
      <c r="AUK16" s="129"/>
      <c r="AUL16" s="129"/>
      <c r="AUM16" s="129"/>
      <c r="AUN16" s="129"/>
      <c r="AUO16" s="129"/>
      <c r="AUP16" s="129"/>
      <c r="AUQ16" s="129"/>
      <c r="AUR16" s="129"/>
      <c r="AUS16" s="129"/>
      <c r="AUT16" s="129"/>
      <c r="AUU16" s="129"/>
      <c r="AUV16" s="129"/>
      <c r="AUW16" s="129"/>
      <c r="AUX16" s="129"/>
      <c r="AUY16" s="129"/>
      <c r="AUZ16" s="129"/>
      <c r="AVA16" s="129"/>
      <c r="AVB16" s="129"/>
      <c r="AVC16" s="129"/>
      <c r="AVD16" s="129"/>
      <c r="AVE16" s="129"/>
      <c r="AVF16" s="129"/>
      <c r="AVG16" s="129">
        <v>1000</v>
      </c>
      <c r="AVH16" s="129"/>
    </row>
    <row r="17" spans="1:1296" s="172" customFormat="1" ht="25.5" outlineLevel="1">
      <c r="A17" s="137" t="s">
        <v>197</v>
      </c>
      <c r="B17" s="173" t="s">
        <v>207</v>
      </c>
      <c r="C17" s="139">
        <v>0</v>
      </c>
      <c r="D17" s="139">
        <v>0</v>
      </c>
      <c r="E17" s="137">
        <v>153</v>
      </c>
      <c r="F17" s="138" t="s">
        <v>85</v>
      </c>
      <c r="G17" s="136" t="s">
        <v>11</v>
      </c>
      <c r="H17" s="136" t="s">
        <v>13</v>
      </c>
      <c r="I17" s="136" t="s">
        <v>13</v>
      </c>
      <c r="J17" s="136" t="s">
        <v>366</v>
      </c>
      <c r="K17" s="136" t="s">
        <v>13</v>
      </c>
      <c r="L17" s="136" t="s">
        <v>13</v>
      </c>
      <c r="M17" s="136" t="s">
        <v>13</v>
      </c>
      <c r="N17" s="136" t="s">
        <v>13</v>
      </c>
      <c r="O17" s="138"/>
      <c r="U17" s="129"/>
      <c r="V17" s="129"/>
      <c r="BY17" s="129"/>
      <c r="BZ17" s="129"/>
      <c r="CA17" s="129"/>
      <c r="CC17" s="129"/>
      <c r="CD17" s="129"/>
      <c r="CF17" s="129"/>
      <c r="CG17" s="129"/>
      <c r="CH17" s="129"/>
      <c r="CI17" s="129"/>
      <c r="CJ17" s="129"/>
      <c r="CK17" s="129"/>
      <c r="CM17" s="129"/>
      <c r="CN17" s="129"/>
      <c r="CP17" s="129"/>
      <c r="CQ17" s="129"/>
      <c r="HS17" s="129"/>
      <c r="HT17" s="129"/>
      <c r="HU17" s="129"/>
      <c r="HV17" s="129"/>
      <c r="HW17" s="129"/>
      <c r="HX17" s="129"/>
      <c r="HY17" s="129"/>
      <c r="HZ17" s="129"/>
      <c r="IA17" s="129"/>
      <c r="IB17" s="129"/>
      <c r="IC17" s="129"/>
      <c r="ID17" s="129"/>
      <c r="IE17" s="129"/>
      <c r="IF17" s="129"/>
      <c r="IH17" s="129"/>
      <c r="II17" s="129"/>
      <c r="IJ17" s="129"/>
      <c r="IK17" s="129"/>
      <c r="IL17" s="129"/>
      <c r="IM17" s="129"/>
      <c r="IN17" s="129"/>
      <c r="IO17" s="129"/>
      <c r="IP17" s="129"/>
      <c r="IQ17" s="129"/>
      <c r="IR17" s="129"/>
      <c r="IS17" s="129"/>
      <c r="IT17" s="129"/>
      <c r="IU17" s="129"/>
      <c r="IV17" s="129"/>
      <c r="IW17" s="129"/>
      <c r="IX17" s="129"/>
      <c r="IY17" s="129"/>
      <c r="IZ17" s="129"/>
      <c r="JA17" s="129"/>
      <c r="JB17" s="129"/>
      <c r="JC17" s="129"/>
      <c r="JD17" s="129"/>
      <c r="JE17" s="129"/>
      <c r="JF17" s="129"/>
      <c r="JG17" s="129"/>
      <c r="JH17" s="129"/>
      <c r="JI17" s="129"/>
      <c r="JJ17" s="129"/>
      <c r="JK17" s="129"/>
      <c r="JL17" s="129"/>
      <c r="JM17" s="129"/>
      <c r="JN17" s="129"/>
      <c r="JO17" s="129"/>
      <c r="JP17" s="129"/>
      <c r="JQ17" s="129"/>
      <c r="JR17" s="129"/>
      <c r="JS17" s="129"/>
      <c r="JT17" s="129"/>
      <c r="JU17" s="129"/>
      <c r="JV17" s="129"/>
      <c r="JW17" s="129"/>
      <c r="JX17" s="129"/>
      <c r="JY17" s="129"/>
      <c r="JZ17" s="129"/>
      <c r="KA17" s="129"/>
      <c r="KB17" s="129"/>
      <c r="KC17" s="129"/>
      <c r="KD17" s="129"/>
      <c r="KE17" s="129"/>
      <c r="KF17" s="129"/>
      <c r="KG17" s="129"/>
      <c r="KH17" s="129"/>
      <c r="KI17" s="129"/>
      <c r="KJ17" s="129"/>
      <c r="KK17" s="129"/>
      <c r="KL17" s="129"/>
      <c r="KM17" s="129"/>
      <c r="KN17" s="129"/>
      <c r="KO17" s="129"/>
      <c r="KP17" s="129"/>
      <c r="KQ17" s="129"/>
      <c r="KR17" s="129"/>
      <c r="KS17" s="129"/>
      <c r="KT17" s="129"/>
      <c r="KU17" s="129"/>
      <c r="KV17" s="129"/>
      <c r="KW17" s="129"/>
      <c r="KX17" s="129"/>
      <c r="KY17" s="129"/>
      <c r="KZ17" s="129"/>
      <c r="LA17" s="129"/>
      <c r="LB17" s="129"/>
      <c r="LC17" s="129"/>
      <c r="LD17" s="129"/>
      <c r="LE17" s="129"/>
      <c r="LF17" s="129"/>
      <c r="LG17" s="129"/>
      <c r="LH17" s="129"/>
      <c r="LI17" s="129"/>
      <c r="LJ17" s="129"/>
      <c r="LK17" s="135"/>
      <c r="LL17" s="135"/>
      <c r="LM17" s="135"/>
      <c r="LN17" s="135"/>
      <c r="LO17" s="135"/>
      <c r="LP17" s="129"/>
      <c r="LQ17" s="129"/>
      <c r="LR17" s="129"/>
      <c r="LS17" s="129"/>
      <c r="LT17" s="129"/>
      <c r="LU17" s="135"/>
      <c r="LV17" s="135"/>
      <c r="LW17" s="135"/>
      <c r="LX17" s="135"/>
      <c r="LY17" s="135"/>
      <c r="LZ17" s="135"/>
      <c r="MA17" s="135"/>
      <c r="MB17" s="135"/>
      <c r="MC17" s="135"/>
      <c r="MD17" s="135"/>
      <c r="ME17" s="135"/>
      <c r="MF17" s="135"/>
      <c r="MG17" s="135"/>
      <c r="MH17" s="129"/>
      <c r="MI17" s="129"/>
      <c r="MJ17" s="129"/>
      <c r="MK17" s="129"/>
      <c r="ML17" s="129"/>
      <c r="MM17" s="129"/>
      <c r="MN17" s="129"/>
      <c r="MO17" s="129"/>
      <c r="MP17" s="129"/>
      <c r="MQ17" s="132"/>
      <c r="MR17" s="132"/>
      <c r="MS17" s="132"/>
      <c r="MT17" s="132"/>
      <c r="MU17" s="132"/>
      <c r="MV17" s="132"/>
      <c r="MW17" s="132"/>
      <c r="MX17" s="132"/>
      <c r="MY17" s="132"/>
      <c r="MZ17" s="129"/>
      <c r="NA17" s="129"/>
      <c r="NB17" s="135"/>
      <c r="NC17" s="135"/>
      <c r="ND17" s="135"/>
      <c r="NE17" s="135"/>
      <c r="NF17" s="135"/>
      <c r="NG17" s="129"/>
      <c r="NH17" s="129"/>
      <c r="NI17" s="129"/>
      <c r="NJ17" s="129"/>
      <c r="NK17" s="129"/>
      <c r="NL17" s="132"/>
      <c r="NM17" s="132"/>
      <c r="NN17" s="132"/>
      <c r="NO17" s="132"/>
      <c r="NP17" s="132"/>
      <c r="NQ17" s="129"/>
      <c r="NR17" s="129"/>
      <c r="NS17" s="129"/>
      <c r="NT17" s="129"/>
      <c r="NU17" s="129"/>
      <c r="NV17" s="129"/>
      <c r="NW17" s="129"/>
      <c r="NX17" s="129"/>
      <c r="NY17" s="129"/>
      <c r="NZ17" s="129"/>
      <c r="OA17" s="129"/>
      <c r="OB17" s="129"/>
      <c r="OC17" s="129"/>
      <c r="OD17" s="129"/>
      <c r="OE17" s="129"/>
      <c r="OF17" s="129"/>
      <c r="OG17" s="129"/>
      <c r="OH17" s="129"/>
      <c r="OI17" s="129"/>
      <c r="OJ17" s="129"/>
      <c r="OK17" s="129"/>
      <c r="OL17" s="129"/>
      <c r="OM17" s="129"/>
      <c r="ON17" s="129"/>
      <c r="OO17" s="129"/>
      <c r="OQ17" s="129"/>
      <c r="OR17" s="129"/>
      <c r="OS17" s="129"/>
      <c r="OT17" s="129"/>
      <c r="OU17" s="129"/>
      <c r="OV17" s="129"/>
      <c r="OW17" s="129"/>
      <c r="OX17" s="129"/>
      <c r="OY17" s="129"/>
      <c r="OZ17" s="129"/>
      <c r="PA17" s="129"/>
      <c r="PB17" s="129"/>
      <c r="PC17" s="129"/>
      <c r="PD17" s="129"/>
      <c r="PE17" s="129"/>
      <c r="PF17" s="129"/>
      <c r="PG17" s="129"/>
      <c r="PH17" s="129"/>
      <c r="PI17" s="129"/>
      <c r="PJ17" s="129"/>
      <c r="PK17" s="129"/>
      <c r="PL17" s="129"/>
      <c r="PM17" s="129"/>
      <c r="PN17" s="129"/>
      <c r="PO17" s="129"/>
      <c r="PP17" s="129"/>
      <c r="PQ17" s="129"/>
      <c r="PR17" s="129"/>
      <c r="PS17" s="129"/>
      <c r="PT17" s="129"/>
      <c r="PU17" s="129"/>
      <c r="PV17" s="129"/>
      <c r="PW17" s="129"/>
      <c r="PX17" s="129"/>
      <c r="PY17" s="129"/>
      <c r="PZ17" s="129"/>
      <c r="QA17" s="129"/>
      <c r="QB17" s="129"/>
      <c r="QC17" s="129"/>
      <c r="QD17" s="129"/>
      <c r="QE17" s="129"/>
      <c r="QF17" s="129"/>
      <c r="QG17" s="129"/>
      <c r="QH17" s="129"/>
      <c r="QI17" s="129"/>
      <c r="QJ17" s="129"/>
      <c r="QK17" s="129"/>
      <c r="QL17" s="129"/>
      <c r="QM17" s="129"/>
      <c r="QN17" s="129"/>
      <c r="QO17" s="129"/>
      <c r="QP17" s="129"/>
      <c r="QQ17" s="129"/>
      <c r="QR17" s="129"/>
      <c r="QS17" s="129"/>
      <c r="QT17" s="129"/>
      <c r="QU17" s="129"/>
      <c r="QV17" s="129"/>
      <c r="QW17" s="129"/>
      <c r="QX17" s="129"/>
      <c r="QY17" s="129"/>
      <c r="QZ17" s="129"/>
      <c r="RA17" s="129"/>
      <c r="RB17" s="129"/>
      <c r="RC17" s="129"/>
      <c r="RD17" s="128">
        <v>1250</v>
      </c>
      <c r="RE17" s="128">
        <v>1250</v>
      </c>
      <c r="RF17" s="129"/>
      <c r="RG17" s="129"/>
      <c r="RH17" s="129"/>
      <c r="RI17" s="129"/>
      <c r="RJ17" s="129"/>
      <c r="RK17" s="129"/>
      <c r="RL17" s="129"/>
      <c r="RM17" s="128">
        <v>1250</v>
      </c>
      <c r="RN17" s="129"/>
      <c r="RO17" s="129"/>
      <c r="RP17" s="129"/>
      <c r="RQ17" s="134">
        <v>1250</v>
      </c>
      <c r="RR17" s="134">
        <v>1250</v>
      </c>
      <c r="RS17" s="134"/>
      <c r="RT17" s="134"/>
      <c r="RU17" s="129"/>
      <c r="RV17" s="129"/>
      <c r="RW17" s="129"/>
      <c r="RX17" s="129"/>
      <c r="RY17" s="129"/>
      <c r="RZ17" s="129"/>
      <c r="SA17" s="129"/>
      <c r="SB17" s="129"/>
      <c r="SC17" s="129"/>
      <c r="SD17" s="129"/>
      <c r="SE17" s="129"/>
      <c r="SF17" s="129"/>
      <c r="SG17" s="129"/>
      <c r="SH17" s="129"/>
      <c r="SI17" s="129"/>
      <c r="SJ17" s="129"/>
      <c r="SK17" s="129"/>
      <c r="SL17" s="129"/>
      <c r="SM17" s="129"/>
      <c r="SN17" s="129"/>
      <c r="SO17" s="129"/>
      <c r="SP17" s="129"/>
      <c r="SQ17" s="129"/>
      <c r="SR17" s="129"/>
      <c r="SS17" s="129"/>
      <c r="ST17" s="129"/>
      <c r="SU17" s="129"/>
      <c r="SV17" s="129"/>
      <c r="SW17" s="129"/>
      <c r="SX17" s="129"/>
      <c r="SY17" s="129"/>
      <c r="SZ17" s="129"/>
      <c r="TA17" s="129"/>
      <c r="TB17" s="129"/>
      <c r="TC17" s="129"/>
      <c r="TD17" s="133"/>
      <c r="TE17" s="132"/>
      <c r="TF17" s="132"/>
      <c r="TG17" s="129"/>
      <c r="TH17" s="129"/>
      <c r="TI17" s="129"/>
      <c r="TJ17" s="129"/>
      <c r="TK17" s="128">
        <v>1250</v>
      </c>
      <c r="TL17" s="128">
        <v>1250</v>
      </c>
      <c r="TM17" s="129"/>
      <c r="TN17" s="129"/>
      <c r="TO17" s="129"/>
      <c r="TP17" s="129"/>
      <c r="TQ17" s="129"/>
      <c r="TR17" s="129"/>
      <c r="TS17" s="129"/>
      <c r="TT17" s="129"/>
      <c r="TU17" s="129"/>
      <c r="TV17" s="129"/>
      <c r="TW17" s="129"/>
      <c r="TX17" s="132">
        <v>1000</v>
      </c>
      <c r="TY17" s="132"/>
      <c r="TZ17" s="132"/>
      <c r="UA17" s="129"/>
      <c r="UB17" s="128">
        <v>1250</v>
      </c>
      <c r="UC17" s="128">
        <v>1250</v>
      </c>
      <c r="UD17" s="128">
        <v>1250</v>
      </c>
      <c r="UE17" s="128">
        <v>1250</v>
      </c>
      <c r="UF17" s="128">
        <v>1250</v>
      </c>
      <c r="UG17" s="128">
        <v>1250</v>
      </c>
      <c r="UH17" s="128">
        <v>1250</v>
      </c>
      <c r="UI17" s="128">
        <v>1250</v>
      </c>
      <c r="UJ17" s="129"/>
      <c r="UK17" s="129"/>
      <c r="UL17" s="129"/>
      <c r="UM17" s="129"/>
      <c r="UN17" s="129"/>
      <c r="UO17" s="129"/>
      <c r="UP17" s="129"/>
      <c r="UQ17" s="129"/>
      <c r="UR17" s="129"/>
      <c r="US17" s="129"/>
      <c r="UT17" s="129"/>
      <c r="UU17" s="129"/>
      <c r="UV17" s="129"/>
      <c r="UW17" s="129"/>
      <c r="UX17" s="129"/>
      <c r="UY17" s="129"/>
      <c r="UZ17" s="129"/>
      <c r="VA17" s="129"/>
      <c r="VB17" s="129"/>
      <c r="VC17" s="129"/>
      <c r="VD17" s="129"/>
      <c r="VE17" s="129"/>
      <c r="VF17" s="129"/>
      <c r="VG17" s="129"/>
      <c r="VH17" s="129"/>
      <c r="VI17" s="129"/>
      <c r="VJ17" s="129"/>
      <c r="VK17" s="129"/>
      <c r="VL17" s="132"/>
      <c r="VM17" s="132"/>
      <c r="VN17" s="132"/>
      <c r="VO17" s="132"/>
      <c r="VP17" s="129"/>
      <c r="VR17" s="131">
        <v>1250</v>
      </c>
      <c r="VS17" s="131">
        <v>1250</v>
      </c>
      <c r="VT17" s="131">
        <v>1250</v>
      </c>
      <c r="VU17" s="131">
        <v>1250</v>
      </c>
      <c r="VV17" s="131">
        <v>1250</v>
      </c>
      <c r="VW17" s="131">
        <v>1250</v>
      </c>
      <c r="VX17" s="131">
        <v>1250</v>
      </c>
      <c r="VY17" s="131">
        <v>1250</v>
      </c>
      <c r="VZ17" s="131">
        <v>1250</v>
      </c>
      <c r="WA17" s="131">
        <v>1250</v>
      </c>
      <c r="WB17" s="131">
        <v>1250</v>
      </c>
      <c r="WC17" s="131">
        <v>1250</v>
      </c>
      <c r="WD17" s="131">
        <v>1250</v>
      </c>
      <c r="WE17" s="131">
        <v>1250</v>
      </c>
      <c r="WF17" s="131">
        <v>1250</v>
      </c>
      <c r="WG17" s="131">
        <v>1250</v>
      </c>
      <c r="WH17" s="131">
        <v>1250</v>
      </c>
      <c r="WI17" s="131">
        <v>1250</v>
      </c>
      <c r="WJ17" s="131">
        <v>1250</v>
      </c>
      <c r="WK17" s="131">
        <v>1250</v>
      </c>
      <c r="WL17" s="131">
        <v>1250</v>
      </c>
      <c r="WM17" s="131">
        <v>1250</v>
      </c>
      <c r="WN17" s="131">
        <v>1250</v>
      </c>
      <c r="WO17" s="131">
        <v>1250</v>
      </c>
      <c r="WP17" s="131">
        <v>1250</v>
      </c>
      <c r="WQ17" s="131">
        <v>1250</v>
      </c>
      <c r="WR17" s="131">
        <v>1250</v>
      </c>
      <c r="WS17" s="131">
        <v>1250</v>
      </c>
      <c r="WT17" s="131">
        <v>1250</v>
      </c>
      <c r="WU17" s="131">
        <v>1250</v>
      </c>
      <c r="WV17" s="131">
        <v>1250</v>
      </c>
      <c r="WW17" s="131">
        <v>1250</v>
      </c>
      <c r="WX17" s="131">
        <v>1250</v>
      </c>
      <c r="WY17" s="131">
        <v>1250</v>
      </c>
      <c r="WZ17" s="131">
        <v>1250</v>
      </c>
      <c r="XA17" s="131">
        <v>1250</v>
      </c>
      <c r="XB17" s="131">
        <v>1250</v>
      </c>
      <c r="XC17" s="131">
        <v>1250</v>
      </c>
      <c r="XD17" s="131">
        <v>1250</v>
      </c>
      <c r="XE17" s="131">
        <v>1250</v>
      </c>
      <c r="XF17" s="131">
        <v>1250</v>
      </c>
      <c r="XG17" s="131">
        <v>1250</v>
      </c>
      <c r="XH17" s="131">
        <v>1250</v>
      </c>
      <c r="XI17" s="131">
        <v>1250</v>
      </c>
      <c r="XJ17" s="131">
        <v>1250</v>
      </c>
      <c r="XK17" s="131">
        <v>1250</v>
      </c>
      <c r="XL17" s="131">
        <v>1250</v>
      </c>
      <c r="XM17" s="131">
        <v>1250</v>
      </c>
      <c r="XN17" s="131">
        <v>1250</v>
      </c>
      <c r="XO17" s="131">
        <v>1250</v>
      </c>
      <c r="XP17" s="131">
        <v>1250</v>
      </c>
      <c r="XQ17" s="131">
        <v>1250</v>
      </c>
      <c r="XR17" s="131">
        <v>1250</v>
      </c>
      <c r="XS17" s="131">
        <v>1250</v>
      </c>
      <c r="XT17" s="131">
        <v>1250</v>
      </c>
      <c r="XU17" s="131">
        <v>1250</v>
      </c>
      <c r="XV17" s="131">
        <v>1250</v>
      </c>
      <c r="XW17" s="131">
        <v>1250</v>
      </c>
      <c r="XX17" s="131">
        <v>1250</v>
      </c>
      <c r="XY17" s="131">
        <v>1250</v>
      </c>
      <c r="XZ17" s="131">
        <v>1250</v>
      </c>
      <c r="YA17" s="131">
        <v>1250</v>
      </c>
      <c r="YB17" s="131">
        <v>1250</v>
      </c>
      <c r="YC17" s="131">
        <v>1250</v>
      </c>
      <c r="YD17" s="131">
        <v>1250</v>
      </c>
      <c r="YE17" s="131">
        <v>1250</v>
      </c>
      <c r="YF17" s="131">
        <v>1250</v>
      </c>
      <c r="YG17" s="131">
        <v>1250</v>
      </c>
      <c r="YH17" s="131">
        <v>1250</v>
      </c>
      <c r="YI17" s="131">
        <v>1250</v>
      </c>
      <c r="YJ17" s="131">
        <v>1250</v>
      </c>
      <c r="YK17" s="131">
        <v>1250</v>
      </c>
      <c r="YL17" s="131">
        <v>1250</v>
      </c>
      <c r="YM17" s="131">
        <v>1250</v>
      </c>
      <c r="YN17" s="131">
        <v>1250</v>
      </c>
      <c r="YO17" s="131">
        <v>1250</v>
      </c>
      <c r="YP17" s="131">
        <v>1250</v>
      </c>
      <c r="YQ17" s="131">
        <v>1250</v>
      </c>
      <c r="YR17" s="131">
        <v>1250</v>
      </c>
      <c r="YS17" s="131">
        <v>1250</v>
      </c>
      <c r="YT17" s="131">
        <v>1250</v>
      </c>
      <c r="YU17" s="131">
        <v>1250</v>
      </c>
      <c r="YV17" s="131">
        <v>1250</v>
      </c>
      <c r="YW17" s="131">
        <v>1250</v>
      </c>
      <c r="YX17" s="131">
        <v>1250</v>
      </c>
      <c r="YY17" s="131">
        <v>1250</v>
      </c>
      <c r="YZ17" s="131">
        <v>1250</v>
      </c>
      <c r="ZA17" s="131">
        <v>1250</v>
      </c>
      <c r="ZB17" s="131">
        <v>1250</v>
      </c>
      <c r="ZC17" s="131">
        <v>1250</v>
      </c>
      <c r="ZD17" s="131">
        <v>1250</v>
      </c>
      <c r="ZE17" s="131">
        <v>1250</v>
      </c>
      <c r="ZF17" s="131">
        <v>1250</v>
      </c>
      <c r="ZG17" s="131">
        <v>1250</v>
      </c>
      <c r="ZH17" s="131">
        <v>1250</v>
      </c>
      <c r="ZI17" s="131">
        <v>1250</v>
      </c>
      <c r="ZJ17" s="131">
        <v>1250</v>
      </c>
      <c r="ZK17" s="131">
        <v>1250</v>
      </c>
      <c r="ZL17" s="131">
        <v>1250</v>
      </c>
      <c r="ZM17" s="131">
        <v>1250</v>
      </c>
      <c r="ZN17" s="131">
        <v>1250</v>
      </c>
      <c r="ZO17" s="131">
        <v>1250</v>
      </c>
      <c r="ZP17" s="131">
        <v>1250</v>
      </c>
      <c r="ZQ17" s="131">
        <v>1250</v>
      </c>
      <c r="ZR17" s="131">
        <v>1250</v>
      </c>
      <c r="ZS17" s="131">
        <v>1250</v>
      </c>
      <c r="ZT17" s="131">
        <v>1250</v>
      </c>
      <c r="ZU17" s="131">
        <v>1250</v>
      </c>
      <c r="ZV17" s="131">
        <v>1250</v>
      </c>
      <c r="ZW17" s="131">
        <v>1250</v>
      </c>
      <c r="ZX17" s="131">
        <v>1250</v>
      </c>
      <c r="ZY17" s="131">
        <v>1250</v>
      </c>
      <c r="ZZ17" s="131">
        <v>1250</v>
      </c>
      <c r="AAA17" s="131">
        <v>1250</v>
      </c>
      <c r="AAB17" s="131">
        <v>1250</v>
      </c>
      <c r="AAC17" s="131">
        <v>1250</v>
      </c>
      <c r="AAD17" s="131">
        <v>1250</v>
      </c>
      <c r="AAE17" s="131">
        <v>1250</v>
      </c>
      <c r="AAF17" s="131">
        <v>1250</v>
      </c>
      <c r="AAG17" s="131">
        <v>1250</v>
      </c>
      <c r="AAH17" s="131">
        <v>1250</v>
      </c>
      <c r="AAJ17" s="131"/>
      <c r="AAK17" s="131"/>
      <c r="AAL17" s="131"/>
      <c r="AAM17" s="131">
        <v>1250</v>
      </c>
      <c r="AAN17" s="131">
        <v>1250</v>
      </c>
      <c r="AAO17" s="131">
        <v>1250</v>
      </c>
      <c r="AAP17" s="131">
        <v>1250</v>
      </c>
      <c r="AAQ17" s="131">
        <v>1250</v>
      </c>
      <c r="AAR17" s="131">
        <v>1250</v>
      </c>
      <c r="AAS17" s="131">
        <v>1250</v>
      </c>
      <c r="AAT17" s="131">
        <v>1250</v>
      </c>
      <c r="AAU17" s="131">
        <v>1250</v>
      </c>
      <c r="AAV17" s="131">
        <v>1250</v>
      </c>
      <c r="AAW17" s="131">
        <v>1250</v>
      </c>
      <c r="AAX17" s="131">
        <v>1250</v>
      </c>
      <c r="AAY17" s="131">
        <v>1250</v>
      </c>
      <c r="AAZ17" s="131">
        <v>1250</v>
      </c>
      <c r="ABA17" s="131">
        <v>1250</v>
      </c>
      <c r="ABB17" s="131">
        <v>1250</v>
      </c>
      <c r="ABC17" s="131">
        <v>1250</v>
      </c>
      <c r="ABD17" s="131">
        <v>1250</v>
      </c>
      <c r="ABE17" s="131">
        <v>1250</v>
      </c>
      <c r="ABF17" s="131">
        <v>1250</v>
      </c>
      <c r="ABG17" s="131">
        <v>1250</v>
      </c>
      <c r="ABH17" s="131">
        <v>1250</v>
      </c>
      <c r="ABI17" s="131">
        <v>1250</v>
      </c>
      <c r="ABJ17" s="131">
        <v>1250</v>
      </c>
      <c r="ABK17" s="131">
        <v>1250</v>
      </c>
      <c r="ABL17" s="131">
        <v>1250</v>
      </c>
      <c r="ABM17" s="131">
        <v>1250</v>
      </c>
      <c r="ABN17" s="131">
        <v>1250</v>
      </c>
      <c r="ABO17" s="131">
        <v>1250</v>
      </c>
      <c r="ABP17" s="131">
        <v>1250</v>
      </c>
      <c r="ABQ17" s="131">
        <v>1250</v>
      </c>
      <c r="ABR17" s="131">
        <v>1250</v>
      </c>
      <c r="ABS17" s="131">
        <v>1250</v>
      </c>
      <c r="ABT17" s="131">
        <v>1250</v>
      </c>
      <c r="ABU17" s="131">
        <v>1250</v>
      </c>
      <c r="ABV17" s="131">
        <v>1250</v>
      </c>
      <c r="ABW17" s="131">
        <v>1250</v>
      </c>
      <c r="ABX17" s="131">
        <v>1250</v>
      </c>
      <c r="ABY17" s="131">
        <v>1250</v>
      </c>
      <c r="ABZ17" s="131">
        <v>1250</v>
      </c>
      <c r="ACA17" s="131">
        <v>1250</v>
      </c>
      <c r="ACB17" s="131">
        <v>1250</v>
      </c>
      <c r="ACC17" s="131">
        <v>1250</v>
      </c>
      <c r="ACD17" s="131">
        <v>1250</v>
      </c>
      <c r="ACE17" s="131">
        <v>1250</v>
      </c>
      <c r="ACF17" s="131">
        <v>1250</v>
      </c>
      <c r="ACG17" s="131">
        <v>1250</v>
      </c>
      <c r="ACH17" s="131">
        <v>1250</v>
      </c>
      <c r="ACI17" s="131">
        <v>1250</v>
      </c>
      <c r="ACJ17" s="131">
        <v>1250</v>
      </c>
      <c r="ACK17" s="131">
        <v>1250</v>
      </c>
      <c r="ACL17" s="131">
        <v>1250</v>
      </c>
      <c r="ACM17" s="131">
        <v>1250</v>
      </c>
      <c r="ACN17" s="131">
        <v>1250</v>
      </c>
      <c r="ACO17" s="131">
        <v>1250</v>
      </c>
      <c r="ACP17" s="131">
        <v>1250</v>
      </c>
      <c r="ACQ17" s="131">
        <v>1250</v>
      </c>
      <c r="ACR17" s="131">
        <v>1250</v>
      </c>
      <c r="ACS17" s="131">
        <v>1250</v>
      </c>
      <c r="ACT17" s="131">
        <v>1250</v>
      </c>
      <c r="ACU17" s="131">
        <v>1250</v>
      </c>
      <c r="ACV17" s="131">
        <v>1250</v>
      </c>
      <c r="ACW17" s="131">
        <v>1250</v>
      </c>
      <c r="ACX17" s="131">
        <v>1250</v>
      </c>
      <c r="ACY17" s="131">
        <v>1250</v>
      </c>
      <c r="ACZ17" s="131">
        <v>1250</v>
      </c>
      <c r="ADA17" s="131">
        <v>1250</v>
      </c>
      <c r="ADB17" s="131">
        <v>1250</v>
      </c>
      <c r="ADC17" s="131">
        <v>1250</v>
      </c>
      <c r="ADD17" s="131">
        <v>1250</v>
      </c>
      <c r="ADE17" s="131">
        <v>1250</v>
      </c>
      <c r="ADF17" s="131">
        <v>1250</v>
      </c>
      <c r="ADG17" s="131">
        <v>1250</v>
      </c>
      <c r="ADH17" s="131">
        <v>1250</v>
      </c>
      <c r="ADI17" s="131">
        <v>1250</v>
      </c>
      <c r="ADJ17" s="131">
        <v>1250</v>
      </c>
      <c r="ADK17" s="131">
        <v>1250</v>
      </c>
      <c r="ADL17" s="131">
        <v>1250</v>
      </c>
      <c r="ADM17" s="131">
        <v>1250</v>
      </c>
      <c r="ADN17" s="131">
        <v>1250</v>
      </c>
      <c r="ADO17" s="131">
        <v>1250</v>
      </c>
      <c r="ADP17" s="131">
        <v>1250</v>
      </c>
      <c r="ADQ17" s="131">
        <v>1250</v>
      </c>
      <c r="ADR17" s="131">
        <v>1250</v>
      </c>
      <c r="ADS17" s="131">
        <v>1250</v>
      </c>
      <c r="ADT17" s="131">
        <v>1250</v>
      </c>
      <c r="ADU17" s="131">
        <v>1250</v>
      </c>
      <c r="ADV17" s="131">
        <v>1250</v>
      </c>
      <c r="ADW17" s="131">
        <v>1250</v>
      </c>
      <c r="ADX17" s="131">
        <v>1250</v>
      </c>
      <c r="ADY17" s="131">
        <v>1250</v>
      </c>
      <c r="ADZ17" s="131">
        <v>1250</v>
      </c>
      <c r="AEA17" s="131">
        <v>1250</v>
      </c>
      <c r="AEB17" s="131">
        <v>1250</v>
      </c>
      <c r="AEC17" s="131">
        <v>1250</v>
      </c>
      <c r="AED17" s="131">
        <v>1250</v>
      </c>
      <c r="AEE17" s="131">
        <v>1250</v>
      </c>
      <c r="AEF17" s="131">
        <v>1250</v>
      </c>
      <c r="AEG17" s="131">
        <v>1250</v>
      </c>
      <c r="AEH17" s="131">
        <v>1250</v>
      </c>
      <c r="AEI17" s="131">
        <v>1250</v>
      </c>
      <c r="AEJ17" s="131">
        <v>1250</v>
      </c>
      <c r="AEK17" s="131">
        <v>1250</v>
      </c>
      <c r="AEL17" s="131">
        <v>1250</v>
      </c>
      <c r="AEM17" s="131">
        <v>1250</v>
      </c>
      <c r="AEN17" s="131">
        <v>1250</v>
      </c>
      <c r="AEO17" s="131">
        <v>1250</v>
      </c>
      <c r="AEP17" s="131">
        <v>1250</v>
      </c>
      <c r="AEQ17" s="131">
        <v>1250</v>
      </c>
      <c r="AER17" s="131">
        <v>1250</v>
      </c>
      <c r="AES17" s="131">
        <v>1250</v>
      </c>
      <c r="AET17" s="131">
        <v>1250</v>
      </c>
      <c r="AEU17" s="131">
        <v>1250</v>
      </c>
      <c r="AEV17" s="131">
        <v>1250</v>
      </c>
      <c r="AEW17" s="131">
        <v>1250</v>
      </c>
      <c r="AEX17" s="131">
        <v>1250</v>
      </c>
      <c r="AEY17" s="131">
        <v>1250</v>
      </c>
      <c r="AEZ17" s="131">
        <v>1250</v>
      </c>
      <c r="AFA17" s="131">
        <v>1250</v>
      </c>
      <c r="AFB17" s="131">
        <v>1250</v>
      </c>
      <c r="AFC17" s="131">
        <v>1250</v>
      </c>
      <c r="AFD17" s="131">
        <v>1250</v>
      </c>
      <c r="AFE17" s="131">
        <v>1250</v>
      </c>
      <c r="AFF17" s="131">
        <v>1250</v>
      </c>
      <c r="AFG17" s="131">
        <v>1250</v>
      </c>
      <c r="AFH17" s="131">
        <v>1250</v>
      </c>
      <c r="AFI17" s="131">
        <v>1250</v>
      </c>
      <c r="AFJ17" s="131">
        <v>1250</v>
      </c>
      <c r="AFK17" s="131">
        <v>1250</v>
      </c>
      <c r="AFL17" s="129"/>
      <c r="AFN17" s="129"/>
      <c r="AFO17" s="129"/>
      <c r="AFP17" s="129"/>
      <c r="AFQ17" s="129"/>
      <c r="AFR17" s="129"/>
      <c r="AFS17" s="129"/>
      <c r="AFT17" s="129"/>
      <c r="AFU17" s="129"/>
      <c r="AFV17" s="129"/>
      <c r="AFW17" s="129"/>
      <c r="AFX17" s="129"/>
      <c r="AFY17" s="129"/>
      <c r="AFZ17" s="129"/>
      <c r="AGA17" s="129"/>
      <c r="AGB17" s="129"/>
      <c r="AGC17" s="129"/>
      <c r="AGD17" s="129"/>
      <c r="AGE17" s="129"/>
      <c r="AGF17" s="129"/>
      <c r="AGG17" s="129"/>
      <c r="AGH17" s="129"/>
      <c r="AGI17" s="129"/>
      <c r="AGJ17" s="129"/>
      <c r="AGK17" s="129"/>
      <c r="AGL17" s="129"/>
      <c r="AGM17" s="129"/>
      <c r="AGN17" s="129"/>
      <c r="AGO17" s="129"/>
      <c r="AGP17" s="129"/>
      <c r="AGQ17" s="129"/>
      <c r="AGR17" s="129"/>
      <c r="AGS17" s="129"/>
      <c r="AGT17" s="129"/>
      <c r="AGU17" s="129"/>
      <c r="AGV17" s="129"/>
      <c r="AGW17" s="129"/>
      <c r="AGX17" s="129"/>
      <c r="AGY17" s="129"/>
      <c r="AGZ17" s="129"/>
      <c r="AHA17" s="129"/>
      <c r="AHB17" s="129"/>
      <c r="AHC17" s="129"/>
      <c r="AHD17" s="129"/>
      <c r="AHE17" s="129"/>
      <c r="AHF17" s="129"/>
      <c r="AHG17" s="129"/>
      <c r="AHH17" s="129"/>
      <c r="AHI17" s="129"/>
      <c r="AHJ17" s="129"/>
      <c r="AHK17" s="129"/>
      <c r="AHL17" s="129"/>
      <c r="AHM17" s="129"/>
      <c r="AHN17" s="129"/>
      <c r="AHO17" s="129"/>
      <c r="AHP17" s="129"/>
      <c r="AHQ17" s="129"/>
      <c r="AHR17" s="129"/>
      <c r="AHS17" s="129"/>
      <c r="AHT17" s="129"/>
      <c r="AHU17" s="129"/>
      <c r="AHV17" s="129"/>
      <c r="AHW17" s="129"/>
      <c r="AHX17" s="129"/>
      <c r="AHY17" s="129"/>
      <c r="AHZ17" s="129"/>
      <c r="AIA17" s="129"/>
      <c r="AIB17" s="129"/>
      <c r="AIC17" s="129"/>
      <c r="AID17" s="129"/>
      <c r="AIE17" s="129"/>
      <c r="AIF17" s="129"/>
      <c r="AIG17" s="129"/>
      <c r="AIH17" s="129"/>
      <c r="AII17" s="129"/>
      <c r="AIJ17" s="129"/>
      <c r="AIK17" s="129"/>
      <c r="AIL17" s="129"/>
      <c r="AIM17" s="129"/>
      <c r="AIN17" s="129"/>
      <c r="AIO17" s="129"/>
      <c r="AIP17" s="129"/>
      <c r="AIQ17" s="129"/>
      <c r="AIR17" s="129"/>
      <c r="AIS17" s="129"/>
      <c r="AIT17" s="129"/>
      <c r="AIU17" s="129"/>
      <c r="AIV17" s="129"/>
      <c r="AIW17" s="129"/>
      <c r="AIX17" s="129"/>
      <c r="AIY17" s="129"/>
      <c r="AIZ17" s="129"/>
      <c r="AJA17" s="129"/>
      <c r="AJB17" s="129"/>
      <c r="AJC17" s="129"/>
      <c r="AJD17" s="129"/>
      <c r="AJE17" s="129"/>
      <c r="AJF17" s="129"/>
      <c r="AJG17" s="129"/>
      <c r="AJH17" s="129"/>
      <c r="AJI17" s="129"/>
      <c r="AJJ17" s="129"/>
      <c r="AJK17" s="129"/>
      <c r="AJL17" s="129"/>
      <c r="AJM17" s="129"/>
      <c r="AJN17" s="129"/>
      <c r="AJO17" s="129"/>
      <c r="AJP17" s="129"/>
      <c r="AJQ17" s="129"/>
      <c r="AJR17" s="129"/>
      <c r="AJS17" s="129"/>
      <c r="AJT17" s="129"/>
      <c r="AJU17" s="129"/>
      <c r="AJV17" s="129"/>
      <c r="AJW17" s="129"/>
      <c r="AJX17" s="129"/>
      <c r="AJY17" s="129"/>
      <c r="AJZ17" s="129"/>
      <c r="AKA17" s="129"/>
      <c r="AKB17" s="129"/>
      <c r="AKC17" s="129"/>
      <c r="AKD17" s="129"/>
      <c r="AKE17" s="129"/>
      <c r="AKF17" s="129"/>
      <c r="AKG17" s="129"/>
      <c r="AKH17" s="129"/>
      <c r="AKI17" s="129"/>
      <c r="AKJ17" s="129"/>
      <c r="AKK17" s="129"/>
      <c r="AKL17" s="129"/>
      <c r="AKM17" s="129"/>
      <c r="AKN17" s="129"/>
      <c r="AKO17" s="129"/>
      <c r="AKP17" s="129"/>
      <c r="AKQ17" s="129"/>
      <c r="AKR17" s="129"/>
      <c r="AKS17" s="129"/>
      <c r="AKT17" s="129"/>
      <c r="AKU17" s="129"/>
      <c r="AKV17" s="129"/>
      <c r="AKW17" s="129"/>
      <c r="AKX17" s="129"/>
      <c r="AKY17" s="129"/>
      <c r="AKZ17" s="129"/>
      <c r="ALA17" s="129"/>
      <c r="ALB17" s="129"/>
      <c r="ALC17" s="129"/>
      <c r="ALD17" s="129"/>
      <c r="ALE17" s="129"/>
      <c r="ALF17" s="129"/>
      <c r="ALG17" s="129"/>
      <c r="ALH17" s="129"/>
      <c r="ALI17" s="129"/>
      <c r="ALJ17" s="129"/>
      <c r="ALK17" s="129"/>
      <c r="ALL17" s="129"/>
      <c r="ALM17" s="129"/>
      <c r="ALN17" s="129"/>
      <c r="ALO17" s="129"/>
      <c r="ALP17" s="129"/>
      <c r="ALQ17" s="129"/>
      <c r="ALR17" s="129"/>
      <c r="ALS17" s="129"/>
      <c r="ALT17" s="129"/>
      <c r="ALU17" s="129"/>
      <c r="ALV17" s="129"/>
      <c r="ALW17" s="129"/>
      <c r="ALX17" s="129"/>
      <c r="ALY17" s="129"/>
      <c r="ALZ17" s="129"/>
      <c r="AMA17" s="129"/>
      <c r="AMB17" s="129"/>
      <c r="AMC17" s="129"/>
      <c r="AMD17" s="129"/>
      <c r="AME17" s="129"/>
      <c r="AMF17" s="129"/>
      <c r="AMG17" s="129"/>
      <c r="AMH17" s="129"/>
      <c r="AMI17" s="129"/>
      <c r="AMJ17" s="129"/>
      <c r="AMK17" s="129"/>
      <c r="AML17" s="129"/>
      <c r="AMM17" s="129"/>
      <c r="AMN17" s="129"/>
      <c r="AMO17" s="129"/>
      <c r="AMP17" s="129"/>
      <c r="AMQ17" s="129"/>
      <c r="AMR17" s="129"/>
      <c r="AMS17" s="129"/>
      <c r="AMT17" s="129"/>
      <c r="AMU17" s="129"/>
      <c r="AMV17" s="129"/>
      <c r="AMW17" s="129"/>
      <c r="AMX17" s="129"/>
      <c r="AMY17" s="129"/>
      <c r="AMZ17" s="129"/>
      <c r="ANA17" s="129"/>
      <c r="ANB17" s="129"/>
      <c r="ANC17" s="129"/>
      <c r="AND17" s="129"/>
      <c r="ANE17" s="129"/>
      <c r="ANF17" s="129"/>
      <c r="ANG17" s="129"/>
      <c r="ANH17" s="129"/>
      <c r="ANI17" s="129"/>
      <c r="ANJ17" s="129"/>
      <c r="ANK17" s="129"/>
      <c r="ANL17" s="129"/>
      <c r="ANM17" s="129"/>
      <c r="ANN17" s="129"/>
      <c r="ANO17" s="129"/>
      <c r="ANP17" s="129"/>
      <c r="ANQ17" s="129"/>
      <c r="ANR17" s="129"/>
      <c r="ANS17" s="129"/>
      <c r="ANT17" s="129"/>
      <c r="ANU17" s="129"/>
      <c r="ANV17" s="129"/>
      <c r="ANW17" s="129"/>
      <c r="ANX17" s="129"/>
      <c r="ANY17" s="129"/>
      <c r="ANZ17" s="129"/>
      <c r="AOA17" s="129"/>
      <c r="AOB17" s="129"/>
      <c r="AOC17" s="129"/>
      <c r="AOD17" s="129"/>
      <c r="AOE17" s="129"/>
      <c r="AOF17" s="129"/>
      <c r="AOG17" s="129"/>
      <c r="AOH17" s="129"/>
      <c r="AOI17" s="129"/>
      <c r="AOJ17" s="129"/>
      <c r="AOK17" s="129"/>
      <c r="AOL17" s="129"/>
      <c r="AOM17" s="129"/>
      <c r="AON17" s="129"/>
      <c r="AOO17" s="129"/>
      <c r="AOP17" s="129"/>
      <c r="AOQ17" s="129"/>
      <c r="AOR17" s="129"/>
      <c r="AOS17" s="129"/>
      <c r="AOT17" s="129"/>
      <c r="AOU17" s="129"/>
      <c r="AOV17" s="129"/>
      <c r="AOW17" s="129"/>
      <c r="AOX17" s="129"/>
      <c r="AOY17" s="129"/>
      <c r="AOZ17" s="129"/>
      <c r="APA17" s="129"/>
      <c r="APB17" s="129"/>
      <c r="APC17" s="129"/>
      <c r="APD17" s="129"/>
      <c r="APE17" s="129"/>
      <c r="APF17" s="129"/>
      <c r="APG17" s="129"/>
      <c r="APH17" s="129"/>
      <c r="API17" s="129"/>
      <c r="APJ17" s="129"/>
      <c r="APK17" s="129"/>
      <c r="APL17" s="129"/>
      <c r="APM17" s="129"/>
      <c r="APN17" s="129"/>
      <c r="APO17" s="130"/>
      <c r="APP17" s="130"/>
      <c r="APQ17" s="130"/>
      <c r="APR17" s="130"/>
      <c r="APS17" s="130"/>
      <c r="APT17" s="130"/>
      <c r="APU17" s="130"/>
      <c r="APV17" s="130"/>
      <c r="APW17" s="130"/>
      <c r="APX17" s="130"/>
      <c r="APY17" s="130"/>
      <c r="APZ17" s="130"/>
      <c r="AQA17" s="130"/>
      <c r="AQB17" s="130"/>
      <c r="AQC17" s="130"/>
      <c r="AQD17" s="130"/>
      <c r="AQE17" s="130"/>
      <c r="AQF17" s="130"/>
      <c r="AQG17" s="130"/>
      <c r="AQH17" s="130"/>
      <c r="AQI17" s="130"/>
      <c r="AQJ17" s="130"/>
      <c r="AQK17" s="130"/>
      <c r="AQL17" s="130"/>
      <c r="AQM17" s="130"/>
      <c r="AQN17" s="130"/>
      <c r="AQO17" s="130"/>
      <c r="AQP17" s="130"/>
      <c r="AQQ17" s="130"/>
      <c r="AQR17" s="130"/>
      <c r="AQS17" s="130"/>
      <c r="AQT17" s="130"/>
      <c r="AQU17" s="130"/>
      <c r="AQV17" s="130"/>
      <c r="AQW17" s="130"/>
      <c r="AQX17" s="130"/>
      <c r="AQY17" s="130"/>
      <c r="AQZ17" s="130"/>
      <c r="ARA17" s="130"/>
      <c r="ARB17" s="130"/>
      <c r="ARC17" s="130"/>
      <c r="ARD17" s="130"/>
      <c r="ARE17" s="130"/>
      <c r="ARF17" s="130"/>
      <c r="ARG17" s="130"/>
      <c r="ARH17" s="130"/>
      <c r="ARI17" s="130"/>
      <c r="ARJ17" s="130"/>
      <c r="ARK17" s="130"/>
      <c r="ARL17" s="130"/>
      <c r="ARM17" s="130"/>
      <c r="ARN17" s="130"/>
      <c r="ARO17" s="130"/>
      <c r="ARP17" s="130"/>
      <c r="ARQ17" s="130"/>
      <c r="ARR17" s="130"/>
      <c r="ARS17" s="130"/>
      <c r="ART17" s="130"/>
      <c r="ARU17" s="130"/>
      <c r="ARV17" s="130"/>
      <c r="ARW17" s="130"/>
      <c r="ARX17" s="130"/>
      <c r="ARY17" s="130"/>
      <c r="ARZ17" s="130"/>
      <c r="ASA17" s="130"/>
      <c r="ASB17" s="130"/>
      <c r="ASC17" s="130"/>
      <c r="ASD17" s="130"/>
      <c r="ASE17" s="130"/>
      <c r="ASF17" s="130"/>
      <c r="ASG17" s="130"/>
      <c r="ASH17" s="130"/>
      <c r="ASI17" s="130"/>
      <c r="ASJ17" s="130"/>
      <c r="ASK17" s="130"/>
      <c r="ASL17" s="130"/>
      <c r="ASM17" s="130"/>
      <c r="ASN17" s="130"/>
      <c r="ASO17" s="130"/>
      <c r="ASP17" s="130"/>
      <c r="ASQ17" s="130"/>
      <c r="ASR17" s="130"/>
      <c r="ASS17" s="130"/>
      <c r="AST17" s="130"/>
      <c r="ASU17" s="130"/>
      <c r="ASV17" s="130"/>
      <c r="ASW17" s="130"/>
      <c r="ASX17" s="129"/>
      <c r="ASY17" s="129"/>
      <c r="ASZ17" s="129"/>
      <c r="ATA17" s="129"/>
      <c r="ATB17" s="129"/>
      <c r="ATC17" s="129"/>
      <c r="ATD17" s="129"/>
      <c r="ATE17" s="129"/>
      <c r="ATF17" s="129"/>
      <c r="ATG17" s="129"/>
      <c r="ATH17" s="129"/>
      <c r="ATI17" s="129"/>
      <c r="ATJ17" s="129"/>
      <c r="ATK17" s="129"/>
      <c r="ATL17" s="129"/>
      <c r="ATM17" s="129"/>
      <c r="ATN17" s="129"/>
      <c r="ATO17" s="129"/>
      <c r="ATP17" s="129"/>
      <c r="ATQ17" s="129"/>
      <c r="ATR17" s="129"/>
      <c r="ATS17" s="129"/>
      <c r="ATT17" s="129"/>
      <c r="ATU17" s="129"/>
      <c r="ATV17" s="129"/>
      <c r="ATW17" s="129"/>
      <c r="ATX17" s="129"/>
      <c r="ATY17" s="129"/>
      <c r="ATZ17" s="129"/>
      <c r="AUA17" s="129"/>
      <c r="AUB17" s="129"/>
      <c r="AUC17" s="129"/>
      <c r="AUD17" s="129"/>
      <c r="AUE17" s="129"/>
      <c r="AUF17" s="129"/>
      <c r="AUG17" s="129"/>
      <c r="AUH17" s="129"/>
      <c r="AUI17" s="129"/>
      <c r="AUJ17" s="129"/>
      <c r="AUK17" s="129"/>
      <c r="AUL17" s="129"/>
      <c r="AUM17" s="129"/>
      <c r="AUN17" s="129"/>
      <c r="AUO17" s="129"/>
      <c r="AUP17" s="129"/>
      <c r="AUQ17" s="129"/>
      <c r="AUR17" s="129"/>
      <c r="AUS17" s="129"/>
      <c r="AUT17" s="129"/>
      <c r="AUU17" s="129"/>
      <c r="AUV17" s="129"/>
      <c r="AUW17" s="129"/>
      <c r="AUX17" s="129"/>
      <c r="AUY17" s="129"/>
      <c r="AUZ17" s="129"/>
      <c r="AVA17" s="129"/>
      <c r="AVB17" s="129"/>
      <c r="AVC17" s="129"/>
      <c r="AVD17" s="129"/>
      <c r="AVE17" s="129"/>
      <c r="AVF17" s="129"/>
      <c r="AVG17" s="129"/>
      <c r="AVH17" s="129"/>
    </row>
    <row r="18" spans="1:1296" s="172" customFormat="1" ht="38.25" outlineLevel="1">
      <c r="A18" s="137" t="s">
        <v>197</v>
      </c>
      <c r="B18" s="139" t="s">
        <v>208</v>
      </c>
      <c r="C18" s="139" t="s">
        <v>209</v>
      </c>
      <c r="D18" s="139" t="s">
        <v>210</v>
      </c>
      <c r="E18" s="137">
        <v>41</v>
      </c>
      <c r="F18" s="138" t="s">
        <v>85</v>
      </c>
      <c r="G18" s="136" t="s">
        <v>11</v>
      </c>
      <c r="H18" s="136" t="s">
        <v>366</v>
      </c>
      <c r="I18" s="136" t="s">
        <v>366</v>
      </c>
      <c r="J18" s="136" t="s">
        <v>366</v>
      </c>
      <c r="K18" s="136" t="s">
        <v>13</v>
      </c>
      <c r="L18" s="136" t="s">
        <v>366</v>
      </c>
      <c r="M18" s="136"/>
      <c r="N18" s="136" t="s">
        <v>366</v>
      </c>
      <c r="O18" s="138"/>
      <c r="U18" s="129"/>
      <c r="V18" s="129"/>
      <c r="BY18" s="129"/>
      <c r="BZ18" s="129"/>
      <c r="CA18" s="129"/>
      <c r="CC18" s="129"/>
      <c r="CD18" s="129"/>
      <c r="CF18" s="129"/>
      <c r="CG18" s="129"/>
      <c r="CH18" s="129"/>
      <c r="CI18" s="129"/>
      <c r="CJ18" s="129"/>
      <c r="CK18" s="129"/>
      <c r="CM18" s="129"/>
      <c r="CN18" s="129"/>
      <c r="CP18" s="129"/>
      <c r="CQ18" s="129"/>
      <c r="HS18" s="129"/>
      <c r="HT18" s="129"/>
      <c r="HU18" s="129"/>
      <c r="HV18" s="129"/>
      <c r="HW18" s="129"/>
      <c r="HX18" s="129"/>
      <c r="HY18" s="129"/>
      <c r="HZ18" s="129"/>
      <c r="IA18" s="129"/>
      <c r="IB18" s="129"/>
      <c r="IC18" s="129"/>
      <c r="ID18" s="129"/>
      <c r="IE18" s="129"/>
      <c r="IF18" s="129"/>
      <c r="IH18" s="129"/>
      <c r="II18" s="129"/>
      <c r="IJ18" s="129"/>
      <c r="IK18" s="129"/>
      <c r="IL18" s="129"/>
      <c r="IM18" s="129"/>
      <c r="IN18" s="129"/>
      <c r="IO18" s="129"/>
      <c r="IP18" s="129"/>
      <c r="IQ18" s="129"/>
      <c r="IR18" s="129"/>
      <c r="IS18" s="129"/>
      <c r="IT18" s="129"/>
      <c r="IU18" s="129"/>
      <c r="IV18" s="129"/>
      <c r="IW18" s="129"/>
      <c r="IX18" s="129"/>
      <c r="IY18" s="129"/>
      <c r="IZ18" s="129"/>
      <c r="JA18" s="129"/>
      <c r="JB18" s="129"/>
      <c r="JC18" s="129"/>
      <c r="JD18" s="129"/>
      <c r="JE18" s="129"/>
      <c r="JF18" s="129"/>
      <c r="JG18" s="129"/>
      <c r="JH18" s="129"/>
      <c r="JI18" s="129"/>
      <c r="JJ18" s="129"/>
      <c r="JK18" s="129"/>
      <c r="JL18" s="129"/>
      <c r="JM18" s="129"/>
      <c r="JN18" s="129"/>
      <c r="JO18" s="129"/>
      <c r="JP18" s="129"/>
      <c r="JQ18" s="129"/>
      <c r="JR18" s="129"/>
      <c r="JS18" s="129"/>
      <c r="JT18" s="129"/>
      <c r="JU18" s="129"/>
      <c r="JV18" s="129"/>
      <c r="JW18" s="129"/>
      <c r="JX18" s="129"/>
      <c r="JY18" s="129"/>
      <c r="JZ18" s="129"/>
      <c r="KA18" s="129"/>
      <c r="KB18" s="129"/>
      <c r="KC18" s="129"/>
      <c r="KD18" s="129"/>
      <c r="KE18" s="129"/>
      <c r="KF18" s="129"/>
      <c r="KG18" s="129"/>
      <c r="KH18" s="129"/>
      <c r="KI18" s="129"/>
      <c r="KJ18" s="129"/>
      <c r="KK18" s="129"/>
      <c r="KL18" s="129"/>
      <c r="KM18" s="129"/>
      <c r="KN18" s="129"/>
      <c r="KO18" s="129"/>
      <c r="KP18" s="129"/>
      <c r="KQ18" s="129"/>
      <c r="KR18" s="129"/>
      <c r="KS18" s="129"/>
      <c r="KT18" s="129"/>
      <c r="KU18" s="129"/>
      <c r="KV18" s="129"/>
      <c r="KW18" s="129"/>
      <c r="KX18" s="129"/>
      <c r="KY18" s="129"/>
      <c r="KZ18" s="129"/>
      <c r="LA18" s="129"/>
      <c r="LB18" s="129"/>
      <c r="LC18" s="129"/>
      <c r="LD18" s="129"/>
      <c r="LE18" s="129"/>
      <c r="LF18" s="129"/>
      <c r="LG18" s="129"/>
      <c r="LH18" s="129"/>
      <c r="LI18" s="129"/>
      <c r="LJ18" s="129"/>
      <c r="LK18" s="135"/>
      <c r="LL18" s="135"/>
      <c r="LM18" s="135"/>
      <c r="LN18" s="135"/>
      <c r="LO18" s="135"/>
      <c r="LP18" s="129"/>
      <c r="LQ18" s="129"/>
      <c r="LR18" s="129"/>
      <c r="LS18" s="129"/>
      <c r="LT18" s="129"/>
      <c r="LU18" s="135"/>
      <c r="LV18" s="135"/>
      <c r="LW18" s="135"/>
      <c r="LX18" s="135"/>
      <c r="LY18" s="135"/>
      <c r="LZ18" s="135"/>
      <c r="MA18" s="135"/>
      <c r="MB18" s="135"/>
      <c r="MC18" s="135"/>
      <c r="MD18" s="135"/>
      <c r="ME18" s="135"/>
      <c r="MF18" s="135"/>
      <c r="MG18" s="135"/>
      <c r="MH18" s="129"/>
      <c r="MI18" s="129"/>
      <c r="MJ18" s="129"/>
      <c r="MK18" s="129"/>
      <c r="ML18" s="129"/>
      <c r="MM18" s="129"/>
      <c r="MN18" s="129"/>
      <c r="MO18" s="129"/>
      <c r="MP18" s="129"/>
      <c r="MQ18" s="132"/>
      <c r="MR18" s="132"/>
      <c r="MS18" s="132"/>
      <c r="MT18" s="132"/>
      <c r="MU18" s="132"/>
      <c r="MV18" s="132"/>
      <c r="MW18" s="132"/>
      <c r="MX18" s="132"/>
      <c r="MY18" s="132"/>
      <c r="MZ18" s="129"/>
      <c r="NA18" s="129"/>
      <c r="NB18" s="135"/>
      <c r="NC18" s="135"/>
      <c r="ND18" s="135"/>
      <c r="NE18" s="135"/>
      <c r="NF18" s="135"/>
      <c r="NG18" s="129"/>
      <c r="NH18" s="129"/>
      <c r="NI18" s="129"/>
      <c r="NJ18" s="129"/>
      <c r="NK18" s="129"/>
      <c r="NL18" s="132"/>
      <c r="NM18" s="132"/>
      <c r="NN18" s="132"/>
      <c r="NO18" s="132"/>
      <c r="NP18" s="132"/>
      <c r="NQ18" s="129"/>
      <c r="NR18" s="129"/>
      <c r="NS18" s="129"/>
      <c r="NT18" s="129"/>
      <c r="NU18" s="129"/>
      <c r="NV18" s="129"/>
      <c r="NW18" s="129"/>
      <c r="NX18" s="129"/>
      <c r="NY18" s="129"/>
      <c r="NZ18" s="129"/>
      <c r="OA18" s="129"/>
      <c r="OB18" s="129"/>
      <c r="OC18" s="129"/>
      <c r="OD18" s="129"/>
      <c r="OE18" s="129"/>
      <c r="OF18" s="129"/>
      <c r="OG18" s="129"/>
      <c r="OH18" s="129"/>
      <c r="OI18" s="129"/>
      <c r="OJ18" s="129"/>
      <c r="OK18" s="129"/>
      <c r="OL18" s="129"/>
      <c r="OM18" s="129"/>
      <c r="ON18" s="129"/>
      <c r="OO18" s="129"/>
      <c r="OQ18" s="129">
        <v>2150</v>
      </c>
      <c r="OR18" s="129"/>
      <c r="OS18" s="129"/>
      <c r="OT18" s="129">
        <v>2150</v>
      </c>
      <c r="OU18" s="129">
        <v>2950</v>
      </c>
      <c r="OV18" s="129"/>
      <c r="OW18" s="129"/>
      <c r="OX18" s="129">
        <v>2950</v>
      </c>
      <c r="OY18" s="129">
        <v>3650</v>
      </c>
      <c r="OZ18" s="129"/>
      <c r="PA18" s="129"/>
      <c r="PB18" s="129">
        <v>3650</v>
      </c>
      <c r="PC18" s="129"/>
      <c r="PD18" s="129"/>
      <c r="PE18" s="129"/>
      <c r="PF18" s="129">
        <v>4200</v>
      </c>
      <c r="PG18" s="129"/>
      <c r="PH18" s="129"/>
      <c r="PI18" s="129">
        <v>1900</v>
      </c>
      <c r="PJ18" s="129"/>
      <c r="PK18" s="129"/>
      <c r="PL18" s="129">
        <v>2550</v>
      </c>
      <c r="PM18" s="129">
        <v>3200</v>
      </c>
      <c r="PN18" s="129"/>
      <c r="PO18" s="129"/>
      <c r="PP18" s="129"/>
      <c r="PQ18" s="129">
        <v>3650</v>
      </c>
      <c r="PR18" s="129">
        <v>3200</v>
      </c>
      <c r="PS18" s="129">
        <v>1800</v>
      </c>
      <c r="PT18" s="129">
        <v>2450</v>
      </c>
      <c r="PU18" s="129">
        <v>3050</v>
      </c>
      <c r="PV18" s="129">
        <v>1550</v>
      </c>
      <c r="PW18" s="129">
        <v>1550</v>
      </c>
      <c r="PX18" s="129">
        <v>2100</v>
      </c>
      <c r="PY18" s="129">
        <v>2100</v>
      </c>
      <c r="PZ18" s="129">
        <v>2600</v>
      </c>
      <c r="QA18" s="129">
        <v>2600</v>
      </c>
      <c r="QB18" s="129">
        <v>3100</v>
      </c>
      <c r="QC18" s="129">
        <v>3100</v>
      </c>
      <c r="QD18" s="129">
        <v>2050</v>
      </c>
      <c r="QE18" s="129">
        <v>2800</v>
      </c>
      <c r="QF18" s="129">
        <v>3450</v>
      </c>
      <c r="QG18" s="129">
        <v>4100</v>
      </c>
      <c r="QH18" s="129">
        <v>1750</v>
      </c>
      <c r="QI18" s="129"/>
      <c r="QJ18" s="129"/>
      <c r="QK18" s="129">
        <v>2400</v>
      </c>
      <c r="QL18" s="129">
        <v>3000</v>
      </c>
      <c r="QM18" s="129">
        <v>3500</v>
      </c>
      <c r="QN18" s="129"/>
      <c r="QO18" s="129"/>
      <c r="QP18" s="129"/>
      <c r="QQ18" s="129"/>
      <c r="QR18" s="129"/>
      <c r="QS18" s="129"/>
      <c r="QT18" s="129"/>
      <c r="QU18" s="129"/>
      <c r="QV18" s="129"/>
      <c r="QW18" s="129"/>
      <c r="QX18" s="129"/>
      <c r="QY18" s="129"/>
      <c r="QZ18" s="129"/>
      <c r="RA18" s="129"/>
      <c r="RB18" s="129"/>
      <c r="RC18" s="129"/>
      <c r="RD18" s="129"/>
      <c r="RE18" s="129"/>
      <c r="RF18" s="129"/>
      <c r="RG18" s="129"/>
      <c r="RH18" s="129"/>
      <c r="RI18" s="129"/>
      <c r="RJ18" s="129"/>
      <c r="RK18" s="129"/>
      <c r="RL18" s="129"/>
      <c r="RM18" s="129"/>
      <c r="RN18" s="129">
        <v>2150</v>
      </c>
      <c r="RO18" s="129">
        <v>2900</v>
      </c>
      <c r="RP18" s="129">
        <v>3550</v>
      </c>
      <c r="RQ18" s="134"/>
      <c r="RR18" s="134"/>
      <c r="RS18" s="134"/>
      <c r="RT18" s="134"/>
      <c r="RU18" s="129"/>
      <c r="RV18" s="129">
        <v>4200</v>
      </c>
      <c r="RW18" s="129">
        <v>1900</v>
      </c>
      <c r="RX18" s="129">
        <v>2550</v>
      </c>
      <c r="RY18" s="129">
        <v>3200</v>
      </c>
      <c r="RZ18" s="129">
        <v>3650</v>
      </c>
      <c r="SA18" s="129">
        <v>1800</v>
      </c>
      <c r="SB18" s="129">
        <v>2450</v>
      </c>
      <c r="SC18" s="129">
        <v>3050</v>
      </c>
      <c r="SD18" s="129">
        <v>3600</v>
      </c>
      <c r="SE18" s="129">
        <v>3600</v>
      </c>
      <c r="SF18" s="156">
        <v>1750</v>
      </c>
      <c r="SG18" s="156">
        <v>1750</v>
      </c>
      <c r="SH18" s="156">
        <v>2350</v>
      </c>
      <c r="SI18" s="156">
        <v>2350</v>
      </c>
      <c r="SJ18" s="156">
        <v>2900</v>
      </c>
      <c r="SK18" s="156">
        <v>2900</v>
      </c>
      <c r="SL18" s="156">
        <v>3400</v>
      </c>
      <c r="SM18" s="156">
        <v>3400</v>
      </c>
      <c r="SN18" s="129"/>
      <c r="SO18" s="129">
        <v>2050</v>
      </c>
      <c r="SP18" s="129">
        <v>2800</v>
      </c>
      <c r="SQ18" s="129">
        <v>3450</v>
      </c>
      <c r="SR18" s="129">
        <v>4100</v>
      </c>
      <c r="SS18" s="129">
        <v>1750</v>
      </c>
      <c r="ST18" s="129">
        <v>2400</v>
      </c>
      <c r="SU18" s="129">
        <v>3000</v>
      </c>
      <c r="SV18" s="129">
        <v>3500</v>
      </c>
      <c r="SW18" s="129"/>
      <c r="SX18" s="129"/>
      <c r="SY18" s="129"/>
      <c r="SZ18" s="129"/>
      <c r="TA18" s="129"/>
      <c r="TB18" s="129"/>
      <c r="TC18" s="129"/>
      <c r="TD18" s="133"/>
      <c r="TE18" s="132"/>
      <c r="TF18" s="132"/>
      <c r="TG18" s="129"/>
      <c r="TH18" s="129"/>
      <c r="TI18" s="129"/>
      <c r="TJ18" s="129"/>
      <c r="TK18" s="129"/>
      <c r="TL18" s="129"/>
      <c r="TM18" s="129"/>
      <c r="TN18" s="129"/>
      <c r="TO18" s="129"/>
      <c r="TP18" s="129"/>
      <c r="TQ18" s="129"/>
      <c r="TR18" s="129"/>
      <c r="TS18" s="129"/>
      <c r="TT18" s="129"/>
      <c r="TU18" s="129"/>
      <c r="TV18" s="129"/>
      <c r="TW18" s="129"/>
      <c r="TX18" s="132"/>
      <c r="TY18" s="132"/>
      <c r="TZ18" s="132"/>
      <c r="UA18" s="129"/>
      <c r="UB18" s="129"/>
      <c r="UC18" s="129"/>
      <c r="UD18" s="129"/>
      <c r="UE18" s="129"/>
      <c r="UF18" s="129"/>
      <c r="UG18" s="129"/>
      <c r="UH18" s="129"/>
      <c r="UI18" s="129"/>
      <c r="UJ18" s="129"/>
      <c r="UK18" s="129"/>
      <c r="UL18" s="129"/>
      <c r="UM18" s="129"/>
      <c r="UN18" s="129"/>
      <c r="UO18" s="129"/>
      <c r="UP18" s="129"/>
      <c r="UQ18" s="129"/>
      <c r="UR18" s="129"/>
      <c r="US18" s="129"/>
      <c r="UT18" s="129"/>
      <c r="UU18" s="129"/>
      <c r="UV18" s="129"/>
      <c r="UW18" s="129"/>
      <c r="UX18" s="129"/>
      <c r="UY18" s="129"/>
      <c r="UZ18" s="129"/>
      <c r="VA18" s="129"/>
      <c r="VB18" s="129"/>
      <c r="VC18" s="129"/>
      <c r="VD18" s="129"/>
      <c r="VE18" s="129"/>
      <c r="VF18" s="129"/>
      <c r="VG18" s="129"/>
      <c r="VH18" s="129"/>
      <c r="VI18" s="129"/>
      <c r="VJ18" s="129"/>
      <c r="VK18" s="129"/>
      <c r="VL18" s="132"/>
      <c r="VM18" s="132"/>
      <c r="VN18" s="132"/>
      <c r="VO18" s="132"/>
      <c r="VP18" s="129"/>
      <c r="VR18" s="131"/>
      <c r="VS18" s="131"/>
      <c r="VT18" s="131"/>
      <c r="VU18" s="131"/>
      <c r="VV18" s="131"/>
      <c r="VW18" s="131"/>
      <c r="VX18" s="131"/>
      <c r="VY18" s="131"/>
      <c r="VZ18" s="131"/>
      <c r="WA18" s="131"/>
      <c r="WB18" s="131"/>
      <c r="WC18" s="131"/>
      <c r="WD18" s="131"/>
      <c r="WE18" s="131"/>
      <c r="WF18" s="131"/>
      <c r="WG18" s="131"/>
      <c r="WH18" s="131"/>
      <c r="WI18" s="131"/>
      <c r="WJ18" s="131"/>
      <c r="WK18" s="131"/>
      <c r="WL18" s="131"/>
      <c r="WM18" s="131"/>
      <c r="WN18" s="131"/>
      <c r="WO18" s="131"/>
      <c r="WP18" s="131"/>
      <c r="WQ18" s="131"/>
      <c r="WR18" s="131"/>
      <c r="WS18" s="131"/>
      <c r="WT18" s="131"/>
      <c r="WU18" s="131"/>
      <c r="WV18" s="131"/>
      <c r="WW18" s="131"/>
      <c r="WX18" s="131"/>
      <c r="WY18" s="131"/>
      <c r="WZ18" s="131"/>
      <c r="XA18" s="131"/>
      <c r="XB18" s="131"/>
      <c r="XC18" s="131"/>
      <c r="XD18" s="131"/>
      <c r="XE18" s="131"/>
      <c r="XF18" s="131"/>
      <c r="XG18" s="131"/>
      <c r="XH18" s="131"/>
      <c r="XI18" s="131"/>
      <c r="XJ18" s="131"/>
      <c r="XK18" s="131"/>
      <c r="XL18" s="131"/>
      <c r="XM18" s="131"/>
      <c r="XN18" s="131"/>
      <c r="XO18" s="131"/>
      <c r="XP18" s="131"/>
      <c r="XQ18" s="131"/>
      <c r="XR18" s="131"/>
      <c r="XS18" s="131"/>
      <c r="XT18" s="131"/>
      <c r="XU18" s="131"/>
      <c r="XV18" s="131"/>
      <c r="XW18" s="131"/>
      <c r="XX18" s="131"/>
      <c r="XY18" s="131"/>
      <c r="XZ18" s="131"/>
      <c r="YA18" s="131"/>
      <c r="YB18" s="131"/>
      <c r="YC18" s="131"/>
      <c r="YD18" s="131"/>
      <c r="YE18" s="131"/>
      <c r="YF18" s="131"/>
      <c r="YG18" s="131"/>
      <c r="YH18" s="131"/>
      <c r="YI18" s="131"/>
      <c r="YJ18" s="131"/>
      <c r="YK18" s="131"/>
      <c r="YL18" s="131"/>
      <c r="YM18" s="131"/>
      <c r="YN18" s="131"/>
      <c r="YO18" s="131"/>
      <c r="YP18" s="131"/>
      <c r="YQ18" s="131"/>
      <c r="YR18" s="131"/>
      <c r="YS18" s="131"/>
      <c r="YT18" s="131"/>
      <c r="YU18" s="131"/>
      <c r="YV18" s="131"/>
      <c r="YW18" s="131"/>
      <c r="YX18" s="131"/>
      <c r="YY18" s="131"/>
      <c r="YZ18" s="131"/>
      <c r="ZA18" s="131"/>
      <c r="ZB18" s="131"/>
      <c r="ZC18" s="131"/>
      <c r="ZD18" s="131"/>
      <c r="ZE18" s="131"/>
      <c r="ZF18" s="131"/>
      <c r="ZG18" s="131"/>
      <c r="ZH18" s="131"/>
      <c r="ZI18" s="131"/>
      <c r="ZJ18" s="131"/>
      <c r="ZK18" s="131"/>
      <c r="ZL18" s="131"/>
      <c r="ZM18" s="131"/>
      <c r="ZN18" s="131"/>
      <c r="ZO18" s="131"/>
      <c r="ZP18" s="131"/>
      <c r="ZQ18" s="131"/>
      <c r="ZR18" s="131"/>
      <c r="ZS18" s="131"/>
      <c r="ZT18" s="131"/>
      <c r="ZU18" s="131"/>
      <c r="ZV18" s="131"/>
      <c r="ZW18" s="131"/>
      <c r="ZX18" s="131"/>
      <c r="ZY18" s="131"/>
      <c r="ZZ18" s="131"/>
      <c r="AAA18" s="131"/>
      <c r="AAB18" s="131"/>
      <c r="AAC18" s="131"/>
      <c r="AAD18" s="131"/>
      <c r="AAE18" s="131"/>
      <c r="AAF18" s="131"/>
      <c r="AAG18" s="131"/>
      <c r="AAH18" s="131"/>
      <c r="AAJ18" s="131"/>
      <c r="AAK18" s="131"/>
      <c r="AAL18" s="131"/>
      <c r="AAM18" s="131"/>
      <c r="AAN18" s="131"/>
      <c r="AAO18" s="131"/>
      <c r="AAP18" s="131"/>
      <c r="AAQ18" s="131"/>
      <c r="AAR18" s="131"/>
      <c r="AAS18" s="131"/>
      <c r="AAT18" s="131"/>
      <c r="AAU18" s="131"/>
      <c r="AAV18" s="131"/>
      <c r="AAW18" s="131"/>
      <c r="AAX18" s="131"/>
      <c r="AAY18" s="131"/>
      <c r="AAZ18" s="131"/>
      <c r="ABA18" s="131"/>
      <c r="ABB18" s="131"/>
      <c r="ABC18" s="131"/>
      <c r="ABD18" s="131"/>
      <c r="ABE18" s="131"/>
      <c r="ABF18" s="131"/>
      <c r="ABG18" s="131"/>
      <c r="ABH18" s="131"/>
      <c r="ABI18" s="131"/>
      <c r="ABJ18" s="131"/>
      <c r="ABK18" s="131"/>
      <c r="ABL18" s="131"/>
      <c r="ABM18" s="131"/>
      <c r="ABN18" s="131"/>
      <c r="ABO18" s="131"/>
      <c r="ABP18" s="131"/>
      <c r="ABQ18" s="131"/>
      <c r="ABR18" s="131"/>
      <c r="ABS18" s="131"/>
      <c r="ABT18" s="131"/>
      <c r="ABU18" s="131"/>
      <c r="ABV18" s="131"/>
      <c r="ABW18" s="131"/>
      <c r="ABX18" s="131"/>
      <c r="ABY18" s="131"/>
      <c r="ABZ18" s="131"/>
      <c r="ACA18" s="131"/>
      <c r="ACB18" s="131"/>
      <c r="ACC18" s="131"/>
      <c r="ACD18" s="131"/>
      <c r="ACE18" s="131"/>
      <c r="ACF18" s="131"/>
      <c r="ACG18" s="131"/>
      <c r="ACH18" s="131"/>
      <c r="ACI18" s="131"/>
      <c r="ACJ18" s="131"/>
      <c r="ACK18" s="131"/>
      <c r="ACL18" s="131"/>
      <c r="ACM18" s="131"/>
      <c r="ACN18" s="131"/>
      <c r="ACO18" s="131"/>
      <c r="ACP18" s="131"/>
      <c r="ACQ18" s="131"/>
      <c r="ACR18" s="131"/>
      <c r="ACS18" s="131"/>
      <c r="ACT18" s="131"/>
      <c r="ACU18" s="131"/>
      <c r="ACV18" s="131"/>
      <c r="ACW18" s="131"/>
      <c r="ACX18" s="131"/>
      <c r="ACY18" s="131"/>
      <c r="ACZ18" s="131"/>
      <c r="ADA18" s="131"/>
      <c r="ADB18" s="131"/>
      <c r="ADC18" s="131"/>
      <c r="ADD18" s="131"/>
      <c r="ADE18" s="131"/>
      <c r="ADF18" s="131"/>
      <c r="ADG18" s="131"/>
      <c r="ADH18" s="131"/>
      <c r="ADI18" s="131"/>
      <c r="ADJ18" s="131"/>
      <c r="ADK18" s="131"/>
      <c r="ADL18" s="131"/>
      <c r="ADM18" s="131"/>
      <c r="ADN18" s="131"/>
      <c r="ADO18" s="131"/>
      <c r="ADP18" s="131"/>
      <c r="ADQ18" s="131"/>
      <c r="ADR18" s="131"/>
      <c r="ADS18" s="131"/>
      <c r="ADT18" s="131"/>
      <c r="ADU18" s="131"/>
      <c r="ADV18" s="131"/>
      <c r="ADW18" s="131"/>
      <c r="ADX18" s="131"/>
      <c r="ADY18" s="131"/>
      <c r="ADZ18" s="131"/>
      <c r="AEA18" s="131"/>
      <c r="AEB18" s="131"/>
      <c r="AEC18" s="131"/>
      <c r="AED18" s="131"/>
      <c r="AEE18" s="131"/>
      <c r="AEF18" s="131"/>
      <c r="AEG18" s="131"/>
      <c r="AEH18" s="131"/>
      <c r="AEI18" s="131"/>
      <c r="AEJ18" s="131"/>
      <c r="AEK18" s="131"/>
      <c r="AEL18" s="131"/>
      <c r="AEM18" s="131"/>
      <c r="AEN18" s="131"/>
      <c r="AEO18" s="131"/>
      <c r="AEP18" s="131"/>
      <c r="AEQ18" s="131"/>
      <c r="AER18" s="131"/>
      <c r="AES18" s="131"/>
      <c r="AET18" s="131"/>
      <c r="AEU18" s="131"/>
      <c r="AEV18" s="131"/>
      <c r="AEW18" s="131"/>
      <c r="AEX18" s="131"/>
      <c r="AEY18" s="131"/>
      <c r="AEZ18" s="131"/>
      <c r="AFA18" s="131"/>
      <c r="AFB18" s="131"/>
      <c r="AFC18" s="131"/>
      <c r="AFD18" s="131"/>
      <c r="AFE18" s="131"/>
      <c r="AFF18" s="131"/>
      <c r="AFG18" s="131"/>
      <c r="AFH18" s="131"/>
      <c r="AFI18" s="131"/>
      <c r="AFJ18" s="131"/>
      <c r="AFK18" s="131"/>
      <c r="AFL18" s="129"/>
      <c r="AFN18" s="129"/>
      <c r="AFO18" s="129"/>
      <c r="AFP18" s="129"/>
      <c r="AFQ18" s="129"/>
      <c r="AFR18" s="129"/>
      <c r="AFS18" s="129"/>
      <c r="AFT18" s="129"/>
      <c r="AFU18" s="129"/>
      <c r="AFV18" s="129"/>
      <c r="AFW18" s="129"/>
      <c r="AFX18" s="129"/>
      <c r="AFY18" s="129"/>
      <c r="AFZ18" s="129"/>
      <c r="AGA18" s="129"/>
      <c r="AGB18" s="129"/>
      <c r="AGC18" s="129"/>
      <c r="AGD18" s="129"/>
      <c r="AGE18" s="129"/>
      <c r="AGF18" s="129"/>
      <c r="AGG18" s="129"/>
      <c r="AGH18" s="129"/>
      <c r="AGI18" s="129"/>
      <c r="AGJ18" s="129"/>
      <c r="AGK18" s="129"/>
      <c r="AGL18" s="129"/>
      <c r="AGM18" s="129"/>
      <c r="AGN18" s="129"/>
      <c r="AGO18" s="129"/>
      <c r="AGP18" s="129"/>
      <c r="AGQ18" s="129"/>
      <c r="AGR18" s="129"/>
      <c r="AGS18" s="129"/>
      <c r="AGT18" s="129"/>
      <c r="AGU18" s="129"/>
      <c r="AGV18" s="129"/>
      <c r="AGW18" s="129"/>
      <c r="AGX18" s="129"/>
      <c r="AGY18" s="129"/>
      <c r="AGZ18" s="129"/>
      <c r="AHA18" s="129"/>
      <c r="AHB18" s="129"/>
      <c r="AHC18" s="129"/>
      <c r="AHD18" s="129"/>
      <c r="AHE18" s="129"/>
      <c r="AHF18" s="129"/>
      <c r="AHG18" s="129"/>
      <c r="AHH18" s="129"/>
      <c r="AHI18" s="129"/>
      <c r="AHJ18" s="129"/>
      <c r="AHK18" s="129"/>
      <c r="AHL18" s="129"/>
      <c r="AHM18" s="129"/>
      <c r="AHN18" s="129"/>
      <c r="AHO18" s="129"/>
      <c r="AHP18" s="129"/>
      <c r="AHQ18" s="129"/>
      <c r="AHR18" s="129"/>
      <c r="AHS18" s="129"/>
      <c r="AHT18" s="129"/>
      <c r="AHU18" s="129"/>
      <c r="AHV18" s="129"/>
      <c r="AHW18" s="129"/>
      <c r="AHX18" s="129"/>
      <c r="AHY18" s="129"/>
      <c r="AHZ18" s="129"/>
      <c r="AIA18" s="129"/>
      <c r="AIB18" s="129"/>
      <c r="AIC18" s="129"/>
      <c r="AID18" s="129"/>
      <c r="AIE18" s="129"/>
      <c r="AIF18" s="129"/>
      <c r="AIG18" s="129"/>
      <c r="AIH18" s="129"/>
      <c r="AII18" s="129"/>
      <c r="AIJ18" s="129"/>
      <c r="AIK18" s="129"/>
      <c r="AIL18" s="129"/>
      <c r="AIM18" s="129"/>
      <c r="AIN18" s="129"/>
      <c r="AIO18" s="129"/>
      <c r="AIP18" s="129"/>
      <c r="AIQ18" s="129"/>
      <c r="AIR18" s="129"/>
      <c r="AIS18" s="129"/>
      <c r="AIT18" s="129"/>
      <c r="AIU18" s="129"/>
      <c r="AIV18" s="129"/>
      <c r="AIW18" s="129"/>
      <c r="AIX18" s="129"/>
      <c r="AIY18" s="129"/>
      <c r="AIZ18" s="129"/>
      <c r="AJA18" s="129"/>
      <c r="AJB18" s="129"/>
      <c r="AJC18" s="129"/>
      <c r="AJD18" s="129"/>
      <c r="AJE18" s="129"/>
      <c r="AJF18" s="129"/>
      <c r="AJG18" s="129"/>
      <c r="AJH18" s="129"/>
      <c r="AJI18" s="129"/>
      <c r="AJJ18" s="129"/>
      <c r="AJK18" s="129"/>
      <c r="AJL18" s="129"/>
      <c r="AJM18" s="129"/>
      <c r="AJN18" s="129"/>
      <c r="AJO18" s="129"/>
      <c r="AJP18" s="129"/>
      <c r="AJQ18" s="129"/>
      <c r="AJR18" s="129"/>
      <c r="AJS18" s="129"/>
      <c r="AJT18" s="129"/>
      <c r="AJU18" s="129"/>
      <c r="AJV18" s="129"/>
      <c r="AJW18" s="129"/>
      <c r="AJX18" s="129"/>
      <c r="AJY18" s="129"/>
      <c r="AJZ18" s="129"/>
      <c r="AKA18" s="129"/>
      <c r="AKB18" s="129"/>
      <c r="AKC18" s="129"/>
      <c r="AKD18" s="129"/>
      <c r="AKE18" s="129"/>
      <c r="AKF18" s="129"/>
      <c r="AKG18" s="129"/>
      <c r="AKH18" s="129"/>
      <c r="AKI18" s="129"/>
      <c r="AKJ18" s="129"/>
      <c r="AKK18" s="129"/>
      <c r="AKL18" s="129"/>
      <c r="AKM18" s="129"/>
      <c r="AKN18" s="129"/>
      <c r="AKO18" s="129"/>
      <c r="AKP18" s="129"/>
      <c r="AKQ18" s="129"/>
      <c r="AKR18" s="129"/>
      <c r="AKS18" s="129"/>
      <c r="AKT18" s="129"/>
      <c r="AKU18" s="129"/>
      <c r="AKV18" s="129"/>
      <c r="AKW18" s="129"/>
      <c r="AKX18" s="129"/>
      <c r="AKY18" s="129"/>
      <c r="AKZ18" s="129"/>
      <c r="ALA18" s="129"/>
      <c r="ALB18" s="129"/>
      <c r="ALC18" s="129"/>
      <c r="ALD18" s="129"/>
      <c r="ALE18" s="129"/>
      <c r="ALF18" s="129"/>
      <c r="ALG18" s="129"/>
      <c r="ALH18" s="129"/>
      <c r="ALI18" s="129"/>
      <c r="ALJ18" s="129"/>
      <c r="ALK18" s="129"/>
      <c r="ALL18" s="129"/>
      <c r="ALM18" s="129"/>
      <c r="ALN18" s="129"/>
      <c r="ALO18" s="129"/>
      <c r="ALP18" s="129"/>
      <c r="ALQ18" s="129"/>
      <c r="ALR18" s="129"/>
      <c r="ALS18" s="129"/>
      <c r="ALT18" s="129"/>
      <c r="ALU18" s="129"/>
      <c r="ALV18" s="129"/>
      <c r="ALW18" s="129"/>
      <c r="ALX18" s="129"/>
      <c r="ALY18" s="129"/>
      <c r="ALZ18" s="129"/>
      <c r="AMA18" s="129"/>
      <c r="AMB18" s="129"/>
      <c r="AMC18" s="129"/>
      <c r="AMD18" s="129"/>
      <c r="AME18" s="129"/>
      <c r="AMF18" s="129"/>
      <c r="AMG18" s="129"/>
      <c r="AMH18" s="129"/>
      <c r="AMI18" s="129"/>
      <c r="AMJ18" s="129"/>
      <c r="AMK18" s="129"/>
      <c r="AML18" s="129"/>
      <c r="AMM18" s="129"/>
      <c r="AMN18" s="129"/>
      <c r="AMO18" s="129"/>
      <c r="AMP18" s="129"/>
      <c r="AMQ18" s="129"/>
      <c r="AMR18" s="129"/>
      <c r="AMS18" s="129"/>
      <c r="AMT18" s="129"/>
      <c r="AMU18" s="129"/>
      <c r="AMV18" s="129"/>
      <c r="AMW18" s="129"/>
      <c r="AMX18" s="129"/>
      <c r="AMY18" s="129"/>
      <c r="AMZ18" s="129"/>
      <c r="ANA18" s="129"/>
      <c r="ANB18" s="129"/>
      <c r="ANC18" s="129"/>
      <c r="AND18" s="129"/>
      <c r="ANE18" s="129"/>
      <c r="ANF18" s="129"/>
      <c r="ANG18" s="129"/>
      <c r="ANH18" s="129"/>
      <c r="ANI18" s="129"/>
      <c r="ANJ18" s="129"/>
      <c r="ANK18" s="129"/>
      <c r="ANL18" s="129"/>
      <c r="ANM18" s="129"/>
      <c r="ANN18" s="129"/>
      <c r="ANO18" s="129"/>
      <c r="ANP18" s="129"/>
      <c r="ANQ18" s="129"/>
      <c r="ANR18" s="129"/>
      <c r="ANS18" s="129"/>
      <c r="ANT18" s="129"/>
      <c r="ANU18" s="129"/>
      <c r="ANV18" s="129"/>
      <c r="ANW18" s="129"/>
      <c r="ANX18" s="129"/>
      <c r="ANY18" s="129"/>
      <c r="ANZ18" s="129"/>
      <c r="AOA18" s="129"/>
      <c r="AOB18" s="129"/>
      <c r="AOC18" s="129"/>
      <c r="AOD18" s="129"/>
      <c r="AOE18" s="129"/>
      <c r="AOF18" s="129"/>
      <c r="AOG18" s="129"/>
      <c r="AOH18" s="129"/>
      <c r="AOI18" s="129"/>
      <c r="AOJ18" s="129"/>
      <c r="AOK18" s="129"/>
      <c r="AOL18" s="129"/>
      <c r="AOM18" s="129"/>
      <c r="AON18" s="129"/>
      <c r="AOO18" s="129"/>
      <c r="AOP18" s="129"/>
      <c r="AOQ18" s="129"/>
      <c r="AOR18" s="129"/>
      <c r="AOS18" s="129"/>
      <c r="AOT18" s="129"/>
      <c r="AOU18" s="129"/>
      <c r="AOV18" s="129"/>
      <c r="AOW18" s="129"/>
      <c r="AOX18" s="129"/>
      <c r="AOY18" s="129"/>
      <c r="AOZ18" s="129"/>
      <c r="APA18" s="129"/>
      <c r="APB18" s="129"/>
      <c r="APC18" s="129"/>
      <c r="APD18" s="129"/>
      <c r="APE18" s="129"/>
      <c r="APF18" s="129"/>
      <c r="APG18" s="129"/>
      <c r="APH18" s="129"/>
      <c r="API18" s="129"/>
      <c r="APJ18" s="129"/>
      <c r="APK18" s="129"/>
      <c r="APL18" s="129"/>
      <c r="APM18" s="129"/>
      <c r="APN18" s="129"/>
      <c r="APO18" s="130"/>
      <c r="APP18" s="130"/>
      <c r="APQ18" s="130"/>
      <c r="APR18" s="130"/>
      <c r="APS18" s="130"/>
      <c r="APT18" s="130"/>
      <c r="APU18" s="130"/>
      <c r="APV18" s="130"/>
      <c r="APW18" s="130"/>
      <c r="APX18" s="130"/>
      <c r="APY18" s="130"/>
      <c r="APZ18" s="130"/>
      <c r="AQA18" s="130"/>
      <c r="AQB18" s="130"/>
      <c r="AQC18" s="130"/>
      <c r="AQD18" s="130"/>
      <c r="AQE18" s="130"/>
      <c r="AQF18" s="130"/>
      <c r="AQG18" s="130"/>
      <c r="AQH18" s="130"/>
      <c r="AQI18" s="130"/>
      <c r="AQJ18" s="130"/>
      <c r="AQK18" s="130"/>
      <c r="AQL18" s="130"/>
      <c r="AQM18" s="130"/>
      <c r="AQN18" s="130"/>
      <c r="AQO18" s="130"/>
      <c r="AQP18" s="130"/>
      <c r="AQQ18" s="130"/>
      <c r="AQR18" s="130"/>
      <c r="AQS18" s="130"/>
      <c r="AQT18" s="130"/>
      <c r="AQU18" s="130"/>
      <c r="AQV18" s="130"/>
      <c r="AQW18" s="130"/>
      <c r="AQX18" s="130"/>
      <c r="AQY18" s="130"/>
      <c r="AQZ18" s="130"/>
      <c r="ARA18" s="130"/>
      <c r="ARB18" s="130"/>
      <c r="ARC18" s="130"/>
      <c r="ARD18" s="130"/>
      <c r="ARE18" s="130"/>
      <c r="ARF18" s="130"/>
      <c r="ARG18" s="130"/>
      <c r="ARH18" s="130"/>
      <c r="ARI18" s="130"/>
      <c r="ARJ18" s="130"/>
      <c r="ARK18" s="130"/>
      <c r="ARL18" s="130"/>
      <c r="ARM18" s="130"/>
      <c r="ARN18" s="130"/>
      <c r="ARO18" s="130"/>
      <c r="ARP18" s="130"/>
      <c r="ARQ18" s="130"/>
      <c r="ARR18" s="130"/>
      <c r="ARS18" s="130"/>
      <c r="ART18" s="130"/>
      <c r="ARU18" s="130"/>
      <c r="ARV18" s="130"/>
      <c r="ARW18" s="130"/>
      <c r="ARX18" s="130"/>
      <c r="ARY18" s="130"/>
      <c r="ARZ18" s="130"/>
      <c r="ASA18" s="130"/>
      <c r="ASB18" s="130"/>
      <c r="ASC18" s="130"/>
      <c r="ASD18" s="130"/>
      <c r="ASE18" s="130"/>
      <c r="ASF18" s="130"/>
      <c r="ASG18" s="130"/>
      <c r="ASH18" s="130"/>
      <c r="ASI18" s="130"/>
      <c r="ASJ18" s="130"/>
      <c r="ASK18" s="130"/>
      <c r="ASL18" s="130"/>
      <c r="ASM18" s="130"/>
      <c r="ASN18" s="130"/>
      <c r="ASO18" s="130"/>
      <c r="ASP18" s="130"/>
      <c r="ASQ18" s="130"/>
      <c r="ASR18" s="130"/>
      <c r="ASS18" s="130"/>
      <c r="AST18" s="130"/>
      <c r="ASU18" s="130"/>
      <c r="ASV18" s="130"/>
      <c r="ASW18" s="130"/>
      <c r="ASX18" s="129"/>
      <c r="ASY18" s="129"/>
      <c r="ASZ18" s="129"/>
      <c r="ATA18" s="129"/>
      <c r="ATB18" s="129"/>
      <c r="ATC18" s="129"/>
      <c r="ATD18" s="129"/>
      <c r="ATE18" s="129"/>
      <c r="ATF18" s="129"/>
      <c r="ATG18" s="129"/>
      <c r="ATH18" s="129"/>
      <c r="ATI18" s="129"/>
      <c r="ATJ18" s="129"/>
      <c r="ATK18" s="129"/>
      <c r="ATL18" s="129"/>
      <c r="ATM18" s="129"/>
      <c r="ATN18" s="129"/>
      <c r="ATO18" s="129"/>
      <c r="ATP18" s="129"/>
      <c r="ATQ18" s="129"/>
      <c r="ATR18" s="129"/>
      <c r="ATS18" s="129"/>
      <c r="ATT18" s="129"/>
      <c r="ATU18" s="129"/>
      <c r="ATV18" s="129"/>
      <c r="ATW18" s="129"/>
      <c r="ATX18" s="129"/>
      <c r="ATY18" s="129"/>
      <c r="ATZ18" s="129"/>
      <c r="AUA18" s="129"/>
      <c r="AUB18" s="129"/>
      <c r="AUC18" s="129"/>
      <c r="AUD18" s="129"/>
      <c r="AUE18" s="129"/>
      <c r="AUF18" s="129"/>
      <c r="AUG18" s="129"/>
      <c r="AUH18" s="129"/>
      <c r="AUI18" s="129"/>
      <c r="AUJ18" s="129"/>
      <c r="AUK18" s="129"/>
      <c r="AUL18" s="129"/>
      <c r="AUM18" s="129"/>
      <c r="AUN18" s="129"/>
      <c r="AUO18" s="129"/>
      <c r="AUP18" s="129"/>
      <c r="AUQ18" s="129"/>
      <c r="AUR18" s="129"/>
      <c r="AUS18" s="129"/>
      <c r="AUT18" s="129"/>
      <c r="AUU18" s="129"/>
      <c r="AUV18" s="129"/>
      <c r="AUW18" s="129"/>
      <c r="AUX18" s="129"/>
      <c r="AUY18" s="129"/>
      <c r="AUZ18" s="129"/>
      <c r="AVA18" s="129"/>
      <c r="AVB18" s="129"/>
      <c r="AVC18" s="129"/>
      <c r="AVD18" s="129"/>
      <c r="AVE18" s="129"/>
      <c r="AVF18" s="129"/>
      <c r="AVG18" s="129"/>
      <c r="AVH18" s="129"/>
    </row>
    <row r="19" spans="1:1296" s="172" customFormat="1" ht="38.25" outlineLevel="1">
      <c r="A19" s="137" t="s">
        <v>197</v>
      </c>
      <c r="B19" s="139" t="s">
        <v>211</v>
      </c>
      <c r="C19" s="139" t="s">
        <v>212</v>
      </c>
      <c r="D19" s="139" t="s">
        <v>213</v>
      </c>
      <c r="E19" s="137">
        <v>42</v>
      </c>
      <c r="F19" s="138" t="s">
        <v>85</v>
      </c>
      <c r="G19" s="136" t="s">
        <v>11</v>
      </c>
      <c r="H19" s="136" t="s">
        <v>366</v>
      </c>
      <c r="I19" s="136" t="s">
        <v>366</v>
      </c>
      <c r="J19" s="136" t="s">
        <v>366</v>
      </c>
      <c r="K19" s="136" t="s">
        <v>13</v>
      </c>
      <c r="L19" s="136" t="s">
        <v>366</v>
      </c>
      <c r="M19" s="136"/>
      <c r="N19" s="136" t="s">
        <v>366</v>
      </c>
      <c r="O19" s="138"/>
      <c r="U19" s="129"/>
      <c r="V19" s="129"/>
      <c r="BY19" s="129"/>
      <c r="BZ19" s="129"/>
      <c r="CA19" s="129"/>
      <c r="CC19" s="129"/>
      <c r="CD19" s="129"/>
      <c r="CF19" s="129"/>
      <c r="CG19" s="129"/>
      <c r="CH19" s="129"/>
      <c r="CI19" s="129"/>
      <c r="CJ19" s="129"/>
      <c r="CK19" s="129"/>
      <c r="CM19" s="129"/>
      <c r="CN19" s="129"/>
      <c r="CP19" s="129"/>
      <c r="CQ19" s="129"/>
      <c r="HS19" s="129"/>
      <c r="HT19" s="129"/>
      <c r="HU19" s="129"/>
      <c r="HV19" s="129"/>
      <c r="HW19" s="129"/>
      <c r="HX19" s="129"/>
      <c r="HY19" s="129"/>
      <c r="HZ19" s="129"/>
      <c r="IA19" s="129"/>
      <c r="IB19" s="129"/>
      <c r="IC19" s="129"/>
      <c r="ID19" s="129"/>
      <c r="IE19" s="129"/>
      <c r="IF19" s="129"/>
      <c r="IH19" s="129"/>
      <c r="II19" s="129"/>
      <c r="IJ19" s="129"/>
      <c r="IK19" s="129"/>
      <c r="IL19" s="129"/>
      <c r="IM19" s="129"/>
      <c r="IN19" s="129"/>
      <c r="IO19" s="129"/>
      <c r="IP19" s="129"/>
      <c r="IQ19" s="129"/>
      <c r="IR19" s="129"/>
      <c r="IS19" s="129"/>
      <c r="IT19" s="129"/>
      <c r="IU19" s="129"/>
      <c r="IV19" s="129"/>
      <c r="IW19" s="129"/>
      <c r="IX19" s="129"/>
      <c r="IY19" s="129"/>
      <c r="IZ19" s="129"/>
      <c r="JA19" s="129"/>
      <c r="JB19" s="129"/>
      <c r="JC19" s="129"/>
      <c r="JD19" s="129"/>
      <c r="JE19" s="129"/>
      <c r="JF19" s="129"/>
      <c r="JG19" s="129"/>
      <c r="JH19" s="129"/>
      <c r="JI19" s="129"/>
      <c r="JJ19" s="129"/>
      <c r="JK19" s="129"/>
      <c r="JL19" s="129"/>
      <c r="JM19" s="129"/>
      <c r="JN19" s="129"/>
      <c r="JO19" s="129"/>
      <c r="JP19" s="129"/>
      <c r="JQ19" s="129"/>
      <c r="JR19" s="129"/>
      <c r="JS19" s="129"/>
      <c r="JT19" s="129"/>
      <c r="JU19" s="129"/>
      <c r="JV19" s="129"/>
      <c r="JW19" s="129"/>
      <c r="JX19" s="129"/>
      <c r="JY19" s="129"/>
      <c r="JZ19" s="129"/>
      <c r="KA19" s="129"/>
      <c r="KB19" s="129"/>
      <c r="KC19" s="129"/>
      <c r="KD19" s="129"/>
      <c r="KE19" s="129"/>
      <c r="KF19" s="129"/>
      <c r="KG19" s="129"/>
      <c r="KH19" s="129"/>
      <c r="KI19" s="129"/>
      <c r="KJ19" s="129"/>
      <c r="KK19" s="129"/>
      <c r="KL19" s="129"/>
      <c r="KM19" s="129"/>
      <c r="KN19" s="129"/>
      <c r="KO19" s="129"/>
      <c r="KP19" s="129"/>
      <c r="KQ19" s="129"/>
      <c r="KR19" s="129"/>
      <c r="KS19" s="129"/>
      <c r="KT19" s="129"/>
      <c r="KU19" s="129"/>
      <c r="KV19" s="129"/>
      <c r="KW19" s="129"/>
      <c r="KX19" s="129"/>
      <c r="KY19" s="129"/>
      <c r="KZ19" s="129"/>
      <c r="LA19" s="129"/>
      <c r="LB19" s="129"/>
      <c r="LC19" s="129"/>
      <c r="LD19" s="129"/>
      <c r="LE19" s="129"/>
      <c r="LF19" s="129"/>
      <c r="LG19" s="129"/>
      <c r="LH19" s="129"/>
      <c r="LI19" s="129"/>
      <c r="LJ19" s="129"/>
      <c r="LK19" s="135"/>
      <c r="LL19" s="135"/>
      <c r="LM19" s="135"/>
      <c r="LN19" s="135"/>
      <c r="LO19" s="135"/>
      <c r="LP19" s="129"/>
      <c r="LQ19" s="129"/>
      <c r="LR19" s="129"/>
      <c r="LS19" s="129"/>
      <c r="LT19" s="129"/>
      <c r="LU19" s="135"/>
      <c r="LV19" s="135"/>
      <c r="LW19" s="135"/>
      <c r="LX19" s="135"/>
      <c r="LY19" s="135"/>
      <c r="LZ19" s="135"/>
      <c r="MA19" s="135"/>
      <c r="MB19" s="135"/>
      <c r="MC19" s="135"/>
      <c r="MD19" s="135"/>
      <c r="ME19" s="135"/>
      <c r="MF19" s="135"/>
      <c r="MG19" s="135"/>
      <c r="MH19" s="129"/>
      <c r="MI19" s="129"/>
      <c r="MJ19" s="129"/>
      <c r="MK19" s="129"/>
      <c r="ML19" s="129"/>
      <c r="MM19" s="129"/>
      <c r="MN19" s="129"/>
      <c r="MO19" s="129"/>
      <c r="MP19" s="129"/>
      <c r="MQ19" s="132"/>
      <c r="MR19" s="132"/>
      <c r="MS19" s="132"/>
      <c r="MT19" s="132"/>
      <c r="MU19" s="132"/>
      <c r="MV19" s="132"/>
      <c r="MW19" s="132"/>
      <c r="MX19" s="132"/>
      <c r="MY19" s="132"/>
      <c r="MZ19" s="129"/>
      <c r="NA19" s="129"/>
      <c r="NB19" s="135"/>
      <c r="NC19" s="135"/>
      <c r="ND19" s="135"/>
      <c r="NE19" s="135"/>
      <c r="NF19" s="135"/>
      <c r="NG19" s="129"/>
      <c r="NH19" s="129"/>
      <c r="NI19" s="129"/>
      <c r="NJ19" s="129"/>
      <c r="NK19" s="129"/>
      <c r="NL19" s="132"/>
      <c r="NM19" s="132"/>
      <c r="NN19" s="132"/>
      <c r="NO19" s="132"/>
      <c r="NP19" s="132"/>
      <c r="NQ19" s="129"/>
      <c r="NR19" s="129"/>
      <c r="NS19" s="129"/>
      <c r="NT19" s="129"/>
      <c r="NU19" s="129"/>
      <c r="NV19" s="129"/>
      <c r="NW19" s="129"/>
      <c r="NX19" s="129"/>
      <c r="NY19" s="129"/>
      <c r="NZ19" s="129"/>
      <c r="OA19" s="129"/>
      <c r="OB19" s="129"/>
      <c r="OC19" s="129"/>
      <c r="OD19" s="129"/>
      <c r="OE19" s="129"/>
      <c r="OF19" s="129"/>
      <c r="OG19" s="129"/>
      <c r="OH19" s="129"/>
      <c r="OI19" s="129"/>
      <c r="OJ19" s="129"/>
      <c r="OK19" s="129"/>
      <c r="OL19" s="129"/>
      <c r="OM19" s="129"/>
      <c r="ON19" s="129"/>
      <c r="OO19" s="129"/>
      <c r="OQ19" s="129">
        <v>2300</v>
      </c>
      <c r="OR19" s="129"/>
      <c r="OS19" s="129"/>
      <c r="OT19" s="129">
        <v>2300</v>
      </c>
      <c r="OU19" s="129">
        <v>3150</v>
      </c>
      <c r="OV19" s="129"/>
      <c r="OW19" s="129"/>
      <c r="OX19" s="129">
        <v>3150</v>
      </c>
      <c r="OY19" s="129">
        <v>3900</v>
      </c>
      <c r="OZ19" s="129"/>
      <c r="PA19" s="129"/>
      <c r="PB19" s="129">
        <v>3900</v>
      </c>
      <c r="PC19" s="129"/>
      <c r="PD19" s="129"/>
      <c r="PE19" s="129"/>
      <c r="PF19" s="129">
        <v>4500</v>
      </c>
      <c r="PG19" s="129"/>
      <c r="PH19" s="129"/>
      <c r="PI19" s="129">
        <v>2000</v>
      </c>
      <c r="PJ19" s="129"/>
      <c r="PK19" s="129"/>
      <c r="PL19" s="129">
        <v>2750</v>
      </c>
      <c r="PM19" s="129">
        <v>3400</v>
      </c>
      <c r="PN19" s="129"/>
      <c r="PO19" s="129"/>
      <c r="PP19" s="129"/>
      <c r="PQ19" s="129">
        <v>3900</v>
      </c>
      <c r="PR19" s="129">
        <v>3400</v>
      </c>
      <c r="PS19" s="129">
        <v>1950</v>
      </c>
      <c r="PT19" s="129">
        <v>2650</v>
      </c>
      <c r="PU19" s="129">
        <v>3250</v>
      </c>
      <c r="PV19" s="129">
        <v>1650</v>
      </c>
      <c r="PW19" s="129">
        <v>1650</v>
      </c>
      <c r="PX19" s="129">
        <v>2250</v>
      </c>
      <c r="PY19" s="129">
        <v>2250</v>
      </c>
      <c r="PZ19" s="129">
        <v>2800</v>
      </c>
      <c r="QA19" s="129">
        <v>2800</v>
      </c>
      <c r="QB19" s="129">
        <v>3300</v>
      </c>
      <c r="QC19" s="129">
        <v>3300</v>
      </c>
      <c r="QD19" s="129">
        <v>2200</v>
      </c>
      <c r="QE19" s="129">
        <v>3000</v>
      </c>
      <c r="QF19" s="129">
        <v>3700</v>
      </c>
      <c r="QG19" s="129">
        <v>4350</v>
      </c>
      <c r="QH19" s="129">
        <v>1900</v>
      </c>
      <c r="QI19" s="129"/>
      <c r="QJ19" s="129"/>
      <c r="QK19" s="129">
        <v>2550</v>
      </c>
      <c r="QL19" s="129">
        <v>3200</v>
      </c>
      <c r="QM19" s="129">
        <v>3750</v>
      </c>
      <c r="QN19" s="129"/>
      <c r="QO19" s="129"/>
      <c r="QP19" s="129"/>
      <c r="QQ19" s="129"/>
      <c r="QR19" s="129"/>
      <c r="QS19" s="129"/>
      <c r="QT19" s="129"/>
      <c r="QU19" s="129"/>
      <c r="QV19" s="129"/>
      <c r="QW19" s="129"/>
      <c r="QX19" s="129"/>
      <c r="QY19" s="129"/>
      <c r="QZ19" s="129"/>
      <c r="RA19" s="129"/>
      <c r="RB19" s="129"/>
      <c r="RC19" s="129"/>
      <c r="RD19" s="129"/>
      <c r="RE19" s="129"/>
      <c r="RF19" s="129"/>
      <c r="RG19" s="129"/>
      <c r="RH19" s="129"/>
      <c r="RI19" s="129"/>
      <c r="RJ19" s="129"/>
      <c r="RK19" s="129"/>
      <c r="RL19" s="129"/>
      <c r="RM19" s="129"/>
      <c r="RN19" s="129">
        <v>2300</v>
      </c>
      <c r="RO19" s="129">
        <v>3100</v>
      </c>
      <c r="RP19" s="129">
        <v>3800</v>
      </c>
      <c r="RQ19" s="134"/>
      <c r="RR19" s="134"/>
      <c r="RS19" s="134"/>
      <c r="RT19" s="134"/>
      <c r="RU19" s="129"/>
      <c r="RV19" s="129">
        <v>4500</v>
      </c>
      <c r="RW19" s="129">
        <v>2000</v>
      </c>
      <c r="RX19" s="129">
        <v>2750</v>
      </c>
      <c r="RY19" s="129">
        <v>3400</v>
      </c>
      <c r="RZ19" s="129">
        <v>3900</v>
      </c>
      <c r="SA19" s="129">
        <v>1950</v>
      </c>
      <c r="SB19" s="129">
        <v>2650</v>
      </c>
      <c r="SC19" s="129">
        <v>3250</v>
      </c>
      <c r="SD19" s="129">
        <v>3850</v>
      </c>
      <c r="SE19" s="129">
        <v>3850</v>
      </c>
      <c r="SF19" s="129">
        <v>1850</v>
      </c>
      <c r="SG19" s="129">
        <v>1850</v>
      </c>
      <c r="SH19" s="129">
        <v>2500</v>
      </c>
      <c r="SI19" s="129">
        <v>2500</v>
      </c>
      <c r="SJ19" s="129">
        <v>3100</v>
      </c>
      <c r="SK19" s="129">
        <v>3100</v>
      </c>
      <c r="SL19" s="129">
        <v>3650</v>
      </c>
      <c r="SM19" s="129">
        <v>3650</v>
      </c>
      <c r="SN19" s="129"/>
      <c r="SO19" s="129">
        <v>2200</v>
      </c>
      <c r="SP19" s="129">
        <v>3000</v>
      </c>
      <c r="SQ19" s="129">
        <v>3700</v>
      </c>
      <c r="SR19" s="129">
        <v>4350</v>
      </c>
      <c r="SS19" s="129">
        <v>1900</v>
      </c>
      <c r="ST19" s="129">
        <v>2550</v>
      </c>
      <c r="SU19" s="129">
        <v>3200</v>
      </c>
      <c r="SV19" s="129">
        <v>3750</v>
      </c>
      <c r="SW19" s="129"/>
      <c r="SX19" s="129"/>
      <c r="SY19" s="129"/>
      <c r="SZ19" s="129"/>
      <c r="TA19" s="129"/>
      <c r="TB19" s="129"/>
      <c r="TC19" s="129"/>
      <c r="TD19" s="133"/>
      <c r="TE19" s="132"/>
      <c r="TF19" s="132"/>
      <c r="TG19" s="129"/>
      <c r="TH19" s="129"/>
      <c r="TI19" s="129"/>
      <c r="TJ19" s="129"/>
      <c r="TK19" s="129"/>
      <c r="TL19" s="129"/>
      <c r="TM19" s="129"/>
      <c r="TN19" s="129"/>
      <c r="TO19" s="129"/>
      <c r="TP19" s="129"/>
      <c r="TQ19" s="129"/>
      <c r="TR19" s="129"/>
      <c r="TS19" s="129"/>
      <c r="TT19" s="129"/>
      <c r="TU19" s="129"/>
      <c r="TV19" s="129"/>
      <c r="TW19" s="129"/>
      <c r="TX19" s="132"/>
      <c r="TY19" s="132"/>
      <c r="TZ19" s="132"/>
      <c r="UA19" s="129"/>
      <c r="UB19" s="129"/>
      <c r="UC19" s="129"/>
      <c r="UD19" s="129"/>
      <c r="UE19" s="129"/>
      <c r="UF19" s="129"/>
      <c r="UG19" s="129"/>
      <c r="UH19" s="129"/>
      <c r="UI19" s="129"/>
      <c r="UJ19" s="129"/>
      <c r="UK19" s="129"/>
      <c r="UL19" s="129"/>
      <c r="UM19" s="129"/>
      <c r="UN19" s="129"/>
      <c r="UO19" s="129"/>
      <c r="UP19" s="129"/>
      <c r="UQ19" s="129"/>
      <c r="UR19" s="129"/>
      <c r="US19" s="129"/>
      <c r="UT19" s="129"/>
      <c r="UU19" s="129"/>
      <c r="UV19" s="129"/>
      <c r="UW19" s="129"/>
      <c r="UX19" s="129"/>
      <c r="UY19" s="129"/>
      <c r="UZ19" s="129"/>
      <c r="VA19" s="129"/>
      <c r="VB19" s="129"/>
      <c r="VC19" s="129"/>
      <c r="VD19" s="129"/>
      <c r="VE19" s="129"/>
      <c r="VF19" s="129"/>
      <c r="VG19" s="129"/>
      <c r="VH19" s="129"/>
      <c r="VI19" s="129"/>
      <c r="VJ19" s="129"/>
      <c r="VK19" s="129"/>
      <c r="VL19" s="132"/>
      <c r="VM19" s="132"/>
      <c r="VN19" s="132"/>
      <c r="VO19" s="132"/>
      <c r="VP19" s="129"/>
      <c r="VR19" s="131"/>
      <c r="VS19" s="131"/>
      <c r="VT19" s="131"/>
      <c r="VU19" s="131"/>
      <c r="VV19" s="131"/>
      <c r="VW19" s="131"/>
      <c r="VX19" s="131"/>
      <c r="VY19" s="131"/>
      <c r="VZ19" s="131"/>
      <c r="WA19" s="131"/>
      <c r="WB19" s="131"/>
      <c r="WC19" s="131"/>
      <c r="WD19" s="131"/>
      <c r="WE19" s="131"/>
      <c r="WF19" s="131"/>
      <c r="WG19" s="131"/>
      <c r="WH19" s="131"/>
      <c r="WI19" s="131"/>
      <c r="WJ19" s="131"/>
      <c r="WK19" s="131"/>
      <c r="WL19" s="131"/>
      <c r="WM19" s="131"/>
      <c r="WN19" s="131"/>
      <c r="WO19" s="131"/>
      <c r="WP19" s="131"/>
      <c r="WQ19" s="131"/>
      <c r="WR19" s="131"/>
      <c r="WS19" s="131"/>
      <c r="WT19" s="131"/>
      <c r="WU19" s="131"/>
      <c r="WV19" s="131"/>
      <c r="WW19" s="131"/>
      <c r="WX19" s="131"/>
      <c r="WY19" s="131"/>
      <c r="WZ19" s="131"/>
      <c r="XA19" s="131"/>
      <c r="XB19" s="131"/>
      <c r="XC19" s="131"/>
      <c r="XD19" s="131"/>
      <c r="XE19" s="131"/>
      <c r="XF19" s="131"/>
      <c r="XG19" s="131"/>
      <c r="XH19" s="131"/>
      <c r="XI19" s="131"/>
      <c r="XJ19" s="131"/>
      <c r="XK19" s="131"/>
      <c r="XL19" s="131"/>
      <c r="XM19" s="131"/>
      <c r="XN19" s="131"/>
      <c r="XO19" s="131"/>
      <c r="XP19" s="131"/>
      <c r="XQ19" s="131"/>
      <c r="XR19" s="131"/>
      <c r="XS19" s="131"/>
      <c r="XT19" s="131"/>
      <c r="XU19" s="131"/>
      <c r="XV19" s="131"/>
      <c r="XW19" s="131"/>
      <c r="XX19" s="131"/>
      <c r="XY19" s="131"/>
      <c r="XZ19" s="131"/>
      <c r="YA19" s="131"/>
      <c r="YB19" s="131"/>
      <c r="YC19" s="131"/>
      <c r="YD19" s="131"/>
      <c r="YE19" s="131"/>
      <c r="YF19" s="131"/>
      <c r="YG19" s="131"/>
      <c r="YH19" s="131"/>
      <c r="YI19" s="131"/>
      <c r="YJ19" s="131"/>
      <c r="YK19" s="131"/>
      <c r="YL19" s="131"/>
      <c r="YM19" s="131"/>
      <c r="YN19" s="131"/>
      <c r="YO19" s="131"/>
      <c r="YP19" s="131"/>
      <c r="YQ19" s="131"/>
      <c r="YR19" s="131"/>
      <c r="YS19" s="131"/>
      <c r="YT19" s="131"/>
      <c r="YU19" s="131"/>
      <c r="YV19" s="131"/>
      <c r="YW19" s="131"/>
      <c r="YX19" s="131"/>
      <c r="YY19" s="131"/>
      <c r="YZ19" s="131"/>
      <c r="ZA19" s="131"/>
      <c r="ZB19" s="131"/>
      <c r="ZC19" s="131"/>
      <c r="ZD19" s="131"/>
      <c r="ZE19" s="131"/>
      <c r="ZF19" s="131"/>
      <c r="ZG19" s="131"/>
      <c r="ZH19" s="131"/>
      <c r="ZI19" s="131"/>
      <c r="ZJ19" s="131"/>
      <c r="ZK19" s="131"/>
      <c r="ZL19" s="131"/>
      <c r="ZM19" s="131"/>
      <c r="ZN19" s="131"/>
      <c r="ZO19" s="131"/>
      <c r="ZP19" s="131"/>
      <c r="ZQ19" s="131"/>
      <c r="ZR19" s="131"/>
      <c r="ZS19" s="131"/>
      <c r="ZT19" s="131"/>
      <c r="ZU19" s="131"/>
      <c r="ZV19" s="131"/>
      <c r="ZW19" s="131"/>
      <c r="ZX19" s="131"/>
      <c r="ZY19" s="131"/>
      <c r="ZZ19" s="131"/>
      <c r="AAA19" s="131"/>
      <c r="AAB19" s="131"/>
      <c r="AAC19" s="131"/>
      <c r="AAD19" s="131"/>
      <c r="AAE19" s="131"/>
      <c r="AAF19" s="131"/>
      <c r="AAG19" s="131"/>
      <c r="AAH19" s="131"/>
      <c r="AAJ19" s="131"/>
      <c r="AAK19" s="131"/>
      <c r="AAL19" s="131"/>
      <c r="AAM19" s="131"/>
      <c r="AAN19" s="131"/>
      <c r="AAO19" s="131"/>
      <c r="AAP19" s="131"/>
      <c r="AAQ19" s="131"/>
      <c r="AAR19" s="131"/>
      <c r="AAS19" s="131"/>
      <c r="AAT19" s="131"/>
      <c r="AAU19" s="131"/>
      <c r="AAV19" s="131"/>
      <c r="AAW19" s="131"/>
      <c r="AAX19" s="131"/>
      <c r="AAY19" s="131"/>
      <c r="AAZ19" s="131"/>
      <c r="ABA19" s="131"/>
      <c r="ABB19" s="131"/>
      <c r="ABC19" s="131"/>
      <c r="ABD19" s="131"/>
      <c r="ABE19" s="131"/>
      <c r="ABF19" s="131"/>
      <c r="ABG19" s="131"/>
      <c r="ABH19" s="131"/>
      <c r="ABI19" s="131"/>
      <c r="ABJ19" s="131"/>
      <c r="ABK19" s="131"/>
      <c r="ABL19" s="131"/>
      <c r="ABM19" s="131"/>
      <c r="ABN19" s="131"/>
      <c r="ABO19" s="131"/>
      <c r="ABP19" s="131"/>
      <c r="ABQ19" s="131"/>
      <c r="ABR19" s="131"/>
      <c r="ABS19" s="131"/>
      <c r="ABT19" s="131"/>
      <c r="ABU19" s="131"/>
      <c r="ABV19" s="131"/>
      <c r="ABW19" s="131"/>
      <c r="ABX19" s="131"/>
      <c r="ABY19" s="131"/>
      <c r="ABZ19" s="131"/>
      <c r="ACA19" s="131"/>
      <c r="ACB19" s="131"/>
      <c r="ACC19" s="131"/>
      <c r="ACD19" s="131"/>
      <c r="ACE19" s="131"/>
      <c r="ACF19" s="131"/>
      <c r="ACG19" s="131"/>
      <c r="ACH19" s="131"/>
      <c r="ACI19" s="131"/>
      <c r="ACJ19" s="131"/>
      <c r="ACK19" s="131"/>
      <c r="ACL19" s="131"/>
      <c r="ACM19" s="131"/>
      <c r="ACN19" s="131"/>
      <c r="ACO19" s="131"/>
      <c r="ACP19" s="131"/>
      <c r="ACQ19" s="131"/>
      <c r="ACR19" s="131"/>
      <c r="ACS19" s="131"/>
      <c r="ACT19" s="131"/>
      <c r="ACU19" s="131"/>
      <c r="ACV19" s="131"/>
      <c r="ACW19" s="131"/>
      <c r="ACX19" s="131"/>
      <c r="ACY19" s="131"/>
      <c r="ACZ19" s="131"/>
      <c r="ADA19" s="131"/>
      <c r="ADB19" s="131"/>
      <c r="ADC19" s="131"/>
      <c r="ADD19" s="131"/>
      <c r="ADE19" s="131"/>
      <c r="ADF19" s="131"/>
      <c r="ADG19" s="131"/>
      <c r="ADH19" s="131"/>
      <c r="ADI19" s="131"/>
      <c r="ADJ19" s="131"/>
      <c r="ADK19" s="131"/>
      <c r="ADL19" s="131"/>
      <c r="ADM19" s="131"/>
      <c r="ADN19" s="131"/>
      <c r="ADO19" s="131"/>
      <c r="ADP19" s="131"/>
      <c r="ADQ19" s="131"/>
      <c r="ADR19" s="131"/>
      <c r="ADS19" s="131"/>
      <c r="ADT19" s="131"/>
      <c r="ADU19" s="131"/>
      <c r="ADV19" s="131"/>
      <c r="ADW19" s="131"/>
      <c r="ADX19" s="131"/>
      <c r="ADY19" s="131"/>
      <c r="ADZ19" s="131"/>
      <c r="AEA19" s="131"/>
      <c r="AEB19" s="131"/>
      <c r="AEC19" s="131"/>
      <c r="AED19" s="131"/>
      <c r="AEE19" s="131"/>
      <c r="AEF19" s="131"/>
      <c r="AEG19" s="131"/>
      <c r="AEH19" s="131"/>
      <c r="AEI19" s="131"/>
      <c r="AEJ19" s="131"/>
      <c r="AEK19" s="131"/>
      <c r="AEL19" s="131"/>
      <c r="AEM19" s="131"/>
      <c r="AEN19" s="131"/>
      <c r="AEO19" s="131"/>
      <c r="AEP19" s="131"/>
      <c r="AEQ19" s="131"/>
      <c r="AER19" s="131"/>
      <c r="AES19" s="131"/>
      <c r="AET19" s="131"/>
      <c r="AEU19" s="131"/>
      <c r="AEV19" s="131"/>
      <c r="AEW19" s="131"/>
      <c r="AEX19" s="131"/>
      <c r="AEY19" s="131"/>
      <c r="AEZ19" s="131"/>
      <c r="AFA19" s="131"/>
      <c r="AFB19" s="131"/>
      <c r="AFC19" s="131"/>
      <c r="AFD19" s="131"/>
      <c r="AFE19" s="131"/>
      <c r="AFF19" s="131"/>
      <c r="AFG19" s="131"/>
      <c r="AFH19" s="131"/>
      <c r="AFI19" s="131"/>
      <c r="AFJ19" s="131"/>
      <c r="AFK19" s="131"/>
      <c r="AFL19" s="129"/>
      <c r="AFN19" s="129"/>
      <c r="AFO19" s="129"/>
      <c r="AFP19" s="129"/>
      <c r="AFQ19" s="129"/>
      <c r="AFR19" s="129"/>
      <c r="AFS19" s="129"/>
      <c r="AFT19" s="129"/>
      <c r="AFU19" s="129"/>
      <c r="AFV19" s="129"/>
      <c r="AFW19" s="129"/>
      <c r="AFX19" s="129"/>
      <c r="AFY19" s="129"/>
      <c r="AFZ19" s="129"/>
      <c r="AGA19" s="129"/>
      <c r="AGB19" s="129"/>
      <c r="AGC19" s="129"/>
      <c r="AGD19" s="129"/>
      <c r="AGE19" s="129"/>
      <c r="AGF19" s="129"/>
      <c r="AGG19" s="129"/>
      <c r="AGH19" s="129"/>
      <c r="AGI19" s="129"/>
      <c r="AGJ19" s="129"/>
      <c r="AGK19" s="129"/>
      <c r="AGL19" s="129"/>
      <c r="AGM19" s="129"/>
      <c r="AGN19" s="129"/>
      <c r="AGO19" s="129"/>
      <c r="AGP19" s="129"/>
      <c r="AGQ19" s="129"/>
      <c r="AGR19" s="129"/>
      <c r="AGS19" s="129"/>
      <c r="AGT19" s="129"/>
      <c r="AGU19" s="129"/>
      <c r="AGV19" s="129"/>
      <c r="AGW19" s="129"/>
      <c r="AGX19" s="129"/>
      <c r="AGY19" s="129"/>
      <c r="AGZ19" s="129"/>
      <c r="AHA19" s="129"/>
      <c r="AHB19" s="129"/>
      <c r="AHC19" s="129"/>
      <c r="AHD19" s="129"/>
      <c r="AHE19" s="129"/>
      <c r="AHF19" s="129"/>
      <c r="AHG19" s="129"/>
      <c r="AHH19" s="129"/>
      <c r="AHI19" s="129"/>
      <c r="AHJ19" s="129"/>
      <c r="AHK19" s="129"/>
      <c r="AHL19" s="129"/>
      <c r="AHM19" s="129"/>
      <c r="AHN19" s="129"/>
      <c r="AHO19" s="129"/>
      <c r="AHP19" s="129"/>
      <c r="AHQ19" s="129"/>
      <c r="AHR19" s="129"/>
      <c r="AHS19" s="129"/>
      <c r="AHT19" s="129"/>
      <c r="AHU19" s="129"/>
      <c r="AHV19" s="129"/>
      <c r="AHW19" s="129"/>
      <c r="AHX19" s="129"/>
      <c r="AHY19" s="129"/>
      <c r="AHZ19" s="129"/>
      <c r="AIA19" s="129"/>
      <c r="AIB19" s="129"/>
      <c r="AIC19" s="129"/>
      <c r="AID19" s="129"/>
      <c r="AIE19" s="129"/>
      <c r="AIF19" s="129"/>
      <c r="AIG19" s="129"/>
      <c r="AIH19" s="129"/>
      <c r="AII19" s="129"/>
      <c r="AIJ19" s="129"/>
      <c r="AIK19" s="129"/>
      <c r="AIL19" s="129"/>
      <c r="AIM19" s="129"/>
      <c r="AIN19" s="129"/>
      <c r="AIO19" s="129"/>
      <c r="AIP19" s="129"/>
      <c r="AIQ19" s="129"/>
      <c r="AIR19" s="129"/>
      <c r="AIS19" s="129"/>
      <c r="AIT19" s="129"/>
      <c r="AIU19" s="129"/>
      <c r="AIV19" s="129"/>
      <c r="AIW19" s="129"/>
      <c r="AIX19" s="129"/>
      <c r="AIY19" s="129"/>
      <c r="AIZ19" s="129"/>
      <c r="AJA19" s="129"/>
      <c r="AJB19" s="129"/>
      <c r="AJC19" s="129"/>
      <c r="AJD19" s="129"/>
      <c r="AJE19" s="129"/>
      <c r="AJF19" s="129"/>
      <c r="AJG19" s="129"/>
      <c r="AJH19" s="129"/>
      <c r="AJI19" s="129"/>
      <c r="AJJ19" s="129"/>
      <c r="AJK19" s="129"/>
      <c r="AJL19" s="129"/>
      <c r="AJM19" s="129"/>
      <c r="AJN19" s="129"/>
      <c r="AJO19" s="129"/>
      <c r="AJP19" s="129"/>
      <c r="AJQ19" s="129"/>
      <c r="AJR19" s="129"/>
      <c r="AJS19" s="129"/>
      <c r="AJT19" s="129"/>
      <c r="AJU19" s="129"/>
      <c r="AJV19" s="129"/>
      <c r="AJW19" s="129"/>
      <c r="AJX19" s="129"/>
      <c r="AJY19" s="129"/>
      <c r="AJZ19" s="129"/>
      <c r="AKA19" s="129"/>
      <c r="AKB19" s="129"/>
      <c r="AKC19" s="129"/>
      <c r="AKD19" s="129"/>
      <c r="AKE19" s="129"/>
      <c r="AKF19" s="129"/>
      <c r="AKG19" s="129"/>
      <c r="AKH19" s="129"/>
      <c r="AKI19" s="129"/>
      <c r="AKJ19" s="129"/>
      <c r="AKK19" s="129"/>
      <c r="AKL19" s="129"/>
      <c r="AKM19" s="129"/>
      <c r="AKN19" s="129"/>
      <c r="AKO19" s="129"/>
      <c r="AKP19" s="129"/>
      <c r="AKQ19" s="129"/>
      <c r="AKR19" s="129"/>
      <c r="AKS19" s="129"/>
      <c r="AKT19" s="129"/>
      <c r="AKU19" s="129"/>
      <c r="AKV19" s="129"/>
      <c r="AKW19" s="129"/>
      <c r="AKX19" s="129"/>
      <c r="AKY19" s="129"/>
      <c r="AKZ19" s="129"/>
      <c r="ALA19" s="129"/>
      <c r="ALB19" s="129"/>
      <c r="ALC19" s="129"/>
      <c r="ALD19" s="129"/>
      <c r="ALE19" s="129"/>
      <c r="ALF19" s="129"/>
      <c r="ALG19" s="129"/>
      <c r="ALH19" s="129"/>
      <c r="ALI19" s="129"/>
      <c r="ALJ19" s="129"/>
      <c r="ALK19" s="129"/>
      <c r="ALL19" s="129"/>
      <c r="ALM19" s="129"/>
      <c r="ALN19" s="129"/>
      <c r="ALO19" s="129"/>
      <c r="ALP19" s="129"/>
      <c r="ALQ19" s="129"/>
      <c r="ALR19" s="129"/>
      <c r="ALS19" s="129"/>
      <c r="ALT19" s="129"/>
      <c r="ALU19" s="129"/>
      <c r="ALV19" s="129"/>
      <c r="ALW19" s="129"/>
      <c r="ALX19" s="129"/>
      <c r="ALY19" s="129"/>
      <c r="ALZ19" s="129"/>
      <c r="AMA19" s="129"/>
      <c r="AMB19" s="129"/>
      <c r="AMC19" s="129"/>
      <c r="AMD19" s="129"/>
      <c r="AME19" s="129"/>
      <c r="AMF19" s="129"/>
      <c r="AMG19" s="129"/>
      <c r="AMH19" s="129"/>
      <c r="AMI19" s="129"/>
      <c r="AMJ19" s="129"/>
      <c r="AMK19" s="129"/>
      <c r="AML19" s="129"/>
      <c r="AMM19" s="129"/>
      <c r="AMN19" s="129"/>
      <c r="AMO19" s="129"/>
      <c r="AMP19" s="129"/>
      <c r="AMQ19" s="129"/>
      <c r="AMR19" s="129"/>
      <c r="AMS19" s="129"/>
      <c r="AMT19" s="129"/>
      <c r="AMU19" s="129"/>
      <c r="AMV19" s="129"/>
      <c r="AMW19" s="129"/>
      <c r="AMX19" s="129"/>
      <c r="AMY19" s="129"/>
      <c r="AMZ19" s="129"/>
      <c r="ANA19" s="129"/>
      <c r="ANB19" s="129"/>
      <c r="ANC19" s="129"/>
      <c r="AND19" s="129"/>
      <c r="ANE19" s="129"/>
      <c r="ANF19" s="129"/>
      <c r="ANG19" s="129"/>
      <c r="ANH19" s="129"/>
      <c r="ANI19" s="129"/>
      <c r="ANJ19" s="129"/>
      <c r="ANK19" s="129"/>
      <c r="ANL19" s="129"/>
      <c r="ANM19" s="129"/>
      <c r="ANN19" s="129"/>
      <c r="ANO19" s="129"/>
      <c r="ANP19" s="129"/>
      <c r="ANQ19" s="129"/>
      <c r="ANR19" s="129"/>
      <c r="ANS19" s="129"/>
      <c r="ANT19" s="129"/>
      <c r="ANU19" s="129"/>
      <c r="ANV19" s="129"/>
      <c r="ANW19" s="129"/>
      <c r="ANX19" s="129"/>
      <c r="ANY19" s="129"/>
      <c r="ANZ19" s="129"/>
      <c r="AOA19" s="129"/>
      <c r="AOB19" s="129"/>
      <c r="AOC19" s="129"/>
      <c r="AOD19" s="129"/>
      <c r="AOE19" s="129"/>
      <c r="AOF19" s="129"/>
      <c r="AOG19" s="129"/>
      <c r="AOH19" s="129"/>
      <c r="AOI19" s="129"/>
      <c r="AOJ19" s="129"/>
      <c r="AOK19" s="129"/>
      <c r="AOL19" s="129"/>
      <c r="AOM19" s="129"/>
      <c r="AON19" s="129"/>
      <c r="AOO19" s="129"/>
      <c r="AOP19" s="129"/>
      <c r="AOQ19" s="129"/>
      <c r="AOR19" s="129"/>
      <c r="AOS19" s="129"/>
      <c r="AOT19" s="129"/>
      <c r="AOU19" s="129"/>
      <c r="AOV19" s="129"/>
      <c r="AOW19" s="129"/>
      <c r="AOX19" s="129"/>
      <c r="AOY19" s="129"/>
      <c r="AOZ19" s="129"/>
      <c r="APA19" s="129"/>
      <c r="APB19" s="129"/>
      <c r="APC19" s="129"/>
      <c r="APD19" s="129"/>
      <c r="APE19" s="129"/>
      <c r="APF19" s="129"/>
      <c r="APG19" s="129"/>
      <c r="APH19" s="129"/>
      <c r="API19" s="129"/>
      <c r="APJ19" s="129"/>
      <c r="APK19" s="129"/>
      <c r="APL19" s="129"/>
      <c r="APM19" s="129"/>
      <c r="APN19" s="129"/>
      <c r="APO19" s="130"/>
      <c r="APP19" s="130"/>
      <c r="APQ19" s="130"/>
      <c r="APR19" s="130"/>
      <c r="APS19" s="130"/>
      <c r="APT19" s="130"/>
      <c r="APU19" s="130"/>
      <c r="APV19" s="130"/>
      <c r="APW19" s="130"/>
      <c r="APX19" s="130"/>
      <c r="APY19" s="130"/>
      <c r="APZ19" s="130"/>
      <c r="AQA19" s="130"/>
      <c r="AQB19" s="130"/>
      <c r="AQC19" s="130"/>
      <c r="AQD19" s="130"/>
      <c r="AQE19" s="130"/>
      <c r="AQF19" s="130"/>
      <c r="AQG19" s="130"/>
      <c r="AQH19" s="130"/>
      <c r="AQI19" s="130"/>
      <c r="AQJ19" s="130"/>
      <c r="AQK19" s="130"/>
      <c r="AQL19" s="130"/>
      <c r="AQM19" s="130"/>
      <c r="AQN19" s="130"/>
      <c r="AQO19" s="130"/>
      <c r="AQP19" s="130"/>
      <c r="AQQ19" s="130"/>
      <c r="AQR19" s="130"/>
      <c r="AQS19" s="130"/>
      <c r="AQT19" s="130"/>
      <c r="AQU19" s="130"/>
      <c r="AQV19" s="130"/>
      <c r="AQW19" s="130"/>
      <c r="AQX19" s="130"/>
      <c r="AQY19" s="130"/>
      <c r="AQZ19" s="130"/>
      <c r="ARA19" s="130"/>
      <c r="ARB19" s="130"/>
      <c r="ARC19" s="130"/>
      <c r="ARD19" s="130"/>
      <c r="ARE19" s="130"/>
      <c r="ARF19" s="130"/>
      <c r="ARG19" s="130"/>
      <c r="ARH19" s="130"/>
      <c r="ARI19" s="130"/>
      <c r="ARJ19" s="130"/>
      <c r="ARK19" s="130"/>
      <c r="ARL19" s="130"/>
      <c r="ARM19" s="130"/>
      <c r="ARN19" s="130"/>
      <c r="ARO19" s="130"/>
      <c r="ARP19" s="130"/>
      <c r="ARQ19" s="130"/>
      <c r="ARR19" s="130"/>
      <c r="ARS19" s="130"/>
      <c r="ART19" s="130"/>
      <c r="ARU19" s="130"/>
      <c r="ARV19" s="130"/>
      <c r="ARW19" s="130"/>
      <c r="ARX19" s="130"/>
      <c r="ARY19" s="130"/>
      <c r="ARZ19" s="130"/>
      <c r="ASA19" s="130"/>
      <c r="ASB19" s="130"/>
      <c r="ASC19" s="130"/>
      <c r="ASD19" s="130"/>
      <c r="ASE19" s="130"/>
      <c r="ASF19" s="130"/>
      <c r="ASG19" s="130"/>
      <c r="ASH19" s="130"/>
      <c r="ASI19" s="130"/>
      <c r="ASJ19" s="130"/>
      <c r="ASK19" s="130"/>
      <c r="ASL19" s="130"/>
      <c r="ASM19" s="130"/>
      <c r="ASN19" s="130"/>
      <c r="ASO19" s="130"/>
      <c r="ASP19" s="130"/>
      <c r="ASQ19" s="130"/>
      <c r="ASR19" s="130"/>
      <c r="ASS19" s="130"/>
      <c r="AST19" s="130"/>
      <c r="ASU19" s="130"/>
      <c r="ASV19" s="130"/>
      <c r="ASW19" s="130"/>
      <c r="ASX19" s="129"/>
      <c r="ASY19" s="129"/>
      <c r="ASZ19" s="129"/>
      <c r="ATA19" s="129"/>
      <c r="ATB19" s="129"/>
      <c r="ATC19" s="129"/>
      <c r="ATD19" s="129"/>
      <c r="ATE19" s="129"/>
      <c r="ATF19" s="129"/>
      <c r="ATG19" s="129"/>
      <c r="ATH19" s="129"/>
      <c r="ATI19" s="129"/>
      <c r="ATJ19" s="129"/>
      <c r="ATK19" s="129"/>
      <c r="ATL19" s="129"/>
      <c r="ATM19" s="129"/>
      <c r="ATN19" s="129"/>
      <c r="ATO19" s="129"/>
      <c r="ATP19" s="129"/>
      <c r="ATQ19" s="129"/>
      <c r="ATR19" s="129"/>
      <c r="ATS19" s="129"/>
      <c r="ATT19" s="129"/>
      <c r="ATU19" s="129"/>
      <c r="ATV19" s="129"/>
      <c r="ATW19" s="129"/>
      <c r="ATX19" s="129"/>
      <c r="ATY19" s="129"/>
      <c r="ATZ19" s="129"/>
      <c r="AUA19" s="129"/>
      <c r="AUB19" s="129"/>
      <c r="AUC19" s="129"/>
      <c r="AUD19" s="129"/>
      <c r="AUE19" s="129"/>
      <c r="AUF19" s="129"/>
      <c r="AUG19" s="129"/>
      <c r="AUH19" s="129"/>
      <c r="AUI19" s="129"/>
      <c r="AUJ19" s="129"/>
      <c r="AUK19" s="129"/>
      <c r="AUL19" s="129"/>
      <c r="AUM19" s="129"/>
      <c r="AUN19" s="129"/>
      <c r="AUO19" s="129"/>
      <c r="AUP19" s="129"/>
      <c r="AUQ19" s="129"/>
      <c r="AUR19" s="129"/>
      <c r="AUS19" s="129"/>
      <c r="AUT19" s="129"/>
      <c r="AUU19" s="129"/>
      <c r="AUV19" s="129"/>
      <c r="AUW19" s="129"/>
      <c r="AUX19" s="129"/>
      <c r="AUY19" s="129"/>
      <c r="AUZ19" s="129"/>
      <c r="AVA19" s="129"/>
      <c r="AVB19" s="129"/>
      <c r="AVC19" s="129"/>
      <c r="AVD19" s="129"/>
      <c r="AVE19" s="129"/>
      <c r="AVF19" s="129"/>
      <c r="AVG19" s="129"/>
      <c r="AVH19" s="129"/>
    </row>
    <row r="20" spans="1:1296" s="172" customFormat="1" ht="38.25" outlineLevel="1">
      <c r="A20" s="137" t="s">
        <v>197</v>
      </c>
      <c r="B20" s="139" t="s">
        <v>214</v>
      </c>
      <c r="C20" s="139" t="s">
        <v>215</v>
      </c>
      <c r="D20" s="139" t="s">
        <v>216</v>
      </c>
      <c r="E20" s="137">
        <v>43</v>
      </c>
      <c r="F20" s="138" t="s">
        <v>85</v>
      </c>
      <c r="G20" s="136" t="s">
        <v>11</v>
      </c>
      <c r="H20" s="136" t="s">
        <v>366</v>
      </c>
      <c r="I20" s="136" t="s">
        <v>366</v>
      </c>
      <c r="J20" s="136" t="s">
        <v>366</v>
      </c>
      <c r="K20" s="136" t="s">
        <v>13</v>
      </c>
      <c r="L20" s="136" t="s">
        <v>366</v>
      </c>
      <c r="M20" s="136"/>
      <c r="N20" s="136" t="s">
        <v>366</v>
      </c>
      <c r="O20" s="138"/>
      <c r="U20" s="129"/>
      <c r="V20" s="129"/>
      <c r="BY20" s="129"/>
      <c r="BZ20" s="129"/>
      <c r="CA20" s="129"/>
      <c r="CC20" s="129"/>
      <c r="CD20" s="129"/>
      <c r="CF20" s="129"/>
      <c r="CG20" s="129"/>
      <c r="CH20" s="129"/>
      <c r="CI20" s="129"/>
      <c r="CJ20" s="129"/>
      <c r="CK20" s="129"/>
      <c r="CM20" s="129"/>
      <c r="CN20" s="129"/>
      <c r="CP20" s="129"/>
      <c r="CQ20" s="129"/>
      <c r="HS20" s="129"/>
      <c r="HT20" s="129"/>
      <c r="HU20" s="129"/>
      <c r="HV20" s="129"/>
      <c r="HW20" s="129"/>
      <c r="HX20" s="129"/>
      <c r="HY20" s="129"/>
      <c r="HZ20" s="129"/>
      <c r="IA20" s="129"/>
      <c r="IB20" s="129"/>
      <c r="IC20" s="129"/>
      <c r="ID20" s="129"/>
      <c r="IE20" s="129"/>
      <c r="IF20" s="129"/>
      <c r="IH20" s="129"/>
      <c r="II20" s="129"/>
      <c r="IJ20" s="129"/>
      <c r="IK20" s="129"/>
      <c r="IL20" s="129"/>
      <c r="IM20" s="129"/>
      <c r="IN20" s="129"/>
      <c r="IO20" s="129"/>
      <c r="IP20" s="129"/>
      <c r="IQ20" s="129"/>
      <c r="IR20" s="129"/>
      <c r="IS20" s="129"/>
      <c r="IT20" s="129"/>
      <c r="IU20" s="129"/>
      <c r="IV20" s="129"/>
      <c r="IW20" s="129"/>
      <c r="IX20" s="129"/>
      <c r="IY20" s="129"/>
      <c r="IZ20" s="129"/>
      <c r="JA20" s="129"/>
      <c r="JB20" s="129"/>
      <c r="JC20" s="129"/>
      <c r="JD20" s="129"/>
      <c r="JE20" s="129"/>
      <c r="JF20" s="129"/>
      <c r="JG20" s="129"/>
      <c r="JH20" s="129"/>
      <c r="JI20" s="129"/>
      <c r="JJ20" s="129"/>
      <c r="JK20" s="129"/>
      <c r="JL20" s="129"/>
      <c r="JM20" s="129"/>
      <c r="JN20" s="129"/>
      <c r="JO20" s="129"/>
      <c r="JP20" s="129"/>
      <c r="JQ20" s="129"/>
      <c r="JR20" s="129"/>
      <c r="JS20" s="129"/>
      <c r="JT20" s="129"/>
      <c r="JU20" s="129"/>
      <c r="JV20" s="129"/>
      <c r="JW20" s="129"/>
      <c r="JX20" s="129"/>
      <c r="JY20" s="129"/>
      <c r="JZ20" s="129"/>
      <c r="KA20" s="129"/>
      <c r="KB20" s="129"/>
      <c r="KC20" s="129"/>
      <c r="KD20" s="129"/>
      <c r="KE20" s="129"/>
      <c r="KF20" s="129"/>
      <c r="KG20" s="129"/>
      <c r="KH20" s="129"/>
      <c r="KI20" s="129"/>
      <c r="KJ20" s="129"/>
      <c r="KK20" s="129"/>
      <c r="KL20" s="129"/>
      <c r="KM20" s="129"/>
      <c r="KN20" s="129"/>
      <c r="KO20" s="129"/>
      <c r="KP20" s="129"/>
      <c r="KQ20" s="129"/>
      <c r="KR20" s="129"/>
      <c r="KS20" s="129"/>
      <c r="KT20" s="129"/>
      <c r="KU20" s="129"/>
      <c r="KV20" s="129"/>
      <c r="KW20" s="129"/>
      <c r="KX20" s="129"/>
      <c r="KY20" s="129"/>
      <c r="KZ20" s="129"/>
      <c r="LA20" s="129"/>
      <c r="LB20" s="129"/>
      <c r="LC20" s="129"/>
      <c r="LD20" s="129"/>
      <c r="LE20" s="129"/>
      <c r="LF20" s="129"/>
      <c r="LG20" s="129"/>
      <c r="LH20" s="129"/>
      <c r="LI20" s="129"/>
      <c r="LJ20" s="129"/>
      <c r="LK20" s="135"/>
      <c r="LL20" s="135"/>
      <c r="LM20" s="135"/>
      <c r="LN20" s="135"/>
      <c r="LO20" s="135"/>
      <c r="LP20" s="129"/>
      <c r="LQ20" s="129"/>
      <c r="LR20" s="129"/>
      <c r="LS20" s="129"/>
      <c r="LT20" s="129"/>
      <c r="LU20" s="135"/>
      <c r="LV20" s="135"/>
      <c r="LW20" s="135"/>
      <c r="LX20" s="135"/>
      <c r="LY20" s="135"/>
      <c r="LZ20" s="135"/>
      <c r="MA20" s="135"/>
      <c r="MB20" s="135"/>
      <c r="MC20" s="135"/>
      <c r="MD20" s="135"/>
      <c r="ME20" s="135"/>
      <c r="MF20" s="135"/>
      <c r="MG20" s="135"/>
      <c r="MH20" s="129"/>
      <c r="MI20" s="129"/>
      <c r="MJ20" s="129"/>
      <c r="MK20" s="129"/>
      <c r="ML20" s="129"/>
      <c r="MM20" s="129"/>
      <c r="MN20" s="129"/>
      <c r="MO20" s="129"/>
      <c r="MP20" s="129"/>
      <c r="MQ20" s="132"/>
      <c r="MR20" s="132"/>
      <c r="MS20" s="132"/>
      <c r="MT20" s="132"/>
      <c r="MU20" s="132"/>
      <c r="MV20" s="132"/>
      <c r="MW20" s="132"/>
      <c r="MX20" s="132"/>
      <c r="MY20" s="132"/>
      <c r="MZ20" s="129"/>
      <c r="NA20" s="129"/>
      <c r="NB20" s="135"/>
      <c r="NC20" s="135"/>
      <c r="ND20" s="135"/>
      <c r="NE20" s="135"/>
      <c r="NF20" s="135"/>
      <c r="NG20" s="129"/>
      <c r="NH20" s="129"/>
      <c r="NI20" s="129"/>
      <c r="NJ20" s="129"/>
      <c r="NK20" s="129"/>
      <c r="NL20" s="132"/>
      <c r="NM20" s="132"/>
      <c r="NN20" s="132"/>
      <c r="NO20" s="132"/>
      <c r="NP20" s="132"/>
      <c r="NQ20" s="129"/>
      <c r="NR20" s="129"/>
      <c r="NS20" s="129"/>
      <c r="NT20" s="129"/>
      <c r="NU20" s="129"/>
      <c r="NV20" s="129"/>
      <c r="NW20" s="129"/>
      <c r="NX20" s="129"/>
      <c r="NY20" s="129"/>
      <c r="NZ20" s="129"/>
      <c r="OA20" s="129"/>
      <c r="OB20" s="129"/>
      <c r="OC20" s="129"/>
      <c r="OD20" s="129"/>
      <c r="OE20" s="129"/>
      <c r="OF20" s="129"/>
      <c r="OG20" s="129"/>
      <c r="OH20" s="129"/>
      <c r="OI20" s="129"/>
      <c r="OJ20" s="129"/>
      <c r="OK20" s="129"/>
      <c r="OL20" s="129"/>
      <c r="OM20" s="129"/>
      <c r="ON20" s="129"/>
      <c r="OO20" s="129"/>
      <c r="OQ20" s="129">
        <v>2550</v>
      </c>
      <c r="OR20" s="129"/>
      <c r="OS20" s="129"/>
      <c r="OT20" s="129">
        <v>2550</v>
      </c>
      <c r="OU20" s="129">
        <v>3450</v>
      </c>
      <c r="OV20" s="129"/>
      <c r="OW20" s="129"/>
      <c r="OX20" s="129">
        <v>3450</v>
      </c>
      <c r="OY20" s="129">
        <v>4300</v>
      </c>
      <c r="OZ20" s="129"/>
      <c r="PA20" s="129"/>
      <c r="PB20" s="129">
        <v>4300</v>
      </c>
      <c r="PC20" s="129"/>
      <c r="PD20" s="129"/>
      <c r="PE20" s="129"/>
      <c r="PF20" s="129">
        <v>5000</v>
      </c>
      <c r="PG20" s="129"/>
      <c r="PH20" s="129"/>
      <c r="PI20" s="129">
        <v>2200</v>
      </c>
      <c r="PJ20" s="129"/>
      <c r="PK20" s="129"/>
      <c r="PL20" s="129">
        <v>3000</v>
      </c>
      <c r="PM20" s="129">
        <v>3750</v>
      </c>
      <c r="PN20" s="129"/>
      <c r="PO20" s="129"/>
      <c r="PP20" s="129"/>
      <c r="PQ20" s="129">
        <v>4350</v>
      </c>
      <c r="PR20" s="129">
        <v>3700</v>
      </c>
      <c r="PS20" s="129">
        <v>2150</v>
      </c>
      <c r="PT20" s="129">
        <v>2850</v>
      </c>
      <c r="PU20" s="129">
        <v>3550</v>
      </c>
      <c r="PV20" s="129">
        <v>1850</v>
      </c>
      <c r="PW20" s="129">
        <v>1850</v>
      </c>
      <c r="PX20" s="129">
        <v>2500</v>
      </c>
      <c r="PY20" s="129">
        <v>2500</v>
      </c>
      <c r="PZ20" s="129">
        <v>3050</v>
      </c>
      <c r="QA20" s="129">
        <v>3050</v>
      </c>
      <c r="QB20" s="129">
        <v>3600</v>
      </c>
      <c r="QC20" s="129">
        <v>3600</v>
      </c>
      <c r="QD20" s="129">
        <v>2400</v>
      </c>
      <c r="QE20" s="129">
        <v>3250</v>
      </c>
      <c r="QF20" s="129">
        <v>4000</v>
      </c>
      <c r="QG20" s="129">
        <v>4750</v>
      </c>
      <c r="QH20" s="129">
        <v>2100</v>
      </c>
      <c r="QI20" s="129"/>
      <c r="QJ20" s="129"/>
      <c r="QK20" s="129">
        <v>2800</v>
      </c>
      <c r="QL20" s="129">
        <v>3500</v>
      </c>
      <c r="QM20" s="129">
        <v>4100</v>
      </c>
      <c r="QN20" s="129"/>
      <c r="QO20" s="129"/>
      <c r="QP20" s="129"/>
      <c r="QQ20" s="129"/>
      <c r="QR20" s="129"/>
      <c r="QS20" s="129"/>
      <c r="QT20" s="129"/>
      <c r="QU20" s="129"/>
      <c r="QV20" s="129"/>
      <c r="QW20" s="129"/>
      <c r="QX20" s="129"/>
      <c r="QY20" s="129"/>
      <c r="QZ20" s="129"/>
      <c r="RA20" s="129"/>
      <c r="RB20" s="129"/>
      <c r="RC20" s="129"/>
      <c r="RD20" s="129"/>
      <c r="RE20" s="129"/>
      <c r="RF20" s="129"/>
      <c r="RG20" s="129"/>
      <c r="RH20" s="129"/>
      <c r="RI20" s="129"/>
      <c r="RJ20" s="129"/>
      <c r="RK20" s="129"/>
      <c r="RL20" s="129"/>
      <c r="RM20" s="129"/>
      <c r="RN20" s="129">
        <v>2500</v>
      </c>
      <c r="RO20" s="129">
        <v>3350</v>
      </c>
      <c r="RP20" s="129">
        <v>4150</v>
      </c>
      <c r="RQ20" s="134"/>
      <c r="RR20" s="134"/>
      <c r="RS20" s="134"/>
      <c r="RT20" s="134"/>
      <c r="RU20" s="129"/>
      <c r="RV20" s="129">
        <v>5000</v>
      </c>
      <c r="RW20" s="129">
        <v>2200</v>
      </c>
      <c r="RX20" s="129">
        <v>3000</v>
      </c>
      <c r="RY20" s="129">
        <v>3750</v>
      </c>
      <c r="RZ20" s="129">
        <v>4350</v>
      </c>
      <c r="SA20" s="129">
        <v>2150</v>
      </c>
      <c r="SB20" s="129">
        <v>2850</v>
      </c>
      <c r="SC20" s="129">
        <v>3550</v>
      </c>
      <c r="SD20" s="129">
        <v>4200</v>
      </c>
      <c r="SE20" s="129">
        <v>4200</v>
      </c>
      <c r="SF20" s="129">
        <v>2050</v>
      </c>
      <c r="SG20" s="129">
        <v>2050</v>
      </c>
      <c r="SH20" s="129">
        <v>2750</v>
      </c>
      <c r="SI20" s="129">
        <v>2750</v>
      </c>
      <c r="SJ20" s="129">
        <v>3400</v>
      </c>
      <c r="SK20" s="129">
        <v>3400</v>
      </c>
      <c r="SL20" s="129">
        <v>4000</v>
      </c>
      <c r="SM20" s="129">
        <v>4000</v>
      </c>
      <c r="SN20" s="129"/>
      <c r="SO20" s="129">
        <v>2400</v>
      </c>
      <c r="SP20" s="129">
        <v>3250</v>
      </c>
      <c r="SQ20" s="129">
        <v>4000</v>
      </c>
      <c r="SR20" s="129">
        <v>4750</v>
      </c>
      <c r="SS20" s="129">
        <v>2100</v>
      </c>
      <c r="ST20" s="129">
        <v>2800</v>
      </c>
      <c r="SU20" s="129">
        <v>3500</v>
      </c>
      <c r="SV20" s="129">
        <v>4100</v>
      </c>
      <c r="SW20" s="129"/>
      <c r="SX20" s="129"/>
      <c r="SY20" s="129"/>
      <c r="SZ20" s="129"/>
      <c r="TA20" s="129"/>
      <c r="TB20" s="129"/>
      <c r="TC20" s="129"/>
      <c r="TD20" s="133"/>
      <c r="TE20" s="132"/>
      <c r="TF20" s="132"/>
      <c r="TG20" s="129"/>
      <c r="TH20" s="129"/>
      <c r="TI20" s="129"/>
      <c r="TJ20" s="129"/>
      <c r="TK20" s="129"/>
      <c r="TL20" s="129"/>
      <c r="TM20" s="129"/>
      <c r="TN20" s="129"/>
      <c r="TO20" s="129"/>
      <c r="TP20" s="129"/>
      <c r="TQ20" s="129"/>
      <c r="TR20" s="129"/>
      <c r="TS20" s="129"/>
      <c r="TT20" s="129"/>
      <c r="TU20" s="129"/>
      <c r="TV20" s="129"/>
      <c r="TW20" s="129"/>
      <c r="TX20" s="132"/>
      <c r="TY20" s="132"/>
      <c r="TZ20" s="132"/>
      <c r="UA20" s="129"/>
      <c r="UB20" s="129"/>
      <c r="UC20" s="129"/>
      <c r="UD20" s="129"/>
      <c r="UE20" s="129"/>
      <c r="UF20" s="129"/>
      <c r="UG20" s="129"/>
      <c r="UH20" s="129"/>
      <c r="UI20" s="129"/>
      <c r="UJ20" s="129"/>
      <c r="UK20" s="129"/>
      <c r="UL20" s="129"/>
      <c r="UM20" s="129"/>
      <c r="UN20" s="129"/>
      <c r="UO20" s="129"/>
      <c r="UP20" s="129"/>
      <c r="UQ20" s="129"/>
      <c r="UR20" s="129"/>
      <c r="US20" s="129"/>
      <c r="UT20" s="129"/>
      <c r="UU20" s="129"/>
      <c r="UV20" s="129"/>
      <c r="UW20" s="129"/>
      <c r="UX20" s="129"/>
      <c r="UY20" s="129"/>
      <c r="UZ20" s="129"/>
      <c r="VA20" s="129"/>
      <c r="VB20" s="129"/>
      <c r="VC20" s="129"/>
      <c r="VD20" s="129"/>
      <c r="VE20" s="129"/>
      <c r="VF20" s="129"/>
      <c r="VG20" s="129"/>
      <c r="VH20" s="129"/>
      <c r="VI20" s="129"/>
      <c r="VJ20" s="129"/>
      <c r="VK20" s="129"/>
      <c r="VL20" s="132"/>
      <c r="VM20" s="132"/>
      <c r="VN20" s="132"/>
      <c r="VO20" s="132"/>
      <c r="VP20" s="129"/>
      <c r="VR20" s="131"/>
      <c r="VS20" s="131"/>
      <c r="VT20" s="131"/>
      <c r="VU20" s="131"/>
      <c r="VV20" s="131"/>
      <c r="VW20" s="131"/>
      <c r="VX20" s="131"/>
      <c r="VY20" s="131"/>
      <c r="VZ20" s="131"/>
      <c r="WA20" s="131"/>
      <c r="WB20" s="131"/>
      <c r="WC20" s="131"/>
      <c r="WD20" s="131"/>
      <c r="WE20" s="131"/>
      <c r="WF20" s="131"/>
      <c r="WG20" s="131"/>
      <c r="WH20" s="131"/>
      <c r="WI20" s="131"/>
      <c r="WJ20" s="131"/>
      <c r="WK20" s="131"/>
      <c r="WL20" s="131"/>
      <c r="WM20" s="131"/>
      <c r="WN20" s="131"/>
      <c r="WO20" s="131"/>
      <c r="WP20" s="131"/>
      <c r="WQ20" s="131"/>
      <c r="WR20" s="131"/>
      <c r="WS20" s="131"/>
      <c r="WT20" s="131"/>
      <c r="WU20" s="131"/>
      <c r="WV20" s="131"/>
      <c r="WW20" s="131"/>
      <c r="WX20" s="131"/>
      <c r="WY20" s="131"/>
      <c r="WZ20" s="131"/>
      <c r="XA20" s="131"/>
      <c r="XB20" s="131"/>
      <c r="XC20" s="131"/>
      <c r="XD20" s="131"/>
      <c r="XE20" s="131"/>
      <c r="XF20" s="131"/>
      <c r="XG20" s="131"/>
      <c r="XH20" s="131"/>
      <c r="XI20" s="131"/>
      <c r="XJ20" s="131"/>
      <c r="XK20" s="131"/>
      <c r="XL20" s="131"/>
      <c r="XM20" s="131"/>
      <c r="XN20" s="131"/>
      <c r="XO20" s="131"/>
      <c r="XP20" s="131"/>
      <c r="XQ20" s="131"/>
      <c r="XR20" s="131"/>
      <c r="XS20" s="131"/>
      <c r="XT20" s="131"/>
      <c r="XU20" s="131"/>
      <c r="XV20" s="131"/>
      <c r="XW20" s="131"/>
      <c r="XX20" s="131"/>
      <c r="XY20" s="131"/>
      <c r="XZ20" s="131"/>
      <c r="YA20" s="131"/>
      <c r="YB20" s="131"/>
      <c r="YC20" s="131"/>
      <c r="YD20" s="131"/>
      <c r="YE20" s="131"/>
      <c r="YF20" s="131"/>
      <c r="YG20" s="131"/>
      <c r="YH20" s="131"/>
      <c r="YI20" s="131"/>
      <c r="YJ20" s="131"/>
      <c r="YK20" s="131"/>
      <c r="YL20" s="131"/>
      <c r="YM20" s="131"/>
      <c r="YN20" s="131"/>
      <c r="YO20" s="131"/>
      <c r="YP20" s="131"/>
      <c r="YQ20" s="131"/>
      <c r="YR20" s="131"/>
      <c r="YS20" s="131"/>
      <c r="YT20" s="131"/>
      <c r="YU20" s="131"/>
      <c r="YV20" s="131"/>
      <c r="YW20" s="131"/>
      <c r="YX20" s="131"/>
      <c r="YY20" s="131"/>
      <c r="YZ20" s="131"/>
      <c r="ZA20" s="131"/>
      <c r="ZB20" s="131"/>
      <c r="ZC20" s="131"/>
      <c r="ZD20" s="131"/>
      <c r="ZE20" s="131"/>
      <c r="ZF20" s="131"/>
      <c r="ZG20" s="131"/>
      <c r="ZH20" s="131"/>
      <c r="ZI20" s="131"/>
      <c r="ZJ20" s="131"/>
      <c r="ZK20" s="131"/>
      <c r="ZL20" s="131"/>
      <c r="ZM20" s="131"/>
      <c r="ZN20" s="131"/>
      <c r="ZO20" s="131"/>
      <c r="ZP20" s="131"/>
      <c r="ZQ20" s="131"/>
      <c r="ZR20" s="131"/>
      <c r="ZS20" s="131"/>
      <c r="ZT20" s="131"/>
      <c r="ZU20" s="131"/>
      <c r="ZV20" s="131"/>
      <c r="ZW20" s="131"/>
      <c r="ZX20" s="131"/>
      <c r="ZY20" s="131"/>
      <c r="ZZ20" s="131"/>
      <c r="AAA20" s="131"/>
      <c r="AAB20" s="131"/>
      <c r="AAC20" s="131"/>
      <c r="AAD20" s="131"/>
      <c r="AAE20" s="131"/>
      <c r="AAF20" s="131"/>
      <c r="AAG20" s="131"/>
      <c r="AAH20" s="131"/>
      <c r="AAJ20" s="131"/>
      <c r="AAK20" s="131"/>
      <c r="AAL20" s="131"/>
      <c r="AAM20" s="131"/>
      <c r="AAN20" s="131"/>
      <c r="AAO20" s="131"/>
      <c r="AAP20" s="131"/>
      <c r="AAQ20" s="131"/>
      <c r="AAR20" s="131"/>
      <c r="AAS20" s="131"/>
      <c r="AAT20" s="131"/>
      <c r="AAU20" s="131"/>
      <c r="AAV20" s="131"/>
      <c r="AAW20" s="131"/>
      <c r="AAX20" s="131"/>
      <c r="AAY20" s="131"/>
      <c r="AAZ20" s="131"/>
      <c r="ABA20" s="131"/>
      <c r="ABB20" s="131"/>
      <c r="ABC20" s="131"/>
      <c r="ABD20" s="131"/>
      <c r="ABE20" s="131"/>
      <c r="ABF20" s="131"/>
      <c r="ABG20" s="131"/>
      <c r="ABH20" s="131"/>
      <c r="ABI20" s="131"/>
      <c r="ABJ20" s="131"/>
      <c r="ABK20" s="131"/>
      <c r="ABL20" s="131"/>
      <c r="ABM20" s="131"/>
      <c r="ABN20" s="131"/>
      <c r="ABO20" s="131"/>
      <c r="ABP20" s="131"/>
      <c r="ABQ20" s="131"/>
      <c r="ABR20" s="131"/>
      <c r="ABS20" s="131"/>
      <c r="ABT20" s="131"/>
      <c r="ABU20" s="131"/>
      <c r="ABV20" s="131"/>
      <c r="ABW20" s="131"/>
      <c r="ABX20" s="131"/>
      <c r="ABY20" s="131"/>
      <c r="ABZ20" s="131"/>
      <c r="ACA20" s="131"/>
      <c r="ACB20" s="131"/>
      <c r="ACC20" s="131"/>
      <c r="ACD20" s="131"/>
      <c r="ACE20" s="131"/>
      <c r="ACF20" s="131"/>
      <c r="ACG20" s="131"/>
      <c r="ACH20" s="131"/>
      <c r="ACI20" s="131"/>
      <c r="ACJ20" s="131"/>
      <c r="ACK20" s="131"/>
      <c r="ACL20" s="131"/>
      <c r="ACM20" s="131"/>
      <c r="ACN20" s="131"/>
      <c r="ACO20" s="131"/>
      <c r="ACP20" s="131"/>
      <c r="ACQ20" s="131"/>
      <c r="ACR20" s="131"/>
      <c r="ACS20" s="131"/>
      <c r="ACT20" s="131"/>
      <c r="ACU20" s="131"/>
      <c r="ACV20" s="131"/>
      <c r="ACW20" s="131"/>
      <c r="ACX20" s="131"/>
      <c r="ACY20" s="131"/>
      <c r="ACZ20" s="131"/>
      <c r="ADA20" s="131"/>
      <c r="ADB20" s="131"/>
      <c r="ADC20" s="131"/>
      <c r="ADD20" s="131"/>
      <c r="ADE20" s="131"/>
      <c r="ADF20" s="131"/>
      <c r="ADG20" s="131"/>
      <c r="ADH20" s="131"/>
      <c r="ADI20" s="131"/>
      <c r="ADJ20" s="131"/>
      <c r="ADK20" s="131"/>
      <c r="ADL20" s="131"/>
      <c r="ADM20" s="131"/>
      <c r="ADN20" s="131"/>
      <c r="ADO20" s="131"/>
      <c r="ADP20" s="131"/>
      <c r="ADQ20" s="131"/>
      <c r="ADR20" s="131"/>
      <c r="ADS20" s="131"/>
      <c r="ADT20" s="131"/>
      <c r="ADU20" s="131"/>
      <c r="ADV20" s="131"/>
      <c r="ADW20" s="131"/>
      <c r="ADX20" s="131"/>
      <c r="ADY20" s="131"/>
      <c r="ADZ20" s="131"/>
      <c r="AEA20" s="131"/>
      <c r="AEB20" s="131"/>
      <c r="AEC20" s="131"/>
      <c r="AED20" s="131"/>
      <c r="AEE20" s="131"/>
      <c r="AEF20" s="131"/>
      <c r="AEG20" s="131"/>
      <c r="AEH20" s="131"/>
      <c r="AEI20" s="131"/>
      <c r="AEJ20" s="131"/>
      <c r="AEK20" s="131"/>
      <c r="AEL20" s="131"/>
      <c r="AEM20" s="131"/>
      <c r="AEN20" s="131"/>
      <c r="AEO20" s="131"/>
      <c r="AEP20" s="131"/>
      <c r="AEQ20" s="131"/>
      <c r="AER20" s="131"/>
      <c r="AES20" s="131"/>
      <c r="AET20" s="131"/>
      <c r="AEU20" s="131"/>
      <c r="AEV20" s="131"/>
      <c r="AEW20" s="131"/>
      <c r="AEX20" s="131"/>
      <c r="AEY20" s="131"/>
      <c r="AEZ20" s="131"/>
      <c r="AFA20" s="131"/>
      <c r="AFB20" s="131"/>
      <c r="AFC20" s="131"/>
      <c r="AFD20" s="131"/>
      <c r="AFE20" s="131"/>
      <c r="AFF20" s="131"/>
      <c r="AFG20" s="131"/>
      <c r="AFH20" s="131"/>
      <c r="AFI20" s="131"/>
      <c r="AFJ20" s="131"/>
      <c r="AFK20" s="131"/>
      <c r="AFL20" s="129"/>
      <c r="AFN20" s="129"/>
      <c r="AFO20" s="129"/>
      <c r="AFP20" s="129"/>
      <c r="AFQ20" s="129"/>
      <c r="AFR20" s="129"/>
      <c r="AFS20" s="129"/>
      <c r="AFT20" s="129"/>
      <c r="AFU20" s="129"/>
      <c r="AFV20" s="129"/>
      <c r="AFW20" s="129"/>
      <c r="AFX20" s="129"/>
      <c r="AFY20" s="129"/>
      <c r="AFZ20" s="129"/>
      <c r="AGA20" s="129"/>
      <c r="AGB20" s="129"/>
      <c r="AGC20" s="129"/>
      <c r="AGD20" s="129"/>
      <c r="AGE20" s="129"/>
      <c r="AGF20" s="129"/>
      <c r="AGG20" s="129"/>
      <c r="AGH20" s="129"/>
      <c r="AGI20" s="129"/>
      <c r="AGJ20" s="129"/>
      <c r="AGK20" s="129"/>
      <c r="AGL20" s="129"/>
      <c r="AGM20" s="129"/>
      <c r="AGN20" s="129"/>
      <c r="AGO20" s="129"/>
      <c r="AGP20" s="129"/>
      <c r="AGQ20" s="129"/>
      <c r="AGR20" s="129"/>
      <c r="AGS20" s="129"/>
      <c r="AGT20" s="129"/>
      <c r="AGU20" s="129"/>
      <c r="AGV20" s="129"/>
      <c r="AGW20" s="129"/>
      <c r="AGX20" s="129"/>
      <c r="AGY20" s="129"/>
      <c r="AGZ20" s="129"/>
      <c r="AHA20" s="129"/>
      <c r="AHB20" s="129"/>
      <c r="AHC20" s="129"/>
      <c r="AHD20" s="129"/>
      <c r="AHE20" s="129"/>
      <c r="AHF20" s="129"/>
      <c r="AHG20" s="129"/>
      <c r="AHH20" s="129"/>
      <c r="AHI20" s="129"/>
      <c r="AHJ20" s="129"/>
      <c r="AHK20" s="129"/>
      <c r="AHL20" s="129"/>
      <c r="AHM20" s="129"/>
      <c r="AHN20" s="129"/>
      <c r="AHO20" s="129"/>
      <c r="AHP20" s="129"/>
      <c r="AHQ20" s="129"/>
      <c r="AHR20" s="129"/>
      <c r="AHS20" s="129"/>
      <c r="AHT20" s="129"/>
      <c r="AHU20" s="129"/>
      <c r="AHV20" s="129"/>
      <c r="AHW20" s="129"/>
      <c r="AHX20" s="129"/>
      <c r="AHY20" s="129"/>
      <c r="AHZ20" s="129"/>
      <c r="AIA20" s="129"/>
      <c r="AIB20" s="129"/>
      <c r="AIC20" s="129"/>
      <c r="AID20" s="129"/>
      <c r="AIE20" s="129"/>
      <c r="AIF20" s="129"/>
      <c r="AIG20" s="129"/>
      <c r="AIH20" s="129"/>
      <c r="AII20" s="129"/>
      <c r="AIJ20" s="129"/>
      <c r="AIK20" s="129"/>
      <c r="AIL20" s="129"/>
      <c r="AIM20" s="129"/>
      <c r="AIN20" s="129"/>
      <c r="AIO20" s="129"/>
      <c r="AIP20" s="129"/>
      <c r="AIQ20" s="129"/>
      <c r="AIR20" s="129"/>
      <c r="AIS20" s="129"/>
      <c r="AIT20" s="129"/>
      <c r="AIU20" s="129"/>
      <c r="AIV20" s="129"/>
      <c r="AIW20" s="129"/>
      <c r="AIX20" s="129"/>
      <c r="AIY20" s="129"/>
      <c r="AIZ20" s="129"/>
      <c r="AJA20" s="129"/>
      <c r="AJB20" s="129"/>
      <c r="AJC20" s="129"/>
      <c r="AJD20" s="129"/>
      <c r="AJE20" s="129"/>
      <c r="AJF20" s="129"/>
      <c r="AJG20" s="129"/>
      <c r="AJH20" s="129"/>
      <c r="AJI20" s="129"/>
      <c r="AJJ20" s="129"/>
      <c r="AJK20" s="129"/>
      <c r="AJL20" s="129"/>
      <c r="AJM20" s="129"/>
      <c r="AJN20" s="129"/>
      <c r="AJO20" s="129"/>
      <c r="AJP20" s="129"/>
      <c r="AJQ20" s="129"/>
      <c r="AJR20" s="129"/>
      <c r="AJS20" s="129"/>
      <c r="AJT20" s="129"/>
      <c r="AJU20" s="129"/>
      <c r="AJV20" s="129"/>
      <c r="AJW20" s="129"/>
      <c r="AJX20" s="129"/>
      <c r="AJY20" s="129"/>
      <c r="AJZ20" s="129"/>
      <c r="AKA20" s="129"/>
      <c r="AKB20" s="129"/>
      <c r="AKC20" s="129"/>
      <c r="AKD20" s="129"/>
      <c r="AKE20" s="129"/>
      <c r="AKF20" s="129"/>
      <c r="AKG20" s="129"/>
      <c r="AKH20" s="129"/>
      <c r="AKI20" s="129"/>
      <c r="AKJ20" s="129"/>
      <c r="AKK20" s="129"/>
      <c r="AKL20" s="129"/>
      <c r="AKM20" s="129"/>
      <c r="AKN20" s="129"/>
      <c r="AKO20" s="129"/>
      <c r="AKP20" s="129"/>
      <c r="AKQ20" s="129"/>
      <c r="AKR20" s="129"/>
      <c r="AKS20" s="129"/>
      <c r="AKT20" s="129"/>
      <c r="AKU20" s="129"/>
      <c r="AKV20" s="129"/>
      <c r="AKW20" s="129"/>
      <c r="AKX20" s="129"/>
      <c r="AKY20" s="129"/>
      <c r="AKZ20" s="129"/>
      <c r="ALA20" s="129"/>
      <c r="ALB20" s="129"/>
      <c r="ALC20" s="129"/>
      <c r="ALD20" s="129"/>
      <c r="ALE20" s="129"/>
      <c r="ALF20" s="129"/>
      <c r="ALG20" s="129"/>
      <c r="ALH20" s="129"/>
      <c r="ALI20" s="129"/>
      <c r="ALJ20" s="129"/>
      <c r="ALK20" s="129"/>
      <c r="ALL20" s="129"/>
      <c r="ALM20" s="129"/>
      <c r="ALN20" s="129"/>
      <c r="ALO20" s="129"/>
      <c r="ALP20" s="129"/>
      <c r="ALQ20" s="129"/>
      <c r="ALR20" s="129"/>
      <c r="ALS20" s="129"/>
      <c r="ALT20" s="129"/>
      <c r="ALU20" s="129"/>
      <c r="ALV20" s="129"/>
      <c r="ALW20" s="129"/>
      <c r="ALX20" s="129"/>
      <c r="ALY20" s="129"/>
      <c r="ALZ20" s="129"/>
      <c r="AMA20" s="129"/>
      <c r="AMB20" s="129"/>
      <c r="AMC20" s="129"/>
      <c r="AMD20" s="129"/>
      <c r="AME20" s="129"/>
      <c r="AMF20" s="129"/>
      <c r="AMG20" s="129"/>
      <c r="AMH20" s="129"/>
      <c r="AMI20" s="129"/>
      <c r="AMJ20" s="129"/>
      <c r="AMK20" s="129"/>
      <c r="AML20" s="129"/>
      <c r="AMM20" s="129"/>
      <c r="AMN20" s="129"/>
      <c r="AMO20" s="129"/>
      <c r="AMP20" s="129"/>
      <c r="AMQ20" s="129"/>
      <c r="AMR20" s="129"/>
      <c r="AMS20" s="129"/>
      <c r="AMT20" s="129"/>
      <c r="AMU20" s="129"/>
      <c r="AMV20" s="129"/>
      <c r="AMW20" s="129"/>
      <c r="AMX20" s="129"/>
      <c r="AMY20" s="129"/>
      <c r="AMZ20" s="129"/>
      <c r="ANA20" s="129"/>
      <c r="ANB20" s="129"/>
      <c r="ANC20" s="129"/>
      <c r="AND20" s="129"/>
      <c r="ANE20" s="129"/>
      <c r="ANF20" s="129"/>
      <c r="ANG20" s="129"/>
      <c r="ANH20" s="129"/>
      <c r="ANI20" s="129"/>
      <c r="ANJ20" s="129"/>
      <c r="ANK20" s="129"/>
      <c r="ANL20" s="129"/>
      <c r="ANM20" s="129"/>
      <c r="ANN20" s="129"/>
      <c r="ANO20" s="129"/>
      <c r="ANP20" s="129"/>
      <c r="ANQ20" s="129"/>
      <c r="ANR20" s="129"/>
      <c r="ANS20" s="129"/>
      <c r="ANT20" s="129"/>
      <c r="ANU20" s="129"/>
      <c r="ANV20" s="129"/>
      <c r="ANW20" s="129"/>
      <c r="ANX20" s="129"/>
      <c r="ANY20" s="129"/>
      <c r="ANZ20" s="129"/>
      <c r="AOA20" s="129"/>
      <c r="AOB20" s="129"/>
      <c r="AOC20" s="129"/>
      <c r="AOD20" s="129"/>
      <c r="AOE20" s="129"/>
      <c r="AOF20" s="129"/>
      <c r="AOG20" s="129"/>
      <c r="AOH20" s="129"/>
      <c r="AOI20" s="129"/>
      <c r="AOJ20" s="129"/>
      <c r="AOK20" s="129"/>
      <c r="AOL20" s="129"/>
      <c r="AOM20" s="129"/>
      <c r="AON20" s="129"/>
      <c r="AOO20" s="129"/>
      <c r="AOP20" s="129"/>
      <c r="AOQ20" s="129"/>
      <c r="AOR20" s="129"/>
      <c r="AOS20" s="129"/>
      <c r="AOT20" s="129"/>
      <c r="AOU20" s="129"/>
      <c r="AOV20" s="129"/>
      <c r="AOW20" s="129"/>
      <c r="AOX20" s="129"/>
      <c r="AOY20" s="129"/>
      <c r="AOZ20" s="129"/>
      <c r="APA20" s="129"/>
      <c r="APB20" s="129"/>
      <c r="APC20" s="129"/>
      <c r="APD20" s="129"/>
      <c r="APE20" s="129"/>
      <c r="APF20" s="129"/>
      <c r="APG20" s="129"/>
      <c r="APH20" s="129"/>
      <c r="API20" s="129"/>
      <c r="APJ20" s="129"/>
      <c r="APK20" s="129"/>
      <c r="APL20" s="129"/>
      <c r="APM20" s="129"/>
      <c r="APN20" s="129"/>
      <c r="APO20" s="130"/>
      <c r="APP20" s="130"/>
      <c r="APQ20" s="130"/>
      <c r="APR20" s="130"/>
      <c r="APS20" s="130"/>
      <c r="APT20" s="130"/>
      <c r="APU20" s="130"/>
      <c r="APV20" s="130"/>
      <c r="APW20" s="130"/>
      <c r="APX20" s="130"/>
      <c r="APY20" s="130"/>
      <c r="APZ20" s="130"/>
      <c r="AQA20" s="130"/>
      <c r="AQB20" s="130"/>
      <c r="AQC20" s="130"/>
      <c r="AQD20" s="130"/>
      <c r="AQE20" s="130"/>
      <c r="AQF20" s="130"/>
      <c r="AQG20" s="130"/>
      <c r="AQH20" s="130"/>
      <c r="AQI20" s="130"/>
      <c r="AQJ20" s="130"/>
      <c r="AQK20" s="130"/>
      <c r="AQL20" s="130"/>
      <c r="AQM20" s="130"/>
      <c r="AQN20" s="130"/>
      <c r="AQO20" s="130"/>
      <c r="AQP20" s="130"/>
      <c r="AQQ20" s="130"/>
      <c r="AQR20" s="130"/>
      <c r="AQS20" s="130"/>
      <c r="AQT20" s="130"/>
      <c r="AQU20" s="130"/>
      <c r="AQV20" s="130"/>
      <c r="AQW20" s="130"/>
      <c r="AQX20" s="130"/>
      <c r="AQY20" s="130"/>
      <c r="AQZ20" s="130"/>
      <c r="ARA20" s="130"/>
      <c r="ARB20" s="130"/>
      <c r="ARC20" s="130"/>
      <c r="ARD20" s="130"/>
      <c r="ARE20" s="130"/>
      <c r="ARF20" s="130"/>
      <c r="ARG20" s="130"/>
      <c r="ARH20" s="130"/>
      <c r="ARI20" s="130"/>
      <c r="ARJ20" s="130"/>
      <c r="ARK20" s="130"/>
      <c r="ARL20" s="130"/>
      <c r="ARM20" s="130"/>
      <c r="ARN20" s="130"/>
      <c r="ARO20" s="130"/>
      <c r="ARP20" s="130"/>
      <c r="ARQ20" s="130"/>
      <c r="ARR20" s="130"/>
      <c r="ARS20" s="130"/>
      <c r="ART20" s="130"/>
      <c r="ARU20" s="130"/>
      <c r="ARV20" s="130"/>
      <c r="ARW20" s="130"/>
      <c r="ARX20" s="130"/>
      <c r="ARY20" s="130"/>
      <c r="ARZ20" s="130"/>
      <c r="ASA20" s="130"/>
      <c r="ASB20" s="130"/>
      <c r="ASC20" s="130"/>
      <c r="ASD20" s="130"/>
      <c r="ASE20" s="130"/>
      <c r="ASF20" s="130"/>
      <c r="ASG20" s="130"/>
      <c r="ASH20" s="130"/>
      <c r="ASI20" s="130"/>
      <c r="ASJ20" s="130"/>
      <c r="ASK20" s="130"/>
      <c r="ASL20" s="130"/>
      <c r="ASM20" s="130"/>
      <c r="ASN20" s="130"/>
      <c r="ASO20" s="130"/>
      <c r="ASP20" s="130"/>
      <c r="ASQ20" s="130"/>
      <c r="ASR20" s="130"/>
      <c r="ASS20" s="130"/>
      <c r="AST20" s="130"/>
      <c r="ASU20" s="130"/>
      <c r="ASV20" s="130"/>
      <c r="ASW20" s="130"/>
      <c r="ASX20" s="129"/>
      <c r="ASY20" s="129"/>
      <c r="ASZ20" s="129"/>
      <c r="ATA20" s="129"/>
      <c r="ATB20" s="129"/>
      <c r="ATC20" s="129"/>
      <c r="ATD20" s="129"/>
      <c r="ATE20" s="129"/>
      <c r="ATF20" s="129"/>
      <c r="ATG20" s="129"/>
      <c r="ATH20" s="129"/>
      <c r="ATI20" s="129"/>
      <c r="ATJ20" s="129"/>
      <c r="ATK20" s="129"/>
      <c r="ATL20" s="129"/>
      <c r="ATM20" s="129"/>
      <c r="ATN20" s="129"/>
      <c r="ATO20" s="129"/>
      <c r="ATP20" s="129"/>
      <c r="ATQ20" s="129"/>
      <c r="ATR20" s="129"/>
      <c r="ATS20" s="129"/>
      <c r="ATT20" s="129"/>
      <c r="ATU20" s="129"/>
      <c r="ATV20" s="129"/>
      <c r="ATW20" s="129"/>
      <c r="ATX20" s="129"/>
      <c r="ATY20" s="129"/>
      <c r="ATZ20" s="129"/>
      <c r="AUA20" s="129"/>
      <c r="AUB20" s="129"/>
      <c r="AUC20" s="129"/>
      <c r="AUD20" s="129"/>
      <c r="AUE20" s="129"/>
      <c r="AUF20" s="129"/>
      <c r="AUG20" s="129"/>
      <c r="AUH20" s="129"/>
      <c r="AUI20" s="129"/>
      <c r="AUJ20" s="129"/>
      <c r="AUK20" s="129"/>
      <c r="AUL20" s="129"/>
      <c r="AUM20" s="129"/>
      <c r="AUN20" s="129"/>
      <c r="AUO20" s="129"/>
      <c r="AUP20" s="129"/>
      <c r="AUQ20" s="129"/>
      <c r="AUR20" s="129"/>
      <c r="AUS20" s="129"/>
      <c r="AUT20" s="129"/>
      <c r="AUU20" s="129"/>
      <c r="AUV20" s="129"/>
      <c r="AUW20" s="129"/>
      <c r="AUX20" s="129"/>
      <c r="AUY20" s="129"/>
      <c r="AUZ20" s="129"/>
      <c r="AVA20" s="129"/>
      <c r="AVB20" s="129"/>
      <c r="AVC20" s="129"/>
      <c r="AVD20" s="129"/>
      <c r="AVE20" s="129"/>
      <c r="AVF20" s="129"/>
      <c r="AVG20" s="129"/>
      <c r="AVH20" s="129"/>
    </row>
    <row r="21" spans="1:1296" s="214" customFormat="1" outlineLevel="1">
      <c r="A21" s="214" t="s">
        <v>217</v>
      </c>
      <c r="B21" s="215" t="s">
        <v>5495</v>
      </c>
      <c r="C21" s="215" t="s">
        <v>5496</v>
      </c>
      <c r="D21" s="215" t="s">
        <v>5497</v>
      </c>
      <c r="E21" s="214">
        <v>45</v>
      </c>
      <c r="G21" s="214" t="s">
        <v>17</v>
      </c>
      <c r="H21" s="136" t="s">
        <v>13</v>
      </c>
      <c r="I21" s="136" t="s">
        <v>13</v>
      </c>
      <c r="J21" s="136" t="s">
        <v>13</v>
      </c>
      <c r="K21" s="136" t="s">
        <v>13</v>
      </c>
      <c r="L21" s="136" t="s">
        <v>13</v>
      </c>
      <c r="M21" s="136" t="s">
        <v>13</v>
      </c>
      <c r="N21" s="136" t="s">
        <v>13</v>
      </c>
      <c r="P21" s="216" t="s">
        <v>5498</v>
      </c>
      <c r="Q21" s="216" t="s">
        <v>5499</v>
      </c>
      <c r="R21" s="216" t="s">
        <v>5499</v>
      </c>
      <c r="S21" s="216" t="s">
        <v>5499</v>
      </c>
      <c r="T21" s="216" t="s">
        <v>5500</v>
      </c>
      <c r="U21" s="217" t="s">
        <v>5499</v>
      </c>
      <c r="V21" s="217" t="s">
        <v>5501</v>
      </c>
      <c r="W21" s="217" t="s">
        <v>5498</v>
      </c>
      <c r="X21" s="217" t="s">
        <v>5499</v>
      </c>
      <c r="Y21" s="217" t="s">
        <v>5499</v>
      </c>
      <c r="Z21" s="217" t="s">
        <v>5499</v>
      </c>
      <c r="AA21" s="217" t="s">
        <v>5499</v>
      </c>
      <c r="AB21" s="217" t="s">
        <v>5499</v>
      </c>
      <c r="AC21" s="217" t="s">
        <v>5501</v>
      </c>
      <c r="AD21" s="217" t="s">
        <v>5501</v>
      </c>
      <c r="AE21" s="217" t="s">
        <v>5499</v>
      </c>
      <c r="AF21" s="217" t="s">
        <v>5499</v>
      </c>
      <c r="AG21" s="217" t="s">
        <v>5499</v>
      </c>
      <c r="AH21" s="217" t="s">
        <v>5499</v>
      </c>
      <c r="AI21" s="217" t="s">
        <v>5499</v>
      </c>
      <c r="AJ21" s="217" t="s">
        <v>5500</v>
      </c>
      <c r="AK21" s="217" t="s">
        <v>5499</v>
      </c>
      <c r="AL21" s="217" t="s">
        <v>5499</v>
      </c>
      <c r="AM21" s="217" t="s">
        <v>5499</v>
      </c>
      <c r="AN21" s="217" t="s">
        <v>5499</v>
      </c>
      <c r="AO21" s="217" t="s">
        <v>5499</v>
      </c>
      <c r="AP21" s="216" t="s">
        <v>5500</v>
      </c>
      <c r="AQ21" s="216" t="s">
        <v>5500</v>
      </c>
      <c r="AR21" s="216" t="s">
        <v>5499</v>
      </c>
      <c r="AS21" s="216" t="s">
        <v>5499</v>
      </c>
      <c r="AT21" s="216" t="s">
        <v>5499</v>
      </c>
      <c r="AU21" s="216" t="s">
        <v>5499</v>
      </c>
      <c r="AV21" s="216" t="s">
        <v>5499</v>
      </c>
      <c r="AW21" s="216" t="s">
        <v>5499</v>
      </c>
      <c r="AX21" s="217"/>
      <c r="AY21" s="216" t="s">
        <v>5498</v>
      </c>
      <c r="AZ21" s="216" t="s">
        <v>5498</v>
      </c>
      <c r="BA21" s="216" t="s">
        <v>5498</v>
      </c>
      <c r="BB21" s="216" t="s">
        <v>5498</v>
      </c>
      <c r="BC21" s="216" t="s">
        <v>5498</v>
      </c>
      <c r="BD21" s="216" t="s">
        <v>5499</v>
      </c>
      <c r="BE21" s="216" t="s">
        <v>5499</v>
      </c>
      <c r="BF21" s="216" t="s">
        <v>5499</v>
      </c>
      <c r="BG21" s="216" t="s">
        <v>5500</v>
      </c>
      <c r="BH21" s="216" t="s">
        <v>5500</v>
      </c>
      <c r="BI21" s="216" t="s">
        <v>5500</v>
      </c>
      <c r="BJ21" s="216" t="s">
        <v>5500</v>
      </c>
      <c r="BK21" s="216" t="s">
        <v>5500</v>
      </c>
      <c r="BL21" s="216" t="s">
        <v>5501</v>
      </c>
      <c r="BM21" s="216" t="s">
        <v>5501</v>
      </c>
      <c r="BN21" s="216" t="s">
        <v>5501</v>
      </c>
      <c r="BO21" s="216" t="s">
        <v>5501</v>
      </c>
      <c r="BP21" s="216" t="s">
        <v>5501</v>
      </c>
      <c r="BQ21" s="216" t="s">
        <v>5501</v>
      </c>
      <c r="BR21" s="217" t="s">
        <v>5500</v>
      </c>
      <c r="BS21" s="217" t="s">
        <v>5500</v>
      </c>
      <c r="BT21" s="217" t="s">
        <v>5500</v>
      </c>
      <c r="BU21" s="217" t="s">
        <v>5500</v>
      </c>
      <c r="BV21" s="217" t="s">
        <v>5500</v>
      </c>
      <c r="BW21" s="217" t="s">
        <v>5500</v>
      </c>
      <c r="BX21" s="217"/>
      <c r="BY21" s="217" t="s">
        <v>5499</v>
      </c>
      <c r="BZ21" s="217" t="s">
        <v>5499</v>
      </c>
      <c r="CA21" s="217" t="s">
        <v>5499</v>
      </c>
      <c r="CB21" s="217" t="s">
        <v>5499</v>
      </c>
      <c r="CC21" s="217" t="s">
        <v>5499</v>
      </c>
      <c r="CD21" s="217" t="s">
        <v>5499</v>
      </c>
      <c r="CE21" s="217" t="s">
        <v>5501</v>
      </c>
      <c r="CF21" s="217" t="s">
        <v>5501</v>
      </c>
      <c r="CG21" s="217" t="s">
        <v>5501</v>
      </c>
      <c r="CH21" s="217" t="s">
        <v>5499</v>
      </c>
      <c r="CI21" s="217" t="s">
        <v>5499</v>
      </c>
      <c r="CJ21" s="217" t="s">
        <v>5499</v>
      </c>
      <c r="CK21" s="217" t="s">
        <v>5499</v>
      </c>
      <c r="CL21" s="217" t="s">
        <v>5499</v>
      </c>
      <c r="CM21" s="217" t="s">
        <v>5499</v>
      </c>
      <c r="CN21" s="217" t="s">
        <v>5499</v>
      </c>
      <c r="CO21" s="217" t="s">
        <v>5501</v>
      </c>
      <c r="CP21" s="217" t="s">
        <v>5501</v>
      </c>
      <c r="CQ21" s="217" t="s">
        <v>5501</v>
      </c>
      <c r="CR21" s="217" t="s">
        <v>5501</v>
      </c>
      <c r="CS21" s="217" t="s">
        <v>5501</v>
      </c>
      <c r="CT21" s="217" t="s">
        <v>5499</v>
      </c>
      <c r="CU21" s="217" t="s">
        <v>5501</v>
      </c>
      <c r="CV21" s="217"/>
      <c r="CW21" s="217" t="s">
        <v>5498</v>
      </c>
      <c r="CX21" s="217" t="s">
        <v>5498</v>
      </c>
      <c r="CY21" s="217" t="s">
        <v>5498</v>
      </c>
      <c r="CZ21" s="217" t="s">
        <v>5499</v>
      </c>
      <c r="DA21" s="217" t="s">
        <v>5499</v>
      </c>
      <c r="DB21" s="217" t="s">
        <v>5501</v>
      </c>
      <c r="DC21" s="217" t="s">
        <v>5501</v>
      </c>
      <c r="DD21" s="217" t="s">
        <v>5501</v>
      </c>
      <c r="DE21" s="217" t="s">
        <v>5501</v>
      </c>
      <c r="DF21" s="217" t="s">
        <v>5501</v>
      </c>
      <c r="DG21" s="217" t="s">
        <v>5499</v>
      </c>
      <c r="DH21" s="217" t="s">
        <v>5499</v>
      </c>
      <c r="DI21" s="217" t="s">
        <v>5499</v>
      </c>
      <c r="DJ21" s="217" t="s">
        <v>5501</v>
      </c>
      <c r="DK21" s="217" t="s">
        <v>5501</v>
      </c>
      <c r="DL21" s="217" t="s">
        <v>5501</v>
      </c>
      <c r="DM21" s="217" t="s">
        <v>5501</v>
      </c>
      <c r="DN21" s="217" t="s">
        <v>5499</v>
      </c>
      <c r="DO21" s="217" t="s">
        <v>5499</v>
      </c>
      <c r="DP21" s="217" t="s">
        <v>5499</v>
      </c>
      <c r="DQ21" s="217" t="s">
        <v>5499</v>
      </c>
      <c r="DR21" s="217" t="s">
        <v>5501</v>
      </c>
      <c r="DS21" s="217" t="s">
        <v>5501</v>
      </c>
      <c r="DT21" s="217"/>
      <c r="DU21" s="217" t="s">
        <v>5498</v>
      </c>
      <c r="DV21" s="217" t="s">
        <v>5498</v>
      </c>
      <c r="DW21" s="217" t="s">
        <v>5500</v>
      </c>
      <c r="DX21" s="217" t="s">
        <v>5500</v>
      </c>
      <c r="DY21" s="217" t="s">
        <v>5499</v>
      </c>
      <c r="DZ21" s="217" t="s">
        <v>5500</v>
      </c>
      <c r="EA21" s="217" t="s">
        <v>5500</v>
      </c>
      <c r="EB21" s="217" t="s">
        <v>5501</v>
      </c>
      <c r="EC21" s="217" t="s">
        <v>5499</v>
      </c>
      <c r="ED21" s="217" t="s">
        <v>5498</v>
      </c>
      <c r="EE21" s="217" t="s">
        <v>5500</v>
      </c>
      <c r="EF21" s="217" t="s">
        <v>5500</v>
      </c>
      <c r="EG21" s="217" t="s">
        <v>5500</v>
      </c>
      <c r="EH21" s="217"/>
      <c r="EI21" s="217"/>
      <c r="EJ21" s="217"/>
      <c r="EK21" s="217"/>
      <c r="EL21" s="217"/>
      <c r="EM21" s="217"/>
      <c r="EN21" s="217"/>
      <c r="EO21" s="217"/>
      <c r="EP21" s="217"/>
      <c r="EQ21" s="217" t="s">
        <v>5498</v>
      </c>
      <c r="ER21" s="217" t="s">
        <v>5498</v>
      </c>
      <c r="ES21" s="217" t="s">
        <v>5498</v>
      </c>
      <c r="ET21" s="217" t="s">
        <v>5498</v>
      </c>
      <c r="EU21" s="217" t="s">
        <v>5498</v>
      </c>
      <c r="EV21" s="217" t="s">
        <v>5498</v>
      </c>
      <c r="EW21" s="217" t="s">
        <v>5498</v>
      </c>
      <c r="EX21" s="217" t="s">
        <v>5498</v>
      </c>
      <c r="EY21" s="217"/>
      <c r="EZ21" s="217" t="s">
        <v>5498</v>
      </c>
      <c r="FA21" s="217" t="s">
        <v>5498</v>
      </c>
      <c r="FB21" s="217" t="s">
        <v>5498</v>
      </c>
      <c r="FC21" s="217" t="s">
        <v>5498</v>
      </c>
      <c r="FD21" s="217" t="s">
        <v>5498</v>
      </c>
      <c r="FE21" s="217" t="s">
        <v>5498</v>
      </c>
      <c r="FF21" s="217" t="s">
        <v>5499</v>
      </c>
      <c r="FG21" s="217" t="s">
        <v>5499</v>
      </c>
      <c r="FH21" s="217" t="s">
        <v>5499</v>
      </c>
      <c r="FI21" s="217" t="s">
        <v>5499</v>
      </c>
      <c r="FJ21" s="217" t="s">
        <v>5499</v>
      </c>
      <c r="FK21" s="217" t="s">
        <v>5499</v>
      </c>
      <c r="FL21" s="217" t="s">
        <v>5499</v>
      </c>
      <c r="FM21" s="217" t="s">
        <v>5499</v>
      </c>
      <c r="FN21" s="217" t="s">
        <v>5499</v>
      </c>
      <c r="FO21" s="217" t="s">
        <v>5499</v>
      </c>
      <c r="FP21" s="217" t="s">
        <v>5499</v>
      </c>
      <c r="FQ21" s="217"/>
      <c r="FR21" s="217" t="s">
        <v>5499</v>
      </c>
      <c r="FS21" s="217" t="s">
        <v>5499</v>
      </c>
      <c r="FT21" s="217" t="s">
        <v>5501</v>
      </c>
      <c r="FU21" s="217" t="s">
        <v>5501</v>
      </c>
      <c r="FV21" s="217"/>
      <c r="FW21" s="217" t="s">
        <v>5499</v>
      </c>
      <c r="FX21" s="217" t="s">
        <v>5499</v>
      </c>
      <c r="FY21" s="217" t="s">
        <v>5499</v>
      </c>
      <c r="FZ21" s="217" t="s">
        <v>5499</v>
      </c>
      <c r="GA21" s="217" t="s">
        <v>5499</v>
      </c>
      <c r="GB21" s="217" t="s">
        <v>5499</v>
      </c>
      <c r="GC21" s="217" t="s">
        <v>5499</v>
      </c>
      <c r="GD21" s="217" t="s">
        <v>5499</v>
      </c>
      <c r="GE21" s="217" t="s">
        <v>5499</v>
      </c>
      <c r="GF21" s="217" t="s">
        <v>5499</v>
      </c>
      <c r="GG21" s="217" t="s">
        <v>5499</v>
      </c>
      <c r="GH21" s="217" t="s">
        <v>5499</v>
      </c>
      <c r="GI21" s="217" t="s">
        <v>5499</v>
      </c>
      <c r="GJ21" s="217" t="s">
        <v>5499</v>
      </c>
      <c r="GK21" s="217"/>
      <c r="GL21" s="217" t="s">
        <v>5499</v>
      </c>
      <c r="GM21" s="217" t="s">
        <v>5499</v>
      </c>
      <c r="GN21" s="217" t="s">
        <v>5499</v>
      </c>
      <c r="GO21" s="217" t="s">
        <v>5499</v>
      </c>
      <c r="GP21" s="217" t="s">
        <v>5499</v>
      </c>
      <c r="GQ21" s="217"/>
      <c r="GR21" s="216" t="s">
        <v>962</v>
      </c>
      <c r="GS21" s="216" t="s">
        <v>962</v>
      </c>
      <c r="GT21" s="216" t="s">
        <v>962</v>
      </c>
      <c r="GU21" s="216" t="s">
        <v>934</v>
      </c>
      <c r="GV21" s="216" t="s">
        <v>934</v>
      </c>
      <c r="GW21" s="216" t="s">
        <v>934</v>
      </c>
      <c r="GX21" s="216" t="s">
        <v>962</v>
      </c>
      <c r="GY21" s="216" t="s">
        <v>962</v>
      </c>
      <c r="GZ21" s="216" t="s">
        <v>962</v>
      </c>
      <c r="HA21" s="216" t="s">
        <v>934</v>
      </c>
      <c r="HB21" s="216" t="s">
        <v>934</v>
      </c>
      <c r="HC21" s="216" t="s">
        <v>934</v>
      </c>
      <c r="HD21" s="216" t="s">
        <v>934</v>
      </c>
      <c r="HE21" s="216" t="s">
        <v>934</v>
      </c>
      <c r="HF21" s="216" t="s">
        <v>934</v>
      </c>
      <c r="HG21" s="217"/>
      <c r="HH21" s="216" t="s">
        <v>962</v>
      </c>
      <c r="HI21" s="216" t="s">
        <v>962</v>
      </c>
      <c r="HJ21" s="216" t="s">
        <v>962</v>
      </c>
      <c r="HK21" s="216" t="s">
        <v>934</v>
      </c>
      <c r="HL21" s="216" t="s">
        <v>934</v>
      </c>
      <c r="HM21" s="216" t="s">
        <v>934</v>
      </c>
      <c r="HN21" s="216" t="s">
        <v>934</v>
      </c>
      <c r="HO21" s="216" t="s">
        <v>934</v>
      </c>
      <c r="HP21" s="216" t="s">
        <v>934</v>
      </c>
      <c r="HS21" s="216"/>
      <c r="HT21" s="216"/>
      <c r="HU21" s="216"/>
      <c r="HV21" s="216"/>
      <c r="HW21" s="216"/>
      <c r="HX21" s="216"/>
      <c r="HY21" s="216"/>
      <c r="HZ21" s="216"/>
      <c r="IA21" s="216"/>
      <c r="IB21" s="216"/>
      <c r="IC21" s="216"/>
      <c r="ID21" s="216"/>
      <c r="IE21" s="216"/>
      <c r="IF21" s="216" t="s">
        <v>5498</v>
      </c>
      <c r="IG21" s="216" t="s">
        <v>5499</v>
      </c>
      <c r="IH21" s="216" t="s">
        <v>5499</v>
      </c>
      <c r="II21" s="216" t="s">
        <v>5500</v>
      </c>
      <c r="IJ21" s="216"/>
      <c r="IK21" s="216"/>
      <c r="IL21" s="216"/>
      <c r="IM21" s="216"/>
      <c r="IN21" s="216"/>
      <c r="IO21" s="216" t="s">
        <v>5499</v>
      </c>
      <c r="IP21" s="216" t="s">
        <v>5499</v>
      </c>
      <c r="IQ21" s="216" t="s">
        <v>5499</v>
      </c>
      <c r="IR21" s="216" t="s">
        <v>5500</v>
      </c>
      <c r="IS21" s="216" t="s">
        <v>5500</v>
      </c>
      <c r="IT21" s="216"/>
      <c r="IU21" s="216"/>
      <c r="IV21" s="216"/>
      <c r="IW21" s="216"/>
      <c r="IX21" s="216"/>
      <c r="IY21" s="216"/>
      <c r="IZ21" s="216"/>
      <c r="JA21" s="216"/>
      <c r="JB21" s="216"/>
      <c r="JC21" s="216"/>
      <c r="JD21" s="216"/>
      <c r="JE21" s="216"/>
      <c r="JF21" s="216"/>
      <c r="JG21" s="216"/>
      <c r="JH21" s="216"/>
      <c r="JI21" s="216"/>
      <c r="JJ21" s="216"/>
      <c r="JK21" s="216"/>
      <c r="JL21" s="216"/>
      <c r="JM21" s="216"/>
      <c r="JN21" s="216"/>
      <c r="JO21" s="216"/>
      <c r="JP21" s="216"/>
      <c r="JQ21" s="216" t="s">
        <v>5498</v>
      </c>
      <c r="JR21" s="216"/>
      <c r="JS21" s="216"/>
      <c r="JT21" s="216"/>
      <c r="JU21" s="216"/>
      <c r="JV21" s="216"/>
      <c r="JW21" s="216"/>
      <c r="JX21" s="216" t="s">
        <v>5498</v>
      </c>
      <c r="JY21" s="216" t="s">
        <v>5498</v>
      </c>
      <c r="JZ21" s="216" t="s">
        <v>5498</v>
      </c>
      <c r="KA21" s="216" t="s">
        <v>5499</v>
      </c>
      <c r="KB21" s="216" t="s">
        <v>5499</v>
      </c>
      <c r="KC21" s="216"/>
      <c r="KD21" s="216"/>
      <c r="KE21" s="216"/>
      <c r="KF21" s="216"/>
      <c r="KG21" s="216"/>
      <c r="KH21" s="216"/>
      <c r="KI21" s="216"/>
      <c r="KJ21" s="216"/>
      <c r="KK21" s="216"/>
      <c r="KL21" s="216"/>
      <c r="KM21" s="216" t="s">
        <v>5498</v>
      </c>
      <c r="KN21" s="216" t="s">
        <v>5498</v>
      </c>
      <c r="KO21" s="216" t="s">
        <v>5498</v>
      </c>
      <c r="KP21" s="216" t="s">
        <v>5498</v>
      </c>
      <c r="KQ21" s="216"/>
      <c r="KR21" s="216"/>
      <c r="KS21" s="216"/>
      <c r="KT21" s="216"/>
      <c r="KU21" s="216"/>
      <c r="KV21" s="216"/>
      <c r="KW21" s="216"/>
      <c r="KX21" s="216"/>
      <c r="KY21" s="216"/>
      <c r="KZ21" s="216"/>
      <c r="LA21" s="216"/>
      <c r="LB21" s="216"/>
      <c r="LC21" s="216"/>
      <c r="LD21" s="216"/>
      <c r="LE21" s="216"/>
      <c r="LF21" s="216"/>
      <c r="LG21" s="216"/>
      <c r="LH21" s="216"/>
      <c r="LI21" s="216"/>
      <c r="LJ21" s="216"/>
      <c r="LK21" s="218"/>
      <c r="LL21" s="218"/>
      <c r="LM21" s="218"/>
      <c r="LN21" s="218"/>
      <c r="LO21" s="218"/>
      <c r="LP21" s="216"/>
      <c r="LQ21" s="216"/>
      <c r="LR21" s="216"/>
      <c r="LS21" s="216"/>
      <c r="LT21" s="216"/>
      <c r="LU21" s="218"/>
      <c r="LV21" s="218"/>
      <c r="LW21" s="218"/>
      <c r="LX21" s="218"/>
      <c r="LY21" s="218"/>
      <c r="LZ21" s="218"/>
      <c r="MA21" s="218"/>
      <c r="MB21" s="218"/>
      <c r="MC21" s="218"/>
      <c r="MD21" s="218"/>
      <c r="ME21" s="218"/>
      <c r="MF21" s="218"/>
      <c r="MG21" s="218"/>
      <c r="MH21" s="216"/>
      <c r="MI21" s="216"/>
      <c r="MJ21" s="216"/>
      <c r="MK21" s="216"/>
      <c r="ML21" s="216"/>
      <c r="MM21" s="216"/>
      <c r="MN21" s="216"/>
      <c r="MO21" s="216"/>
      <c r="MP21" s="216"/>
      <c r="MQ21" s="219"/>
      <c r="MR21" s="219"/>
      <c r="MS21" s="219"/>
      <c r="MT21" s="219"/>
      <c r="MU21" s="219"/>
      <c r="MV21" s="219"/>
      <c r="MW21" s="219"/>
      <c r="MX21" s="219"/>
      <c r="MY21" s="219"/>
      <c r="MZ21" s="216"/>
      <c r="NA21" s="216"/>
      <c r="NB21" s="218"/>
      <c r="NC21" s="218"/>
      <c r="ND21" s="218"/>
      <c r="NE21" s="218"/>
      <c r="NF21" s="218"/>
      <c r="NG21" s="216"/>
      <c r="NH21" s="216"/>
      <c r="NI21" s="216"/>
      <c r="NJ21" s="216"/>
      <c r="NK21" s="216"/>
      <c r="NL21" s="219"/>
      <c r="NM21" s="219"/>
      <c r="NN21" s="219"/>
      <c r="NO21" s="219"/>
      <c r="NP21" s="219"/>
      <c r="NQ21" s="216"/>
      <c r="NR21" s="216"/>
      <c r="NS21" s="216"/>
      <c r="NT21" s="216"/>
      <c r="NU21" s="216"/>
      <c r="NV21" s="216" t="s">
        <v>962</v>
      </c>
      <c r="NW21" s="216" t="s">
        <v>962</v>
      </c>
      <c r="NX21" s="216" t="s">
        <v>962</v>
      </c>
      <c r="NY21" s="216"/>
      <c r="NZ21" s="216"/>
      <c r="OA21" s="216"/>
      <c r="OB21" s="216" t="s">
        <v>962</v>
      </c>
      <c r="OC21" s="216" t="s">
        <v>962</v>
      </c>
      <c r="OD21" s="216" t="s">
        <v>962</v>
      </c>
      <c r="OE21" s="216"/>
      <c r="OF21" s="216"/>
      <c r="OG21" s="216"/>
      <c r="OH21" s="216"/>
      <c r="OI21" s="216" t="s">
        <v>962</v>
      </c>
      <c r="OJ21" s="216" t="s">
        <v>962</v>
      </c>
      <c r="OK21" s="216" t="s">
        <v>962</v>
      </c>
      <c r="OL21" s="216" t="s">
        <v>962</v>
      </c>
      <c r="OM21" s="216" t="s">
        <v>962</v>
      </c>
      <c r="ON21" s="216" t="s">
        <v>962</v>
      </c>
      <c r="OQ21" s="216"/>
      <c r="OR21" s="216"/>
      <c r="OS21" s="216"/>
      <c r="OT21" s="216"/>
      <c r="OU21" s="216"/>
      <c r="OV21" s="216"/>
      <c r="OW21" s="216"/>
      <c r="OX21" s="216"/>
      <c r="OY21" s="216"/>
      <c r="OZ21" s="216"/>
      <c r="PA21" s="216"/>
      <c r="PB21" s="216"/>
      <c r="PC21" s="216"/>
      <c r="PD21" s="216"/>
      <c r="PE21" s="216"/>
      <c r="PF21" s="216"/>
      <c r="PG21" s="216"/>
      <c r="PH21" s="216"/>
      <c r="PI21" s="216"/>
      <c r="PJ21" s="216"/>
      <c r="PK21" s="216"/>
      <c r="PL21" s="216"/>
      <c r="PM21" s="216"/>
      <c r="PN21" s="216"/>
      <c r="PO21" s="216"/>
      <c r="PP21" s="216"/>
      <c r="PQ21" s="216"/>
      <c r="PR21" s="216" t="s">
        <v>5499</v>
      </c>
      <c r="PS21" s="216"/>
      <c r="PT21" s="216"/>
      <c r="PU21" s="216"/>
      <c r="PV21" s="216" t="s">
        <v>5499</v>
      </c>
      <c r="PW21" s="216" t="s">
        <v>5499</v>
      </c>
      <c r="PX21" s="216" t="s">
        <v>5499</v>
      </c>
      <c r="PY21" s="216" t="s">
        <v>5499</v>
      </c>
      <c r="PZ21" s="216" t="s">
        <v>5499</v>
      </c>
      <c r="QA21" s="216" t="s">
        <v>5499</v>
      </c>
      <c r="QB21" s="216" t="s">
        <v>5499</v>
      </c>
      <c r="QC21" s="216" t="s">
        <v>5499</v>
      </c>
      <c r="QD21" s="216"/>
      <c r="QE21" s="216"/>
      <c r="QF21" s="216"/>
      <c r="QG21" s="216"/>
      <c r="QH21" s="216"/>
      <c r="QI21" s="216"/>
      <c r="QJ21" s="216"/>
      <c r="QK21" s="216"/>
      <c r="QL21" s="216"/>
      <c r="QM21" s="216"/>
      <c r="QN21" s="216"/>
      <c r="QO21" s="216"/>
      <c r="QP21" s="216"/>
      <c r="QQ21" s="216"/>
      <c r="QR21" s="216"/>
      <c r="QS21" s="216"/>
      <c r="QT21" s="216"/>
      <c r="QU21" s="216"/>
      <c r="QV21" s="216"/>
      <c r="QW21" s="216" t="s">
        <v>5499</v>
      </c>
      <c r="QX21" s="216" t="s">
        <v>5498</v>
      </c>
      <c r="QY21" s="216" t="s">
        <v>3843</v>
      </c>
      <c r="QZ21" s="216" t="s">
        <v>5499</v>
      </c>
      <c r="RA21" s="216"/>
      <c r="RB21" s="216"/>
      <c r="RC21" s="216"/>
      <c r="RD21" s="216"/>
      <c r="RE21" s="216"/>
      <c r="RF21" s="216"/>
      <c r="RG21" s="216"/>
      <c r="RH21" s="216" t="s">
        <v>5498</v>
      </c>
      <c r="RI21" s="216" t="s">
        <v>5499</v>
      </c>
      <c r="RJ21" s="216" t="s">
        <v>5500</v>
      </c>
      <c r="RK21" s="216"/>
      <c r="RL21" s="216"/>
      <c r="RM21" s="216"/>
      <c r="RN21" s="216"/>
      <c r="RO21" s="216"/>
      <c r="RP21" s="216"/>
      <c r="RQ21" s="220"/>
      <c r="RR21" s="220"/>
      <c r="RS21" s="220"/>
      <c r="RT21" s="220"/>
      <c r="RU21" s="216"/>
      <c r="RV21" s="216"/>
      <c r="RW21" s="216"/>
      <c r="RX21" s="216"/>
      <c r="RY21" s="216"/>
      <c r="RZ21" s="216"/>
      <c r="SA21" s="216"/>
      <c r="SB21" s="216"/>
      <c r="SC21" s="216"/>
      <c r="SD21" s="216"/>
      <c r="SE21" s="216"/>
      <c r="SF21" s="216" t="s">
        <v>5498</v>
      </c>
      <c r="SG21" s="216" t="s">
        <v>5498</v>
      </c>
      <c r="SH21" s="216" t="s">
        <v>5498</v>
      </c>
      <c r="SI21" s="216" t="s">
        <v>5498</v>
      </c>
      <c r="SJ21" s="216" t="s">
        <v>5498</v>
      </c>
      <c r="SK21" s="216" t="s">
        <v>5498</v>
      </c>
      <c r="SL21" s="216" t="s">
        <v>5498</v>
      </c>
      <c r="SM21" s="216" t="s">
        <v>5498</v>
      </c>
      <c r="SN21" s="216"/>
      <c r="SO21" s="216"/>
      <c r="SP21" s="216"/>
      <c r="SQ21" s="216"/>
      <c r="SR21" s="216"/>
      <c r="SS21" s="216"/>
      <c r="ST21" s="216"/>
      <c r="SU21" s="216"/>
      <c r="SV21" s="216"/>
      <c r="SW21" s="216"/>
      <c r="SX21" s="216"/>
      <c r="SY21" s="216"/>
      <c r="SZ21" s="216"/>
      <c r="TA21" s="216"/>
      <c r="TB21" s="216" t="s">
        <v>5498</v>
      </c>
      <c r="TC21" s="216" t="s">
        <v>5499</v>
      </c>
      <c r="TD21" s="221"/>
      <c r="TE21" s="219" t="s">
        <v>5498</v>
      </c>
      <c r="TF21" s="219" t="s">
        <v>5499</v>
      </c>
      <c r="TG21" s="216"/>
      <c r="TH21" s="216"/>
      <c r="TI21" s="216"/>
      <c r="TJ21" s="216"/>
      <c r="TK21" s="216"/>
      <c r="TL21" s="216"/>
      <c r="TM21" s="216"/>
      <c r="TN21" s="216" t="s">
        <v>5499</v>
      </c>
      <c r="TO21" s="216" t="s">
        <v>5499</v>
      </c>
      <c r="TP21" s="216" t="s">
        <v>5499</v>
      </c>
      <c r="TQ21" s="216" t="s">
        <v>5499</v>
      </c>
      <c r="TR21" s="216"/>
      <c r="TS21" s="216"/>
      <c r="TT21" s="216"/>
      <c r="TU21" s="216"/>
      <c r="TV21" s="216"/>
      <c r="TW21" s="216"/>
      <c r="TX21" s="222"/>
      <c r="TY21" s="219" t="s">
        <v>5498</v>
      </c>
      <c r="TZ21" s="219" t="s">
        <v>5499</v>
      </c>
      <c r="UA21" s="216"/>
      <c r="UB21" s="216"/>
      <c r="UC21" s="216"/>
      <c r="UD21" s="216"/>
      <c r="UE21" s="216"/>
      <c r="UF21" s="216"/>
      <c r="UG21" s="216"/>
      <c r="UH21" s="216"/>
      <c r="UI21" s="216"/>
      <c r="UJ21" s="216" t="s">
        <v>5498</v>
      </c>
      <c r="UK21" s="216" t="s">
        <v>5498</v>
      </c>
      <c r="UL21" s="216"/>
      <c r="UM21" s="216"/>
      <c r="UN21" s="216"/>
      <c r="UO21" s="216"/>
      <c r="UP21" s="216"/>
      <c r="UQ21" s="216"/>
      <c r="UR21" s="216"/>
      <c r="US21" s="216"/>
      <c r="UT21" s="216"/>
      <c r="UU21" s="216"/>
      <c r="UV21" s="216"/>
      <c r="UW21" s="216"/>
      <c r="UX21" s="216"/>
      <c r="UY21" s="216"/>
      <c r="UZ21" s="216"/>
      <c r="VA21" s="216"/>
      <c r="VB21" s="216"/>
      <c r="VC21" s="216"/>
      <c r="VD21" s="216"/>
      <c r="VE21" s="216"/>
      <c r="VF21" s="216"/>
      <c r="VG21" s="216"/>
      <c r="VH21" s="216" t="s">
        <v>5498</v>
      </c>
      <c r="VI21" s="216" t="s">
        <v>5499</v>
      </c>
      <c r="VJ21" s="216"/>
      <c r="VK21" s="216"/>
      <c r="VL21" s="219"/>
      <c r="VM21" s="219"/>
      <c r="VN21" s="219"/>
      <c r="VO21" s="219"/>
    </row>
    <row r="22" spans="1:1296" outlineLevel="1">
      <c r="A22" s="137" t="s">
        <v>217</v>
      </c>
      <c r="B22" s="139" t="s">
        <v>218</v>
      </c>
      <c r="C22" s="139" t="s">
        <v>219</v>
      </c>
      <c r="D22" s="139" t="s">
        <v>220</v>
      </c>
      <c r="E22" s="137">
        <v>46</v>
      </c>
      <c r="G22" s="136" t="s">
        <v>17</v>
      </c>
      <c r="H22" s="136" t="s">
        <v>366</v>
      </c>
      <c r="I22" s="136" t="s">
        <v>366</v>
      </c>
      <c r="J22" s="136" t="s">
        <v>366</v>
      </c>
      <c r="K22" s="136" t="s">
        <v>13</v>
      </c>
      <c r="L22" s="136" t="s">
        <v>13</v>
      </c>
      <c r="M22" s="136" t="s">
        <v>13</v>
      </c>
      <c r="N22" s="136" t="s">
        <v>13</v>
      </c>
      <c r="AP22" s="129"/>
      <c r="AQ22" s="129"/>
      <c r="AR22" s="129"/>
      <c r="AS22" s="129"/>
      <c r="AT22" s="129"/>
      <c r="AU22" s="129"/>
      <c r="AV22" s="129"/>
      <c r="AW22" s="129"/>
      <c r="PS22" s="129" t="s">
        <v>987</v>
      </c>
      <c r="PT22" s="129" t="s">
        <v>987</v>
      </c>
      <c r="PU22" s="129" t="s">
        <v>987</v>
      </c>
      <c r="RA22" s="129" t="s">
        <v>987</v>
      </c>
      <c r="RG22" s="129" t="s">
        <v>987</v>
      </c>
      <c r="SA22" s="129" t="s">
        <v>987</v>
      </c>
      <c r="SB22" s="129" t="s">
        <v>987</v>
      </c>
      <c r="SC22" s="129" t="s">
        <v>987</v>
      </c>
      <c r="SD22" s="129" t="s">
        <v>987</v>
      </c>
      <c r="SE22" s="129" t="s">
        <v>987</v>
      </c>
      <c r="TG22" s="129" t="s">
        <v>987</v>
      </c>
      <c r="VG22" s="129" t="s">
        <v>987</v>
      </c>
      <c r="VR22" s="171"/>
      <c r="VS22" s="171"/>
      <c r="VT22" s="171"/>
      <c r="VU22" s="171"/>
      <c r="VV22" s="171"/>
      <c r="VW22" s="171"/>
      <c r="VX22" s="171"/>
      <c r="VY22" s="171"/>
      <c r="VZ22" s="171"/>
      <c r="WA22" s="171"/>
      <c r="WB22" s="171" t="s">
        <v>4016</v>
      </c>
      <c r="WC22" s="171"/>
      <c r="WD22" s="171"/>
      <c r="WE22" s="171"/>
      <c r="WF22" s="171"/>
      <c r="WG22" s="171"/>
      <c r="WH22" s="171"/>
      <c r="WI22" s="171"/>
      <c r="WJ22" s="171"/>
      <c r="WK22" s="171"/>
      <c r="WL22" s="171"/>
      <c r="WM22" s="171" t="s">
        <v>4016</v>
      </c>
      <c r="WN22" s="171"/>
      <c r="WO22" s="171"/>
      <c r="WP22" s="171"/>
      <c r="WQ22" s="171"/>
      <c r="WR22" s="171"/>
      <c r="WS22" s="171"/>
      <c r="WT22" s="171"/>
      <c r="WU22" s="171"/>
      <c r="WV22" s="171"/>
      <c r="WW22" s="171"/>
      <c r="WX22" s="171"/>
      <c r="WY22" s="171"/>
      <c r="WZ22" s="171"/>
      <c r="XA22" s="171"/>
      <c r="XB22" s="171"/>
      <c r="XC22" s="171"/>
      <c r="XD22" s="171"/>
      <c r="XE22" s="171"/>
      <c r="XF22" s="171"/>
      <c r="XG22" s="171"/>
      <c r="XH22" s="171"/>
      <c r="XI22" s="171" t="s">
        <v>4016</v>
      </c>
      <c r="XJ22" s="171"/>
      <c r="XK22" s="171"/>
      <c r="XL22" s="171"/>
      <c r="XM22" s="171"/>
      <c r="XN22" s="171"/>
      <c r="XO22" s="171"/>
      <c r="XP22" s="171"/>
      <c r="XQ22" s="171"/>
      <c r="XR22" s="171"/>
      <c r="XS22" s="171"/>
      <c r="XT22" s="171" t="s">
        <v>4016</v>
      </c>
      <c r="XU22" s="171"/>
      <c r="XV22" s="171"/>
      <c r="XW22" s="171"/>
      <c r="XX22" s="171"/>
      <c r="XY22" s="171"/>
      <c r="XZ22" s="171"/>
      <c r="YA22" s="171"/>
      <c r="YB22" s="171"/>
      <c r="YC22" s="171"/>
      <c r="YD22" s="171"/>
      <c r="YE22" s="171" t="s">
        <v>4016</v>
      </c>
      <c r="YF22" s="171"/>
      <c r="YG22" s="171"/>
      <c r="YH22" s="171"/>
      <c r="YI22" s="171"/>
      <c r="YJ22" s="171"/>
      <c r="YK22" s="171"/>
      <c r="YL22" s="171"/>
      <c r="YM22" s="171"/>
      <c r="YN22" s="171"/>
      <c r="YO22" s="171"/>
      <c r="YP22" s="171" t="s">
        <v>4016</v>
      </c>
      <c r="YQ22" s="171"/>
      <c r="YR22" s="171"/>
      <c r="YS22" s="171"/>
      <c r="YT22" s="171"/>
      <c r="YU22" s="171"/>
      <c r="YV22" s="171"/>
      <c r="YW22" s="171"/>
      <c r="YX22" s="171"/>
      <c r="YY22" s="171"/>
      <c r="YZ22" s="171"/>
      <c r="ZA22" s="171" t="s">
        <v>4016</v>
      </c>
      <c r="ZB22" s="171"/>
      <c r="ZC22" s="171"/>
      <c r="ZD22" s="171"/>
      <c r="ZE22" s="171"/>
      <c r="ZF22" s="171"/>
      <c r="ZG22" s="171"/>
      <c r="ZH22" s="171"/>
      <c r="ZI22" s="171"/>
      <c r="ZJ22" s="171"/>
      <c r="ZK22" s="171"/>
      <c r="ZL22" s="171" t="s">
        <v>4016</v>
      </c>
      <c r="ZM22" s="171"/>
      <c r="ZN22" s="171"/>
      <c r="ZO22" s="171"/>
      <c r="ZP22" s="171"/>
      <c r="ZQ22" s="171"/>
      <c r="ZR22" s="171"/>
      <c r="ZS22" s="171"/>
      <c r="ZT22" s="171"/>
      <c r="ZU22" s="171"/>
      <c r="ZV22" s="171"/>
      <c r="ZW22" s="171" t="s">
        <v>4016</v>
      </c>
      <c r="ZX22" s="171"/>
      <c r="ZY22" s="171"/>
      <c r="ZZ22" s="171"/>
      <c r="AAA22" s="171"/>
      <c r="AAB22" s="171"/>
      <c r="AAC22" s="171"/>
      <c r="AAD22" s="171"/>
      <c r="AAE22" s="171"/>
      <c r="AAF22" s="171"/>
      <c r="AAG22" s="171"/>
      <c r="AAH22" s="171" t="s">
        <v>4016</v>
      </c>
      <c r="AAJ22" s="171"/>
      <c r="AAK22" s="171"/>
      <c r="AAL22" s="171"/>
      <c r="AAM22" s="171"/>
      <c r="AAN22" s="171"/>
      <c r="AAO22" s="171"/>
      <c r="AAP22" s="171"/>
      <c r="AAQ22" s="171"/>
      <c r="AAR22" s="171"/>
      <c r="AAS22" s="171"/>
      <c r="AAT22" s="171" t="s">
        <v>4016</v>
      </c>
      <c r="AAU22" s="171"/>
      <c r="AAV22" s="171"/>
      <c r="AAW22" s="171"/>
      <c r="AAX22" s="171"/>
      <c r="AAY22" s="171"/>
      <c r="AAZ22" s="171"/>
      <c r="ABA22" s="171"/>
      <c r="ABB22" s="171"/>
      <c r="ABC22" s="171"/>
      <c r="ABD22" s="171"/>
      <c r="ABE22" s="171" t="s">
        <v>4016</v>
      </c>
      <c r="ABF22" s="171"/>
      <c r="ABG22" s="171"/>
      <c r="ABH22" s="171"/>
      <c r="ABI22" s="171"/>
      <c r="ABJ22" s="171"/>
      <c r="ABK22" s="171"/>
      <c r="ABL22" s="171"/>
      <c r="ABM22" s="171"/>
      <c r="ABN22" s="171"/>
      <c r="ABO22" s="171"/>
      <c r="ABP22" s="171" t="s">
        <v>4016</v>
      </c>
      <c r="ABQ22" s="171"/>
      <c r="ABR22" s="171"/>
      <c r="ABS22" s="171"/>
      <c r="ABT22" s="171"/>
      <c r="ABU22" s="171"/>
      <c r="ABV22" s="171"/>
      <c r="ABW22" s="171"/>
      <c r="ABX22" s="171"/>
      <c r="ABY22" s="171"/>
      <c r="ABZ22" s="171"/>
      <c r="ACA22" s="171" t="s">
        <v>4016</v>
      </c>
      <c r="ACB22" s="171"/>
      <c r="ACC22" s="171"/>
      <c r="ACD22" s="171"/>
      <c r="ACE22" s="171"/>
      <c r="ACF22" s="171"/>
      <c r="ACG22" s="171"/>
      <c r="ACH22" s="171"/>
      <c r="ACI22" s="171"/>
      <c r="ACJ22" s="171"/>
      <c r="ACK22" s="171"/>
      <c r="ACL22" s="171" t="s">
        <v>4016</v>
      </c>
      <c r="ACM22" s="171"/>
      <c r="ACN22" s="171"/>
      <c r="ACO22" s="171"/>
      <c r="ACP22" s="171"/>
      <c r="ACQ22" s="171"/>
      <c r="ACR22" s="171"/>
      <c r="ACS22" s="171"/>
      <c r="ACT22" s="171"/>
      <c r="ACU22" s="171"/>
      <c r="ACV22" s="171"/>
      <c r="ACW22" s="171" t="s">
        <v>4016</v>
      </c>
      <c r="ACX22" s="171"/>
      <c r="ACY22" s="171"/>
      <c r="ACZ22" s="171"/>
      <c r="ADA22" s="171"/>
      <c r="ADB22" s="171"/>
      <c r="ADC22" s="171"/>
      <c r="ADD22" s="171"/>
      <c r="ADE22" s="171"/>
      <c r="ADF22" s="171"/>
      <c r="ADG22" s="171"/>
      <c r="ADH22" s="171" t="s">
        <v>4016</v>
      </c>
      <c r="ADI22" s="171"/>
      <c r="ADJ22" s="171"/>
      <c r="ADK22" s="171"/>
      <c r="ADL22" s="171"/>
      <c r="ADM22" s="171"/>
      <c r="ADN22" s="171"/>
      <c r="ADO22" s="171"/>
      <c r="ADP22" s="171"/>
      <c r="ADQ22" s="171"/>
      <c r="ADR22" s="171"/>
      <c r="ADS22" s="171" t="s">
        <v>4016</v>
      </c>
      <c r="ADT22" s="171"/>
      <c r="ADU22" s="171"/>
      <c r="ADV22" s="171"/>
      <c r="ADW22" s="171"/>
      <c r="ADX22" s="171"/>
      <c r="ADY22" s="171"/>
      <c r="ADZ22" s="171"/>
      <c r="AEA22" s="171"/>
      <c r="AEB22" s="171"/>
      <c r="AEC22" s="171"/>
      <c r="AED22" s="171" t="s">
        <v>4016</v>
      </c>
      <c r="AEE22" s="171"/>
      <c r="AEF22" s="171"/>
      <c r="AEG22" s="171"/>
      <c r="AEH22" s="171"/>
      <c r="AEI22" s="171"/>
      <c r="AEJ22" s="171"/>
      <c r="AEK22" s="171"/>
      <c r="AEL22" s="171"/>
      <c r="AEM22" s="171"/>
      <c r="AEN22" s="171"/>
      <c r="AEO22" s="171" t="s">
        <v>4016</v>
      </c>
      <c r="AEP22" s="171"/>
      <c r="AEQ22" s="171"/>
      <c r="AER22" s="171"/>
      <c r="AES22" s="171"/>
      <c r="AET22" s="171"/>
      <c r="AEU22" s="171"/>
      <c r="AEV22" s="171"/>
      <c r="AEW22" s="171"/>
      <c r="AEX22" s="171"/>
      <c r="AEY22" s="171"/>
      <c r="AEZ22" s="171" t="s">
        <v>4016</v>
      </c>
      <c r="AFA22" s="171"/>
      <c r="AFB22" s="171"/>
      <c r="AFC22" s="171"/>
      <c r="AFD22" s="171"/>
      <c r="AFE22" s="171"/>
      <c r="AFF22" s="171"/>
      <c r="AFG22" s="171"/>
      <c r="AFH22" s="171"/>
      <c r="AFI22" s="171"/>
      <c r="AFJ22" s="171"/>
      <c r="AFK22" s="171" t="s">
        <v>4016</v>
      </c>
      <c r="AFL22" s="169"/>
      <c r="AFN22" s="169"/>
      <c r="AFO22" s="169"/>
      <c r="AFP22" s="169"/>
      <c r="AFQ22" s="169"/>
      <c r="AFR22" s="169"/>
      <c r="AFS22" s="169"/>
      <c r="AFT22" s="169"/>
      <c r="AFU22" s="169"/>
      <c r="AFV22" s="169"/>
      <c r="AFW22" s="169" t="s">
        <v>4016</v>
      </c>
      <c r="AFX22" s="169"/>
      <c r="AFY22" s="169"/>
      <c r="AFZ22" s="169"/>
      <c r="AGA22" s="169"/>
      <c r="AGB22" s="169"/>
      <c r="AGC22" s="169"/>
      <c r="AGD22" s="169"/>
      <c r="AGE22" s="169"/>
      <c r="AGF22" s="169"/>
      <c r="AGG22" s="169"/>
      <c r="AGH22" s="169"/>
      <c r="AGI22" s="169"/>
      <c r="AGJ22" s="169"/>
      <c r="AGK22" s="169"/>
      <c r="AGL22" s="169"/>
      <c r="AGM22" s="169"/>
      <c r="AGN22" s="169"/>
      <c r="AGO22" s="169"/>
      <c r="AGP22" s="169"/>
      <c r="AGQ22" s="169"/>
      <c r="AGR22" s="169"/>
      <c r="AGS22" s="169"/>
      <c r="AGT22" s="169"/>
      <c r="AGU22" s="169"/>
      <c r="AGV22" s="169"/>
      <c r="AGW22" s="169"/>
      <c r="AGX22" s="169"/>
      <c r="AGY22" s="169"/>
      <c r="AGZ22" s="169"/>
      <c r="AHA22" s="169"/>
      <c r="AHB22" s="169" t="s">
        <v>4016</v>
      </c>
      <c r="AHC22" s="169"/>
      <c r="AHD22" s="169"/>
      <c r="AHE22" s="169"/>
      <c r="AHF22" s="169"/>
      <c r="AHG22" s="169"/>
      <c r="AHH22" s="169"/>
      <c r="AHI22" s="169"/>
      <c r="AHJ22" s="169"/>
      <c r="AHK22" s="169"/>
      <c r="AHL22" s="169"/>
      <c r="AHM22" s="169"/>
      <c r="AHN22" s="169"/>
      <c r="AHO22" s="169"/>
      <c r="AHP22" s="169"/>
      <c r="AHQ22" s="169"/>
      <c r="AHR22" s="169"/>
      <c r="AHS22" s="169"/>
      <c r="AHT22" s="169"/>
      <c r="AHU22" s="169"/>
      <c r="AHV22" s="169"/>
      <c r="AHW22" s="169"/>
      <c r="AHX22" s="169"/>
      <c r="AHY22" s="169"/>
      <c r="AHZ22" s="169"/>
      <c r="AIA22" s="169"/>
      <c r="AIB22" s="169"/>
      <c r="AIC22" s="169"/>
      <c r="AID22" s="169"/>
      <c r="AIE22" s="169"/>
      <c r="AIF22" s="169"/>
      <c r="AIG22" s="169"/>
      <c r="AIH22" s="169"/>
      <c r="AII22" s="169" t="s">
        <v>4016</v>
      </c>
      <c r="AIJ22" s="169"/>
      <c r="AIK22" s="169"/>
      <c r="AIL22" s="169"/>
      <c r="AIM22" s="169"/>
      <c r="AIN22" s="169"/>
      <c r="AIO22" s="169"/>
      <c r="AIP22" s="169"/>
      <c r="AIQ22" s="169"/>
      <c r="AIR22" s="169"/>
      <c r="AIS22" s="169"/>
      <c r="AIT22" s="169"/>
      <c r="AIU22" s="169"/>
      <c r="AIV22" s="169"/>
      <c r="AIW22" s="169"/>
      <c r="AIX22" s="169"/>
      <c r="AIY22" s="169"/>
      <c r="AIZ22" s="169"/>
      <c r="AJA22" s="169"/>
      <c r="AJB22" s="169"/>
      <c r="AJC22" s="169"/>
      <c r="AJD22" s="169"/>
      <c r="AJE22" s="169"/>
      <c r="AJF22" s="169"/>
      <c r="AJG22" s="169"/>
      <c r="AJH22" s="169"/>
      <c r="AJI22" s="169"/>
      <c r="AJJ22" s="169"/>
      <c r="AJK22" s="169"/>
      <c r="AJL22" s="169"/>
      <c r="AJM22" s="169"/>
      <c r="AJN22" s="169"/>
      <c r="AJO22" s="169"/>
      <c r="AJP22" s="169" t="s">
        <v>4016</v>
      </c>
      <c r="AJQ22" s="169"/>
      <c r="AJR22" s="169"/>
      <c r="AJS22" s="169"/>
      <c r="AJT22" s="169"/>
      <c r="AJU22" s="169"/>
      <c r="AJV22" s="169"/>
      <c r="AJW22" s="169"/>
      <c r="AJX22" s="169"/>
      <c r="AJY22" s="169"/>
      <c r="AJZ22" s="169"/>
      <c r="AKA22" s="169"/>
      <c r="AKB22" s="169"/>
      <c r="AKC22" s="169"/>
      <c r="AKD22" s="169"/>
      <c r="AKE22" s="169"/>
      <c r="AKF22" s="169"/>
      <c r="AKG22" s="169"/>
      <c r="AKH22" s="169"/>
      <c r="AKI22" s="169"/>
      <c r="AKJ22" s="169"/>
      <c r="AKK22" s="169"/>
      <c r="AKL22" s="169"/>
      <c r="AKM22" s="169"/>
      <c r="AKN22" s="169"/>
      <c r="AKO22" s="169"/>
      <c r="AKP22" s="169"/>
      <c r="AKQ22" s="169"/>
      <c r="AKR22" s="169"/>
      <c r="AKS22" s="169"/>
      <c r="AKT22" s="169"/>
      <c r="AKU22" s="169"/>
      <c r="AKV22" s="169"/>
      <c r="AKW22" s="169" t="s">
        <v>4016</v>
      </c>
      <c r="AKX22" s="169"/>
      <c r="AKY22" s="169"/>
      <c r="AKZ22" s="169"/>
      <c r="ALA22" s="169"/>
      <c r="ALB22" s="169"/>
      <c r="ALC22" s="169"/>
      <c r="ALD22" s="169"/>
      <c r="ALE22" s="169"/>
      <c r="ALF22" s="169"/>
      <c r="ALG22" s="169"/>
      <c r="ALH22" s="169"/>
      <c r="ALI22" s="169"/>
      <c r="ALJ22" s="169"/>
      <c r="ALK22" s="169"/>
      <c r="ALL22" s="169"/>
      <c r="ALM22" s="169"/>
      <c r="ALN22" s="169"/>
      <c r="ALO22" s="169"/>
      <c r="ALP22" s="169"/>
      <c r="ALQ22" s="169"/>
      <c r="ALR22" s="169"/>
      <c r="ALS22" s="169"/>
      <c r="ALT22" s="169"/>
      <c r="ALU22" s="169"/>
      <c r="ALV22" s="169"/>
      <c r="ALW22" s="169"/>
      <c r="ALX22" s="169"/>
      <c r="ALY22" s="169"/>
      <c r="ALZ22" s="169"/>
      <c r="AMA22" s="169"/>
      <c r="AMB22" s="169"/>
      <c r="AMC22" s="169"/>
      <c r="AMD22" s="169" t="s">
        <v>4016</v>
      </c>
      <c r="AME22" s="169"/>
      <c r="AMF22" s="169"/>
      <c r="AMG22" s="169"/>
      <c r="AMH22" s="169"/>
      <c r="AMI22" s="169"/>
      <c r="AMJ22" s="169"/>
      <c r="AMK22" s="169"/>
      <c r="AML22" s="169"/>
      <c r="AMM22" s="169"/>
      <c r="AMN22" s="169"/>
      <c r="AMO22" s="169"/>
      <c r="AMP22" s="169"/>
      <c r="AMQ22" s="169"/>
      <c r="AMR22" s="169"/>
      <c r="AMS22" s="169"/>
      <c r="AMT22" s="169"/>
      <c r="AMU22" s="169"/>
      <c r="AMV22" s="169"/>
      <c r="AMW22" s="169"/>
      <c r="AMX22" s="169"/>
      <c r="AMY22" s="169"/>
      <c r="AMZ22" s="169"/>
      <c r="ANA22" s="169"/>
      <c r="ANB22" s="169"/>
      <c r="ANC22" s="169"/>
      <c r="AND22" s="169"/>
      <c r="ANE22" s="169"/>
      <c r="ANF22" s="169"/>
      <c r="ANG22" s="169"/>
      <c r="ANH22" s="169"/>
      <c r="ANI22" s="169"/>
      <c r="ANJ22" s="169"/>
      <c r="ANK22" s="169" t="s">
        <v>4016</v>
      </c>
      <c r="ANL22" s="169"/>
      <c r="ANM22" s="169"/>
      <c r="ANN22" s="169"/>
      <c r="ANO22" s="169"/>
      <c r="ANP22" s="169"/>
      <c r="ANQ22" s="169"/>
      <c r="ANR22" s="169"/>
      <c r="ANS22" s="169"/>
      <c r="ANT22" s="169"/>
      <c r="ANU22" s="169"/>
      <c r="ANV22" s="169"/>
      <c r="ANW22" s="169"/>
      <c r="ANX22" s="169"/>
      <c r="ANY22" s="169"/>
      <c r="ANZ22" s="169"/>
      <c r="AOA22" s="169"/>
      <c r="AOB22" s="169"/>
      <c r="AOC22" s="169"/>
      <c r="AOD22" s="169"/>
      <c r="AOE22" s="169"/>
      <c r="AOF22" s="169"/>
      <c r="AOG22" s="169"/>
      <c r="AOH22" s="169"/>
      <c r="AOI22" s="169"/>
      <c r="AOJ22" s="169"/>
      <c r="AOK22" s="169"/>
      <c r="AOL22" s="169"/>
      <c r="AOM22" s="169"/>
      <c r="AON22" s="169"/>
      <c r="AOO22" s="169"/>
      <c r="AOP22" s="169"/>
      <c r="AOQ22" s="169"/>
      <c r="AOR22" s="169"/>
      <c r="AOS22" s="169"/>
      <c r="AOT22" s="169"/>
      <c r="AOU22" s="169"/>
      <c r="AOV22" s="169"/>
      <c r="AOW22" s="169"/>
      <c r="AOX22" s="169"/>
      <c r="AOY22" s="169"/>
      <c r="AOZ22" s="169"/>
      <c r="APA22" s="169"/>
      <c r="APB22" s="169"/>
      <c r="APC22" s="169"/>
      <c r="APD22" s="169"/>
      <c r="APE22" s="169"/>
      <c r="APF22" s="169"/>
      <c r="APG22" s="169"/>
      <c r="APH22" s="169"/>
      <c r="API22" s="169"/>
      <c r="APJ22" s="169"/>
      <c r="APK22" s="169"/>
      <c r="APL22" s="169"/>
      <c r="APM22" s="169"/>
      <c r="APN22" s="169"/>
      <c r="APO22" s="170"/>
      <c r="APP22" s="170"/>
      <c r="APQ22" s="170"/>
      <c r="APR22" s="170"/>
      <c r="APS22" s="170"/>
      <c r="APT22" s="170"/>
      <c r="APU22" s="170"/>
      <c r="APV22" s="170"/>
      <c r="APW22" s="170"/>
      <c r="APX22" s="170"/>
      <c r="APY22" s="170"/>
      <c r="APZ22" s="170"/>
      <c r="AQA22" s="170"/>
      <c r="AQB22" s="170"/>
      <c r="AQC22" s="170"/>
      <c r="AQD22" s="170"/>
      <c r="AQE22" s="170"/>
      <c r="AQF22" s="170"/>
      <c r="AQG22" s="170"/>
      <c r="AQH22" s="170"/>
      <c r="AQI22" s="170"/>
      <c r="AQJ22" s="170"/>
      <c r="AQK22" s="170"/>
      <c r="AQL22" s="170"/>
      <c r="AQM22" s="170"/>
      <c r="AQN22" s="170"/>
      <c r="AQO22" s="170"/>
      <c r="AQP22" s="170"/>
      <c r="AQQ22" s="170"/>
      <c r="AQR22" s="170"/>
      <c r="AQS22" s="170"/>
      <c r="AQT22" s="170"/>
      <c r="AQU22" s="170"/>
      <c r="AQV22" s="170"/>
      <c r="AQW22" s="170"/>
      <c r="AQX22" s="170"/>
      <c r="AQY22" s="170"/>
      <c r="AQZ22" s="170"/>
      <c r="ARA22" s="170"/>
      <c r="ARB22" s="170"/>
      <c r="ARC22" s="170"/>
      <c r="ARD22" s="170"/>
      <c r="ARE22" s="170"/>
      <c r="ARF22" s="170"/>
      <c r="ARG22" s="170"/>
      <c r="ARH22" s="170"/>
      <c r="ARI22" s="170"/>
      <c r="ARJ22" s="170"/>
      <c r="ARK22" s="170"/>
      <c r="ARL22" s="170"/>
      <c r="ARM22" s="170"/>
      <c r="ARN22" s="170"/>
      <c r="ARO22" s="170"/>
      <c r="ARP22" s="170"/>
      <c r="ARQ22" s="170"/>
      <c r="ARR22" s="170"/>
      <c r="ARS22" s="170"/>
      <c r="ART22" s="170"/>
      <c r="ARU22" s="170"/>
      <c r="ARV22" s="170"/>
      <c r="ARW22" s="170"/>
      <c r="ARX22" s="170"/>
      <c r="ARY22" s="170"/>
      <c r="ARZ22" s="170"/>
      <c r="ASA22" s="170"/>
      <c r="ASB22" s="170"/>
      <c r="ASC22" s="170"/>
      <c r="ASD22" s="170"/>
      <c r="ASE22" s="170"/>
      <c r="ASF22" s="170"/>
      <c r="ASG22" s="170"/>
      <c r="ASH22" s="170"/>
      <c r="ASI22" s="170"/>
      <c r="ASJ22" s="170"/>
      <c r="ASK22" s="170"/>
      <c r="ASL22" s="170"/>
      <c r="ASM22" s="170"/>
      <c r="ASN22" s="170"/>
      <c r="ASO22" s="170"/>
      <c r="ASP22" s="170"/>
      <c r="ASQ22" s="170"/>
      <c r="ASR22" s="170"/>
      <c r="ASS22" s="170"/>
      <c r="AST22" s="170"/>
      <c r="ASU22" s="170"/>
      <c r="ASV22" s="170"/>
      <c r="ASW22" s="170"/>
      <c r="ASX22" s="169"/>
      <c r="ASY22" s="169"/>
      <c r="ASZ22" s="169"/>
      <c r="ATA22" s="169"/>
      <c r="ATB22" s="169"/>
      <c r="ATC22" s="169"/>
      <c r="ATD22" s="169"/>
      <c r="ATE22" s="169"/>
      <c r="ATF22" s="169"/>
      <c r="ATG22" s="169"/>
      <c r="ATH22" s="169"/>
      <c r="ATI22" s="169"/>
      <c r="ATJ22" s="169"/>
      <c r="ATK22" s="169"/>
      <c r="ATL22" s="169"/>
      <c r="ATM22" s="169"/>
      <c r="ATN22" s="169"/>
      <c r="ATO22" s="169"/>
      <c r="ATP22" s="169"/>
      <c r="ATQ22" s="169"/>
      <c r="ATR22" s="169"/>
      <c r="ATS22" s="169"/>
      <c r="ATT22" s="169"/>
      <c r="ATU22" s="169"/>
      <c r="ATV22" s="169"/>
      <c r="ATW22" s="169"/>
      <c r="ATX22" s="169"/>
      <c r="ATY22" s="169"/>
      <c r="ATZ22" s="169"/>
      <c r="AUA22" s="169"/>
      <c r="AUB22" s="169"/>
      <c r="AUC22" s="169"/>
      <c r="AUD22" s="169"/>
      <c r="AUE22" s="169"/>
      <c r="AUF22" s="169"/>
      <c r="AUG22" s="169"/>
      <c r="AUH22" s="169"/>
      <c r="AUI22" s="169"/>
      <c r="AUJ22" s="169"/>
      <c r="AUK22" s="169"/>
      <c r="AUL22" s="169"/>
      <c r="AUM22" s="169"/>
      <c r="AUN22" s="169"/>
      <c r="AUO22" s="169"/>
      <c r="AUQ22" s="169"/>
      <c r="AUR22" s="169"/>
      <c r="AUS22" s="169"/>
      <c r="AUT22" s="169"/>
      <c r="AUU22" s="169"/>
      <c r="AUV22" s="169"/>
      <c r="AUW22" s="169"/>
      <c r="AUX22" s="169" t="s">
        <v>4016</v>
      </c>
      <c r="AUY22" s="169"/>
      <c r="AUZ22" s="169"/>
      <c r="AVA22" s="169"/>
      <c r="AVB22" s="169"/>
      <c r="AVC22" s="169"/>
      <c r="AVD22" s="169"/>
      <c r="AVE22" s="169"/>
      <c r="AVF22" s="169" t="s">
        <v>4016</v>
      </c>
      <c r="AVG22" s="169" t="s">
        <v>4016</v>
      </c>
      <c r="AVH22" s="169"/>
    </row>
    <row r="23" spans="1:1296" outlineLevel="1">
      <c r="A23" s="137" t="s">
        <v>217</v>
      </c>
      <c r="B23" s="139" t="s">
        <v>221</v>
      </c>
      <c r="C23" s="139" t="s">
        <v>222</v>
      </c>
      <c r="D23" s="139" t="s">
        <v>223</v>
      </c>
      <c r="E23" s="137">
        <v>47</v>
      </c>
      <c r="G23" s="136" t="s">
        <v>11</v>
      </c>
      <c r="H23" s="136" t="s">
        <v>13</v>
      </c>
      <c r="I23" s="136" t="s">
        <v>13</v>
      </c>
      <c r="J23" s="136" t="s">
        <v>13</v>
      </c>
      <c r="K23" s="136" t="s">
        <v>13</v>
      </c>
      <c r="L23" s="136" t="s">
        <v>13</v>
      </c>
      <c r="M23" s="136" t="s">
        <v>13</v>
      </c>
      <c r="N23" s="136" t="s">
        <v>13</v>
      </c>
      <c r="P23" s="129" t="s">
        <v>4012</v>
      </c>
      <c r="Q23" s="129" t="s">
        <v>4012</v>
      </c>
      <c r="R23" s="129" t="s">
        <v>4012</v>
      </c>
      <c r="S23" s="129" t="s">
        <v>4012</v>
      </c>
      <c r="T23" s="129" t="s">
        <v>4012</v>
      </c>
      <c r="U23" s="128" t="s">
        <v>4012</v>
      </c>
      <c r="V23" s="128" t="s">
        <v>4012</v>
      </c>
      <c r="W23" s="128" t="s">
        <v>4012</v>
      </c>
      <c r="X23" s="128" t="s">
        <v>4012</v>
      </c>
      <c r="Y23" s="128" t="s">
        <v>4012</v>
      </c>
      <c r="Z23" s="128" t="s">
        <v>4012</v>
      </c>
      <c r="AA23" s="128" t="s">
        <v>4012</v>
      </c>
      <c r="AB23" s="128" t="s">
        <v>4012</v>
      </c>
      <c r="AC23" s="128" t="s">
        <v>4012</v>
      </c>
      <c r="AD23" s="128" t="s">
        <v>4012</v>
      </c>
      <c r="AE23" s="128" t="s">
        <v>4012</v>
      </c>
      <c r="AF23" s="128" t="s">
        <v>4012</v>
      </c>
      <c r="AG23" s="128" t="s">
        <v>4012</v>
      </c>
      <c r="AH23" s="128" t="s">
        <v>4012</v>
      </c>
      <c r="AI23" s="128" t="s">
        <v>4014</v>
      </c>
      <c r="AJ23" s="128" t="s">
        <v>4014</v>
      </c>
      <c r="AK23" s="132" t="s">
        <v>4012</v>
      </c>
      <c r="AL23" s="132" t="s">
        <v>4012</v>
      </c>
      <c r="AM23" s="132" t="s">
        <v>4012</v>
      </c>
      <c r="AN23" s="132" t="s">
        <v>4012</v>
      </c>
      <c r="AO23" s="132" t="s">
        <v>4012</v>
      </c>
      <c r="AP23" s="132" t="s">
        <v>4012</v>
      </c>
      <c r="AQ23" s="132" t="s">
        <v>4012</v>
      </c>
      <c r="AR23" s="129" t="s">
        <v>4012</v>
      </c>
      <c r="AS23" s="129" t="s">
        <v>4012</v>
      </c>
      <c r="AT23" s="129" t="s">
        <v>4012</v>
      </c>
      <c r="AU23" s="129" t="s">
        <v>4012</v>
      </c>
      <c r="AV23" s="129" t="s">
        <v>4012</v>
      </c>
      <c r="AW23" s="129" t="s">
        <v>4012</v>
      </c>
      <c r="AY23" s="129" t="s">
        <v>4012</v>
      </c>
      <c r="AZ23" s="129" t="s">
        <v>4012</v>
      </c>
      <c r="BA23" s="129" t="s">
        <v>4012</v>
      </c>
      <c r="BB23" s="129" t="s">
        <v>4012</v>
      </c>
      <c r="BC23" s="129" t="s">
        <v>4012</v>
      </c>
      <c r="BD23" s="129" t="s">
        <v>4012</v>
      </c>
      <c r="BE23" s="129" t="s">
        <v>4012</v>
      </c>
      <c r="BF23" s="129" t="s">
        <v>4012</v>
      </c>
      <c r="BG23" s="129" t="s">
        <v>4012</v>
      </c>
      <c r="BH23" s="129" t="s">
        <v>4012</v>
      </c>
      <c r="BI23" s="129" t="s">
        <v>4012</v>
      </c>
      <c r="BJ23" s="129" t="s">
        <v>4012</v>
      </c>
      <c r="BK23" s="129" t="s">
        <v>4012</v>
      </c>
      <c r="BR23" s="128" t="s">
        <v>4012</v>
      </c>
      <c r="BS23" s="128" t="s">
        <v>4012</v>
      </c>
      <c r="BT23" s="128" t="s">
        <v>4012</v>
      </c>
      <c r="BU23" s="128" t="s">
        <v>4012</v>
      </c>
      <c r="BV23" s="128" t="s">
        <v>4012</v>
      </c>
      <c r="BW23" s="128" t="s">
        <v>4012</v>
      </c>
      <c r="BY23" s="128" t="s">
        <v>4012</v>
      </c>
      <c r="BZ23" s="128" t="s">
        <v>4012</v>
      </c>
      <c r="CA23" s="128" t="s">
        <v>4012</v>
      </c>
      <c r="CB23" s="128" t="s">
        <v>4012</v>
      </c>
      <c r="CC23" s="128" t="s">
        <v>4012</v>
      </c>
      <c r="CD23" s="128" t="s">
        <v>4012</v>
      </c>
      <c r="CW23" s="128" t="s">
        <v>4012</v>
      </c>
      <c r="CX23" s="128" t="s">
        <v>4012</v>
      </c>
      <c r="CY23" s="128" t="s">
        <v>4012</v>
      </c>
      <c r="CZ23" s="128" t="s">
        <v>4012</v>
      </c>
      <c r="DA23" s="128" t="s">
        <v>4012</v>
      </c>
      <c r="DG23" s="128" t="s">
        <v>4012</v>
      </c>
      <c r="DH23" s="128" t="s">
        <v>4012</v>
      </c>
      <c r="DI23" s="128" t="s">
        <v>4012</v>
      </c>
      <c r="DN23" s="128" t="s">
        <v>4012</v>
      </c>
      <c r="DO23" s="128" t="s">
        <v>4012</v>
      </c>
      <c r="DP23" s="128" t="s">
        <v>4012</v>
      </c>
      <c r="DQ23" s="128" t="s">
        <v>4012</v>
      </c>
      <c r="FP23" s="128" t="s">
        <v>4014</v>
      </c>
      <c r="FR23" s="128" t="s">
        <v>4012</v>
      </c>
      <c r="FS23" s="128" t="s">
        <v>4012</v>
      </c>
      <c r="GR23" s="129" t="s">
        <v>4015</v>
      </c>
      <c r="GS23" s="129" t="s">
        <v>4015</v>
      </c>
      <c r="GT23" s="129" t="s">
        <v>4015</v>
      </c>
      <c r="GU23" s="129" t="s">
        <v>4015</v>
      </c>
      <c r="GV23" s="129" t="s">
        <v>4015</v>
      </c>
      <c r="GW23" s="129" t="s">
        <v>4015</v>
      </c>
      <c r="GX23" s="129" t="s">
        <v>4015</v>
      </c>
      <c r="GY23" s="129" t="s">
        <v>4015</v>
      </c>
      <c r="GZ23" s="129" t="s">
        <v>4015</v>
      </c>
      <c r="HA23" s="129" t="s">
        <v>4015</v>
      </c>
      <c r="HB23" s="129" t="s">
        <v>4015</v>
      </c>
      <c r="HC23" s="129" t="s">
        <v>4015</v>
      </c>
      <c r="HD23" s="129" t="s">
        <v>4015</v>
      </c>
      <c r="HE23" s="129" t="s">
        <v>4015</v>
      </c>
      <c r="HF23" s="129" t="s">
        <v>4015</v>
      </c>
      <c r="HH23" s="129" t="s">
        <v>4015</v>
      </c>
      <c r="HI23" s="129" t="s">
        <v>4015</v>
      </c>
      <c r="HJ23" s="129" t="s">
        <v>4015</v>
      </c>
      <c r="HK23" s="129" t="s">
        <v>4015</v>
      </c>
      <c r="HL23" s="129" t="s">
        <v>4015</v>
      </c>
      <c r="HM23" s="129" t="s">
        <v>4015</v>
      </c>
      <c r="HN23" s="129" t="s">
        <v>4015</v>
      </c>
      <c r="HO23" s="129" t="s">
        <v>4015</v>
      </c>
      <c r="HP23" s="129" t="s">
        <v>4015</v>
      </c>
      <c r="IF23" s="129" t="s">
        <v>4013</v>
      </c>
      <c r="IG23" s="129" t="s">
        <v>4012</v>
      </c>
      <c r="IH23" s="129" t="s">
        <v>4013</v>
      </c>
      <c r="II23" s="129" t="s">
        <v>4013</v>
      </c>
      <c r="IO23" s="129" t="s">
        <v>4013</v>
      </c>
      <c r="IP23" s="129" t="s">
        <v>4013</v>
      </c>
      <c r="IQ23" s="129" t="s">
        <v>4013</v>
      </c>
      <c r="IR23" s="129" t="s">
        <v>4013</v>
      </c>
      <c r="IS23" s="129" t="s">
        <v>4013</v>
      </c>
      <c r="JQ23" s="129" t="s">
        <v>4013</v>
      </c>
      <c r="JX23" s="129" t="s">
        <v>4013</v>
      </c>
      <c r="JY23" s="129" t="s">
        <v>4013</v>
      </c>
      <c r="JZ23" s="129" t="s">
        <v>4013</v>
      </c>
      <c r="KA23" s="129" t="s">
        <v>4013</v>
      </c>
      <c r="KB23" s="129" t="s">
        <v>4013</v>
      </c>
      <c r="KM23" s="129" t="s">
        <v>4013</v>
      </c>
      <c r="KN23" s="129" t="s">
        <v>4013</v>
      </c>
      <c r="KO23" s="129" t="s">
        <v>4013</v>
      </c>
      <c r="KP23" s="129" t="s">
        <v>4013</v>
      </c>
      <c r="NV23" s="129" t="s">
        <v>4015</v>
      </c>
      <c r="NW23" s="129" t="s">
        <v>4015</v>
      </c>
      <c r="NX23" s="129" t="s">
        <v>4015</v>
      </c>
      <c r="OB23" s="129" t="s">
        <v>4015</v>
      </c>
      <c r="OC23" s="129" t="s">
        <v>4015</v>
      </c>
      <c r="OD23" s="129" t="s">
        <v>4015</v>
      </c>
      <c r="OI23" s="129" t="s">
        <v>4015</v>
      </c>
      <c r="OJ23" s="129" t="s">
        <v>4015</v>
      </c>
      <c r="OK23" s="129" t="s">
        <v>4015</v>
      </c>
      <c r="OL23" s="129" t="s">
        <v>4015</v>
      </c>
      <c r="OM23" s="129" t="s">
        <v>4015</v>
      </c>
      <c r="ON23" s="129" t="s">
        <v>4015</v>
      </c>
      <c r="PR23" s="129" t="s">
        <v>4012</v>
      </c>
      <c r="PS23" s="129" t="s">
        <v>4012</v>
      </c>
      <c r="PT23" s="129" t="s">
        <v>4012</v>
      </c>
      <c r="PU23" s="129" t="s">
        <v>4012</v>
      </c>
      <c r="PV23" s="129" t="s">
        <v>4012</v>
      </c>
      <c r="PW23" s="129" t="s">
        <v>4012</v>
      </c>
      <c r="PX23" s="129" t="s">
        <v>4012</v>
      </c>
      <c r="PY23" s="129" t="s">
        <v>4012</v>
      </c>
      <c r="PZ23" s="129" t="s">
        <v>4012</v>
      </c>
      <c r="QA23" s="129" t="s">
        <v>4012</v>
      </c>
      <c r="QB23" s="129" t="s">
        <v>4012</v>
      </c>
      <c r="QC23" s="129" t="s">
        <v>4012</v>
      </c>
      <c r="QW23" s="129" t="s">
        <v>4012</v>
      </c>
      <c r="QX23" s="129" t="s">
        <v>4012</v>
      </c>
      <c r="QY23" s="129" t="s">
        <v>3843</v>
      </c>
      <c r="QZ23" s="129" t="s">
        <v>4012</v>
      </c>
      <c r="RA23" s="129" t="s">
        <v>4012</v>
      </c>
      <c r="RG23" s="129" t="s">
        <v>4012</v>
      </c>
      <c r="RH23" s="129" t="s">
        <v>4012</v>
      </c>
      <c r="RI23" s="129" t="s">
        <v>4012</v>
      </c>
      <c r="RJ23" s="129" t="s">
        <v>4014</v>
      </c>
      <c r="SA23" s="129" t="s">
        <v>4012</v>
      </c>
      <c r="SB23" s="129" t="s">
        <v>4012</v>
      </c>
      <c r="SC23" s="129" t="s">
        <v>4012</v>
      </c>
      <c r="SD23" s="129" t="s">
        <v>4012</v>
      </c>
      <c r="SE23" s="129" t="s">
        <v>4012</v>
      </c>
      <c r="SF23" s="129" t="s">
        <v>4012</v>
      </c>
      <c r="SG23" s="129" t="s">
        <v>4012</v>
      </c>
      <c r="SH23" s="129" t="s">
        <v>4012</v>
      </c>
      <c r="SI23" s="129" t="s">
        <v>4012</v>
      </c>
      <c r="SJ23" s="129" t="s">
        <v>4012</v>
      </c>
      <c r="SK23" s="129" t="s">
        <v>4012</v>
      </c>
      <c r="SL23" s="129" t="s">
        <v>4012</v>
      </c>
      <c r="SM23" s="129" t="s">
        <v>4012</v>
      </c>
      <c r="TB23" s="129" t="s">
        <v>4012</v>
      </c>
      <c r="TC23" s="129" t="s">
        <v>4012</v>
      </c>
      <c r="TD23" s="168"/>
      <c r="TE23" s="132" t="s">
        <v>4012</v>
      </c>
      <c r="TF23" s="132" t="s">
        <v>4012</v>
      </c>
      <c r="TG23" s="129" t="s">
        <v>4012</v>
      </c>
      <c r="TN23" s="129" t="s">
        <v>4012</v>
      </c>
      <c r="TO23" s="129" t="s">
        <v>4012</v>
      </c>
      <c r="TP23" s="129" t="s">
        <v>4012</v>
      </c>
      <c r="TQ23" s="129" t="s">
        <v>4012</v>
      </c>
      <c r="TX23" s="167"/>
      <c r="TY23" s="132" t="s">
        <v>4012</v>
      </c>
      <c r="TZ23" s="132" t="s">
        <v>4012</v>
      </c>
      <c r="UJ23" s="129" t="s">
        <v>4012</v>
      </c>
      <c r="UK23" s="129" t="s">
        <v>4012</v>
      </c>
      <c r="VG23" s="129" t="s">
        <v>4012</v>
      </c>
      <c r="VH23" s="129" t="s">
        <v>4012</v>
      </c>
      <c r="VI23" s="129" t="s">
        <v>4012</v>
      </c>
      <c r="WB23" s="131" t="s">
        <v>4012</v>
      </c>
      <c r="WM23" s="131" t="s">
        <v>4012</v>
      </c>
      <c r="XI23" s="131" t="s">
        <v>4012</v>
      </c>
      <c r="XT23" s="131" t="s">
        <v>4012</v>
      </c>
      <c r="YE23" s="131" t="s">
        <v>4012</v>
      </c>
      <c r="YP23" s="131" t="s">
        <v>4012</v>
      </c>
      <c r="ZA23" s="131" t="s">
        <v>4012</v>
      </c>
      <c r="ZL23" s="131" t="s">
        <v>4012</v>
      </c>
      <c r="ZW23" s="131" t="s">
        <v>4012</v>
      </c>
      <c r="AAH23" s="131" t="s">
        <v>4012</v>
      </c>
      <c r="AAT23" s="131" t="s">
        <v>4012</v>
      </c>
      <c r="ABE23" s="131" t="s">
        <v>4012</v>
      </c>
      <c r="ABP23" s="131" t="s">
        <v>4012</v>
      </c>
      <c r="ACA23" s="131" t="s">
        <v>4012</v>
      </c>
      <c r="ACL23" s="131" t="s">
        <v>4012</v>
      </c>
      <c r="ACW23" s="131" t="s">
        <v>4012</v>
      </c>
      <c r="ADH23" s="131" t="s">
        <v>4012</v>
      </c>
      <c r="ADS23" s="131" t="s">
        <v>4012</v>
      </c>
      <c r="AED23" s="131" t="s">
        <v>4012</v>
      </c>
      <c r="AEO23" s="131" t="s">
        <v>4012</v>
      </c>
      <c r="AEZ23" s="131" t="s">
        <v>4012</v>
      </c>
      <c r="AFK23" s="131" t="s">
        <v>4012</v>
      </c>
      <c r="AFL23" s="129" t="s">
        <v>4012</v>
      </c>
      <c r="AFW23" s="129" t="s">
        <v>4013</v>
      </c>
      <c r="AHB23" s="129" t="s">
        <v>4013</v>
      </c>
      <c r="AII23" s="129" t="s">
        <v>4013</v>
      </c>
      <c r="AJP23" s="129" t="s">
        <v>4013</v>
      </c>
      <c r="AKW23" s="129" t="s">
        <v>4013</v>
      </c>
      <c r="AMD23" s="129" t="s">
        <v>4013</v>
      </c>
      <c r="ANK23" s="129" t="s">
        <v>4013</v>
      </c>
      <c r="AUX23" s="129" t="s">
        <v>4013</v>
      </c>
      <c r="AVF23" s="129" t="s">
        <v>4013</v>
      </c>
      <c r="AVG23" s="129" t="s">
        <v>4012</v>
      </c>
      <c r="AVJ23" s="128" t="s">
        <v>4011</v>
      </c>
      <c r="AVK23" s="128" t="s">
        <v>4011</v>
      </c>
      <c r="AVL23" s="128" t="s">
        <v>4011</v>
      </c>
      <c r="AVO23" s="128" t="s">
        <v>3843</v>
      </c>
      <c r="AVP23" s="128" t="s">
        <v>4011</v>
      </c>
      <c r="AVQ23" s="128" t="s">
        <v>4011</v>
      </c>
      <c r="AVR23" s="128" t="s">
        <v>4011</v>
      </c>
      <c r="AVU23" s="128" t="s">
        <v>3843</v>
      </c>
      <c r="AVV23" s="128" t="s">
        <v>4011</v>
      </c>
      <c r="AVW23" s="128" t="s">
        <v>4011</v>
      </c>
      <c r="AVX23" s="128" t="s">
        <v>4011</v>
      </c>
      <c r="AVY23" s="128" t="s">
        <v>4011</v>
      </c>
      <c r="AVZ23" s="128" t="s">
        <v>4011</v>
      </c>
      <c r="AWA23" s="128" t="s">
        <v>4011</v>
      </c>
      <c r="AWB23" s="128" t="s">
        <v>4011</v>
      </c>
      <c r="AWC23" s="128" t="s">
        <v>4011</v>
      </c>
      <c r="AWD23" s="128" t="s">
        <v>3843</v>
      </c>
      <c r="AWE23" s="128" t="s">
        <v>4011</v>
      </c>
      <c r="AWF23" s="128" t="s">
        <v>4011</v>
      </c>
      <c r="AWG23" s="128" t="s">
        <v>4011</v>
      </c>
      <c r="AWJ23" s="128" t="s">
        <v>3843</v>
      </c>
      <c r="AWK23" s="128" t="s">
        <v>4011</v>
      </c>
      <c r="AWL23" s="128" t="s">
        <v>4011</v>
      </c>
      <c r="AWM23" s="128" t="s">
        <v>4011</v>
      </c>
      <c r="AWP23" s="128" t="s">
        <v>3843</v>
      </c>
      <c r="AWQ23" s="128" t="s">
        <v>4011</v>
      </c>
      <c r="AWR23" s="128" t="s">
        <v>4011</v>
      </c>
      <c r="AWS23" s="128" t="s">
        <v>4011</v>
      </c>
      <c r="AWV23" s="128" t="s">
        <v>3843</v>
      </c>
    </row>
    <row r="24" spans="1:1296" s="129" customFormat="1" outlineLevel="1">
      <c r="A24" s="137" t="s">
        <v>217</v>
      </c>
      <c r="B24" s="139" t="s">
        <v>224</v>
      </c>
      <c r="C24" s="139" t="s">
        <v>225</v>
      </c>
      <c r="D24" s="139" t="s">
        <v>226</v>
      </c>
      <c r="E24" s="137">
        <v>48</v>
      </c>
      <c r="F24" s="138"/>
      <c r="G24" s="136" t="s">
        <v>18</v>
      </c>
      <c r="H24" s="136" t="s">
        <v>366</v>
      </c>
      <c r="I24" s="136" t="s">
        <v>13</v>
      </c>
      <c r="J24" s="136" t="s">
        <v>13</v>
      </c>
      <c r="K24" s="136" t="s">
        <v>366</v>
      </c>
      <c r="L24" s="136" t="s">
        <v>366</v>
      </c>
      <c r="M24" s="136"/>
      <c r="N24" s="136" t="s">
        <v>366</v>
      </c>
      <c r="O24" s="138"/>
      <c r="IF24" s="129">
        <v>0</v>
      </c>
      <c r="IG24" s="129">
        <v>1</v>
      </c>
      <c r="IH24" s="129">
        <v>1</v>
      </c>
      <c r="II24" s="129">
        <v>1</v>
      </c>
      <c r="IO24" s="129">
        <v>0</v>
      </c>
      <c r="IP24" s="129">
        <v>1</v>
      </c>
      <c r="IQ24" s="129">
        <v>1</v>
      </c>
      <c r="IR24" s="129">
        <v>1</v>
      </c>
      <c r="IS24" s="129">
        <v>1</v>
      </c>
      <c r="JQ24" s="129">
        <v>0</v>
      </c>
      <c r="JX24" s="129">
        <v>0</v>
      </c>
      <c r="JY24" s="129">
        <v>0</v>
      </c>
      <c r="JZ24" s="129">
        <v>1</v>
      </c>
      <c r="KA24" s="129">
        <v>0</v>
      </c>
      <c r="KB24" s="129">
        <v>0</v>
      </c>
      <c r="KM24" s="129">
        <v>0</v>
      </c>
      <c r="KN24" s="129">
        <v>0</v>
      </c>
      <c r="KO24" s="129">
        <v>0</v>
      </c>
      <c r="KP24" s="129">
        <v>0</v>
      </c>
      <c r="LK24" s="135"/>
      <c r="LL24" s="135"/>
      <c r="LM24" s="135"/>
      <c r="LN24" s="135"/>
      <c r="LO24" s="135"/>
      <c r="LU24" s="135"/>
      <c r="LV24" s="135"/>
      <c r="LW24" s="135"/>
      <c r="LX24" s="135"/>
      <c r="LY24" s="135"/>
      <c r="LZ24" s="135"/>
      <c r="MA24" s="135"/>
      <c r="MB24" s="135"/>
      <c r="MC24" s="135"/>
      <c r="MD24" s="135"/>
      <c r="ME24" s="135"/>
      <c r="MF24" s="135"/>
      <c r="MG24" s="135"/>
      <c r="MQ24" s="132"/>
      <c r="MR24" s="132"/>
      <c r="MS24" s="132"/>
      <c r="MT24" s="132"/>
      <c r="MU24" s="132"/>
      <c r="MV24" s="132"/>
      <c r="MW24" s="132"/>
      <c r="MX24" s="132"/>
      <c r="MY24" s="132"/>
      <c r="NB24" s="135"/>
      <c r="NC24" s="135"/>
      <c r="ND24" s="135"/>
      <c r="NE24" s="135"/>
      <c r="NF24" s="135"/>
      <c r="NL24" s="132"/>
      <c r="NM24" s="132"/>
      <c r="NN24" s="132"/>
      <c r="NO24" s="132"/>
      <c r="NP24" s="132"/>
      <c r="NV24" s="129">
        <v>0</v>
      </c>
      <c r="NW24" s="129">
        <v>1</v>
      </c>
      <c r="NX24" s="129">
        <v>1</v>
      </c>
      <c r="OB24" s="129">
        <v>0</v>
      </c>
      <c r="OC24" s="129">
        <v>1</v>
      </c>
      <c r="OD24" s="129">
        <v>1</v>
      </c>
      <c r="OI24" s="129">
        <v>0</v>
      </c>
      <c r="OJ24" s="129">
        <v>1</v>
      </c>
      <c r="OK24" s="129">
        <v>1</v>
      </c>
      <c r="OL24" s="129">
        <v>0</v>
      </c>
      <c r="OM24" s="129">
        <v>1</v>
      </c>
      <c r="ON24" s="129">
        <v>1</v>
      </c>
      <c r="RQ24" s="134"/>
      <c r="RR24" s="134"/>
      <c r="RS24" s="134"/>
      <c r="RT24" s="134"/>
      <c r="TD24" s="133"/>
      <c r="TE24" s="132"/>
      <c r="TF24" s="132"/>
      <c r="TX24" s="132"/>
      <c r="TY24" s="132"/>
      <c r="TZ24" s="132"/>
      <c r="VL24" s="132"/>
      <c r="VM24" s="132"/>
      <c r="VN24" s="132"/>
      <c r="VO24" s="132"/>
      <c r="VR24" s="131"/>
      <c r="VS24" s="131"/>
      <c r="VT24" s="131"/>
      <c r="VU24" s="131"/>
      <c r="VV24" s="131"/>
      <c r="VW24" s="131"/>
      <c r="VX24" s="131"/>
      <c r="VY24" s="131"/>
      <c r="VZ24" s="131"/>
      <c r="WA24" s="131"/>
      <c r="WB24" s="131"/>
      <c r="WC24" s="131"/>
      <c r="WD24" s="131"/>
      <c r="WE24" s="131"/>
      <c r="WF24" s="131"/>
      <c r="WG24" s="131"/>
      <c r="WH24" s="131"/>
      <c r="WI24" s="131"/>
      <c r="WJ24" s="131"/>
      <c r="WK24" s="131"/>
      <c r="WL24" s="131"/>
      <c r="WM24" s="131"/>
      <c r="WN24" s="131"/>
      <c r="WO24" s="131"/>
      <c r="WP24" s="131"/>
      <c r="WQ24" s="131"/>
      <c r="WR24" s="131"/>
      <c r="WS24" s="131"/>
      <c r="WT24" s="131"/>
      <c r="WU24" s="131"/>
      <c r="WV24" s="131"/>
      <c r="WW24" s="131"/>
      <c r="WX24" s="131"/>
      <c r="WY24" s="131"/>
      <c r="WZ24" s="131"/>
      <c r="XA24" s="131"/>
      <c r="XB24" s="131"/>
      <c r="XC24" s="131"/>
      <c r="XD24" s="131"/>
      <c r="XE24" s="131"/>
      <c r="XF24" s="131"/>
      <c r="XG24" s="131"/>
      <c r="XH24" s="131"/>
      <c r="XI24" s="131"/>
      <c r="XJ24" s="131"/>
      <c r="XK24" s="131"/>
      <c r="XL24" s="131"/>
      <c r="XM24" s="131"/>
      <c r="XN24" s="131"/>
      <c r="XO24" s="131"/>
      <c r="XP24" s="131"/>
      <c r="XQ24" s="131"/>
      <c r="XR24" s="131"/>
      <c r="XS24" s="131"/>
      <c r="XT24" s="131"/>
      <c r="XU24" s="131"/>
      <c r="XV24" s="131"/>
      <c r="XW24" s="131"/>
      <c r="XX24" s="131"/>
      <c r="XY24" s="131"/>
      <c r="XZ24" s="131"/>
      <c r="YA24" s="131"/>
      <c r="YB24" s="131"/>
      <c r="YC24" s="131"/>
      <c r="YD24" s="131"/>
      <c r="YE24" s="131"/>
      <c r="YF24" s="131"/>
      <c r="YG24" s="131"/>
      <c r="YH24" s="131"/>
      <c r="YI24" s="131"/>
      <c r="YJ24" s="131"/>
      <c r="YK24" s="131"/>
      <c r="YL24" s="131"/>
      <c r="YM24" s="131"/>
      <c r="YN24" s="131"/>
      <c r="YO24" s="131"/>
      <c r="YP24" s="131"/>
      <c r="YQ24" s="131"/>
      <c r="YR24" s="131"/>
      <c r="YS24" s="131"/>
      <c r="YT24" s="131"/>
      <c r="YU24" s="131"/>
      <c r="YV24" s="131"/>
      <c r="YW24" s="131"/>
      <c r="YX24" s="131"/>
      <c r="YY24" s="131"/>
      <c r="YZ24" s="131"/>
      <c r="ZA24" s="131"/>
      <c r="ZB24" s="131"/>
      <c r="ZC24" s="131"/>
      <c r="ZD24" s="131"/>
      <c r="ZE24" s="131"/>
      <c r="ZF24" s="131"/>
      <c r="ZG24" s="131"/>
      <c r="ZH24" s="131"/>
      <c r="ZI24" s="131"/>
      <c r="ZJ24" s="131"/>
      <c r="ZK24" s="131"/>
      <c r="ZL24" s="131"/>
      <c r="ZM24" s="131"/>
      <c r="ZN24" s="131"/>
      <c r="ZO24" s="131"/>
      <c r="ZP24" s="131"/>
      <c r="ZQ24" s="131"/>
      <c r="ZR24" s="131"/>
      <c r="ZS24" s="131"/>
      <c r="ZT24" s="131"/>
      <c r="ZU24" s="131"/>
      <c r="ZV24" s="131"/>
      <c r="ZW24" s="131"/>
      <c r="ZX24" s="131"/>
      <c r="ZY24" s="131"/>
      <c r="ZZ24" s="131"/>
      <c r="AAA24" s="131"/>
      <c r="AAB24" s="131"/>
      <c r="AAC24" s="131"/>
      <c r="AAD24" s="131"/>
      <c r="AAE24" s="131"/>
      <c r="AAF24" s="131"/>
      <c r="AAG24" s="131"/>
      <c r="AAH24" s="131"/>
      <c r="AAJ24" s="131"/>
      <c r="AAK24" s="131"/>
      <c r="AAL24" s="131"/>
      <c r="AAM24" s="131"/>
      <c r="AAN24" s="131"/>
      <c r="AAO24" s="131"/>
      <c r="AAP24" s="131"/>
      <c r="AAQ24" s="131"/>
      <c r="AAR24" s="131"/>
      <c r="AAS24" s="131"/>
      <c r="AAT24" s="131"/>
      <c r="AAU24" s="131"/>
      <c r="AAV24" s="131"/>
      <c r="AAW24" s="131"/>
      <c r="AAX24" s="131"/>
      <c r="AAY24" s="131"/>
      <c r="AAZ24" s="131"/>
      <c r="ABA24" s="131"/>
      <c r="ABB24" s="131"/>
      <c r="ABC24" s="131"/>
      <c r="ABD24" s="131"/>
      <c r="ABE24" s="131"/>
      <c r="ABF24" s="131"/>
      <c r="ABG24" s="131"/>
      <c r="ABH24" s="131"/>
      <c r="ABI24" s="131"/>
      <c r="ABJ24" s="131"/>
      <c r="ABK24" s="131"/>
      <c r="ABL24" s="131"/>
      <c r="ABM24" s="131"/>
      <c r="ABN24" s="131"/>
      <c r="ABO24" s="131"/>
      <c r="ABP24" s="131"/>
      <c r="ABQ24" s="131"/>
      <c r="ABR24" s="131"/>
      <c r="ABS24" s="131"/>
      <c r="ABT24" s="131"/>
      <c r="ABU24" s="131"/>
      <c r="ABV24" s="131"/>
      <c r="ABW24" s="131"/>
      <c r="ABX24" s="131"/>
      <c r="ABY24" s="131"/>
      <c r="ABZ24" s="131"/>
      <c r="ACA24" s="131"/>
      <c r="ACB24" s="131"/>
      <c r="ACC24" s="131"/>
      <c r="ACD24" s="131"/>
      <c r="ACE24" s="131"/>
      <c r="ACF24" s="131"/>
      <c r="ACG24" s="131"/>
      <c r="ACH24" s="131"/>
      <c r="ACI24" s="131"/>
      <c r="ACJ24" s="131"/>
      <c r="ACK24" s="131"/>
      <c r="ACL24" s="131"/>
      <c r="ACM24" s="131"/>
      <c r="ACN24" s="131"/>
      <c r="ACO24" s="131"/>
      <c r="ACP24" s="131"/>
      <c r="ACQ24" s="131"/>
      <c r="ACR24" s="131"/>
      <c r="ACS24" s="131"/>
      <c r="ACT24" s="131"/>
      <c r="ACU24" s="131"/>
      <c r="ACV24" s="131"/>
      <c r="ACW24" s="131"/>
      <c r="ACX24" s="131"/>
      <c r="ACY24" s="131"/>
      <c r="ACZ24" s="131"/>
      <c r="ADA24" s="131"/>
      <c r="ADB24" s="131"/>
      <c r="ADC24" s="131"/>
      <c r="ADD24" s="131"/>
      <c r="ADE24" s="131"/>
      <c r="ADF24" s="131"/>
      <c r="ADG24" s="131"/>
      <c r="ADH24" s="131"/>
      <c r="ADI24" s="131"/>
      <c r="ADJ24" s="131"/>
      <c r="ADK24" s="131"/>
      <c r="ADL24" s="131"/>
      <c r="ADM24" s="131"/>
      <c r="ADN24" s="131"/>
      <c r="ADO24" s="131"/>
      <c r="ADP24" s="131"/>
      <c r="ADQ24" s="131"/>
      <c r="ADR24" s="131"/>
      <c r="ADS24" s="131"/>
      <c r="ADT24" s="131"/>
      <c r="ADU24" s="131"/>
      <c r="ADV24" s="131"/>
      <c r="ADW24" s="131"/>
      <c r="ADX24" s="131"/>
      <c r="ADY24" s="131"/>
      <c r="ADZ24" s="131"/>
      <c r="AEA24" s="131"/>
      <c r="AEB24" s="131"/>
      <c r="AEC24" s="131"/>
      <c r="AED24" s="131"/>
      <c r="AEE24" s="131"/>
      <c r="AEF24" s="131"/>
      <c r="AEG24" s="131"/>
      <c r="AEH24" s="131"/>
      <c r="AEI24" s="131"/>
      <c r="AEJ24" s="131"/>
      <c r="AEK24" s="131"/>
      <c r="AEL24" s="131"/>
      <c r="AEM24" s="131"/>
      <c r="AEN24" s="131"/>
      <c r="AEO24" s="131"/>
      <c r="AEP24" s="131"/>
      <c r="AEQ24" s="131"/>
      <c r="AER24" s="131"/>
      <c r="AES24" s="131"/>
      <c r="AET24" s="131"/>
      <c r="AEU24" s="131"/>
      <c r="AEV24" s="131"/>
      <c r="AEW24" s="131"/>
      <c r="AEX24" s="131"/>
      <c r="AEY24" s="131"/>
      <c r="AEZ24" s="131"/>
      <c r="AFA24" s="131"/>
      <c r="AFB24" s="131"/>
      <c r="AFC24" s="131"/>
      <c r="AFD24" s="131"/>
      <c r="AFE24" s="131"/>
      <c r="AFF24" s="131"/>
      <c r="AFG24" s="131"/>
      <c r="AFH24" s="131"/>
      <c r="AFI24" s="131"/>
      <c r="AFJ24" s="131"/>
      <c r="AFK24" s="131"/>
      <c r="APO24" s="130"/>
      <c r="APP24" s="130"/>
      <c r="APQ24" s="130"/>
      <c r="APR24" s="130"/>
      <c r="APS24" s="130"/>
      <c r="APT24" s="130"/>
      <c r="APU24" s="130"/>
      <c r="APV24" s="130"/>
      <c r="APW24" s="130"/>
      <c r="APX24" s="130"/>
      <c r="APY24" s="130"/>
      <c r="APZ24" s="130"/>
      <c r="AQA24" s="130"/>
      <c r="AQB24" s="130"/>
      <c r="AQC24" s="130"/>
      <c r="AQD24" s="130"/>
      <c r="AQE24" s="130"/>
      <c r="AQF24" s="130"/>
      <c r="AQG24" s="130"/>
      <c r="AQH24" s="130"/>
      <c r="AQI24" s="130"/>
      <c r="AQJ24" s="130"/>
      <c r="AQK24" s="130"/>
      <c r="AQL24" s="130"/>
      <c r="AQM24" s="130"/>
      <c r="AQN24" s="130"/>
      <c r="AQO24" s="130"/>
      <c r="AQP24" s="130"/>
      <c r="AQQ24" s="130"/>
      <c r="AQR24" s="130"/>
      <c r="AQS24" s="130"/>
      <c r="AQT24" s="130"/>
      <c r="AQU24" s="130"/>
      <c r="AQV24" s="130"/>
      <c r="AQW24" s="130"/>
      <c r="AQX24" s="130"/>
      <c r="AQY24" s="130"/>
      <c r="AQZ24" s="130"/>
      <c r="ARA24" s="130"/>
      <c r="ARB24" s="130"/>
      <c r="ARC24" s="130"/>
      <c r="ARD24" s="130"/>
      <c r="ARE24" s="130"/>
      <c r="ARF24" s="130"/>
      <c r="ARG24" s="130"/>
      <c r="ARH24" s="130"/>
      <c r="ARI24" s="130"/>
      <c r="ARJ24" s="130"/>
      <c r="ARK24" s="130"/>
      <c r="ARL24" s="130"/>
      <c r="ARM24" s="130"/>
      <c r="ARN24" s="130"/>
      <c r="ARO24" s="130"/>
      <c r="ARP24" s="130"/>
      <c r="ARQ24" s="130"/>
      <c r="ARR24" s="130"/>
      <c r="ARS24" s="130"/>
      <c r="ART24" s="130"/>
      <c r="ARU24" s="130"/>
      <c r="ARV24" s="130"/>
      <c r="ARW24" s="130"/>
      <c r="ARX24" s="130"/>
      <c r="ARY24" s="130"/>
      <c r="ARZ24" s="130"/>
      <c r="ASA24" s="130"/>
      <c r="ASB24" s="130"/>
      <c r="ASC24" s="130"/>
      <c r="ASD24" s="130"/>
      <c r="ASE24" s="130"/>
      <c r="ASF24" s="130"/>
      <c r="ASG24" s="130"/>
      <c r="ASH24" s="130"/>
      <c r="ASI24" s="130"/>
      <c r="ASJ24" s="130"/>
      <c r="ASK24" s="130"/>
      <c r="ASL24" s="130"/>
      <c r="ASM24" s="130"/>
      <c r="ASN24" s="130"/>
      <c r="ASO24" s="130"/>
      <c r="ASP24" s="130"/>
      <c r="ASQ24" s="130"/>
      <c r="ASR24" s="130"/>
      <c r="ASS24" s="130"/>
      <c r="AST24" s="130"/>
      <c r="ASU24" s="130"/>
      <c r="ASV24" s="130"/>
      <c r="ASW24" s="130"/>
    </row>
    <row r="25" spans="1:1296" s="129" customFormat="1" outlineLevel="1">
      <c r="A25" s="137" t="s">
        <v>217</v>
      </c>
      <c r="B25" s="139" t="s">
        <v>227</v>
      </c>
      <c r="C25" s="139" t="s">
        <v>228</v>
      </c>
      <c r="D25" s="139" t="s">
        <v>229</v>
      </c>
      <c r="E25" s="137">
        <v>49</v>
      </c>
      <c r="F25" s="138"/>
      <c r="G25" s="136" t="s">
        <v>18</v>
      </c>
      <c r="H25" s="136" t="s">
        <v>366</v>
      </c>
      <c r="I25" s="136" t="s">
        <v>13</v>
      </c>
      <c r="J25" s="136" t="s">
        <v>13</v>
      </c>
      <c r="K25" s="136" t="s">
        <v>366</v>
      </c>
      <c r="L25" s="136" t="s">
        <v>366</v>
      </c>
      <c r="M25" s="136"/>
      <c r="N25" s="136" t="s">
        <v>366</v>
      </c>
      <c r="O25" s="138"/>
      <c r="IF25" s="129">
        <v>1</v>
      </c>
      <c r="IG25" s="129">
        <v>1</v>
      </c>
      <c r="IH25" s="129">
        <v>1</v>
      </c>
      <c r="II25" s="129">
        <v>1</v>
      </c>
      <c r="IO25" s="129">
        <v>1</v>
      </c>
      <c r="IP25" s="129">
        <v>1</v>
      </c>
      <c r="IQ25" s="129">
        <v>1</v>
      </c>
      <c r="IR25" s="129">
        <v>1</v>
      </c>
      <c r="IS25" s="129">
        <v>1</v>
      </c>
      <c r="JQ25" s="129">
        <v>1</v>
      </c>
      <c r="JX25" s="129">
        <v>1</v>
      </c>
      <c r="JY25" s="129">
        <v>1</v>
      </c>
      <c r="JZ25" s="129">
        <v>1</v>
      </c>
      <c r="KA25" s="129">
        <v>1</v>
      </c>
      <c r="KB25" s="129">
        <v>1</v>
      </c>
      <c r="KM25" s="129">
        <v>1</v>
      </c>
      <c r="KN25" s="129">
        <v>1</v>
      </c>
      <c r="KO25" s="129">
        <v>1</v>
      </c>
      <c r="KP25" s="129">
        <v>1</v>
      </c>
      <c r="LK25" s="135"/>
      <c r="LL25" s="135"/>
      <c r="LM25" s="135"/>
      <c r="LN25" s="135"/>
      <c r="LO25" s="135"/>
      <c r="LU25" s="135"/>
      <c r="LV25" s="135"/>
      <c r="LW25" s="135"/>
      <c r="LX25" s="135"/>
      <c r="LY25" s="135"/>
      <c r="LZ25" s="135"/>
      <c r="MA25" s="135"/>
      <c r="MB25" s="135"/>
      <c r="MC25" s="135"/>
      <c r="MD25" s="135"/>
      <c r="ME25" s="135"/>
      <c r="MF25" s="135"/>
      <c r="MG25" s="135"/>
      <c r="MQ25" s="132"/>
      <c r="MR25" s="132"/>
      <c r="MS25" s="132"/>
      <c r="MT25" s="132"/>
      <c r="MU25" s="132"/>
      <c r="MV25" s="132"/>
      <c r="MW25" s="132"/>
      <c r="MX25" s="132"/>
      <c r="MY25" s="132"/>
      <c r="NB25" s="135"/>
      <c r="NC25" s="135"/>
      <c r="ND25" s="135"/>
      <c r="NE25" s="135"/>
      <c r="NF25" s="135"/>
      <c r="NL25" s="132"/>
      <c r="NM25" s="132"/>
      <c r="NN25" s="132"/>
      <c r="NO25" s="132"/>
      <c r="NP25" s="132"/>
      <c r="NV25" s="129">
        <v>1</v>
      </c>
      <c r="NW25" s="129">
        <v>1</v>
      </c>
      <c r="NX25" s="129">
        <v>1</v>
      </c>
      <c r="OB25" s="129">
        <v>1</v>
      </c>
      <c r="OC25" s="129">
        <v>1</v>
      </c>
      <c r="OD25" s="129">
        <v>1</v>
      </c>
      <c r="OI25" s="129">
        <v>1</v>
      </c>
      <c r="OJ25" s="129">
        <v>0</v>
      </c>
      <c r="OK25" s="129">
        <v>0</v>
      </c>
      <c r="OL25" s="129">
        <v>1</v>
      </c>
      <c r="OM25" s="129">
        <v>0</v>
      </c>
      <c r="ON25" s="129">
        <v>0</v>
      </c>
      <c r="RQ25" s="134"/>
      <c r="RR25" s="134"/>
      <c r="RS25" s="134"/>
      <c r="RT25" s="134"/>
      <c r="TD25" s="133"/>
      <c r="TE25" s="132"/>
      <c r="TF25" s="132"/>
      <c r="TX25" s="132"/>
      <c r="TY25" s="132"/>
      <c r="TZ25" s="132"/>
      <c r="VL25" s="132"/>
      <c r="VM25" s="132"/>
      <c r="VN25" s="132"/>
      <c r="VO25" s="132"/>
      <c r="VR25" s="131"/>
      <c r="VS25" s="131"/>
      <c r="VT25" s="131"/>
      <c r="VU25" s="131"/>
      <c r="VV25" s="131"/>
      <c r="VW25" s="131"/>
      <c r="VX25" s="131"/>
      <c r="VY25" s="131"/>
      <c r="VZ25" s="131"/>
      <c r="WA25" s="131"/>
      <c r="WB25" s="131"/>
      <c r="WC25" s="131"/>
      <c r="WD25" s="131"/>
      <c r="WE25" s="131"/>
      <c r="WF25" s="131"/>
      <c r="WG25" s="131"/>
      <c r="WH25" s="131"/>
      <c r="WI25" s="131"/>
      <c r="WJ25" s="131"/>
      <c r="WK25" s="131"/>
      <c r="WL25" s="131"/>
      <c r="WM25" s="131"/>
      <c r="WN25" s="131"/>
      <c r="WO25" s="131"/>
      <c r="WP25" s="131"/>
      <c r="WQ25" s="131"/>
      <c r="WR25" s="131"/>
      <c r="WS25" s="131"/>
      <c r="WT25" s="131"/>
      <c r="WU25" s="131"/>
      <c r="WV25" s="131"/>
      <c r="WW25" s="131"/>
      <c r="WX25" s="131"/>
      <c r="WY25" s="131"/>
      <c r="WZ25" s="131"/>
      <c r="XA25" s="131"/>
      <c r="XB25" s="131"/>
      <c r="XC25" s="131"/>
      <c r="XD25" s="131"/>
      <c r="XE25" s="131"/>
      <c r="XF25" s="131"/>
      <c r="XG25" s="131"/>
      <c r="XH25" s="131"/>
      <c r="XI25" s="131"/>
      <c r="XJ25" s="131"/>
      <c r="XK25" s="131"/>
      <c r="XL25" s="131"/>
      <c r="XM25" s="131"/>
      <c r="XN25" s="131"/>
      <c r="XO25" s="131"/>
      <c r="XP25" s="131"/>
      <c r="XQ25" s="131"/>
      <c r="XR25" s="131"/>
      <c r="XS25" s="131"/>
      <c r="XT25" s="131"/>
      <c r="XU25" s="131"/>
      <c r="XV25" s="131"/>
      <c r="XW25" s="131"/>
      <c r="XX25" s="131"/>
      <c r="XY25" s="131"/>
      <c r="XZ25" s="131"/>
      <c r="YA25" s="131"/>
      <c r="YB25" s="131"/>
      <c r="YC25" s="131"/>
      <c r="YD25" s="131"/>
      <c r="YE25" s="131"/>
      <c r="YF25" s="131"/>
      <c r="YG25" s="131"/>
      <c r="YH25" s="131"/>
      <c r="YI25" s="131"/>
      <c r="YJ25" s="131"/>
      <c r="YK25" s="131"/>
      <c r="YL25" s="131"/>
      <c r="YM25" s="131"/>
      <c r="YN25" s="131"/>
      <c r="YO25" s="131"/>
      <c r="YP25" s="131"/>
      <c r="YQ25" s="131"/>
      <c r="YR25" s="131"/>
      <c r="YS25" s="131"/>
      <c r="YT25" s="131"/>
      <c r="YU25" s="131"/>
      <c r="YV25" s="131"/>
      <c r="YW25" s="131"/>
      <c r="YX25" s="131"/>
      <c r="YY25" s="131"/>
      <c r="YZ25" s="131"/>
      <c r="ZA25" s="131"/>
      <c r="ZB25" s="131"/>
      <c r="ZC25" s="131"/>
      <c r="ZD25" s="131"/>
      <c r="ZE25" s="131"/>
      <c r="ZF25" s="131"/>
      <c r="ZG25" s="131"/>
      <c r="ZH25" s="131"/>
      <c r="ZI25" s="131"/>
      <c r="ZJ25" s="131"/>
      <c r="ZK25" s="131"/>
      <c r="ZL25" s="131"/>
      <c r="ZM25" s="131"/>
      <c r="ZN25" s="131"/>
      <c r="ZO25" s="131"/>
      <c r="ZP25" s="131"/>
      <c r="ZQ25" s="131"/>
      <c r="ZR25" s="131"/>
      <c r="ZS25" s="131"/>
      <c r="ZT25" s="131"/>
      <c r="ZU25" s="131"/>
      <c r="ZV25" s="131"/>
      <c r="ZW25" s="131"/>
      <c r="ZX25" s="131"/>
      <c r="ZY25" s="131"/>
      <c r="ZZ25" s="131"/>
      <c r="AAA25" s="131"/>
      <c r="AAB25" s="131"/>
      <c r="AAC25" s="131"/>
      <c r="AAD25" s="131"/>
      <c r="AAE25" s="131"/>
      <c r="AAF25" s="131"/>
      <c r="AAG25" s="131"/>
      <c r="AAH25" s="131"/>
      <c r="AAJ25" s="131"/>
      <c r="AAK25" s="131"/>
      <c r="AAL25" s="131"/>
      <c r="AAM25" s="131"/>
      <c r="AAN25" s="131"/>
      <c r="AAO25" s="131"/>
      <c r="AAP25" s="131"/>
      <c r="AAQ25" s="131"/>
      <c r="AAR25" s="131"/>
      <c r="AAS25" s="131"/>
      <c r="AAT25" s="131"/>
      <c r="AAU25" s="131"/>
      <c r="AAV25" s="131"/>
      <c r="AAW25" s="131"/>
      <c r="AAX25" s="131"/>
      <c r="AAY25" s="131"/>
      <c r="AAZ25" s="131"/>
      <c r="ABA25" s="131"/>
      <c r="ABB25" s="131"/>
      <c r="ABC25" s="131"/>
      <c r="ABD25" s="131"/>
      <c r="ABE25" s="131"/>
      <c r="ABF25" s="131"/>
      <c r="ABG25" s="131"/>
      <c r="ABH25" s="131"/>
      <c r="ABI25" s="131"/>
      <c r="ABJ25" s="131"/>
      <c r="ABK25" s="131"/>
      <c r="ABL25" s="131"/>
      <c r="ABM25" s="131"/>
      <c r="ABN25" s="131"/>
      <c r="ABO25" s="131"/>
      <c r="ABP25" s="131"/>
      <c r="ABQ25" s="131"/>
      <c r="ABR25" s="131"/>
      <c r="ABS25" s="131"/>
      <c r="ABT25" s="131"/>
      <c r="ABU25" s="131"/>
      <c r="ABV25" s="131"/>
      <c r="ABW25" s="131"/>
      <c r="ABX25" s="131"/>
      <c r="ABY25" s="131"/>
      <c r="ABZ25" s="131"/>
      <c r="ACA25" s="131"/>
      <c r="ACB25" s="131"/>
      <c r="ACC25" s="131"/>
      <c r="ACD25" s="131"/>
      <c r="ACE25" s="131"/>
      <c r="ACF25" s="131"/>
      <c r="ACG25" s="131"/>
      <c r="ACH25" s="131"/>
      <c r="ACI25" s="131"/>
      <c r="ACJ25" s="131"/>
      <c r="ACK25" s="131"/>
      <c r="ACL25" s="131"/>
      <c r="ACM25" s="131"/>
      <c r="ACN25" s="131"/>
      <c r="ACO25" s="131"/>
      <c r="ACP25" s="131"/>
      <c r="ACQ25" s="131"/>
      <c r="ACR25" s="131"/>
      <c r="ACS25" s="131"/>
      <c r="ACT25" s="131"/>
      <c r="ACU25" s="131"/>
      <c r="ACV25" s="131"/>
      <c r="ACW25" s="131"/>
      <c r="ACX25" s="131"/>
      <c r="ACY25" s="131"/>
      <c r="ACZ25" s="131"/>
      <c r="ADA25" s="131"/>
      <c r="ADB25" s="131"/>
      <c r="ADC25" s="131"/>
      <c r="ADD25" s="131"/>
      <c r="ADE25" s="131"/>
      <c r="ADF25" s="131"/>
      <c r="ADG25" s="131"/>
      <c r="ADH25" s="131"/>
      <c r="ADI25" s="131"/>
      <c r="ADJ25" s="131"/>
      <c r="ADK25" s="131"/>
      <c r="ADL25" s="131"/>
      <c r="ADM25" s="131"/>
      <c r="ADN25" s="131"/>
      <c r="ADO25" s="131"/>
      <c r="ADP25" s="131"/>
      <c r="ADQ25" s="131"/>
      <c r="ADR25" s="131"/>
      <c r="ADS25" s="131"/>
      <c r="ADT25" s="131"/>
      <c r="ADU25" s="131"/>
      <c r="ADV25" s="131"/>
      <c r="ADW25" s="131"/>
      <c r="ADX25" s="131"/>
      <c r="ADY25" s="131"/>
      <c r="ADZ25" s="131"/>
      <c r="AEA25" s="131"/>
      <c r="AEB25" s="131"/>
      <c r="AEC25" s="131"/>
      <c r="AED25" s="131"/>
      <c r="AEE25" s="131"/>
      <c r="AEF25" s="131"/>
      <c r="AEG25" s="131"/>
      <c r="AEH25" s="131"/>
      <c r="AEI25" s="131"/>
      <c r="AEJ25" s="131"/>
      <c r="AEK25" s="131"/>
      <c r="AEL25" s="131"/>
      <c r="AEM25" s="131"/>
      <c r="AEN25" s="131"/>
      <c r="AEO25" s="131"/>
      <c r="AEP25" s="131"/>
      <c r="AEQ25" s="131"/>
      <c r="AER25" s="131"/>
      <c r="AES25" s="131"/>
      <c r="AET25" s="131"/>
      <c r="AEU25" s="131"/>
      <c r="AEV25" s="131"/>
      <c r="AEW25" s="131"/>
      <c r="AEX25" s="131"/>
      <c r="AEY25" s="131"/>
      <c r="AEZ25" s="131"/>
      <c r="AFA25" s="131"/>
      <c r="AFB25" s="131"/>
      <c r="AFC25" s="131"/>
      <c r="AFD25" s="131"/>
      <c r="AFE25" s="131"/>
      <c r="AFF25" s="131"/>
      <c r="AFG25" s="131"/>
      <c r="AFH25" s="131"/>
      <c r="AFI25" s="131"/>
      <c r="AFJ25" s="131"/>
      <c r="AFK25" s="131"/>
      <c r="APO25" s="130"/>
      <c r="APP25" s="130"/>
      <c r="APQ25" s="130"/>
      <c r="APR25" s="130"/>
      <c r="APS25" s="130"/>
      <c r="APT25" s="130"/>
      <c r="APU25" s="130"/>
      <c r="APV25" s="130"/>
      <c r="APW25" s="130"/>
      <c r="APX25" s="130"/>
      <c r="APY25" s="130"/>
      <c r="APZ25" s="130"/>
      <c r="AQA25" s="130"/>
      <c r="AQB25" s="130"/>
      <c r="AQC25" s="130"/>
      <c r="AQD25" s="130"/>
      <c r="AQE25" s="130"/>
      <c r="AQF25" s="130"/>
      <c r="AQG25" s="130"/>
      <c r="AQH25" s="130"/>
      <c r="AQI25" s="130"/>
      <c r="AQJ25" s="130"/>
      <c r="AQK25" s="130"/>
      <c r="AQL25" s="130"/>
      <c r="AQM25" s="130"/>
      <c r="AQN25" s="130"/>
      <c r="AQO25" s="130"/>
      <c r="AQP25" s="130"/>
      <c r="AQQ25" s="130"/>
      <c r="AQR25" s="130"/>
      <c r="AQS25" s="130"/>
      <c r="AQT25" s="130"/>
      <c r="AQU25" s="130"/>
      <c r="AQV25" s="130"/>
      <c r="AQW25" s="130"/>
      <c r="AQX25" s="130"/>
      <c r="AQY25" s="130"/>
      <c r="AQZ25" s="130"/>
      <c r="ARA25" s="130"/>
      <c r="ARB25" s="130"/>
      <c r="ARC25" s="130"/>
      <c r="ARD25" s="130"/>
      <c r="ARE25" s="130"/>
      <c r="ARF25" s="130"/>
      <c r="ARG25" s="130"/>
      <c r="ARH25" s="130"/>
      <c r="ARI25" s="130"/>
      <c r="ARJ25" s="130"/>
      <c r="ARK25" s="130"/>
      <c r="ARL25" s="130"/>
      <c r="ARM25" s="130"/>
      <c r="ARN25" s="130"/>
      <c r="ARO25" s="130"/>
      <c r="ARP25" s="130"/>
      <c r="ARQ25" s="130"/>
      <c r="ARR25" s="130"/>
      <c r="ARS25" s="130"/>
      <c r="ART25" s="130"/>
      <c r="ARU25" s="130"/>
      <c r="ARV25" s="130"/>
      <c r="ARW25" s="130"/>
      <c r="ARX25" s="130"/>
      <c r="ARY25" s="130"/>
      <c r="ARZ25" s="130"/>
      <c r="ASA25" s="130"/>
      <c r="ASB25" s="130"/>
      <c r="ASC25" s="130"/>
      <c r="ASD25" s="130"/>
      <c r="ASE25" s="130"/>
      <c r="ASF25" s="130"/>
      <c r="ASG25" s="130"/>
      <c r="ASH25" s="130"/>
      <c r="ASI25" s="130"/>
      <c r="ASJ25" s="130"/>
      <c r="ASK25" s="130"/>
      <c r="ASL25" s="130"/>
      <c r="ASM25" s="130"/>
      <c r="ASN25" s="130"/>
      <c r="ASO25" s="130"/>
      <c r="ASP25" s="130"/>
      <c r="ASQ25" s="130"/>
      <c r="ASR25" s="130"/>
      <c r="ASS25" s="130"/>
      <c r="AST25" s="130"/>
      <c r="ASU25" s="130"/>
      <c r="ASV25" s="130"/>
      <c r="ASW25" s="130"/>
    </row>
    <row r="26" spans="1:1296" ht="38.25" outlineLevel="1">
      <c r="A26" s="158" t="s">
        <v>217</v>
      </c>
      <c r="B26" s="159" t="s">
        <v>230</v>
      </c>
      <c r="C26" s="139" t="s">
        <v>231</v>
      </c>
      <c r="D26" s="139" t="s">
        <v>232</v>
      </c>
      <c r="E26" s="158">
        <v>236</v>
      </c>
      <c r="G26" s="136" t="s">
        <v>11</v>
      </c>
      <c r="H26" s="136" t="s">
        <v>366</v>
      </c>
      <c r="I26" s="136" t="s">
        <v>366</v>
      </c>
      <c r="J26" s="136" t="s">
        <v>366</v>
      </c>
      <c r="K26" s="136" t="s">
        <v>366</v>
      </c>
      <c r="L26" s="136" t="s">
        <v>366</v>
      </c>
      <c r="N26" s="136" t="s">
        <v>366</v>
      </c>
      <c r="V26" s="129"/>
      <c r="W26" s="129"/>
      <c r="X26" s="129"/>
      <c r="Y26" s="129"/>
      <c r="Z26" s="129"/>
      <c r="AB26" s="129"/>
      <c r="AC26" s="129"/>
      <c r="AD26" s="129"/>
      <c r="AE26" s="129"/>
      <c r="AF26" s="129"/>
      <c r="AK26" s="129"/>
      <c r="AM26" s="129"/>
      <c r="AN26" s="129"/>
      <c r="AO26" s="129"/>
      <c r="AP26" s="129"/>
      <c r="AQ26" s="129"/>
      <c r="AR26" s="129"/>
      <c r="AS26" s="129"/>
      <c r="AT26" s="129"/>
      <c r="AU26" s="129"/>
      <c r="AV26" s="129"/>
      <c r="AW26" s="129"/>
      <c r="BB26" s="128"/>
      <c r="BC26" s="128"/>
      <c r="BP26" s="128"/>
      <c r="BX26" s="129"/>
      <c r="BY26" s="129"/>
      <c r="BZ26" s="129"/>
      <c r="CA26" s="129"/>
      <c r="CC26" s="129"/>
      <c r="CD26" s="129"/>
      <c r="CE26" s="129"/>
      <c r="CF26" s="129"/>
      <c r="CG26" s="129"/>
      <c r="CH26" s="129"/>
      <c r="CI26" s="129"/>
      <c r="CJ26" s="129"/>
      <c r="CK26" s="129"/>
      <c r="CL26" s="129"/>
      <c r="CM26" s="129"/>
      <c r="CN26" s="129"/>
      <c r="CO26" s="129"/>
      <c r="CP26" s="129"/>
      <c r="CQ26" s="129"/>
      <c r="CR26" s="129"/>
      <c r="CS26" s="129"/>
      <c r="CU26" s="129"/>
      <c r="CV26" s="129"/>
      <c r="CW26" s="129"/>
      <c r="CX26" s="129"/>
      <c r="CY26" s="129"/>
      <c r="DA26" s="129"/>
      <c r="DB26" s="129"/>
      <c r="DC26" s="129"/>
      <c r="DD26" s="129"/>
      <c r="DE26" s="129"/>
      <c r="DG26" s="129"/>
      <c r="DH26" s="129"/>
      <c r="DJ26" s="129"/>
      <c r="DK26" s="129"/>
      <c r="DL26" s="129"/>
      <c r="DM26" s="129"/>
      <c r="DN26" s="129"/>
      <c r="DP26" s="129"/>
      <c r="DQ26" s="129"/>
      <c r="DR26" s="129"/>
      <c r="DS26" s="129"/>
      <c r="DT26" s="129"/>
      <c r="DU26" s="129"/>
      <c r="DV26" s="129"/>
      <c r="DW26" s="166"/>
      <c r="DX26" s="129"/>
      <c r="DY26" s="129"/>
      <c r="DZ26" s="129"/>
      <c r="EA26" s="129"/>
      <c r="EB26" s="129"/>
      <c r="EC26" s="129"/>
      <c r="ED26" s="129"/>
      <c r="EF26" s="129"/>
      <c r="EG26" s="129"/>
      <c r="EH26" s="129"/>
      <c r="EI26" s="129"/>
      <c r="EJ26" s="129"/>
      <c r="EL26" s="129"/>
      <c r="EM26" s="129"/>
      <c r="EN26" s="129"/>
      <c r="EO26" s="129"/>
      <c r="EP26" s="129"/>
      <c r="EQ26" s="129"/>
      <c r="ER26" s="129"/>
      <c r="ES26" s="129"/>
      <c r="ET26" s="129"/>
      <c r="EU26" s="129"/>
      <c r="EV26" s="129"/>
      <c r="EW26" s="129"/>
      <c r="EX26" s="129"/>
      <c r="EY26" s="129"/>
      <c r="EZ26" s="129"/>
      <c r="FA26" s="129"/>
      <c r="FB26" s="129"/>
      <c r="FD26" s="129"/>
      <c r="FE26" s="129"/>
      <c r="FF26" s="129"/>
      <c r="FG26" s="129"/>
      <c r="FH26" s="129"/>
      <c r="FJ26" s="129"/>
      <c r="FK26" s="129"/>
      <c r="FL26" s="129"/>
      <c r="FM26" s="129"/>
      <c r="FN26" s="129"/>
      <c r="FQ26" s="129"/>
      <c r="FR26" s="129"/>
      <c r="FS26" s="129"/>
      <c r="FT26" s="129"/>
      <c r="FU26" s="129"/>
      <c r="FW26" s="129"/>
      <c r="FX26" s="129"/>
      <c r="FY26" s="129"/>
      <c r="FZ26" s="129"/>
      <c r="GA26" s="129"/>
      <c r="GC26" s="129"/>
      <c r="GD26" s="129"/>
      <c r="GE26" s="129"/>
      <c r="GF26" s="129"/>
      <c r="GG26" s="129"/>
      <c r="GI26" s="129"/>
      <c r="GJ26" s="129"/>
      <c r="GK26" s="129"/>
      <c r="GL26" s="129"/>
      <c r="GM26" s="129"/>
      <c r="GO26" s="129"/>
      <c r="GP26" s="129"/>
      <c r="GQ26" s="129"/>
      <c r="GT26" s="128"/>
      <c r="GZ26" s="128"/>
      <c r="HJ26" s="128"/>
      <c r="HU26" s="128"/>
      <c r="IA26" s="128"/>
      <c r="IG26" s="128"/>
      <c r="IM26" s="128"/>
      <c r="IO26" s="128"/>
      <c r="IS26" s="128"/>
      <c r="IY26" s="128"/>
      <c r="JE26" s="128"/>
      <c r="JK26" s="128"/>
      <c r="JQ26" s="128"/>
      <c r="JW26" s="128"/>
      <c r="KC26" s="128"/>
      <c r="KI26" s="128"/>
      <c r="KO26" s="128"/>
      <c r="KU26" s="128"/>
      <c r="LA26" s="128"/>
      <c r="LG26" s="128"/>
      <c r="LK26" s="129"/>
      <c r="LL26" s="128"/>
      <c r="LM26" s="128"/>
      <c r="LN26" s="128"/>
      <c r="LO26" s="128"/>
      <c r="LP26" s="128"/>
      <c r="LQ26" s="128"/>
      <c r="LR26" s="128"/>
      <c r="LS26" s="128"/>
      <c r="LT26" s="128"/>
      <c r="LU26" s="128"/>
      <c r="LV26" s="128"/>
      <c r="LW26" s="128"/>
      <c r="LX26" s="128"/>
      <c r="LY26" s="128"/>
      <c r="LZ26" s="128"/>
      <c r="MA26" s="128"/>
      <c r="MB26" s="128"/>
      <c r="MC26" s="128"/>
      <c r="MD26" s="128"/>
      <c r="ME26" s="128"/>
      <c r="MF26" s="128"/>
      <c r="MG26" s="128"/>
      <c r="MH26" s="128"/>
      <c r="MI26" s="128"/>
      <c r="MJ26" s="128"/>
      <c r="MK26" s="128"/>
      <c r="ML26" s="128"/>
      <c r="MM26" s="128"/>
      <c r="MN26" s="128"/>
      <c r="MO26" s="128"/>
      <c r="MP26" s="128"/>
      <c r="MQ26" s="128"/>
      <c r="MR26" s="128"/>
      <c r="MS26" s="128"/>
      <c r="MT26" s="128"/>
      <c r="MU26" s="128"/>
      <c r="MV26" s="128"/>
      <c r="MW26" s="128"/>
      <c r="MX26" s="128"/>
      <c r="MY26" s="128"/>
      <c r="MZ26" s="128"/>
      <c r="NA26" s="128"/>
      <c r="NB26" s="128"/>
      <c r="NC26" s="128"/>
      <c r="ND26" s="128"/>
      <c r="NE26" s="128"/>
      <c r="NF26" s="128"/>
      <c r="NG26" s="128"/>
      <c r="NH26" s="128"/>
      <c r="NI26" s="128"/>
      <c r="NJ26" s="128"/>
      <c r="NK26" s="128"/>
      <c r="NL26" s="128"/>
      <c r="NM26" s="128"/>
      <c r="NN26" s="128"/>
      <c r="NO26" s="128"/>
      <c r="NP26" s="128"/>
      <c r="NQ26" s="128"/>
      <c r="OQ26" s="128"/>
      <c r="OR26" s="128"/>
      <c r="OS26" s="128"/>
      <c r="OT26" s="128"/>
      <c r="OU26" s="128"/>
      <c r="OV26" s="128"/>
      <c r="OW26" s="128"/>
      <c r="OX26" s="128"/>
      <c r="OY26" s="128"/>
      <c r="OZ26" s="128"/>
      <c r="PA26" s="128"/>
      <c r="PB26" s="128"/>
      <c r="PC26" s="128"/>
      <c r="PD26" s="128"/>
      <c r="PE26" s="128"/>
      <c r="PF26" s="128"/>
      <c r="PG26" s="128"/>
      <c r="PH26" s="128"/>
      <c r="PI26" s="128"/>
      <c r="PJ26" s="128"/>
      <c r="PK26" s="128"/>
      <c r="PL26" s="128"/>
      <c r="PM26" s="128"/>
      <c r="PN26" s="128"/>
      <c r="PO26" s="128"/>
      <c r="PP26" s="128"/>
      <c r="PQ26" s="128"/>
      <c r="PR26" s="128"/>
      <c r="PS26" s="128"/>
      <c r="PT26" s="128"/>
      <c r="PU26" s="128"/>
      <c r="PV26" s="128"/>
      <c r="PW26" s="128"/>
      <c r="PX26" s="128"/>
      <c r="PY26" s="128"/>
      <c r="PZ26" s="128"/>
      <c r="QA26" s="128"/>
      <c r="QB26" s="128"/>
      <c r="QC26" s="128"/>
      <c r="QD26" s="128"/>
      <c r="QE26" s="128"/>
      <c r="QF26" s="128"/>
      <c r="QG26" s="128"/>
      <c r="QH26" s="128"/>
      <c r="QI26" s="128"/>
      <c r="QJ26" s="128"/>
      <c r="QK26" s="128"/>
      <c r="QL26" s="128"/>
      <c r="QM26" s="128"/>
      <c r="QN26" s="128"/>
      <c r="QO26" s="128"/>
      <c r="QP26" s="128"/>
      <c r="QQ26" s="128"/>
      <c r="QR26" s="128"/>
      <c r="QS26" s="128"/>
      <c r="QT26" s="128"/>
      <c r="QU26" s="128"/>
      <c r="QV26" s="128"/>
      <c r="QW26" s="128"/>
      <c r="QX26" s="128"/>
      <c r="QZ26" s="128"/>
      <c r="RA26" s="128"/>
      <c r="RB26" s="128"/>
      <c r="RC26" s="128"/>
      <c r="RD26" s="128"/>
      <c r="RE26" s="128"/>
      <c r="RF26" s="128"/>
      <c r="RG26" s="128"/>
      <c r="RH26" s="128"/>
      <c r="RI26" s="128"/>
      <c r="RJ26" s="128"/>
      <c r="RK26" s="128"/>
      <c r="RL26" s="128"/>
      <c r="RM26" s="128"/>
      <c r="RN26" s="128"/>
      <c r="RO26" s="128"/>
      <c r="RP26" s="128"/>
      <c r="RQ26" s="128"/>
      <c r="RR26" s="128"/>
      <c r="RS26" s="128"/>
      <c r="RT26" s="128"/>
      <c r="RU26" s="128"/>
      <c r="RV26" s="128"/>
      <c r="RW26" s="128"/>
      <c r="RX26" s="128"/>
      <c r="RY26" s="128"/>
      <c r="RZ26" s="128"/>
      <c r="SA26" s="128"/>
      <c r="SB26" s="128"/>
      <c r="SC26" s="128"/>
      <c r="SD26" s="128"/>
      <c r="SE26" s="128"/>
      <c r="SF26" s="128"/>
      <c r="SG26" s="128"/>
      <c r="SH26" s="128"/>
      <c r="SI26" s="128"/>
      <c r="SJ26" s="128"/>
      <c r="SK26" s="128"/>
      <c r="SL26" s="128"/>
      <c r="SM26" s="128"/>
      <c r="SN26" s="128"/>
      <c r="SO26" s="128"/>
      <c r="SP26" s="128"/>
      <c r="SQ26" s="128"/>
      <c r="SR26" s="128"/>
      <c r="SS26" s="128"/>
      <c r="ST26" s="128"/>
      <c r="SU26" s="128"/>
      <c r="SV26" s="128"/>
      <c r="SW26" s="128"/>
      <c r="SX26" s="128"/>
      <c r="SY26" s="128"/>
      <c r="SZ26" s="128"/>
      <c r="TA26" s="128"/>
      <c r="TB26" s="128"/>
      <c r="TC26" s="128"/>
      <c r="TD26" s="129"/>
      <c r="TE26" s="128"/>
      <c r="TF26" s="128"/>
      <c r="TG26" s="128"/>
      <c r="TH26" s="128"/>
      <c r="TI26" s="128"/>
      <c r="TJ26" s="128"/>
      <c r="TK26" s="128"/>
      <c r="TL26" s="128"/>
      <c r="TM26" s="128"/>
      <c r="TN26" s="128"/>
      <c r="TO26" s="128"/>
      <c r="TP26" s="128"/>
      <c r="TQ26" s="128"/>
      <c r="TR26" s="128"/>
      <c r="TS26" s="128"/>
      <c r="TT26" s="128"/>
      <c r="TU26" s="128"/>
      <c r="TV26" s="128"/>
      <c r="TW26" s="128"/>
      <c r="TX26" s="129"/>
      <c r="TY26" s="128"/>
      <c r="TZ26" s="128"/>
      <c r="UA26" s="128"/>
      <c r="UB26" s="128"/>
      <c r="UC26" s="128"/>
      <c r="UD26" s="128"/>
      <c r="UE26" s="128"/>
      <c r="UF26" s="128"/>
      <c r="UG26" s="128"/>
      <c r="UH26" s="128"/>
      <c r="UI26" s="128"/>
      <c r="UL26" s="128"/>
      <c r="UM26" s="128"/>
      <c r="UN26" s="128"/>
      <c r="UO26" s="128"/>
      <c r="UP26" s="128"/>
      <c r="UQ26" s="128"/>
      <c r="UR26" s="128"/>
      <c r="US26" s="128"/>
      <c r="UT26" s="128"/>
      <c r="UU26" s="128"/>
      <c r="UV26" s="128"/>
      <c r="UW26" s="128"/>
      <c r="UX26" s="128"/>
      <c r="UY26" s="128"/>
      <c r="UZ26" s="128"/>
      <c r="VA26" s="128"/>
      <c r="VB26" s="128"/>
      <c r="VC26" s="128"/>
      <c r="VD26" s="128"/>
      <c r="VE26" s="128"/>
      <c r="VF26" s="128"/>
      <c r="VG26" s="128"/>
      <c r="VH26" s="128"/>
      <c r="VI26" s="128"/>
      <c r="VJ26" s="128"/>
      <c r="VL26" s="128"/>
      <c r="VM26" s="128"/>
      <c r="VN26" s="128"/>
      <c r="VO26" s="128"/>
      <c r="VR26" s="128"/>
      <c r="VS26" s="128"/>
      <c r="VT26" s="128"/>
      <c r="VU26" s="128"/>
      <c r="VV26" s="128"/>
      <c r="VW26" s="128"/>
      <c r="VX26" s="128"/>
      <c r="VY26" s="128"/>
      <c r="VZ26" s="128"/>
      <c r="WA26" s="128"/>
      <c r="WB26" s="128"/>
      <c r="WC26" s="128"/>
      <c r="WD26" s="128"/>
      <c r="WE26" s="128"/>
      <c r="WF26" s="128"/>
      <c r="WG26" s="128"/>
      <c r="WH26" s="128"/>
      <c r="WI26" s="128"/>
      <c r="WJ26" s="128"/>
      <c r="WK26" s="128"/>
      <c r="WL26" s="128"/>
      <c r="WM26" s="128"/>
      <c r="WN26" s="128"/>
      <c r="WO26" s="128"/>
      <c r="WP26" s="128"/>
      <c r="WQ26" s="128"/>
      <c r="WR26" s="128"/>
      <c r="WS26" s="128"/>
      <c r="WT26" s="128"/>
      <c r="WU26" s="128"/>
      <c r="WV26" s="128"/>
      <c r="WW26" s="128"/>
      <c r="WX26" s="128"/>
      <c r="WY26" s="128"/>
      <c r="WZ26" s="128"/>
      <c r="XA26" s="128"/>
      <c r="XB26" s="128"/>
      <c r="XC26" s="128"/>
      <c r="XD26" s="128"/>
      <c r="XE26" s="128"/>
      <c r="XF26" s="128"/>
      <c r="XG26" s="128"/>
      <c r="XH26" s="128"/>
      <c r="XI26" s="128"/>
      <c r="XJ26" s="128"/>
      <c r="XK26" s="128"/>
      <c r="XL26" s="128"/>
      <c r="XM26" s="128"/>
      <c r="XN26" s="128"/>
      <c r="XO26" s="128"/>
      <c r="XP26" s="128"/>
      <c r="XQ26" s="128"/>
      <c r="XR26" s="128"/>
      <c r="XS26" s="128"/>
      <c r="XT26" s="128"/>
      <c r="XU26" s="128"/>
      <c r="XV26" s="128"/>
      <c r="XW26" s="128"/>
      <c r="XX26" s="128"/>
      <c r="XY26" s="128"/>
      <c r="XZ26" s="128"/>
      <c r="YA26" s="128"/>
      <c r="YB26" s="128"/>
      <c r="YC26" s="128"/>
      <c r="YD26" s="128"/>
      <c r="YE26" s="128"/>
      <c r="YF26" s="128"/>
      <c r="YG26" s="128"/>
      <c r="YH26" s="128"/>
      <c r="YI26" s="128"/>
      <c r="YJ26" s="128"/>
      <c r="YK26" s="128"/>
      <c r="YL26" s="128"/>
      <c r="YM26" s="128"/>
      <c r="YN26" s="128"/>
      <c r="YO26" s="128"/>
      <c r="YP26" s="128"/>
      <c r="YQ26" s="128"/>
      <c r="YR26" s="128"/>
      <c r="YS26" s="128"/>
      <c r="YT26" s="128"/>
      <c r="YU26" s="128"/>
      <c r="YV26" s="128"/>
      <c r="YW26" s="128"/>
      <c r="YX26" s="128"/>
      <c r="YY26" s="128"/>
      <c r="YZ26" s="128"/>
      <c r="ZA26" s="128"/>
      <c r="ZB26" s="128"/>
      <c r="ZC26" s="128"/>
      <c r="ZD26" s="128"/>
      <c r="ZE26" s="128"/>
      <c r="ZF26" s="128"/>
      <c r="ZG26" s="128"/>
      <c r="ZH26" s="128"/>
      <c r="ZI26" s="128"/>
      <c r="ZJ26" s="128"/>
      <c r="ZK26" s="128"/>
      <c r="ZL26" s="128"/>
      <c r="ZM26" s="128"/>
      <c r="ZN26" s="128"/>
      <c r="ZO26" s="128"/>
      <c r="ZP26" s="128"/>
      <c r="ZQ26" s="128"/>
      <c r="ZR26" s="128"/>
      <c r="ZS26" s="128"/>
      <c r="ZT26" s="128"/>
      <c r="ZU26" s="128"/>
      <c r="ZV26" s="128"/>
      <c r="ZW26" s="128"/>
      <c r="ZX26" s="128"/>
      <c r="ZY26" s="128"/>
      <c r="ZZ26" s="128"/>
      <c r="AAA26" s="128"/>
      <c r="AAB26" s="128"/>
      <c r="AAC26" s="128"/>
      <c r="AAD26" s="128"/>
      <c r="AAE26" s="128"/>
      <c r="AAF26" s="128"/>
      <c r="AAG26" s="128"/>
      <c r="AAH26" s="128"/>
      <c r="AAJ26" s="128"/>
      <c r="AAK26" s="128"/>
      <c r="AAL26" s="128"/>
      <c r="AAM26" s="128"/>
      <c r="AAN26" s="128"/>
      <c r="AAO26" s="128"/>
      <c r="AAP26" s="128"/>
      <c r="AAQ26" s="128"/>
      <c r="AAR26" s="128"/>
      <c r="AAS26" s="128"/>
      <c r="AAT26" s="128"/>
      <c r="AAU26" s="128"/>
      <c r="AAV26" s="128"/>
      <c r="AAW26" s="128"/>
      <c r="AAX26" s="128"/>
      <c r="AAY26" s="128"/>
      <c r="AAZ26" s="128"/>
      <c r="ABA26" s="128"/>
      <c r="ABB26" s="128"/>
      <c r="ABC26" s="128"/>
      <c r="ABD26" s="128"/>
      <c r="ABE26" s="128"/>
      <c r="ABF26" s="128"/>
      <c r="ABG26" s="128"/>
      <c r="ABH26" s="128"/>
      <c r="ABI26" s="128"/>
      <c r="ABJ26" s="128"/>
      <c r="ABK26" s="128"/>
      <c r="ABL26" s="128"/>
      <c r="ABM26" s="128"/>
      <c r="ABN26" s="128"/>
      <c r="ABO26" s="128"/>
      <c r="ABP26" s="128"/>
      <c r="ABQ26" s="128"/>
      <c r="ABR26" s="128"/>
      <c r="ABS26" s="128"/>
      <c r="ABT26" s="128"/>
      <c r="ABU26" s="128"/>
      <c r="ABV26" s="128"/>
      <c r="ABW26" s="128"/>
      <c r="ABX26" s="128"/>
      <c r="ABY26" s="128"/>
      <c r="ABZ26" s="128"/>
      <c r="ACA26" s="128"/>
      <c r="ACB26" s="128"/>
      <c r="ACC26" s="128"/>
      <c r="ACD26" s="128"/>
      <c r="ACE26" s="128"/>
      <c r="ACF26" s="128"/>
      <c r="ACG26" s="128"/>
      <c r="ACH26" s="128"/>
      <c r="ACI26" s="128"/>
      <c r="ACJ26" s="128"/>
      <c r="ACK26" s="128"/>
      <c r="ACL26" s="128"/>
      <c r="ACM26" s="128"/>
      <c r="ACN26" s="128"/>
      <c r="ACO26" s="128"/>
      <c r="ACP26" s="128"/>
      <c r="ACQ26" s="128"/>
      <c r="ACR26" s="128"/>
      <c r="ACS26" s="128"/>
      <c r="ACT26" s="128"/>
      <c r="ACU26" s="128"/>
      <c r="ACV26" s="128"/>
      <c r="ACW26" s="128"/>
      <c r="ACX26" s="128"/>
      <c r="ACY26" s="128"/>
      <c r="ACZ26" s="128"/>
      <c r="ADA26" s="128"/>
      <c r="ADB26" s="128"/>
      <c r="ADC26" s="128"/>
      <c r="ADD26" s="128"/>
      <c r="ADE26" s="128"/>
      <c r="ADF26" s="128"/>
      <c r="ADG26" s="128"/>
      <c r="ADH26" s="128"/>
      <c r="ADI26" s="128"/>
      <c r="ADJ26" s="128"/>
      <c r="ADK26" s="128"/>
      <c r="ADL26" s="128"/>
      <c r="ADM26" s="128"/>
      <c r="ADN26" s="128"/>
      <c r="ADO26" s="128"/>
      <c r="ADP26" s="128"/>
      <c r="ADQ26" s="128"/>
      <c r="ADR26" s="128"/>
      <c r="ADS26" s="128"/>
      <c r="ADT26" s="128"/>
      <c r="ADU26" s="128"/>
      <c r="ADV26" s="128"/>
      <c r="ADW26" s="128"/>
      <c r="ADX26" s="128"/>
      <c r="ADY26" s="128"/>
      <c r="ADZ26" s="128"/>
      <c r="AEA26" s="128"/>
      <c r="AEB26" s="128"/>
      <c r="AEC26" s="128"/>
      <c r="AED26" s="128"/>
      <c r="AEE26" s="128"/>
      <c r="AEF26" s="128"/>
      <c r="AEG26" s="128"/>
      <c r="AEH26" s="128"/>
      <c r="AEI26" s="128"/>
      <c r="AEJ26" s="128"/>
      <c r="AEK26" s="128"/>
      <c r="AEL26" s="128"/>
      <c r="AEM26" s="128"/>
      <c r="AEN26" s="128"/>
      <c r="AEO26" s="128"/>
      <c r="AEP26" s="128"/>
      <c r="AEQ26" s="128"/>
      <c r="AER26" s="128"/>
      <c r="AES26" s="128"/>
      <c r="AET26" s="128"/>
      <c r="AEU26" s="128"/>
      <c r="AEV26" s="128"/>
      <c r="AEW26" s="128"/>
      <c r="AEX26" s="128"/>
      <c r="AEY26" s="128"/>
      <c r="AEZ26" s="128"/>
      <c r="AFA26" s="128"/>
      <c r="AFB26" s="128"/>
      <c r="AFC26" s="128"/>
      <c r="AFD26" s="128"/>
      <c r="AFE26" s="128"/>
      <c r="AFF26" s="128"/>
      <c r="AFG26" s="128"/>
      <c r="AFH26" s="128"/>
      <c r="AFI26" s="128"/>
      <c r="AFJ26" s="128"/>
      <c r="AFK26" s="128"/>
      <c r="AFL26" s="128"/>
      <c r="AFN26" s="166"/>
      <c r="AFO26" s="166"/>
      <c r="AFP26" s="166"/>
      <c r="AFQ26" s="166"/>
      <c r="AFR26" s="166"/>
      <c r="AFS26" s="166"/>
      <c r="AFT26" s="166"/>
      <c r="AFU26" s="166"/>
      <c r="AFV26" s="166"/>
      <c r="AFW26" s="128"/>
      <c r="AFX26" s="166"/>
      <c r="AFY26" s="166"/>
      <c r="AFZ26" s="166"/>
      <c r="AGA26" s="166"/>
      <c r="AGB26" s="166"/>
      <c r="AGC26" s="166"/>
      <c r="AGD26" s="166"/>
      <c r="AGE26" s="166"/>
      <c r="AGF26" s="166"/>
      <c r="AGG26" s="166"/>
      <c r="AGH26" s="166"/>
      <c r="AGI26" s="166"/>
      <c r="AGJ26" s="166"/>
      <c r="AGK26" s="166"/>
      <c r="AGL26" s="166"/>
      <c r="AGM26" s="166"/>
      <c r="AGN26" s="166"/>
      <c r="AGO26" s="166"/>
      <c r="AGP26" s="166"/>
      <c r="AGQ26" s="166"/>
      <c r="AGR26" s="166"/>
      <c r="AGS26" s="166"/>
      <c r="AGT26" s="166"/>
      <c r="AGU26" s="166"/>
      <c r="AGV26" s="166"/>
      <c r="AGW26" s="166"/>
      <c r="AGX26" s="166"/>
      <c r="AGY26" s="166"/>
      <c r="AGZ26" s="166"/>
      <c r="AHA26" s="166"/>
      <c r="AHB26" s="128"/>
      <c r="AHC26" s="166"/>
      <c r="AHD26" s="166"/>
      <c r="AHE26" s="166"/>
      <c r="AHF26" s="166"/>
      <c r="AHG26" s="166"/>
      <c r="AHH26" s="166"/>
      <c r="AHI26" s="166"/>
      <c r="AHJ26" s="166"/>
      <c r="AHK26" s="166"/>
      <c r="AHL26" s="166"/>
      <c r="AHM26" s="166"/>
      <c r="AHN26" s="166"/>
      <c r="AHO26" s="166"/>
      <c r="AHP26" s="166"/>
      <c r="AHQ26" s="166"/>
      <c r="AHR26" s="166"/>
      <c r="AHS26" s="166"/>
      <c r="AHT26" s="166"/>
      <c r="AHU26" s="166"/>
      <c r="AHV26" s="166"/>
      <c r="AHW26" s="166"/>
      <c r="AHX26" s="166"/>
      <c r="AHY26" s="166"/>
      <c r="AHZ26" s="166"/>
      <c r="AIA26" s="166"/>
      <c r="AIB26" s="166"/>
      <c r="AIC26" s="166"/>
      <c r="AID26" s="166"/>
      <c r="AIE26" s="166"/>
      <c r="AIF26" s="166"/>
      <c r="AIG26" s="166"/>
      <c r="AIH26" s="166"/>
      <c r="AII26" s="128"/>
      <c r="AIJ26" s="166"/>
      <c r="AIK26" s="166"/>
      <c r="AIL26" s="166"/>
      <c r="AIM26" s="166"/>
      <c r="AIN26" s="166"/>
      <c r="AIO26" s="166"/>
      <c r="AIP26" s="166"/>
      <c r="AIQ26" s="166"/>
      <c r="AIR26" s="166"/>
      <c r="AIS26" s="166"/>
      <c r="AIT26" s="166"/>
      <c r="AIU26" s="166"/>
      <c r="AIV26" s="166"/>
      <c r="AIW26" s="166"/>
      <c r="AIX26" s="166"/>
      <c r="AIY26" s="166"/>
      <c r="AIZ26" s="166"/>
      <c r="AJA26" s="166"/>
      <c r="AJB26" s="166"/>
      <c r="AJC26" s="166"/>
      <c r="AJD26" s="166"/>
      <c r="AJE26" s="166"/>
      <c r="AJF26" s="166"/>
      <c r="AJG26" s="166"/>
      <c r="AJH26" s="166"/>
      <c r="AJI26" s="166"/>
      <c r="AJJ26" s="166"/>
      <c r="AJK26" s="166"/>
      <c r="AJL26" s="166"/>
      <c r="AJM26" s="166"/>
      <c r="AJN26" s="166"/>
      <c r="AJO26" s="166"/>
      <c r="AJP26" s="128"/>
      <c r="AJQ26" s="166"/>
      <c r="AJR26" s="166"/>
      <c r="AJS26" s="166"/>
      <c r="AJT26" s="166"/>
      <c r="AJU26" s="166"/>
      <c r="AJV26" s="166"/>
      <c r="AJW26" s="166"/>
      <c r="AJX26" s="166"/>
      <c r="AJY26" s="166"/>
      <c r="AJZ26" s="166"/>
      <c r="AKA26" s="166"/>
      <c r="AKB26" s="166"/>
      <c r="AKC26" s="166"/>
      <c r="AKD26" s="166"/>
      <c r="AKE26" s="166"/>
      <c r="AKF26" s="166"/>
      <c r="AKG26" s="166"/>
      <c r="AKH26" s="166"/>
      <c r="AKI26" s="166"/>
      <c r="AKJ26" s="166"/>
      <c r="AKK26" s="166"/>
      <c r="AKL26" s="166"/>
      <c r="AKM26" s="166"/>
      <c r="AKN26" s="166"/>
      <c r="AKO26" s="166"/>
      <c r="AKP26" s="166"/>
      <c r="AKQ26" s="166"/>
      <c r="AKR26" s="166"/>
      <c r="AKS26" s="166"/>
      <c r="AKT26" s="166"/>
      <c r="AKU26" s="166"/>
      <c r="AKV26" s="166"/>
      <c r="AKW26" s="128"/>
      <c r="AKX26" s="166"/>
      <c r="AKY26" s="166"/>
      <c r="AKZ26" s="166"/>
      <c r="ALA26" s="166"/>
      <c r="ALB26" s="166"/>
      <c r="ALC26" s="166"/>
      <c r="ALD26" s="166"/>
      <c r="ALE26" s="166"/>
      <c r="ALF26" s="166"/>
      <c r="ALG26" s="166"/>
      <c r="ALH26" s="166"/>
      <c r="ALI26" s="166"/>
      <c r="ALJ26" s="166"/>
      <c r="ALK26" s="166"/>
      <c r="ALL26" s="166"/>
      <c r="ALM26" s="166"/>
      <c r="ALN26" s="166"/>
      <c r="ALO26" s="166"/>
      <c r="ALP26" s="166"/>
      <c r="ALQ26" s="166"/>
      <c r="ALR26" s="166"/>
      <c r="ALS26" s="166"/>
      <c r="ALT26" s="166"/>
      <c r="ALU26" s="166"/>
      <c r="ALV26" s="166"/>
      <c r="ALW26" s="166"/>
      <c r="ALX26" s="166"/>
      <c r="ALY26" s="166"/>
      <c r="ALZ26" s="166"/>
      <c r="AMA26" s="166"/>
      <c r="AMB26" s="166"/>
      <c r="AMC26" s="166"/>
      <c r="AMD26" s="128"/>
      <c r="AME26" s="166"/>
      <c r="AMF26" s="166"/>
      <c r="AMG26" s="166"/>
      <c r="AMH26" s="166"/>
      <c r="AMI26" s="166"/>
      <c r="AMJ26" s="166"/>
      <c r="AMK26" s="166"/>
      <c r="AML26" s="166"/>
      <c r="AMM26" s="166"/>
      <c r="AMN26" s="166"/>
      <c r="AMO26" s="166"/>
      <c r="AMP26" s="166"/>
      <c r="AMQ26" s="166"/>
      <c r="AMR26" s="166"/>
      <c r="AMS26" s="166"/>
      <c r="AMT26" s="166"/>
      <c r="AMU26" s="166"/>
      <c r="AMV26" s="166"/>
      <c r="AMW26" s="166"/>
      <c r="AMX26" s="166"/>
      <c r="AMY26" s="166"/>
      <c r="AMZ26" s="166"/>
      <c r="ANA26" s="166"/>
      <c r="ANB26" s="166"/>
      <c r="ANC26" s="166"/>
      <c r="AND26" s="166"/>
      <c r="ANE26" s="166"/>
      <c r="ANF26" s="166"/>
      <c r="ANG26" s="166"/>
      <c r="ANH26" s="166"/>
      <c r="ANI26" s="166"/>
      <c r="ANJ26" s="166"/>
      <c r="ANK26" s="128"/>
      <c r="ANL26" s="166"/>
      <c r="ANM26" s="166"/>
      <c r="ANN26" s="166"/>
      <c r="ANO26" s="166"/>
      <c r="ANP26" s="166"/>
      <c r="ANQ26" s="166"/>
      <c r="ANR26" s="166"/>
      <c r="ANS26" s="166"/>
      <c r="ANT26" s="166"/>
      <c r="ANU26" s="166"/>
      <c r="ANV26" s="166"/>
      <c r="ANW26" s="166"/>
      <c r="ANX26" s="166"/>
      <c r="ANY26" s="166"/>
      <c r="ANZ26" s="166"/>
      <c r="AOA26" s="166"/>
      <c r="AOB26" s="166"/>
      <c r="AOC26" s="166"/>
      <c r="AOD26" s="166"/>
      <c r="AOE26" s="166"/>
      <c r="AOF26" s="166"/>
      <c r="AOG26" s="166"/>
      <c r="AOH26" s="166"/>
      <c r="AOI26" s="166"/>
      <c r="AOJ26" s="166"/>
      <c r="AOK26" s="166"/>
      <c r="AOL26" s="166"/>
      <c r="AOM26" s="166"/>
      <c r="AON26" s="166"/>
      <c r="AOO26" s="166"/>
      <c r="AOP26" s="166"/>
      <c r="AOQ26" s="166"/>
      <c r="AOR26" s="166"/>
      <c r="AOS26" s="166"/>
      <c r="AOT26" s="166"/>
      <c r="AOU26" s="166"/>
      <c r="AOV26" s="166"/>
      <c r="AOW26" s="166"/>
      <c r="AOX26" s="166"/>
      <c r="AOY26" s="166"/>
      <c r="AOZ26" s="166"/>
      <c r="APA26" s="166"/>
      <c r="APB26" s="166"/>
      <c r="APC26" s="166"/>
      <c r="APD26" s="166"/>
      <c r="APE26" s="166"/>
      <c r="APF26" s="166"/>
      <c r="APG26" s="166"/>
      <c r="APH26" s="166"/>
      <c r="API26" s="166"/>
      <c r="APJ26" s="166"/>
      <c r="APK26" s="166"/>
      <c r="APL26" s="166"/>
      <c r="APM26" s="166"/>
      <c r="APN26" s="166"/>
      <c r="ASX26" s="166"/>
      <c r="ASY26" s="166"/>
      <c r="ASZ26" s="166"/>
      <c r="ATA26" s="166"/>
      <c r="ATB26" s="166"/>
      <c r="ATC26" s="166"/>
      <c r="ATD26" s="166"/>
      <c r="ATE26" s="166"/>
      <c r="ATF26" s="166"/>
      <c r="ATG26" s="166"/>
      <c r="ATH26" s="166"/>
      <c r="ATI26" s="166"/>
      <c r="ATJ26" s="166"/>
      <c r="ATK26" s="166"/>
      <c r="ATL26" s="166"/>
      <c r="ATM26" s="166"/>
      <c r="ATN26" s="166"/>
      <c r="ATO26" s="166"/>
      <c r="ATP26" s="166"/>
      <c r="ATQ26" s="166"/>
      <c r="ATR26" s="166"/>
      <c r="ATS26" s="166"/>
      <c r="ATT26" s="166"/>
      <c r="ATU26" s="166"/>
      <c r="ATV26" s="166"/>
      <c r="ATW26" s="166"/>
      <c r="ATX26" s="166"/>
      <c r="ATY26" s="166"/>
      <c r="ATZ26" s="166"/>
      <c r="AUA26" s="166"/>
      <c r="AUB26" s="166"/>
      <c r="AUC26" s="166"/>
      <c r="AUD26" s="166"/>
      <c r="AUE26" s="166"/>
      <c r="AUF26" s="166"/>
      <c r="AUG26" s="166"/>
      <c r="AUH26" s="166"/>
      <c r="AUI26" s="166"/>
      <c r="AUJ26" s="166"/>
      <c r="AUK26" s="166"/>
      <c r="AUL26" s="166"/>
      <c r="AUM26" s="166"/>
      <c r="AUN26" s="166"/>
      <c r="AUO26" s="166"/>
      <c r="AUP26" s="166"/>
      <c r="AUQ26" s="166"/>
      <c r="AUR26" s="166"/>
      <c r="AUS26" s="166"/>
      <c r="AUT26" s="166"/>
      <c r="AUU26" s="166"/>
      <c r="AUV26" s="166"/>
      <c r="AUW26" s="166"/>
      <c r="AUX26" s="128"/>
      <c r="AUY26" s="166"/>
      <c r="AUZ26" s="166"/>
      <c r="AVA26" s="166"/>
      <c r="AVB26" s="166"/>
      <c r="AVC26" s="166"/>
      <c r="AVD26" s="166"/>
      <c r="AVE26" s="166"/>
      <c r="AVF26" s="128"/>
      <c r="AVG26" s="128"/>
    </row>
    <row r="27" spans="1:1296" ht="38.25" outlineLevel="1">
      <c r="A27" s="158" t="s">
        <v>217</v>
      </c>
      <c r="B27" s="159" t="s">
        <v>233</v>
      </c>
      <c r="C27" s="139" t="s">
        <v>234</v>
      </c>
      <c r="D27" s="139" t="s">
        <v>235</v>
      </c>
      <c r="E27" s="158">
        <v>237</v>
      </c>
      <c r="G27" s="136" t="s">
        <v>11</v>
      </c>
      <c r="H27" s="136" t="s">
        <v>366</v>
      </c>
      <c r="I27" s="136" t="s">
        <v>366</v>
      </c>
      <c r="J27" s="136" t="s">
        <v>366</v>
      </c>
      <c r="K27" s="136" t="s">
        <v>366</v>
      </c>
      <c r="L27" s="136" t="s">
        <v>366</v>
      </c>
      <c r="N27" s="136" t="s">
        <v>366</v>
      </c>
      <c r="V27" s="129"/>
      <c r="W27" s="129"/>
      <c r="X27" s="129"/>
      <c r="Y27" s="129"/>
      <c r="Z27" s="129"/>
      <c r="AB27" s="129"/>
      <c r="AC27" s="129"/>
      <c r="AD27" s="129"/>
      <c r="AE27" s="129"/>
      <c r="AF27" s="129"/>
      <c r="AK27" s="129"/>
      <c r="AM27" s="129"/>
      <c r="AN27" s="129"/>
      <c r="AO27" s="129"/>
      <c r="AP27" s="129"/>
      <c r="AQ27" s="129"/>
      <c r="AR27" s="129"/>
      <c r="AS27" s="129"/>
      <c r="AT27" s="129"/>
      <c r="AU27" s="129"/>
      <c r="AV27" s="129"/>
      <c r="AW27" s="129"/>
      <c r="BB27" s="128"/>
      <c r="BC27" s="128"/>
      <c r="BP27" s="128"/>
      <c r="BX27" s="129"/>
      <c r="BY27" s="129"/>
      <c r="BZ27" s="129"/>
      <c r="CA27" s="129"/>
      <c r="CC27" s="129"/>
      <c r="CD27" s="129"/>
      <c r="CE27" s="129"/>
      <c r="CF27" s="129"/>
      <c r="CG27" s="129"/>
      <c r="CH27" s="129"/>
      <c r="CI27" s="129"/>
      <c r="CJ27" s="129"/>
      <c r="CK27" s="129"/>
      <c r="CL27" s="129"/>
      <c r="CM27" s="129"/>
      <c r="CN27" s="129"/>
      <c r="CO27" s="129"/>
      <c r="CP27" s="129"/>
      <c r="CQ27" s="129"/>
      <c r="CR27" s="129"/>
      <c r="CS27" s="129"/>
      <c r="CU27" s="129"/>
      <c r="CV27" s="129"/>
      <c r="CW27" s="129"/>
      <c r="CX27" s="129"/>
      <c r="CY27" s="129"/>
      <c r="DA27" s="129"/>
      <c r="DB27" s="129"/>
      <c r="DC27" s="129"/>
      <c r="DD27" s="129"/>
      <c r="DE27" s="129"/>
      <c r="DG27" s="129"/>
      <c r="DH27" s="129"/>
      <c r="DJ27" s="129"/>
      <c r="DK27" s="129"/>
      <c r="DL27" s="129"/>
      <c r="DM27" s="129"/>
      <c r="DN27" s="129"/>
      <c r="DP27" s="129"/>
      <c r="DQ27" s="129"/>
      <c r="DR27" s="129"/>
      <c r="DS27" s="129"/>
      <c r="DT27" s="129"/>
      <c r="DU27" s="129"/>
      <c r="DV27" s="129"/>
      <c r="DW27" s="166"/>
      <c r="DX27" s="129"/>
      <c r="DY27" s="129"/>
      <c r="DZ27" s="129"/>
      <c r="EA27" s="129"/>
      <c r="EB27" s="129"/>
      <c r="EC27" s="129"/>
      <c r="ED27" s="129"/>
      <c r="EF27" s="129"/>
      <c r="EG27" s="129"/>
      <c r="EH27" s="129"/>
      <c r="EI27" s="129"/>
      <c r="EJ27" s="129"/>
      <c r="EL27" s="129"/>
      <c r="EM27" s="129"/>
      <c r="EN27" s="129"/>
      <c r="EO27" s="129"/>
      <c r="EP27" s="129"/>
      <c r="EQ27" s="129"/>
      <c r="ER27" s="129"/>
      <c r="ES27" s="129"/>
      <c r="ET27" s="129"/>
      <c r="EU27" s="129"/>
      <c r="EV27" s="129"/>
      <c r="EW27" s="129"/>
      <c r="EX27" s="129"/>
      <c r="EY27" s="129"/>
      <c r="EZ27" s="129"/>
      <c r="FA27" s="129"/>
      <c r="FB27" s="129"/>
      <c r="FD27" s="129"/>
      <c r="FE27" s="129"/>
      <c r="FF27" s="129"/>
      <c r="FG27" s="129"/>
      <c r="FH27" s="129"/>
      <c r="FJ27" s="129"/>
      <c r="FK27" s="129"/>
      <c r="FL27" s="129"/>
      <c r="FM27" s="129"/>
      <c r="FN27" s="129"/>
      <c r="FQ27" s="129"/>
      <c r="FR27" s="129"/>
      <c r="FS27" s="129"/>
      <c r="FT27" s="129"/>
      <c r="FU27" s="129"/>
      <c r="FW27" s="129"/>
      <c r="FX27" s="129"/>
      <c r="FY27" s="129"/>
      <c r="FZ27" s="129"/>
      <c r="GA27" s="129"/>
      <c r="GC27" s="129"/>
      <c r="GD27" s="129"/>
      <c r="GE27" s="129"/>
      <c r="GF27" s="129"/>
      <c r="GG27" s="129"/>
      <c r="GI27" s="129"/>
      <c r="GJ27" s="129"/>
      <c r="GK27" s="129"/>
      <c r="GL27" s="129"/>
      <c r="GM27" s="129"/>
      <c r="GO27" s="129"/>
      <c r="GP27" s="129"/>
      <c r="GQ27" s="129"/>
      <c r="GT27" s="128"/>
      <c r="GZ27" s="128"/>
      <c r="HJ27" s="128"/>
      <c r="HU27" s="128"/>
      <c r="IA27" s="128"/>
      <c r="IG27" s="128"/>
      <c r="IM27" s="128"/>
      <c r="IO27" s="128"/>
      <c r="IS27" s="128"/>
      <c r="IY27" s="128"/>
      <c r="JE27" s="128"/>
      <c r="JK27" s="128"/>
      <c r="JQ27" s="128"/>
      <c r="JW27" s="128"/>
      <c r="KC27" s="128"/>
      <c r="KI27" s="128"/>
      <c r="KO27" s="128"/>
      <c r="KU27" s="128"/>
      <c r="LA27" s="128"/>
      <c r="LG27" s="128"/>
      <c r="LK27" s="129"/>
      <c r="LL27" s="128"/>
      <c r="LM27" s="128"/>
      <c r="LN27" s="128"/>
      <c r="LO27" s="128"/>
      <c r="LP27" s="128"/>
      <c r="LQ27" s="128"/>
      <c r="LR27" s="128"/>
      <c r="LS27" s="128"/>
      <c r="LT27" s="128"/>
      <c r="LU27" s="128"/>
      <c r="LV27" s="128"/>
      <c r="LW27" s="128"/>
      <c r="LX27" s="128"/>
      <c r="LY27" s="128"/>
      <c r="LZ27" s="128"/>
      <c r="MA27" s="128"/>
      <c r="MB27" s="128"/>
      <c r="MC27" s="128"/>
      <c r="MD27" s="128"/>
      <c r="ME27" s="128"/>
      <c r="MF27" s="128"/>
      <c r="MG27" s="128"/>
      <c r="MH27" s="128"/>
      <c r="MI27" s="128"/>
      <c r="MJ27" s="128"/>
      <c r="MK27" s="128"/>
      <c r="ML27" s="128"/>
      <c r="MM27" s="128"/>
      <c r="MN27" s="128"/>
      <c r="MO27" s="128"/>
      <c r="MP27" s="128"/>
      <c r="MQ27" s="128"/>
      <c r="MR27" s="128"/>
      <c r="MS27" s="128"/>
      <c r="MT27" s="128"/>
      <c r="MU27" s="128"/>
      <c r="MV27" s="128"/>
      <c r="MW27" s="128"/>
      <c r="MX27" s="128"/>
      <c r="MY27" s="128"/>
      <c r="MZ27" s="128"/>
      <c r="NA27" s="128"/>
      <c r="NB27" s="128"/>
      <c r="NC27" s="128"/>
      <c r="ND27" s="128"/>
      <c r="NE27" s="128"/>
      <c r="NF27" s="128"/>
      <c r="NG27" s="128"/>
      <c r="NH27" s="128"/>
      <c r="NI27" s="128"/>
      <c r="NJ27" s="128"/>
      <c r="NK27" s="128"/>
      <c r="NL27" s="128"/>
      <c r="NM27" s="128"/>
      <c r="NN27" s="128"/>
      <c r="NO27" s="128"/>
      <c r="NP27" s="128"/>
      <c r="NQ27" s="128"/>
      <c r="OQ27" s="128"/>
      <c r="OR27" s="128"/>
      <c r="OS27" s="128"/>
      <c r="OT27" s="128"/>
      <c r="OU27" s="128"/>
      <c r="OV27" s="128"/>
      <c r="OW27" s="128"/>
      <c r="OX27" s="128"/>
      <c r="OY27" s="128"/>
      <c r="OZ27" s="128"/>
      <c r="PA27" s="128"/>
      <c r="PB27" s="128"/>
      <c r="PC27" s="128"/>
      <c r="PD27" s="128"/>
      <c r="PE27" s="128"/>
      <c r="PF27" s="128"/>
      <c r="PG27" s="128"/>
      <c r="PH27" s="128"/>
      <c r="PI27" s="128"/>
      <c r="PJ27" s="128"/>
      <c r="PK27" s="128"/>
      <c r="PL27" s="128"/>
      <c r="PM27" s="128"/>
      <c r="PN27" s="128"/>
      <c r="PO27" s="128"/>
      <c r="PP27" s="128"/>
      <c r="PQ27" s="128"/>
      <c r="PR27" s="128"/>
      <c r="PS27" s="128"/>
      <c r="PT27" s="128"/>
      <c r="PU27" s="128"/>
      <c r="PV27" s="128"/>
      <c r="PW27" s="128"/>
      <c r="PX27" s="128"/>
      <c r="PY27" s="128"/>
      <c r="PZ27" s="128"/>
      <c r="QA27" s="128"/>
      <c r="QB27" s="128"/>
      <c r="QC27" s="128"/>
      <c r="QD27" s="128"/>
      <c r="QE27" s="128"/>
      <c r="QF27" s="128"/>
      <c r="QG27" s="128"/>
      <c r="QH27" s="128"/>
      <c r="QI27" s="128"/>
      <c r="QJ27" s="128"/>
      <c r="QK27" s="128"/>
      <c r="QL27" s="128"/>
      <c r="QM27" s="128"/>
      <c r="QN27" s="128"/>
      <c r="QO27" s="128"/>
      <c r="QP27" s="128"/>
      <c r="QQ27" s="128"/>
      <c r="QR27" s="128"/>
      <c r="QS27" s="128"/>
      <c r="QT27" s="128"/>
      <c r="QU27" s="128"/>
      <c r="QV27" s="128"/>
      <c r="QW27" s="128"/>
      <c r="QX27" s="128"/>
      <c r="QZ27" s="128"/>
      <c r="RA27" s="128"/>
      <c r="RB27" s="128"/>
      <c r="RC27" s="128"/>
      <c r="RD27" s="128"/>
      <c r="RE27" s="128"/>
      <c r="RF27" s="128"/>
      <c r="RG27" s="128"/>
      <c r="RH27" s="128"/>
      <c r="RI27" s="128"/>
      <c r="RJ27" s="128"/>
      <c r="RK27" s="128"/>
      <c r="RL27" s="128"/>
      <c r="RM27" s="128"/>
      <c r="RN27" s="128"/>
      <c r="RO27" s="128"/>
      <c r="RP27" s="128"/>
      <c r="RQ27" s="128"/>
      <c r="RR27" s="128"/>
      <c r="RS27" s="128"/>
      <c r="RT27" s="128"/>
      <c r="RU27" s="128"/>
      <c r="RV27" s="128"/>
      <c r="RW27" s="128"/>
      <c r="RX27" s="128"/>
      <c r="RY27" s="128"/>
      <c r="RZ27" s="128"/>
      <c r="SA27" s="128"/>
      <c r="SB27" s="128"/>
      <c r="SC27" s="128"/>
      <c r="SD27" s="128"/>
      <c r="SE27" s="128"/>
      <c r="SF27" s="128"/>
      <c r="SG27" s="128"/>
      <c r="SH27" s="128"/>
      <c r="SI27" s="128"/>
      <c r="SJ27" s="128"/>
      <c r="SK27" s="128"/>
      <c r="SL27" s="128"/>
      <c r="SM27" s="128"/>
      <c r="SN27" s="128"/>
      <c r="SO27" s="128"/>
      <c r="SP27" s="128"/>
      <c r="SQ27" s="128"/>
      <c r="SR27" s="128"/>
      <c r="SS27" s="128"/>
      <c r="ST27" s="128"/>
      <c r="SU27" s="128"/>
      <c r="SV27" s="128"/>
      <c r="SW27" s="128"/>
      <c r="SX27" s="128"/>
      <c r="SY27" s="128"/>
      <c r="SZ27" s="128"/>
      <c r="TA27" s="128"/>
      <c r="TB27" s="128"/>
      <c r="TC27" s="128"/>
      <c r="TD27" s="129"/>
      <c r="TE27" s="128"/>
      <c r="TF27" s="128"/>
      <c r="TG27" s="128"/>
      <c r="TH27" s="128"/>
      <c r="TI27" s="128"/>
      <c r="TJ27" s="128"/>
      <c r="TK27" s="128"/>
      <c r="TL27" s="128"/>
      <c r="TM27" s="128"/>
      <c r="TN27" s="128"/>
      <c r="TO27" s="128"/>
      <c r="TP27" s="128"/>
      <c r="TQ27" s="128"/>
      <c r="TR27" s="128"/>
      <c r="TS27" s="128"/>
      <c r="TT27" s="128"/>
      <c r="TU27" s="128"/>
      <c r="TV27" s="128"/>
      <c r="TW27" s="128"/>
      <c r="TX27" s="129"/>
      <c r="TY27" s="128"/>
      <c r="TZ27" s="128"/>
      <c r="UA27" s="128"/>
      <c r="UB27" s="128"/>
      <c r="UC27" s="128"/>
      <c r="UD27" s="128"/>
      <c r="UE27" s="128"/>
      <c r="UF27" s="128"/>
      <c r="UG27" s="128"/>
      <c r="UH27" s="128"/>
      <c r="UI27" s="128"/>
      <c r="UL27" s="128"/>
      <c r="UM27" s="128"/>
      <c r="UN27" s="128"/>
      <c r="UO27" s="128"/>
      <c r="UP27" s="128"/>
      <c r="UQ27" s="128"/>
      <c r="UR27" s="128"/>
      <c r="US27" s="128"/>
      <c r="UT27" s="128"/>
      <c r="UU27" s="128"/>
      <c r="UV27" s="128"/>
      <c r="UW27" s="128"/>
      <c r="UX27" s="128"/>
      <c r="UY27" s="128"/>
      <c r="UZ27" s="128"/>
      <c r="VA27" s="128"/>
      <c r="VB27" s="128"/>
      <c r="VC27" s="128"/>
      <c r="VD27" s="128"/>
      <c r="VE27" s="128"/>
      <c r="VF27" s="128"/>
      <c r="VG27" s="128"/>
      <c r="VH27" s="128"/>
      <c r="VI27" s="128"/>
      <c r="VJ27" s="128"/>
      <c r="VL27" s="128"/>
      <c r="VM27" s="128"/>
      <c r="VN27" s="128"/>
      <c r="VO27" s="128"/>
      <c r="VR27" s="128"/>
      <c r="VS27" s="128"/>
      <c r="VT27" s="128"/>
      <c r="VU27" s="128"/>
      <c r="VV27" s="128"/>
      <c r="VW27" s="128"/>
      <c r="VX27" s="128"/>
      <c r="VY27" s="128"/>
      <c r="VZ27" s="128"/>
      <c r="WA27" s="128"/>
      <c r="WB27" s="128"/>
      <c r="WC27" s="128"/>
      <c r="WD27" s="128"/>
      <c r="WE27" s="128"/>
      <c r="WF27" s="128"/>
      <c r="WG27" s="128"/>
      <c r="WH27" s="128"/>
      <c r="WI27" s="128"/>
      <c r="WJ27" s="128"/>
      <c r="WK27" s="128"/>
      <c r="WL27" s="128"/>
      <c r="WM27" s="128"/>
      <c r="WN27" s="128"/>
      <c r="WO27" s="128"/>
      <c r="WP27" s="128"/>
      <c r="WQ27" s="128"/>
      <c r="WR27" s="128"/>
      <c r="WS27" s="128"/>
      <c r="WT27" s="128"/>
      <c r="WU27" s="128"/>
      <c r="WV27" s="128"/>
      <c r="WW27" s="128"/>
      <c r="WX27" s="128"/>
      <c r="WY27" s="128"/>
      <c r="WZ27" s="128"/>
      <c r="XA27" s="128"/>
      <c r="XB27" s="128"/>
      <c r="XC27" s="128"/>
      <c r="XD27" s="128"/>
      <c r="XE27" s="128"/>
      <c r="XF27" s="128"/>
      <c r="XG27" s="128"/>
      <c r="XH27" s="128"/>
      <c r="XI27" s="128"/>
      <c r="XJ27" s="128"/>
      <c r="XK27" s="128"/>
      <c r="XL27" s="128"/>
      <c r="XM27" s="128"/>
      <c r="XN27" s="128"/>
      <c r="XO27" s="128"/>
      <c r="XP27" s="128"/>
      <c r="XQ27" s="128"/>
      <c r="XR27" s="128"/>
      <c r="XS27" s="128"/>
      <c r="XT27" s="128"/>
      <c r="XU27" s="128"/>
      <c r="XV27" s="128"/>
      <c r="XW27" s="128"/>
      <c r="XX27" s="128"/>
      <c r="XY27" s="128"/>
      <c r="XZ27" s="128"/>
      <c r="YA27" s="128"/>
      <c r="YB27" s="128"/>
      <c r="YC27" s="128"/>
      <c r="YD27" s="128"/>
      <c r="YE27" s="128"/>
      <c r="YF27" s="128"/>
      <c r="YG27" s="128"/>
      <c r="YH27" s="128"/>
      <c r="YI27" s="128"/>
      <c r="YJ27" s="128"/>
      <c r="YK27" s="128"/>
      <c r="YL27" s="128"/>
      <c r="YM27" s="128"/>
      <c r="YN27" s="128"/>
      <c r="YO27" s="128"/>
      <c r="YP27" s="128"/>
      <c r="YQ27" s="128"/>
      <c r="YR27" s="128"/>
      <c r="YS27" s="128"/>
      <c r="YT27" s="128"/>
      <c r="YU27" s="128"/>
      <c r="YV27" s="128"/>
      <c r="YW27" s="128"/>
      <c r="YX27" s="128"/>
      <c r="YY27" s="128"/>
      <c r="YZ27" s="128"/>
      <c r="ZA27" s="128"/>
      <c r="ZB27" s="128"/>
      <c r="ZC27" s="128"/>
      <c r="ZD27" s="128"/>
      <c r="ZE27" s="128"/>
      <c r="ZF27" s="128"/>
      <c r="ZG27" s="128"/>
      <c r="ZH27" s="128"/>
      <c r="ZI27" s="128"/>
      <c r="ZJ27" s="128"/>
      <c r="ZK27" s="128"/>
      <c r="ZL27" s="128"/>
      <c r="ZM27" s="128"/>
      <c r="ZN27" s="128"/>
      <c r="ZO27" s="128"/>
      <c r="ZP27" s="128"/>
      <c r="ZQ27" s="128"/>
      <c r="ZR27" s="128"/>
      <c r="ZS27" s="128"/>
      <c r="ZT27" s="128"/>
      <c r="ZU27" s="128"/>
      <c r="ZV27" s="128"/>
      <c r="ZW27" s="128"/>
      <c r="ZX27" s="128"/>
      <c r="ZY27" s="128"/>
      <c r="ZZ27" s="128"/>
      <c r="AAA27" s="128"/>
      <c r="AAB27" s="128"/>
      <c r="AAC27" s="128"/>
      <c r="AAD27" s="128"/>
      <c r="AAE27" s="128"/>
      <c r="AAF27" s="128"/>
      <c r="AAG27" s="128"/>
      <c r="AAH27" s="128"/>
      <c r="AAJ27" s="128"/>
      <c r="AAK27" s="128"/>
      <c r="AAL27" s="128"/>
      <c r="AAM27" s="128"/>
      <c r="AAN27" s="128"/>
      <c r="AAO27" s="128"/>
      <c r="AAP27" s="128"/>
      <c r="AAQ27" s="128"/>
      <c r="AAR27" s="128"/>
      <c r="AAS27" s="128"/>
      <c r="AAT27" s="128"/>
      <c r="AAU27" s="128"/>
      <c r="AAV27" s="128"/>
      <c r="AAW27" s="128"/>
      <c r="AAX27" s="128"/>
      <c r="AAY27" s="128"/>
      <c r="AAZ27" s="128"/>
      <c r="ABA27" s="128"/>
      <c r="ABB27" s="128"/>
      <c r="ABC27" s="128"/>
      <c r="ABD27" s="128"/>
      <c r="ABE27" s="128"/>
      <c r="ABF27" s="128"/>
      <c r="ABG27" s="128"/>
      <c r="ABH27" s="128"/>
      <c r="ABI27" s="128"/>
      <c r="ABJ27" s="128"/>
      <c r="ABK27" s="128"/>
      <c r="ABL27" s="128"/>
      <c r="ABM27" s="128"/>
      <c r="ABN27" s="128"/>
      <c r="ABO27" s="128"/>
      <c r="ABP27" s="128"/>
      <c r="ABQ27" s="128"/>
      <c r="ABR27" s="128"/>
      <c r="ABS27" s="128"/>
      <c r="ABT27" s="128"/>
      <c r="ABU27" s="128"/>
      <c r="ABV27" s="128"/>
      <c r="ABW27" s="128"/>
      <c r="ABX27" s="128"/>
      <c r="ABY27" s="128"/>
      <c r="ABZ27" s="128"/>
      <c r="ACA27" s="128"/>
      <c r="ACB27" s="128"/>
      <c r="ACC27" s="128"/>
      <c r="ACD27" s="128"/>
      <c r="ACE27" s="128"/>
      <c r="ACF27" s="128"/>
      <c r="ACG27" s="128"/>
      <c r="ACH27" s="128"/>
      <c r="ACI27" s="128"/>
      <c r="ACJ27" s="128"/>
      <c r="ACK27" s="128"/>
      <c r="ACL27" s="128"/>
      <c r="ACM27" s="128"/>
      <c r="ACN27" s="128"/>
      <c r="ACO27" s="128"/>
      <c r="ACP27" s="128"/>
      <c r="ACQ27" s="128"/>
      <c r="ACR27" s="128"/>
      <c r="ACS27" s="128"/>
      <c r="ACT27" s="128"/>
      <c r="ACU27" s="128"/>
      <c r="ACV27" s="128"/>
      <c r="ACW27" s="128"/>
      <c r="ACX27" s="128"/>
      <c r="ACY27" s="128"/>
      <c r="ACZ27" s="128"/>
      <c r="ADA27" s="128"/>
      <c r="ADB27" s="128"/>
      <c r="ADC27" s="128"/>
      <c r="ADD27" s="128"/>
      <c r="ADE27" s="128"/>
      <c r="ADF27" s="128"/>
      <c r="ADG27" s="128"/>
      <c r="ADH27" s="128"/>
      <c r="ADI27" s="128"/>
      <c r="ADJ27" s="128"/>
      <c r="ADK27" s="128"/>
      <c r="ADL27" s="128"/>
      <c r="ADM27" s="128"/>
      <c r="ADN27" s="128"/>
      <c r="ADO27" s="128"/>
      <c r="ADP27" s="128"/>
      <c r="ADQ27" s="128"/>
      <c r="ADR27" s="128"/>
      <c r="ADS27" s="128"/>
      <c r="ADT27" s="128"/>
      <c r="ADU27" s="128"/>
      <c r="ADV27" s="128"/>
      <c r="ADW27" s="128"/>
      <c r="ADX27" s="128"/>
      <c r="ADY27" s="128"/>
      <c r="ADZ27" s="128"/>
      <c r="AEA27" s="128"/>
      <c r="AEB27" s="128"/>
      <c r="AEC27" s="128"/>
      <c r="AED27" s="128"/>
      <c r="AEE27" s="128"/>
      <c r="AEF27" s="128"/>
      <c r="AEG27" s="128"/>
      <c r="AEH27" s="128"/>
      <c r="AEI27" s="128"/>
      <c r="AEJ27" s="128"/>
      <c r="AEK27" s="128"/>
      <c r="AEL27" s="128"/>
      <c r="AEM27" s="128"/>
      <c r="AEN27" s="128"/>
      <c r="AEO27" s="128"/>
      <c r="AEP27" s="128"/>
      <c r="AEQ27" s="128"/>
      <c r="AER27" s="128"/>
      <c r="AES27" s="128"/>
      <c r="AET27" s="128"/>
      <c r="AEU27" s="128"/>
      <c r="AEV27" s="128"/>
      <c r="AEW27" s="128"/>
      <c r="AEX27" s="128"/>
      <c r="AEY27" s="128"/>
      <c r="AEZ27" s="128"/>
      <c r="AFA27" s="128"/>
      <c r="AFB27" s="128"/>
      <c r="AFC27" s="128"/>
      <c r="AFD27" s="128"/>
      <c r="AFE27" s="128"/>
      <c r="AFF27" s="128"/>
      <c r="AFG27" s="128"/>
      <c r="AFH27" s="128"/>
      <c r="AFI27" s="128"/>
      <c r="AFJ27" s="128"/>
      <c r="AFK27" s="128"/>
      <c r="AFL27" s="128"/>
      <c r="AFN27" s="166"/>
      <c r="AFO27" s="166"/>
      <c r="AFP27" s="166"/>
      <c r="AFQ27" s="166"/>
      <c r="AFR27" s="166"/>
      <c r="AFS27" s="166"/>
      <c r="AFT27" s="166"/>
      <c r="AFU27" s="166"/>
      <c r="AFV27" s="166"/>
      <c r="AFW27" s="128"/>
      <c r="AFX27" s="166"/>
      <c r="AFY27" s="166"/>
      <c r="AFZ27" s="166"/>
      <c r="AGA27" s="166"/>
      <c r="AGB27" s="166"/>
      <c r="AGC27" s="166"/>
      <c r="AGD27" s="166"/>
      <c r="AGE27" s="166"/>
      <c r="AGF27" s="166"/>
      <c r="AGG27" s="166"/>
      <c r="AGH27" s="166"/>
      <c r="AGI27" s="166"/>
      <c r="AGJ27" s="166"/>
      <c r="AGK27" s="166"/>
      <c r="AGL27" s="166"/>
      <c r="AGM27" s="166"/>
      <c r="AGN27" s="166"/>
      <c r="AGO27" s="166"/>
      <c r="AGP27" s="166"/>
      <c r="AGQ27" s="166"/>
      <c r="AGR27" s="166"/>
      <c r="AGS27" s="166"/>
      <c r="AGT27" s="166"/>
      <c r="AGU27" s="166"/>
      <c r="AGV27" s="166"/>
      <c r="AGW27" s="166"/>
      <c r="AGX27" s="166"/>
      <c r="AGY27" s="166"/>
      <c r="AGZ27" s="166"/>
      <c r="AHA27" s="166"/>
      <c r="AHB27" s="128"/>
      <c r="AHC27" s="166"/>
      <c r="AHD27" s="166"/>
      <c r="AHE27" s="166"/>
      <c r="AHF27" s="166"/>
      <c r="AHG27" s="166"/>
      <c r="AHH27" s="166"/>
      <c r="AHI27" s="166"/>
      <c r="AHJ27" s="166"/>
      <c r="AHK27" s="166"/>
      <c r="AHL27" s="166"/>
      <c r="AHM27" s="166"/>
      <c r="AHN27" s="166"/>
      <c r="AHO27" s="166"/>
      <c r="AHP27" s="166"/>
      <c r="AHQ27" s="166"/>
      <c r="AHR27" s="166"/>
      <c r="AHS27" s="166"/>
      <c r="AHT27" s="166"/>
      <c r="AHU27" s="166"/>
      <c r="AHV27" s="166"/>
      <c r="AHW27" s="166"/>
      <c r="AHX27" s="166"/>
      <c r="AHY27" s="166"/>
      <c r="AHZ27" s="166"/>
      <c r="AIA27" s="166"/>
      <c r="AIB27" s="166"/>
      <c r="AIC27" s="166"/>
      <c r="AID27" s="166"/>
      <c r="AIE27" s="166"/>
      <c r="AIF27" s="166"/>
      <c r="AIG27" s="166"/>
      <c r="AIH27" s="166"/>
      <c r="AII27" s="128"/>
      <c r="AIJ27" s="166"/>
      <c r="AIK27" s="166"/>
      <c r="AIL27" s="166"/>
      <c r="AIM27" s="166"/>
      <c r="AIN27" s="166"/>
      <c r="AIO27" s="166"/>
      <c r="AIP27" s="166"/>
      <c r="AIQ27" s="166"/>
      <c r="AIR27" s="166"/>
      <c r="AIS27" s="166"/>
      <c r="AIT27" s="166"/>
      <c r="AIU27" s="166"/>
      <c r="AIV27" s="166"/>
      <c r="AIW27" s="166"/>
      <c r="AIX27" s="166"/>
      <c r="AIY27" s="166"/>
      <c r="AIZ27" s="166"/>
      <c r="AJA27" s="166"/>
      <c r="AJB27" s="166"/>
      <c r="AJC27" s="166"/>
      <c r="AJD27" s="166"/>
      <c r="AJE27" s="166"/>
      <c r="AJF27" s="166"/>
      <c r="AJG27" s="166"/>
      <c r="AJH27" s="166"/>
      <c r="AJI27" s="166"/>
      <c r="AJJ27" s="166"/>
      <c r="AJK27" s="166"/>
      <c r="AJL27" s="166"/>
      <c r="AJM27" s="166"/>
      <c r="AJN27" s="166"/>
      <c r="AJO27" s="166"/>
      <c r="AJP27" s="128"/>
      <c r="AJQ27" s="166"/>
      <c r="AJR27" s="166"/>
      <c r="AJS27" s="166"/>
      <c r="AJT27" s="166"/>
      <c r="AJU27" s="166"/>
      <c r="AJV27" s="166"/>
      <c r="AJW27" s="166"/>
      <c r="AJX27" s="166"/>
      <c r="AJY27" s="166"/>
      <c r="AJZ27" s="166"/>
      <c r="AKA27" s="166"/>
      <c r="AKB27" s="166"/>
      <c r="AKC27" s="166"/>
      <c r="AKD27" s="166"/>
      <c r="AKE27" s="166"/>
      <c r="AKF27" s="166"/>
      <c r="AKG27" s="166"/>
      <c r="AKH27" s="166"/>
      <c r="AKI27" s="166"/>
      <c r="AKJ27" s="166"/>
      <c r="AKK27" s="166"/>
      <c r="AKL27" s="166"/>
      <c r="AKM27" s="166"/>
      <c r="AKN27" s="166"/>
      <c r="AKO27" s="166"/>
      <c r="AKP27" s="166"/>
      <c r="AKQ27" s="166"/>
      <c r="AKR27" s="166"/>
      <c r="AKS27" s="166"/>
      <c r="AKT27" s="166"/>
      <c r="AKU27" s="166"/>
      <c r="AKV27" s="166"/>
      <c r="AKW27" s="128"/>
      <c r="AKX27" s="166"/>
      <c r="AKY27" s="166"/>
      <c r="AKZ27" s="166"/>
      <c r="ALA27" s="166"/>
      <c r="ALB27" s="166"/>
      <c r="ALC27" s="166"/>
      <c r="ALD27" s="166"/>
      <c r="ALE27" s="166"/>
      <c r="ALF27" s="166"/>
      <c r="ALG27" s="166"/>
      <c r="ALH27" s="166"/>
      <c r="ALI27" s="166"/>
      <c r="ALJ27" s="166"/>
      <c r="ALK27" s="166"/>
      <c r="ALL27" s="166"/>
      <c r="ALM27" s="166"/>
      <c r="ALN27" s="166"/>
      <c r="ALO27" s="166"/>
      <c r="ALP27" s="166"/>
      <c r="ALQ27" s="166"/>
      <c r="ALR27" s="166"/>
      <c r="ALS27" s="166"/>
      <c r="ALT27" s="166"/>
      <c r="ALU27" s="166"/>
      <c r="ALV27" s="166"/>
      <c r="ALW27" s="166"/>
      <c r="ALX27" s="166"/>
      <c r="ALY27" s="166"/>
      <c r="ALZ27" s="166"/>
      <c r="AMA27" s="166"/>
      <c r="AMB27" s="166"/>
      <c r="AMC27" s="166"/>
      <c r="AMD27" s="128"/>
      <c r="AME27" s="166"/>
      <c r="AMF27" s="166"/>
      <c r="AMG27" s="166"/>
      <c r="AMH27" s="166"/>
      <c r="AMI27" s="166"/>
      <c r="AMJ27" s="166"/>
      <c r="AMK27" s="166"/>
      <c r="AML27" s="166"/>
      <c r="AMM27" s="166"/>
      <c r="AMN27" s="166"/>
      <c r="AMO27" s="166"/>
      <c r="AMP27" s="166"/>
      <c r="AMQ27" s="166"/>
      <c r="AMR27" s="166"/>
      <c r="AMS27" s="166"/>
      <c r="AMT27" s="166"/>
      <c r="AMU27" s="166"/>
      <c r="AMV27" s="166"/>
      <c r="AMW27" s="166"/>
      <c r="AMX27" s="166"/>
      <c r="AMY27" s="166"/>
      <c r="AMZ27" s="166"/>
      <c r="ANA27" s="166"/>
      <c r="ANB27" s="166"/>
      <c r="ANC27" s="166"/>
      <c r="AND27" s="166"/>
      <c r="ANE27" s="166"/>
      <c r="ANF27" s="166"/>
      <c r="ANG27" s="166"/>
      <c r="ANH27" s="166"/>
      <c r="ANI27" s="166"/>
      <c r="ANJ27" s="166"/>
      <c r="ANK27" s="128"/>
      <c r="ANL27" s="166"/>
      <c r="ANM27" s="166"/>
      <c r="ANN27" s="166"/>
      <c r="ANO27" s="166"/>
      <c r="ANP27" s="166"/>
      <c r="ANQ27" s="166"/>
      <c r="ANR27" s="166"/>
      <c r="ANS27" s="166"/>
      <c r="ANT27" s="166"/>
      <c r="ANU27" s="166"/>
      <c r="ANV27" s="166"/>
      <c r="ANW27" s="166"/>
      <c r="ANX27" s="166"/>
      <c r="ANY27" s="166"/>
      <c r="ANZ27" s="166"/>
      <c r="AOA27" s="166"/>
      <c r="AOB27" s="166"/>
      <c r="AOC27" s="166"/>
      <c r="AOD27" s="166"/>
      <c r="AOE27" s="166"/>
      <c r="AOF27" s="166"/>
      <c r="AOG27" s="166"/>
      <c r="AOH27" s="166"/>
      <c r="AOI27" s="166"/>
      <c r="AOJ27" s="166"/>
      <c r="AOK27" s="166"/>
      <c r="AOL27" s="166"/>
      <c r="AOM27" s="166"/>
      <c r="AON27" s="166"/>
      <c r="AOO27" s="166"/>
      <c r="AOP27" s="166"/>
      <c r="AOQ27" s="166"/>
      <c r="AOR27" s="166"/>
      <c r="AOS27" s="166"/>
      <c r="AOT27" s="166"/>
      <c r="AOU27" s="166"/>
      <c r="AOV27" s="166"/>
      <c r="AOW27" s="166"/>
      <c r="AOX27" s="166"/>
      <c r="AOY27" s="166"/>
      <c r="AOZ27" s="166"/>
      <c r="APA27" s="166"/>
      <c r="APB27" s="166"/>
      <c r="APC27" s="166"/>
      <c r="APD27" s="166"/>
      <c r="APE27" s="166"/>
      <c r="APF27" s="166"/>
      <c r="APG27" s="166"/>
      <c r="APH27" s="166"/>
      <c r="API27" s="166"/>
      <c r="APJ27" s="166"/>
      <c r="APK27" s="166"/>
      <c r="APL27" s="166"/>
      <c r="APM27" s="166"/>
      <c r="APN27" s="166"/>
      <c r="ASX27" s="166"/>
      <c r="ASY27" s="166"/>
      <c r="ASZ27" s="166"/>
      <c r="ATA27" s="166"/>
      <c r="ATB27" s="166"/>
      <c r="ATC27" s="166"/>
      <c r="ATD27" s="166"/>
      <c r="ATE27" s="166"/>
      <c r="ATF27" s="166"/>
      <c r="ATG27" s="166"/>
      <c r="ATH27" s="166"/>
      <c r="ATI27" s="166"/>
      <c r="ATJ27" s="166"/>
      <c r="ATK27" s="166"/>
      <c r="ATL27" s="166"/>
      <c r="ATM27" s="166"/>
      <c r="ATN27" s="166"/>
      <c r="ATO27" s="166"/>
      <c r="ATP27" s="166"/>
      <c r="ATQ27" s="166"/>
      <c r="ATR27" s="166"/>
      <c r="ATS27" s="166"/>
      <c r="ATT27" s="166"/>
      <c r="ATU27" s="166"/>
      <c r="ATV27" s="166"/>
      <c r="ATW27" s="166"/>
      <c r="ATX27" s="166"/>
      <c r="ATY27" s="166"/>
      <c r="ATZ27" s="166"/>
      <c r="AUA27" s="166"/>
      <c r="AUB27" s="166"/>
      <c r="AUC27" s="166"/>
      <c r="AUD27" s="166"/>
      <c r="AUE27" s="166"/>
      <c r="AUF27" s="166"/>
      <c r="AUG27" s="166"/>
      <c r="AUH27" s="166"/>
      <c r="AUI27" s="166"/>
      <c r="AUJ27" s="166"/>
      <c r="AUK27" s="166"/>
      <c r="AUL27" s="166"/>
      <c r="AUM27" s="166"/>
      <c r="AUN27" s="166"/>
      <c r="AUO27" s="166"/>
      <c r="AUP27" s="166"/>
      <c r="AUQ27" s="166"/>
      <c r="AUR27" s="166"/>
      <c r="AUS27" s="166"/>
      <c r="AUT27" s="166"/>
      <c r="AUU27" s="166"/>
      <c r="AUV27" s="166"/>
      <c r="AUW27" s="166"/>
      <c r="AUX27" s="128"/>
      <c r="AUY27" s="166"/>
      <c r="AUZ27" s="166"/>
      <c r="AVA27" s="166"/>
      <c r="AVB27" s="166"/>
      <c r="AVC27" s="166"/>
      <c r="AVD27" s="166"/>
      <c r="AVE27" s="166"/>
      <c r="AVF27" s="128"/>
      <c r="AVG27" s="128"/>
    </row>
    <row r="28" spans="1:1296" outlineLevel="1">
      <c r="A28" s="158" t="s">
        <v>236</v>
      </c>
      <c r="B28" s="159" t="s">
        <v>237</v>
      </c>
      <c r="C28" s="139" t="s">
        <v>238</v>
      </c>
      <c r="D28" s="139" t="s">
        <v>239</v>
      </c>
      <c r="E28" s="158">
        <v>238</v>
      </c>
      <c r="G28" s="136" t="s">
        <v>11</v>
      </c>
      <c r="H28" s="136" t="s">
        <v>366</v>
      </c>
      <c r="I28" s="136" t="s">
        <v>366</v>
      </c>
      <c r="J28" s="136" t="s">
        <v>366</v>
      </c>
      <c r="K28" s="136" t="s">
        <v>366</v>
      </c>
      <c r="L28" s="136" t="s">
        <v>366</v>
      </c>
      <c r="M28" s="136" t="s">
        <v>13</v>
      </c>
      <c r="N28" s="136" t="s">
        <v>366</v>
      </c>
      <c r="Z28" s="142"/>
      <c r="AI28" s="141"/>
      <c r="AJ28" s="141"/>
      <c r="AK28" s="141"/>
      <c r="AL28" s="141"/>
      <c r="AM28" s="141"/>
      <c r="AP28" s="129"/>
      <c r="AQ28" s="129"/>
      <c r="AR28" s="129"/>
      <c r="AS28" s="129"/>
      <c r="AT28" s="129"/>
      <c r="AU28" s="129"/>
      <c r="AV28" s="129"/>
      <c r="AW28" s="129"/>
      <c r="EJ28" s="129"/>
      <c r="EL28" s="129"/>
      <c r="EN28" s="129"/>
      <c r="EP28" s="129"/>
      <c r="ER28" s="129"/>
      <c r="ET28" s="129"/>
      <c r="EV28" s="129"/>
      <c r="EX28" s="129"/>
      <c r="FA28" s="129"/>
      <c r="FC28" s="129"/>
      <c r="FE28" s="129"/>
      <c r="FG28" s="129"/>
      <c r="FI28" s="129"/>
      <c r="FK28" s="129"/>
      <c r="FM28" s="129"/>
      <c r="FO28" s="129"/>
      <c r="FP28" s="141"/>
      <c r="HS28" s="132"/>
      <c r="HT28" s="128"/>
      <c r="HV28" s="128"/>
      <c r="HW28" s="128"/>
      <c r="HX28" s="128"/>
      <c r="HY28" s="128"/>
      <c r="HZ28" s="128"/>
      <c r="IA28" s="128"/>
      <c r="IB28" s="128"/>
      <c r="IC28" s="128"/>
      <c r="ID28" s="128"/>
      <c r="IF28" s="132"/>
      <c r="IG28" s="132"/>
      <c r="IH28" s="132"/>
      <c r="II28" s="132"/>
      <c r="IJ28" s="132"/>
      <c r="IK28" s="132"/>
      <c r="IM28" s="132"/>
      <c r="IO28" s="132"/>
      <c r="IP28" s="132"/>
      <c r="IQ28" s="132"/>
      <c r="IR28" s="132"/>
      <c r="IS28" s="132"/>
      <c r="IV28" s="128"/>
      <c r="IW28" s="128"/>
      <c r="IX28" s="128"/>
      <c r="IY28" s="128"/>
      <c r="IZ28" s="128"/>
      <c r="JA28" s="128"/>
      <c r="JB28" s="128"/>
      <c r="JC28" s="128"/>
      <c r="JD28" s="128"/>
      <c r="JE28" s="128"/>
      <c r="JH28" s="128"/>
      <c r="JI28" s="128"/>
      <c r="JJ28" s="128"/>
      <c r="JK28" s="128"/>
      <c r="JL28" s="128"/>
      <c r="JS28" s="128"/>
      <c r="JT28" s="128"/>
      <c r="JW28" s="132"/>
      <c r="JY28" s="132"/>
      <c r="JZ28" s="132"/>
      <c r="KB28" s="132"/>
      <c r="KC28" s="141"/>
      <c r="KF28" s="132"/>
      <c r="KJ28" s="156"/>
      <c r="KL28" s="132"/>
      <c r="OT28" s="132"/>
      <c r="OX28" s="132"/>
      <c r="PI28" s="132"/>
      <c r="QW28" s="132"/>
      <c r="QX28" s="132"/>
      <c r="QZ28" s="132"/>
      <c r="RJ28" s="132"/>
      <c r="TW28" s="156"/>
      <c r="VD28" s="132"/>
      <c r="AGB28" s="149"/>
      <c r="AGG28" s="149"/>
      <c r="AGL28" s="149"/>
      <c r="AGQ28" s="149"/>
      <c r="AHF28" s="149"/>
      <c r="AHM28" s="149"/>
      <c r="AHQ28" s="149"/>
      <c r="AHX28" s="149"/>
      <c r="AIM28" s="149"/>
      <c r="AIT28" s="149"/>
      <c r="AIX28" s="149"/>
      <c r="AJE28" s="149"/>
      <c r="AJT28" s="149"/>
      <c r="AKA28" s="149"/>
      <c r="AKE28" s="149"/>
      <c r="AKL28" s="149"/>
      <c r="ALA28" s="149"/>
      <c r="ALH28" s="149"/>
      <c r="ALL28" s="149"/>
      <c r="ALS28" s="149"/>
      <c r="AMH28" s="149"/>
      <c r="AMO28" s="149"/>
      <c r="AMS28" s="149"/>
      <c r="AMZ28" s="149"/>
      <c r="ANO28" s="149"/>
      <c r="ANV28" s="149"/>
      <c r="ANZ28" s="149"/>
      <c r="AOG28" s="149"/>
      <c r="AOV28" s="149"/>
      <c r="APC28" s="149"/>
      <c r="APG28" s="149"/>
      <c r="APN28" s="149"/>
    </row>
    <row r="29" spans="1:1296" outlineLevel="1">
      <c r="A29" s="158" t="s">
        <v>236</v>
      </c>
      <c r="B29" s="159" t="s">
        <v>240</v>
      </c>
      <c r="C29" s="139" t="s">
        <v>241</v>
      </c>
      <c r="D29" s="139" t="s">
        <v>242</v>
      </c>
      <c r="E29" s="158">
        <v>239</v>
      </c>
      <c r="G29" s="136" t="s">
        <v>173</v>
      </c>
      <c r="H29" s="136" t="s">
        <v>366</v>
      </c>
      <c r="I29" s="136" t="s">
        <v>366</v>
      </c>
      <c r="J29" s="136" t="s">
        <v>366</v>
      </c>
      <c r="K29" s="136" t="s">
        <v>366</v>
      </c>
      <c r="L29" s="136" t="s">
        <v>366</v>
      </c>
      <c r="M29" s="136" t="s">
        <v>13</v>
      </c>
      <c r="N29" s="136" t="s">
        <v>366</v>
      </c>
      <c r="Z29" s="142"/>
      <c r="AI29" s="141"/>
      <c r="AJ29" s="141"/>
      <c r="AK29" s="141"/>
      <c r="AL29" s="141"/>
      <c r="AM29" s="141"/>
      <c r="AP29" s="129"/>
      <c r="AQ29" s="129"/>
      <c r="AR29" s="129"/>
      <c r="AS29" s="129"/>
      <c r="AT29" s="129"/>
      <c r="AU29" s="129"/>
      <c r="AV29" s="129"/>
      <c r="AW29" s="129"/>
      <c r="EJ29" s="129"/>
      <c r="EL29" s="129"/>
      <c r="EN29" s="129"/>
      <c r="EP29" s="129"/>
      <c r="ER29" s="129"/>
      <c r="ET29" s="129"/>
      <c r="EV29" s="129"/>
      <c r="EX29" s="129"/>
      <c r="FA29" s="129"/>
      <c r="FC29" s="129"/>
      <c r="FE29" s="129"/>
      <c r="FG29" s="129"/>
      <c r="FI29" s="129"/>
      <c r="FK29" s="129"/>
      <c r="FM29" s="129"/>
      <c r="FO29" s="129"/>
      <c r="FP29" s="141"/>
      <c r="HS29" s="132"/>
      <c r="HT29" s="128"/>
      <c r="HV29" s="128"/>
      <c r="HW29" s="128"/>
      <c r="HX29" s="128"/>
      <c r="HY29" s="128"/>
      <c r="HZ29" s="128"/>
      <c r="IA29" s="128"/>
      <c r="IB29" s="128"/>
      <c r="IC29" s="128"/>
      <c r="ID29" s="128"/>
      <c r="IF29" s="132"/>
      <c r="IG29" s="132"/>
      <c r="IH29" s="132"/>
      <c r="II29" s="132"/>
      <c r="IJ29" s="132"/>
      <c r="IK29" s="132"/>
      <c r="IM29" s="132"/>
      <c r="IO29" s="132"/>
      <c r="IP29" s="132"/>
      <c r="IQ29" s="132"/>
      <c r="IR29" s="132"/>
      <c r="IS29" s="132"/>
      <c r="IV29" s="128"/>
      <c r="IW29" s="128"/>
      <c r="IX29" s="128"/>
      <c r="IY29" s="128"/>
      <c r="IZ29" s="128"/>
      <c r="JA29" s="128"/>
      <c r="JB29" s="128"/>
      <c r="JC29" s="128"/>
      <c r="JD29" s="128"/>
      <c r="JE29" s="128"/>
      <c r="JH29" s="128"/>
      <c r="JI29" s="128"/>
      <c r="JJ29" s="128"/>
      <c r="JK29" s="128"/>
      <c r="JL29" s="128"/>
      <c r="JS29" s="128"/>
      <c r="JT29" s="128"/>
      <c r="JW29" s="132"/>
      <c r="JY29" s="132"/>
      <c r="JZ29" s="132"/>
      <c r="KB29" s="132"/>
      <c r="KC29" s="141"/>
      <c r="KF29" s="132"/>
      <c r="KJ29" s="156"/>
      <c r="KL29" s="132"/>
      <c r="OT29" s="132"/>
      <c r="OX29" s="132"/>
      <c r="PI29" s="132"/>
      <c r="QW29" s="132"/>
      <c r="QX29" s="132"/>
      <c r="QZ29" s="132"/>
      <c r="RJ29" s="132"/>
      <c r="TW29" s="156"/>
      <c r="VD29" s="132"/>
      <c r="AGB29" s="149"/>
      <c r="AGG29" s="149"/>
      <c r="AGL29" s="149"/>
      <c r="AGQ29" s="149"/>
      <c r="AHF29" s="149"/>
      <c r="AHM29" s="149"/>
      <c r="AHQ29" s="149"/>
      <c r="AHX29" s="149"/>
      <c r="AIM29" s="149"/>
      <c r="AIT29" s="149"/>
      <c r="AIX29" s="149"/>
      <c r="AJE29" s="149"/>
      <c r="AJT29" s="149"/>
      <c r="AKA29" s="149"/>
      <c r="AKE29" s="149"/>
      <c r="AKL29" s="149"/>
      <c r="ALA29" s="149"/>
      <c r="ALH29" s="149"/>
      <c r="ALL29" s="149"/>
      <c r="ALS29" s="149"/>
      <c r="AMH29" s="149"/>
      <c r="AMO29" s="149"/>
      <c r="AMS29" s="149"/>
      <c r="AMZ29" s="149"/>
      <c r="ANO29" s="149"/>
      <c r="ANV29" s="149"/>
      <c r="ANZ29" s="149"/>
      <c r="AOG29" s="149"/>
      <c r="AOV29" s="149"/>
      <c r="APC29" s="149"/>
      <c r="APG29" s="149"/>
      <c r="APN29" s="149"/>
    </row>
    <row r="30" spans="1:1296" ht="25.5" outlineLevel="1">
      <c r="A30" s="158" t="s">
        <v>236</v>
      </c>
      <c r="B30" s="159" t="s">
        <v>243</v>
      </c>
      <c r="C30" s="139" t="s">
        <v>244</v>
      </c>
      <c r="D30" s="139" t="s">
        <v>245</v>
      </c>
      <c r="E30" s="158">
        <v>240</v>
      </c>
      <c r="G30" s="136" t="s">
        <v>173</v>
      </c>
      <c r="H30" s="136" t="s">
        <v>366</v>
      </c>
      <c r="I30" s="136" t="s">
        <v>366</v>
      </c>
      <c r="J30" s="136" t="s">
        <v>366</v>
      </c>
      <c r="K30" s="136" t="s">
        <v>366</v>
      </c>
      <c r="L30" s="136" t="s">
        <v>366</v>
      </c>
      <c r="M30" s="136" t="s">
        <v>13</v>
      </c>
      <c r="N30" s="136" t="s">
        <v>366</v>
      </c>
      <c r="Z30" s="142"/>
      <c r="AI30" s="141"/>
      <c r="AJ30" s="141"/>
      <c r="AK30" s="141"/>
      <c r="AL30" s="141"/>
      <c r="AM30" s="141"/>
      <c r="AP30" s="129"/>
      <c r="AQ30" s="129"/>
      <c r="AR30" s="129"/>
      <c r="AS30" s="129"/>
      <c r="AT30" s="129"/>
      <c r="AU30" s="129"/>
      <c r="AV30" s="129"/>
      <c r="AW30" s="129"/>
      <c r="EJ30" s="129"/>
      <c r="EL30" s="129"/>
      <c r="EN30" s="129"/>
      <c r="EP30" s="129"/>
      <c r="ER30" s="129"/>
      <c r="ET30" s="129"/>
      <c r="EV30" s="129"/>
      <c r="EX30" s="129"/>
      <c r="FA30" s="129"/>
      <c r="FC30" s="129"/>
      <c r="FE30" s="129"/>
      <c r="FG30" s="129"/>
      <c r="FI30" s="129"/>
      <c r="FK30" s="129"/>
      <c r="FM30" s="129"/>
      <c r="FO30" s="129"/>
      <c r="FP30" s="141"/>
      <c r="HS30" s="132"/>
      <c r="HT30" s="128"/>
      <c r="HV30" s="128"/>
      <c r="HW30" s="128"/>
      <c r="HX30" s="128"/>
      <c r="HY30" s="128"/>
      <c r="HZ30" s="128"/>
      <c r="IA30" s="128"/>
      <c r="IB30" s="128"/>
      <c r="IC30" s="128"/>
      <c r="ID30" s="128"/>
      <c r="IF30" s="132"/>
      <c r="IG30" s="132"/>
      <c r="IH30" s="132"/>
      <c r="II30" s="132"/>
      <c r="IJ30" s="132"/>
      <c r="IK30" s="132"/>
      <c r="IM30" s="132"/>
      <c r="IO30" s="132"/>
      <c r="IP30" s="132"/>
      <c r="IQ30" s="132"/>
      <c r="IR30" s="132"/>
      <c r="IS30" s="132"/>
      <c r="IV30" s="128"/>
      <c r="IW30" s="128"/>
      <c r="IX30" s="128"/>
      <c r="IY30" s="128"/>
      <c r="IZ30" s="128"/>
      <c r="JA30" s="128"/>
      <c r="JB30" s="128"/>
      <c r="JC30" s="128"/>
      <c r="JD30" s="128"/>
      <c r="JE30" s="128"/>
      <c r="JH30" s="128"/>
      <c r="JI30" s="128"/>
      <c r="JJ30" s="128"/>
      <c r="JK30" s="128"/>
      <c r="JL30" s="128"/>
      <c r="JS30" s="128"/>
      <c r="JT30" s="128"/>
      <c r="JW30" s="132"/>
      <c r="JY30" s="132"/>
      <c r="JZ30" s="132"/>
      <c r="KB30" s="132"/>
      <c r="KC30" s="141"/>
      <c r="KF30" s="132"/>
      <c r="KJ30" s="156"/>
      <c r="KL30" s="132"/>
      <c r="OT30" s="132"/>
      <c r="OX30" s="132"/>
      <c r="PI30" s="132"/>
      <c r="QW30" s="132"/>
      <c r="QX30" s="132"/>
      <c r="QZ30" s="132"/>
      <c r="RJ30" s="132"/>
      <c r="TW30" s="156"/>
      <c r="VD30" s="132"/>
      <c r="AGB30" s="149"/>
      <c r="AGG30" s="149"/>
      <c r="AGL30" s="149"/>
      <c r="AGQ30" s="149"/>
      <c r="AHF30" s="149"/>
      <c r="AHM30" s="149"/>
      <c r="AHQ30" s="149"/>
      <c r="AHX30" s="149"/>
      <c r="AIM30" s="149"/>
      <c r="AIT30" s="149"/>
      <c r="AIX30" s="149"/>
      <c r="AJE30" s="149"/>
      <c r="AJT30" s="149"/>
      <c r="AKA30" s="149"/>
      <c r="AKE30" s="149"/>
      <c r="AKL30" s="149"/>
      <c r="ALA30" s="149"/>
      <c r="ALH30" s="149"/>
      <c r="ALL30" s="149"/>
      <c r="ALS30" s="149"/>
      <c r="AMH30" s="149"/>
      <c r="AMO30" s="149"/>
      <c r="AMS30" s="149"/>
      <c r="AMZ30" s="149"/>
      <c r="ANO30" s="149"/>
      <c r="ANV30" s="149"/>
      <c r="ANZ30" s="149"/>
      <c r="AOG30" s="149"/>
      <c r="AOV30" s="149"/>
      <c r="APC30" s="149"/>
      <c r="APG30" s="149"/>
      <c r="APN30" s="149"/>
    </row>
    <row r="31" spans="1:1296" outlineLevel="1">
      <c r="A31" s="158" t="s">
        <v>236</v>
      </c>
      <c r="B31" s="159" t="s">
        <v>246</v>
      </c>
      <c r="C31" s="139" t="s">
        <v>247</v>
      </c>
      <c r="D31" s="139" t="s">
        <v>248</v>
      </c>
      <c r="E31" s="158">
        <v>241</v>
      </c>
      <c r="G31" s="136" t="s">
        <v>11</v>
      </c>
      <c r="H31" s="136" t="s">
        <v>366</v>
      </c>
      <c r="I31" s="136" t="s">
        <v>366</v>
      </c>
      <c r="J31" s="136" t="s">
        <v>366</v>
      </c>
      <c r="K31" s="136" t="s">
        <v>366</v>
      </c>
      <c r="L31" s="136" t="s">
        <v>366</v>
      </c>
      <c r="M31" s="136" t="s">
        <v>13</v>
      </c>
      <c r="N31" s="136" t="s">
        <v>366</v>
      </c>
      <c r="Z31" s="142"/>
      <c r="AI31" s="141"/>
      <c r="AJ31" s="141"/>
      <c r="AK31" s="141"/>
      <c r="AL31" s="141"/>
      <c r="AM31" s="141"/>
      <c r="AP31" s="129"/>
      <c r="AQ31" s="129"/>
      <c r="AR31" s="129"/>
      <c r="AS31" s="129"/>
      <c r="AT31" s="129"/>
      <c r="AU31" s="129"/>
      <c r="AV31" s="129"/>
      <c r="AW31" s="129"/>
      <c r="EJ31" s="129"/>
      <c r="EL31" s="129"/>
      <c r="EN31" s="129"/>
      <c r="EP31" s="129"/>
      <c r="ER31" s="129"/>
      <c r="ET31" s="129"/>
      <c r="EV31" s="129"/>
      <c r="EX31" s="129"/>
      <c r="FA31" s="129"/>
      <c r="FC31" s="129"/>
      <c r="FE31" s="129"/>
      <c r="FG31" s="129"/>
      <c r="FI31" s="129"/>
      <c r="FK31" s="129"/>
      <c r="FM31" s="129"/>
      <c r="FO31" s="129"/>
      <c r="FP31" s="141"/>
      <c r="HS31" s="132"/>
      <c r="HT31" s="128"/>
      <c r="HV31" s="128"/>
      <c r="HW31" s="128"/>
      <c r="HX31" s="128"/>
      <c r="HY31" s="128"/>
      <c r="HZ31" s="128"/>
      <c r="IA31" s="128"/>
      <c r="IB31" s="128"/>
      <c r="IC31" s="128"/>
      <c r="ID31" s="128"/>
      <c r="IF31" s="132"/>
      <c r="IG31" s="132"/>
      <c r="IH31" s="132"/>
      <c r="II31" s="132"/>
      <c r="IJ31" s="132"/>
      <c r="IK31" s="132"/>
      <c r="IM31" s="132"/>
      <c r="IO31" s="132"/>
      <c r="IP31" s="132"/>
      <c r="IQ31" s="132"/>
      <c r="IR31" s="132"/>
      <c r="IS31" s="132"/>
      <c r="IV31" s="128"/>
      <c r="IW31" s="128"/>
      <c r="IX31" s="128"/>
      <c r="IY31" s="128"/>
      <c r="IZ31" s="128"/>
      <c r="JA31" s="128"/>
      <c r="JB31" s="128"/>
      <c r="JC31" s="128"/>
      <c r="JD31" s="128"/>
      <c r="JE31" s="128"/>
      <c r="JH31" s="128"/>
      <c r="JI31" s="128"/>
      <c r="JJ31" s="128"/>
      <c r="JK31" s="128"/>
      <c r="JL31" s="128"/>
      <c r="JS31" s="128"/>
      <c r="JT31" s="128"/>
      <c r="JW31" s="132"/>
      <c r="JY31" s="132"/>
      <c r="JZ31" s="132"/>
      <c r="KB31" s="132"/>
      <c r="KC31" s="141"/>
      <c r="KF31" s="132"/>
      <c r="KJ31" s="156"/>
      <c r="KL31" s="132"/>
      <c r="OT31" s="132"/>
      <c r="OX31" s="132"/>
      <c r="PI31" s="132"/>
      <c r="QW31" s="132"/>
      <c r="QX31" s="132"/>
      <c r="QZ31" s="132"/>
      <c r="RJ31" s="132"/>
      <c r="TW31" s="156"/>
      <c r="VD31" s="132"/>
      <c r="AGB31" s="149"/>
      <c r="AGG31" s="149"/>
      <c r="AGL31" s="149"/>
      <c r="AGQ31" s="149"/>
      <c r="AHF31" s="149"/>
      <c r="AHM31" s="149"/>
      <c r="AHQ31" s="149"/>
      <c r="AHX31" s="149"/>
      <c r="AIM31" s="149"/>
      <c r="AIT31" s="149"/>
      <c r="AIX31" s="149"/>
      <c r="AJE31" s="149"/>
      <c r="AJT31" s="149"/>
      <c r="AKA31" s="149"/>
      <c r="AKE31" s="149"/>
      <c r="AKL31" s="149"/>
      <c r="ALA31" s="149"/>
      <c r="ALH31" s="149"/>
      <c r="ALL31" s="149"/>
      <c r="ALS31" s="149"/>
      <c r="AMH31" s="149"/>
      <c r="AMO31" s="149"/>
      <c r="AMS31" s="149"/>
      <c r="AMZ31" s="149"/>
      <c r="ANO31" s="149"/>
      <c r="ANV31" s="149"/>
      <c r="ANZ31" s="149"/>
      <c r="AOG31" s="149"/>
      <c r="AOV31" s="149"/>
      <c r="APC31" s="149"/>
      <c r="APG31" s="149"/>
      <c r="APN31" s="149"/>
    </row>
    <row r="32" spans="1:1296" outlineLevel="1">
      <c r="A32" s="158" t="s">
        <v>236</v>
      </c>
      <c r="B32" s="159" t="s">
        <v>249</v>
      </c>
      <c r="C32" s="139" t="s">
        <v>250</v>
      </c>
      <c r="D32" s="139" t="s">
        <v>251</v>
      </c>
      <c r="E32" s="158">
        <v>242</v>
      </c>
      <c r="G32" s="136" t="s">
        <v>173</v>
      </c>
      <c r="H32" s="136" t="s">
        <v>366</v>
      </c>
      <c r="I32" s="136" t="s">
        <v>366</v>
      </c>
      <c r="J32" s="136" t="s">
        <v>366</v>
      </c>
      <c r="K32" s="136" t="s">
        <v>366</v>
      </c>
      <c r="L32" s="136" t="s">
        <v>366</v>
      </c>
      <c r="N32" s="136" t="s">
        <v>366</v>
      </c>
      <c r="Z32" s="142"/>
      <c r="AI32" s="141"/>
      <c r="AJ32" s="141"/>
      <c r="AK32" s="141"/>
      <c r="AL32" s="141"/>
      <c r="AM32" s="141"/>
      <c r="AP32" s="129"/>
      <c r="AQ32" s="129"/>
      <c r="AR32" s="129"/>
      <c r="AS32" s="129"/>
      <c r="AT32" s="129"/>
      <c r="AU32" s="129"/>
      <c r="AV32" s="129"/>
      <c r="AW32" s="129"/>
      <c r="EJ32" s="129"/>
      <c r="EL32" s="129"/>
      <c r="EN32" s="129"/>
      <c r="EP32" s="129"/>
      <c r="ER32" s="129"/>
      <c r="ET32" s="129"/>
      <c r="EV32" s="129"/>
      <c r="EX32" s="129"/>
      <c r="FA32" s="129"/>
      <c r="FC32" s="129"/>
      <c r="FE32" s="129"/>
      <c r="FG32" s="129"/>
      <c r="FI32" s="129"/>
      <c r="FK32" s="129"/>
      <c r="FM32" s="129"/>
      <c r="FO32" s="129"/>
      <c r="FP32" s="141"/>
      <c r="HS32" s="132"/>
      <c r="HT32" s="128"/>
      <c r="HV32" s="128"/>
      <c r="HW32" s="128"/>
      <c r="HX32" s="128"/>
      <c r="HY32" s="128"/>
      <c r="HZ32" s="128"/>
      <c r="IA32" s="128"/>
      <c r="IB32" s="128"/>
      <c r="IC32" s="128"/>
      <c r="ID32" s="128"/>
      <c r="IF32" s="132"/>
      <c r="IG32" s="132"/>
      <c r="IH32" s="132"/>
      <c r="II32" s="132"/>
      <c r="IJ32" s="132"/>
      <c r="IK32" s="132"/>
      <c r="IM32" s="132"/>
      <c r="IO32" s="132"/>
      <c r="IP32" s="132"/>
      <c r="IQ32" s="132"/>
      <c r="IR32" s="132"/>
      <c r="IS32" s="132"/>
      <c r="IV32" s="128"/>
      <c r="IW32" s="128"/>
      <c r="IX32" s="128"/>
      <c r="IY32" s="128"/>
      <c r="IZ32" s="128"/>
      <c r="JA32" s="128"/>
      <c r="JB32" s="128"/>
      <c r="JC32" s="128"/>
      <c r="JD32" s="128"/>
      <c r="JE32" s="128"/>
      <c r="JH32" s="128"/>
      <c r="JI32" s="128"/>
      <c r="JJ32" s="128"/>
      <c r="JK32" s="128"/>
      <c r="JL32" s="128"/>
      <c r="JS32" s="128"/>
      <c r="JT32" s="128"/>
      <c r="JW32" s="132"/>
      <c r="JY32" s="132"/>
      <c r="JZ32" s="132"/>
      <c r="KB32" s="132"/>
      <c r="KC32" s="141"/>
      <c r="KF32" s="132"/>
      <c r="KJ32" s="156"/>
      <c r="KL32" s="132"/>
      <c r="OT32" s="132"/>
      <c r="OX32" s="132"/>
      <c r="PI32" s="132"/>
      <c r="QW32" s="132"/>
      <c r="QX32" s="132"/>
      <c r="QZ32" s="132"/>
      <c r="RJ32" s="132"/>
      <c r="TW32" s="156"/>
      <c r="VD32" s="132"/>
      <c r="AGB32" s="149"/>
      <c r="AGG32" s="149"/>
      <c r="AGL32" s="149"/>
      <c r="AGQ32" s="149"/>
      <c r="AHF32" s="149"/>
      <c r="AHM32" s="149"/>
      <c r="AHQ32" s="149"/>
      <c r="AHX32" s="149"/>
      <c r="AIM32" s="149"/>
      <c r="AIT32" s="149"/>
      <c r="AIX32" s="149"/>
      <c r="AJE32" s="149"/>
      <c r="AJT32" s="149"/>
      <c r="AKA32" s="149"/>
      <c r="AKE32" s="149"/>
      <c r="AKL32" s="149"/>
      <c r="ALA32" s="149"/>
      <c r="ALH32" s="149"/>
      <c r="ALL32" s="149"/>
      <c r="ALS32" s="149"/>
      <c r="AMH32" s="149"/>
      <c r="AMO32" s="149"/>
      <c r="AMS32" s="149"/>
      <c r="AMZ32" s="149"/>
      <c r="ANO32" s="149"/>
      <c r="ANV32" s="149"/>
      <c r="ANZ32" s="149"/>
      <c r="AOG32" s="149"/>
      <c r="AOV32" s="149"/>
      <c r="APC32" s="149"/>
      <c r="APG32" s="149"/>
      <c r="APN32" s="149"/>
    </row>
    <row r="33" spans="1:1022 1029:1197" ht="25.5" outlineLevel="1">
      <c r="A33" s="158" t="s">
        <v>236</v>
      </c>
      <c r="B33" s="159" t="s">
        <v>252</v>
      </c>
      <c r="C33" s="139" t="s">
        <v>253</v>
      </c>
      <c r="D33" s="139" t="s">
        <v>254</v>
      </c>
      <c r="E33" s="158">
        <v>243</v>
      </c>
      <c r="G33" s="136" t="s">
        <v>173</v>
      </c>
      <c r="H33" s="136" t="s">
        <v>366</v>
      </c>
      <c r="I33" s="136" t="s">
        <v>366</v>
      </c>
      <c r="J33" s="136" t="s">
        <v>366</v>
      </c>
      <c r="K33" s="136" t="s">
        <v>366</v>
      </c>
      <c r="L33" s="136" t="s">
        <v>366</v>
      </c>
      <c r="M33" s="136" t="s">
        <v>13</v>
      </c>
      <c r="N33" s="136" t="s">
        <v>366</v>
      </c>
      <c r="Z33" s="142"/>
      <c r="AI33" s="141"/>
      <c r="AJ33" s="141"/>
      <c r="AK33" s="141"/>
      <c r="AL33" s="141"/>
      <c r="AM33" s="141"/>
      <c r="AP33" s="129"/>
      <c r="AQ33" s="129"/>
      <c r="AR33" s="129"/>
      <c r="AS33" s="129"/>
      <c r="AT33" s="129"/>
      <c r="AU33" s="129"/>
      <c r="AV33" s="129"/>
      <c r="AW33" s="129"/>
      <c r="EJ33" s="129"/>
      <c r="EL33" s="129"/>
      <c r="EN33" s="129"/>
      <c r="EP33" s="129"/>
      <c r="ER33" s="129"/>
      <c r="ET33" s="129"/>
      <c r="EV33" s="129"/>
      <c r="EX33" s="129"/>
      <c r="FA33" s="129"/>
      <c r="FC33" s="129"/>
      <c r="FE33" s="129"/>
      <c r="FG33" s="129"/>
      <c r="FI33" s="129"/>
      <c r="FK33" s="129"/>
      <c r="FM33" s="129"/>
      <c r="FO33" s="129"/>
      <c r="FP33" s="141"/>
      <c r="HS33" s="132"/>
      <c r="HT33" s="128"/>
      <c r="HV33" s="128"/>
      <c r="HW33" s="128"/>
      <c r="HX33" s="128"/>
      <c r="HY33" s="128"/>
      <c r="HZ33" s="128"/>
      <c r="IA33" s="128"/>
      <c r="IB33" s="128"/>
      <c r="IC33" s="128"/>
      <c r="ID33" s="128"/>
      <c r="IF33" s="132"/>
      <c r="IG33" s="132"/>
      <c r="IH33" s="132"/>
      <c r="II33" s="132"/>
      <c r="IJ33" s="132"/>
      <c r="IK33" s="132"/>
      <c r="IM33" s="132"/>
      <c r="IO33" s="132"/>
      <c r="IP33" s="132"/>
      <c r="IQ33" s="132"/>
      <c r="IR33" s="132"/>
      <c r="IS33" s="132"/>
      <c r="IV33" s="128"/>
      <c r="IW33" s="128"/>
      <c r="IX33" s="128"/>
      <c r="IY33" s="128"/>
      <c r="IZ33" s="128"/>
      <c r="JA33" s="128"/>
      <c r="JB33" s="128"/>
      <c r="JC33" s="128"/>
      <c r="JD33" s="128"/>
      <c r="JE33" s="128"/>
      <c r="JH33" s="128"/>
      <c r="JI33" s="128"/>
      <c r="JJ33" s="128"/>
      <c r="JK33" s="128"/>
      <c r="JL33" s="128"/>
      <c r="JS33" s="128"/>
      <c r="JT33" s="128"/>
      <c r="JW33" s="132"/>
      <c r="JY33" s="132"/>
      <c r="JZ33" s="132"/>
      <c r="KB33" s="132"/>
      <c r="KC33" s="141"/>
      <c r="KF33" s="132"/>
      <c r="KJ33" s="156"/>
      <c r="KL33" s="132"/>
      <c r="OT33" s="132"/>
      <c r="OX33" s="132"/>
      <c r="PI33" s="132"/>
      <c r="QW33" s="132"/>
      <c r="QX33" s="132"/>
      <c r="QZ33" s="132"/>
      <c r="RJ33" s="132"/>
      <c r="TW33" s="156"/>
      <c r="VD33" s="132"/>
      <c r="AGB33" s="149"/>
      <c r="AGG33" s="149"/>
      <c r="AGL33" s="149"/>
      <c r="AGQ33" s="149"/>
      <c r="AHF33" s="149"/>
      <c r="AHM33" s="149"/>
      <c r="AHQ33" s="149"/>
      <c r="AHX33" s="149"/>
      <c r="AIM33" s="149"/>
      <c r="AIT33" s="149"/>
      <c r="AIX33" s="149"/>
      <c r="AJE33" s="149"/>
      <c r="AJT33" s="149"/>
      <c r="AKA33" s="149"/>
      <c r="AKE33" s="149"/>
      <c r="AKL33" s="149"/>
      <c r="ALA33" s="149"/>
      <c r="ALH33" s="149"/>
      <c r="ALL33" s="149"/>
      <c r="ALS33" s="149"/>
      <c r="AMH33" s="149"/>
      <c r="AMO33" s="149"/>
      <c r="AMS33" s="149"/>
      <c r="AMZ33" s="149"/>
      <c r="ANO33" s="149"/>
      <c r="ANV33" s="149"/>
      <c r="ANZ33" s="149"/>
      <c r="AOG33" s="149"/>
      <c r="AOV33" s="149"/>
      <c r="APC33" s="149"/>
      <c r="APG33" s="149"/>
      <c r="APN33" s="149"/>
    </row>
    <row r="34" spans="1:1022 1029:1197" outlineLevel="1">
      <c r="A34" s="158" t="s">
        <v>236</v>
      </c>
      <c r="B34" s="159" t="s">
        <v>255</v>
      </c>
      <c r="C34" s="139" t="s">
        <v>256</v>
      </c>
      <c r="D34" s="139" t="s">
        <v>257</v>
      </c>
      <c r="E34" s="158">
        <v>244</v>
      </c>
      <c r="G34" s="136" t="s">
        <v>11</v>
      </c>
      <c r="H34" s="136" t="s">
        <v>366</v>
      </c>
      <c r="I34" s="136" t="s">
        <v>366</v>
      </c>
      <c r="J34" s="136" t="s">
        <v>366</v>
      </c>
      <c r="K34" s="136" t="s">
        <v>366</v>
      </c>
      <c r="L34" s="136" t="s">
        <v>366</v>
      </c>
      <c r="M34" s="136" t="s">
        <v>13</v>
      </c>
      <c r="N34" s="136" t="s">
        <v>366</v>
      </c>
      <c r="Z34" s="142"/>
      <c r="AI34" s="141"/>
      <c r="AJ34" s="141"/>
      <c r="AK34" s="141"/>
      <c r="AL34" s="141"/>
      <c r="AM34" s="141"/>
      <c r="AP34" s="129"/>
      <c r="AQ34" s="129"/>
      <c r="AR34" s="129"/>
      <c r="AS34" s="129"/>
      <c r="AT34" s="129"/>
      <c r="AU34" s="129"/>
      <c r="AV34" s="129"/>
      <c r="AW34" s="129"/>
      <c r="EJ34" s="129"/>
      <c r="EL34" s="129"/>
      <c r="EN34" s="129"/>
      <c r="EP34" s="129"/>
      <c r="ER34" s="129"/>
      <c r="ET34" s="129"/>
      <c r="EV34" s="129"/>
      <c r="EX34" s="129"/>
      <c r="FA34" s="129"/>
      <c r="FC34" s="129"/>
      <c r="FE34" s="129"/>
      <c r="FG34" s="129"/>
      <c r="FI34" s="129"/>
      <c r="FK34" s="129"/>
      <c r="FM34" s="129"/>
      <c r="FO34" s="129"/>
      <c r="FP34" s="141"/>
      <c r="HS34" s="132"/>
      <c r="HT34" s="128"/>
      <c r="HV34" s="128"/>
      <c r="HW34" s="128"/>
      <c r="HX34" s="128"/>
      <c r="HY34" s="128"/>
      <c r="HZ34" s="128"/>
      <c r="IA34" s="128"/>
      <c r="IB34" s="128"/>
      <c r="IC34" s="128"/>
      <c r="ID34" s="128"/>
      <c r="IF34" s="132"/>
      <c r="IG34" s="132"/>
      <c r="IH34" s="132"/>
      <c r="II34" s="132"/>
      <c r="IJ34" s="132"/>
      <c r="IK34" s="132"/>
      <c r="IM34" s="132"/>
      <c r="IO34" s="132"/>
      <c r="IP34" s="132"/>
      <c r="IQ34" s="132"/>
      <c r="IR34" s="132"/>
      <c r="IS34" s="132"/>
      <c r="IV34" s="128"/>
      <c r="IW34" s="128"/>
      <c r="IX34" s="128"/>
      <c r="IY34" s="128"/>
      <c r="IZ34" s="128"/>
      <c r="JA34" s="128"/>
      <c r="JB34" s="128"/>
      <c r="JC34" s="128"/>
      <c r="JD34" s="128"/>
      <c r="JE34" s="128"/>
      <c r="JH34" s="128"/>
      <c r="JI34" s="128"/>
      <c r="JJ34" s="128"/>
      <c r="JK34" s="128"/>
      <c r="JL34" s="128"/>
      <c r="JS34" s="128"/>
      <c r="JT34" s="128"/>
      <c r="JW34" s="132"/>
      <c r="JY34" s="132"/>
      <c r="JZ34" s="132"/>
      <c r="KB34" s="132"/>
      <c r="KC34" s="141"/>
      <c r="KF34" s="132"/>
      <c r="KJ34" s="156"/>
      <c r="KL34" s="132"/>
      <c r="OT34" s="132"/>
      <c r="OX34" s="132"/>
      <c r="PI34" s="132"/>
      <c r="QW34" s="132"/>
      <c r="QX34" s="132"/>
      <c r="QZ34" s="132"/>
      <c r="RJ34" s="132"/>
      <c r="TW34" s="156"/>
      <c r="VD34" s="132"/>
      <c r="AGB34" s="149"/>
      <c r="AGG34" s="149"/>
      <c r="AGL34" s="149"/>
      <c r="AGQ34" s="149"/>
      <c r="AHF34" s="149"/>
      <c r="AHM34" s="149"/>
      <c r="AHQ34" s="149"/>
      <c r="AHX34" s="149"/>
      <c r="AIM34" s="149"/>
      <c r="AIT34" s="149"/>
      <c r="AIX34" s="149"/>
      <c r="AJE34" s="149"/>
      <c r="AJT34" s="149"/>
      <c r="AKA34" s="149"/>
      <c r="AKE34" s="149"/>
      <c r="AKL34" s="149"/>
      <c r="ALA34" s="149"/>
      <c r="ALH34" s="149"/>
      <c r="ALL34" s="149"/>
      <c r="ALS34" s="149"/>
      <c r="AMH34" s="149"/>
      <c r="AMO34" s="149"/>
      <c r="AMS34" s="149"/>
      <c r="AMZ34" s="149"/>
      <c r="ANO34" s="149"/>
      <c r="ANV34" s="149"/>
      <c r="ANZ34" s="149"/>
      <c r="AOG34" s="149"/>
      <c r="AOV34" s="149"/>
      <c r="APC34" s="149"/>
      <c r="APG34" s="149"/>
      <c r="APN34" s="149"/>
    </row>
    <row r="35" spans="1:1022 1029:1197" outlineLevel="1">
      <c r="A35" s="158" t="s">
        <v>236</v>
      </c>
      <c r="B35" s="159" t="s">
        <v>258</v>
      </c>
      <c r="C35" s="139" t="s">
        <v>259</v>
      </c>
      <c r="D35" s="139" t="s">
        <v>260</v>
      </c>
      <c r="E35" s="158">
        <v>245</v>
      </c>
      <c r="G35" s="136" t="s">
        <v>173</v>
      </c>
      <c r="H35" s="136" t="s">
        <v>366</v>
      </c>
      <c r="I35" s="136" t="s">
        <v>366</v>
      </c>
      <c r="J35" s="136" t="s">
        <v>366</v>
      </c>
      <c r="K35" s="136" t="s">
        <v>366</v>
      </c>
      <c r="L35" s="136" t="s">
        <v>366</v>
      </c>
      <c r="N35" s="136" t="s">
        <v>366</v>
      </c>
      <c r="Z35" s="142"/>
      <c r="AI35" s="141"/>
      <c r="AJ35" s="141"/>
      <c r="AK35" s="141"/>
      <c r="AL35" s="141"/>
      <c r="AM35" s="141"/>
      <c r="AP35" s="129"/>
      <c r="AQ35" s="129"/>
      <c r="AR35" s="129"/>
      <c r="AS35" s="129"/>
      <c r="AT35" s="129"/>
      <c r="AU35" s="129"/>
      <c r="AV35" s="129"/>
      <c r="AW35" s="129"/>
      <c r="EJ35" s="129"/>
      <c r="EL35" s="129"/>
      <c r="EN35" s="129"/>
      <c r="EP35" s="129"/>
      <c r="ER35" s="129"/>
      <c r="ET35" s="129"/>
      <c r="EV35" s="129"/>
      <c r="EX35" s="129"/>
      <c r="FA35" s="129"/>
      <c r="FC35" s="129"/>
      <c r="FE35" s="129"/>
      <c r="FG35" s="129"/>
      <c r="FI35" s="129"/>
      <c r="FK35" s="129"/>
      <c r="FM35" s="129"/>
      <c r="FO35" s="129"/>
      <c r="FP35" s="141"/>
      <c r="HS35" s="132"/>
      <c r="HT35" s="128"/>
      <c r="HV35" s="128"/>
      <c r="HW35" s="128"/>
      <c r="HX35" s="128"/>
      <c r="HY35" s="128"/>
      <c r="HZ35" s="128"/>
      <c r="IA35" s="128"/>
      <c r="IB35" s="128"/>
      <c r="IC35" s="128"/>
      <c r="ID35" s="128"/>
      <c r="IF35" s="132"/>
      <c r="IG35" s="132"/>
      <c r="IH35" s="132"/>
      <c r="II35" s="132"/>
      <c r="IJ35" s="132"/>
      <c r="IK35" s="132"/>
      <c r="IM35" s="132"/>
      <c r="IO35" s="132"/>
      <c r="IP35" s="132"/>
      <c r="IQ35" s="132"/>
      <c r="IR35" s="132"/>
      <c r="IS35" s="132"/>
      <c r="IV35" s="128"/>
      <c r="IW35" s="128"/>
      <c r="IX35" s="128"/>
      <c r="IY35" s="128"/>
      <c r="IZ35" s="128"/>
      <c r="JA35" s="128"/>
      <c r="JB35" s="128"/>
      <c r="JC35" s="128"/>
      <c r="JD35" s="128"/>
      <c r="JE35" s="128"/>
      <c r="JH35" s="128"/>
      <c r="JI35" s="128"/>
      <c r="JJ35" s="128"/>
      <c r="JK35" s="128"/>
      <c r="JL35" s="128"/>
      <c r="JS35" s="128"/>
      <c r="JT35" s="128"/>
      <c r="JW35" s="132"/>
      <c r="JY35" s="132"/>
      <c r="JZ35" s="132"/>
      <c r="KB35" s="132"/>
      <c r="KC35" s="141"/>
      <c r="KF35" s="132"/>
      <c r="KJ35" s="156"/>
      <c r="KL35" s="132"/>
      <c r="OT35" s="132"/>
      <c r="OX35" s="132"/>
      <c r="PI35" s="132"/>
      <c r="QW35" s="132"/>
      <c r="QX35" s="132"/>
      <c r="QZ35" s="132"/>
      <c r="RJ35" s="132"/>
      <c r="TW35" s="156"/>
      <c r="VD35" s="132"/>
      <c r="AGB35" s="149"/>
      <c r="AGG35" s="149"/>
      <c r="AGL35" s="149"/>
      <c r="AGQ35" s="149"/>
      <c r="AHF35" s="149"/>
      <c r="AHM35" s="149"/>
      <c r="AHQ35" s="149"/>
      <c r="AHX35" s="149"/>
      <c r="AIM35" s="149"/>
      <c r="AIT35" s="149"/>
      <c r="AIX35" s="149"/>
      <c r="AJE35" s="149"/>
      <c r="AJT35" s="149"/>
      <c r="AKA35" s="149"/>
      <c r="AKE35" s="149"/>
      <c r="AKL35" s="149"/>
      <c r="ALA35" s="149"/>
      <c r="ALH35" s="149"/>
      <c r="ALL35" s="149"/>
      <c r="ALS35" s="149"/>
      <c r="AMH35" s="149"/>
      <c r="AMO35" s="149"/>
      <c r="AMS35" s="149"/>
      <c r="AMZ35" s="149"/>
      <c r="ANO35" s="149"/>
      <c r="ANV35" s="149"/>
      <c r="ANZ35" s="149"/>
      <c r="AOG35" s="149"/>
      <c r="AOV35" s="149"/>
      <c r="APC35" s="149"/>
      <c r="APG35" s="149"/>
      <c r="APN35" s="149"/>
    </row>
    <row r="36" spans="1:1022 1029:1197" ht="25.5" outlineLevel="1">
      <c r="A36" s="158" t="s">
        <v>236</v>
      </c>
      <c r="B36" s="159" t="s">
        <v>261</v>
      </c>
      <c r="C36" s="139" t="s">
        <v>262</v>
      </c>
      <c r="D36" s="139" t="s">
        <v>263</v>
      </c>
      <c r="E36" s="158">
        <v>246</v>
      </c>
      <c r="G36" s="136" t="s">
        <v>173</v>
      </c>
      <c r="H36" s="136" t="s">
        <v>366</v>
      </c>
      <c r="I36" s="136" t="s">
        <v>366</v>
      </c>
      <c r="J36" s="136" t="s">
        <v>366</v>
      </c>
      <c r="K36" s="136" t="s">
        <v>366</v>
      </c>
      <c r="L36" s="136" t="s">
        <v>366</v>
      </c>
      <c r="M36" s="136" t="s">
        <v>13</v>
      </c>
      <c r="N36" s="136" t="s">
        <v>366</v>
      </c>
      <c r="Z36" s="142"/>
      <c r="AI36" s="141"/>
      <c r="AJ36" s="141"/>
      <c r="AK36" s="141"/>
      <c r="AL36" s="141"/>
      <c r="AM36" s="141"/>
      <c r="AP36" s="129"/>
      <c r="AQ36" s="129"/>
      <c r="AR36" s="129"/>
      <c r="AS36" s="129"/>
      <c r="AT36" s="129"/>
      <c r="AU36" s="129"/>
      <c r="AV36" s="129"/>
      <c r="AW36" s="129"/>
      <c r="EJ36" s="129"/>
      <c r="EL36" s="129"/>
      <c r="EN36" s="129"/>
      <c r="EP36" s="129"/>
      <c r="ER36" s="129"/>
      <c r="ET36" s="129"/>
      <c r="EV36" s="129"/>
      <c r="EX36" s="129"/>
      <c r="FA36" s="129"/>
      <c r="FC36" s="129"/>
      <c r="FE36" s="129"/>
      <c r="FG36" s="129"/>
      <c r="FI36" s="129"/>
      <c r="FK36" s="129"/>
      <c r="FM36" s="129"/>
      <c r="FO36" s="129"/>
      <c r="FP36" s="141"/>
      <c r="HS36" s="132"/>
      <c r="HT36" s="128"/>
      <c r="HV36" s="128"/>
      <c r="HW36" s="128"/>
      <c r="HX36" s="128"/>
      <c r="HY36" s="128"/>
      <c r="HZ36" s="128"/>
      <c r="IA36" s="128"/>
      <c r="IB36" s="128"/>
      <c r="IC36" s="128"/>
      <c r="ID36" s="128"/>
      <c r="IF36" s="132"/>
      <c r="IG36" s="132"/>
      <c r="IH36" s="132"/>
      <c r="II36" s="132"/>
      <c r="IJ36" s="132"/>
      <c r="IK36" s="132"/>
      <c r="IM36" s="132"/>
      <c r="IO36" s="132"/>
      <c r="IP36" s="132"/>
      <c r="IQ36" s="132"/>
      <c r="IR36" s="132"/>
      <c r="IS36" s="132"/>
      <c r="IV36" s="128"/>
      <c r="IW36" s="128"/>
      <c r="IX36" s="128"/>
      <c r="IY36" s="128"/>
      <c r="IZ36" s="128"/>
      <c r="JA36" s="128"/>
      <c r="JB36" s="128"/>
      <c r="JC36" s="128"/>
      <c r="JD36" s="128"/>
      <c r="JE36" s="128"/>
      <c r="JH36" s="128"/>
      <c r="JI36" s="128"/>
      <c r="JJ36" s="128"/>
      <c r="JK36" s="128"/>
      <c r="JL36" s="128"/>
      <c r="JS36" s="128"/>
      <c r="JT36" s="128"/>
      <c r="JW36" s="132"/>
      <c r="JY36" s="132"/>
      <c r="JZ36" s="132"/>
      <c r="KB36" s="132"/>
      <c r="KC36" s="141"/>
      <c r="KF36" s="132"/>
      <c r="KJ36" s="156"/>
      <c r="KL36" s="132"/>
      <c r="OT36" s="132"/>
      <c r="OX36" s="132"/>
      <c r="PI36" s="132"/>
      <c r="QW36" s="132"/>
      <c r="QX36" s="132"/>
      <c r="QZ36" s="132"/>
      <c r="RJ36" s="132"/>
      <c r="TW36" s="156"/>
      <c r="VD36" s="132"/>
      <c r="AGB36" s="149"/>
      <c r="AGG36" s="149"/>
      <c r="AGL36" s="149"/>
      <c r="AGQ36" s="149"/>
      <c r="AHF36" s="149"/>
      <c r="AHM36" s="149"/>
      <c r="AHQ36" s="149"/>
      <c r="AHX36" s="149"/>
      <c r="AIM36" s="149"/>
      <c r="AIT36" s="149"/>
      <c r="AIX36" s="149"/>
      <c r="AJE36" s="149"/>
      <c r="AJT36" s="149"/>
      <c r="AKA36" s="149"/>
      <c r="AKE36" s="149"/>
      <c r="AKL36" s="149"/>
      <c r="ALA36" s="149"/>
      <c r="ALH36" s="149"/>
      <c r="ALL36" s="149"/>
      <c r="ALS36" s="149"/>
      <c r="AMH36" s="149"/>
      <c r="AMO36" s="149"/>
      <c r="AMS36" s="149"/>
      <c r="AMZ36" s="149"/>
      <c r="ANO36" s="149"/>
      <c r="ANV36" s="149"/>
      <c r="ANZ36" s="149"/>
      <c r="AOG36" s="149"/>
      <c r="AOV36" s="149"/>
      <c r="APC36" s="149"/>
      <c r="APG36" s="149"/>
      <c r="APN36" s="149"/>
    </row>
    <row r="37" spans="1:1022 1029:1197" s="129" customFormat="1" ht="25.5" outlineLevel="1">
      <c r="A37" s="137" t="s">
        <v>236</v>
      </c>
      <c r="B37" s="139" t="s">
        <v>264</v>
      </c>
      <c r="C37" s="139" t="s">
        <v>265</v>
      </c>
      <c r="D37" s="139" t="s">
        <v>266</v>
      </c>
      <c r="E37" s="137">
        <v>58</v>
      </c>
      <c r="F37" s="138"/>
      <c r="G37" s="136" t="s">
        <v>19</v>
      </c>
      <c r="H37" s="136" t="s">
        <v>366</v>
      </c>
      <c r="I37" s="136" t="s">
        <v>13</v>
      </c>
      <c r="J37" s="136" t="s">
        <v>13</v>
      </c>
      <c r="K37" s="136" t="s">
        <v>366</v>
      </c>
      <c r="L37" s="136" t="s">
        <v>366</v>
      </c>
      <c r="M37" s="136"/>
      <c r="N37" s="136" t="s">
        <v>366</v>
      </c>
      <c r="O37" s="138"/>
      <c r="HS37" s="128"/>
      <c r="HT37" s="128" t="s">
        <v>4005</v>
      </c>
      <c r="HU37" s="128" t="s">
        <v>4005</v>
      </c>
      <c r="HV37" s="128" t="s">
        <v>4010</v>
      </c>
      <c r="HW37" s="128" t="s">
        <v>4009</v>
      </c>
      <c r="HX37" s="128" t="s">
        <v>4008</v>
      </c>
      <c r="HY37" s="128" t="s">
        <v>4008</v>
      </c>
      <c r="HZ37" s="128" t="s">
        <v>4008</v>
      </c>
      <c r="IA37" s="128" t="s">
        <v>4007</v>
      </c>
      <c r="IB37" s="128" t="s">
        <v>4007</v>
      </c>
      <c r="IC37" s="128" t="s">
        <v>4007</v>
      </c>
      <c r="ID37" s="128" t="s">
        <v>4006</v>
      </c>
      <c r="IE37" s="128" t="s">
        <v>3843</v>
      </c>
      <c r="IF37" s="128"/>
      <c r="IH37" s="128"/>
      <c r="II37" s="128"/>
      <c r="IJ37" s="128"/>
      <c r="IK37" s="128"/>
      <c r="IL37" s="128"/>
      <c r="IM37" s="128" t="s">
        <v>4010</v>
      </c>
      <c r="IN37" s="128" t="s">
        <v>4003</v>
      </c>
      <c r="IO37" s="128"/>
      <c r="IP37" s="128"/>
      <c r="IQ37" s="128"/>
      <c r="IR37" s="128"/>
      <c r="IS37" s="128"/>
      <c r="IT37" s="128"/>
      <c r="IU37" s="128" t="s">
        <v>4010</v>
      </c>
      <c r="IV37" s="128" t="s">
        <v>4005</v>
      </c>
      <c r="IW37" s="128" t="s">
        <v>4010</v>
      </c>
      <c r="IX37" s="128" t="s">
        <v>4009</v>
      </c>
      <c r="IY37" s="128" t="s">
        <v>4008</v>
      </c>
      <c r="IZ37" s="128" t="s">
        <v>4008</v>
      </c>
      <c r="JA37" s="128" t="s">
        <v>4008</v>
      </c>
      <c r="JB37" s="128" t="s">
        <v>4007</v>
      </c>
      <c r="JC37" s="128" t="s">
        <v>4007</v>
      </c>
      <c r="JD37" s="128" t="s">
        <v>4007</v>
      </c>
      <c r="JE37" s="128" t="s">
        <v>4006</v>
      </c>
      <c r="JF37" s="128" t="s">
        <v>3843</v>
      </c>
      <c r="JG37" s="128"/>
      <c r="JH37" s="128" t="s">
        <v>4005</v>
      </c>
      <c r="JI37" s="128" t="s">
        <v>4005</v>
      </c>
      <c r="JJ37" s="128" t="s">
        <v>4005</v>
      </c>
      <c r="JK37" s="128" t="s">
        <v>4005</v>
      </c>
      <c r="JL37" s="128" t="s">
        <v>4005</v>
      </c>
      <c r="JM37" s="128" t="s">
        <v>3843</v>
      </c>
      <c r="JN37" s="128"/>
      <c r="JO37" s="128"/>
      <c r="JP37" s="128"/>
      <c r="JQ37" s="128"/>
      <c r="JR37" s="128"/>
      <c r="JS37" s="128" t="s">
        <v>4005</v>
      </c>
      <c r="JT37" s="128" t="s">
        <v>4005</v>
      </c>
      <c r="JU37" s="128" t="s">
        <v>3843</v>
      </c>
      <c r="JV37" s="128"/>
      <c r="JW37" s="128"/>
      <c r="JX37" s="128"/>
      <c r="JY37" s="128"/>
      <c r="JZ37" s="128"/>
      <c r="KA37" s="128"/>
      <c r="KB37" s="128"/>
      <c r="KC37" s="128" t="s">
        <v>4005</v>
      </c>
      <c r="KD37" s="128"/>
      <c r="KE37" s="128"/>
      <c r="KF37" s="128"/>
      <c r="KG37" s="128"/>
      <c r="KH37" s="128" t="s">
        <v>4003</v>
      </c>
      <c r="KI37" s="128" t="s">
        <v>4004</v>
      </c>
      <c r="KJ37" s="156" t="s">
        <v>3843</v>
      </c>
      <c r="KK37" s="128"/>
      <c r="KL37" s="128"/>
      <c r="KM37" s="128"/>
      <c r="KN37" s="128" t="s">
        <v>4003</v>
      </c>
      <c r="KO37" s="128" t="s">
        <v>4002</v>
      </c>
      <c r="KP37" s="156" t="s">
        <v>3843</v>
      </c>
      <c r="KQ37" s="128"/>
      <c r="KR37" s="128"/>
      <c r="KS37" s="128"/>
      <c r="KT37" s="128"/>
      <c r="KU37" s="128"/>
      <c r="KV37" s="128"/>
      <c r="KW37" s="128"/>
      <c r="KX37" s="128"/>
      <c r="KY37" s="128"/>
      <c r="KZ37" s="128"/>
      <c r="LA37" s="128"/>
      <c r="LB37" s="128"/>
      <c r="LC37" s="128"/>
      <c r="LD37" s="128"/>
      <c r="LE37" s="128"/>
      <c r="LF37" s="128"/>
      <c r="LG37" s="128"/>
      <c r="LH37" s="128"/>
      <c r="LK37" s="135"/>
      <c r="LL37" s="135"/>
      <c r="LM37" s="135"/>
      <c r="LN37" s="135"/>
      <c r="LO37" s="135"/>
      <c r="LU37" s="143" t="s">
        <v>4001</v>
      </c>
      <c r="LV37" s="143"/>
      <c r="LW37" s="143"/>
      <c r="LX37" s="143"/>
      <c r="LY37" s="143"/>
      <c r="LZ37" s="143"/>
      <c r="MA37" s="143"/>
      <c r="MB37" s="143"/>
      <c r="MC37" s="143"/>
      <c r="MD37" s="143"/>
      <c r="ME37" s="143"/>
      <c r="MF37" s="135"/>
      <c r="MG37" s="143" t="s">
        <v>4001</v>
      </c>
      <c r="MH37" s="128" t="s">
        <v>4000</v>
      </c>
      <c r="MI37" s="128"/>
      <c r="MJ37" s="128"/>
      <c r="MK37" s="128" t="s">
        <v>3999</v>
      </c>
      <c r="ML37" s="128" t="s">
        <v>3998</v>
      </c>
      <c r="MM37" s="128" t="s">
        <v>3997</v>
      </c>
      <c r="MN37" s="129" t="s">
        <v>3843</v>
      </c>
      <c r="MQ37" s="132"/>
      <c r="MR37" s="132"/>
      <c r="MS37" s="132"/>
      <c r="MT37" s="132"/>
      <c r="MU37" s="132"/>
      <c r="MV37" s="132"/>
      <c r="MW37" s="132"/>
      <c r="MX37" s="132"/>
      <c r="MY37" s="132"/>
      <c r="MZ37" s="128"/>
      <c r="NB37" s="135"/>
      <c r="NC37" s="135"/>
      <c r="ND37" s="135"/>
      <c r="NE37" s="135"/>
      <c r="NF37" s="135"/>
      <c r="NL37" s="132"/>
      <c r="NM37" s="132"/>
      <c r="NN37" s="132"/>
      <c r="NO37" s="132"/>
      <c r="NP37" s="132"/>
      <c r="NR37" s="128"/>
      <c r="NS37" s="128"/>
      <c r="NT37" s="128"/>
      <c r="NU37" s="128"/>
      <c r="NV37" s="128"/>
      <c r="NW37" s="128"/>
      <c r="NX37" s="128"/>
      <c r="NY37" s="128"/>
      <c r="NZ37" s="128"/>
      <c r="OA37" s="128"/>
      <c r="OB37" s="128"/>
      <c r="OC37" s="128"/>
      <c r="OD37" s="128"/>
      <c r="OF37" s="128"/>
      <c r="OG37" s="128"/>
      <c r="OH37" s="128"/>
      <c r="OI37" s="128"/>
      <c r="OJ37" s="128"/>
      <c r="OK37" s="128"/>
      <c r="OL37" s="128"/>
      <c r="OM37" s="128"/>
      <c r="ON37" s="128"/>
      <c r="RQ37" s="134"/>
      <c r="RR37" s="134"/>
      <c r="RS37" s="134"/>
      <c r="RT37" s="134"/>
      <c r="TD37" s="133"/>
      <c r="TE37" s="132"/>
      <c r="TF37" s="132"/>
      <c r="TX37" s="132"/>
      <c r="TY37" s="132"/>
      <c r="TZ37" s="132"/>
      <c r="VL37" s="132"/>
      <c r="VM37" s="132"/>
      <c r="VN37" s="132"/>
      <c r="VO37" s="132"/>
      <c r="VR37" s="131"/>
      <c r="VS37" s="131"/>
      <c r="VT37" s="131"/>
      <c r="VU37" s="131"/>
      <c r="VV37" s="131"/>
      <c r="VW37" s="131"/>
      <c r="VX37" s="131"/>
      <c r="VY37" s="131"/>
      <c r="VZ37" s="131"/>
      <c r="WA37" s="131"/>
      <c r="WB37" s="131"/>
      <c r="WC37" s="131"/>
      <c r="WD37" s="131"/>
      <c r="WE37" s="131"/>
      <c r="WF37" s="131"/>
      <c r="WG37" s="131"/>
      <c r="WH37" s="131"/>
      <c r="WI37" s="131"/>
      <c r="WJ37" s="131"/>
      <c r="WK37" s="131"/>
      <c r="WL37" s="131"/>
      <c r="WM37" s="131"/>
      <c r="WN37" s="131"/>
      <c r="WO37" s="131"/>
      <c r="WP37" s="131"/>
      <c r="WQ37" s="131"/>
      <c r="WR37" s="131"/>
      <c r="WS37" s="131"/>
      <c r="WT37" s="131"/>
      <c r="WU37" s="131"/>
      <c r="WV37" s="131"/>
      <c r="WW37" s="131"/>
      <c r="WX37" s="131"/>
      <c r="WY37" s="131"/>
      <c r="WZ37" s="131"/>
      <c r="XA37" s="131"/>
      <c r="XB37" s="131"/>
      <c r="XC37" s="131"/>
      <c r="XD37" s="131"/>
      <c r="XE37" s="131"/>
      <c r="XF37" s="131"/>
      <c r="XG37" s="131"/>
      <c r="XH37" s="131"/>
      <c r="XI37" s="131"/>
      <c r="XJ37" s="131"/>
      <c r="XK37" s="131"/>
      <c r="XL37" s="131"/>
      <c r="XM37" s="131"/>
      <c r="XN37" s="131"/>
      <c r="XO37" s="131"/>
      <c r="XP37" s="131"/>
      <c r="XQ37" s="131"/>
      <c r="XR37" s="131"/>
      <c r="XS37" s="131"/>
      <c r="XT37" s="131"/>
      <c r="XU37" s="131"/>
      <c r="XV37" s="131"/>
      <c r="XW37" s="131"/>
      <c r="XX37" s="131"/>
      <c r="XY37" s="131"/>
      <c r="XZ37" s="131"/>
      <c r="YA37" s="131"/>
      <c r="YB37" s="131"/>
      <c r="YC37" s="131"/>
      <c r="YD37" s="131"/>
      <c r="YE37" s="131"/>
      <c r="YF37" s="131"/>
      <c r="YG37" s="131"/>
      <c r="YH37" s="131"/>
      <c r="YI37" s="131"/>
      <c r="YJ37" s="131"/>
      <c r="YK37" s="131"/>
      <c r="YL37" s="131"/>
      <c r="YM37" s="131"/>
      <c r="YN37" s="131"/>
      <c r="YO37" s="131"/>
      <c r="YP37" s="131"/>
      <c r="YQ37" s="131"/>
      <c r="YR37" s="131"/>
      <c r="YS37" s="131"/>
      <c r="YT37" s="131"/>
      <c r="YU37" s="131"/>
      <c r="YV37" s="131"/>
      <c r="YW37" s="131"/>
      <c r="YX37" s="131"/>
      <c r="YY37" s="131"/>
      <c r="YZ37" s="131"/>
      <c r="ZA37" s="131"/>
      <c r="ZB37" s="131"/>
      <c r="ZC37" s="131"/>
      <c r="ZD37" s="131"/>
      <c r="ZE37" s="131"/>
      <c r="ZF37" s="131"/>
      <c r="ZG37" s="131"/>
      <c r="ZH37" s="131"/>
      <c r="ZI37" s="131"/>
      <c r="ZJ37" s="131"/>
      <c r="ZK37" s="131"/>
      <c r="ZL37" s="131"/>
      <c r="ZM37" s="131"/>
      <c r="ZN37" s="131"/>
      <c r="ZO37" s="131"/>
      <c r="ZP37" s="131"/>
      <c r="ZQ37" s="131"/>
      <c r="ZR37" s="131"/>
      <c r="ZS37" s="131"/>
      <c r="ZT37" s="131"/>
      <c r="ZU37" s="131"/>
      <c r="ZV37" s="131"/>
      <c r="ZW37" s="131"/>
      <c r="ZX37" s="131"/>
      <c r="ZY37" s="131"/>
      <c r="ZZ37" s="131"/>
      <c r="AAA37" s="131"/>
      <c r="AAB37" s="131"/>
      <c r="AAC37" s="131"/>
      <c r="AAD37" s="131"/>
      <c r="AAE37" s="131"/>
      <c r="AAF37" s="131"/>
      <c r="AAG37" s="131"/>
      <c r="AAH37" s="131"/>
      <c r="AAJ37" s="131"/>
      <c r="AAK37" s="131"/>
      <c r="AAL37" s="131"/>
      <c r="AAM37" s="131"/>
      <c r="AAN37" s="131"/>
      <c r="AAO37" s="131"/>
      <c r="AAP37" s="131"/>
      <c r="AAQ37" s="131"/>
      <c r="AAR37" s="131"/>
      <c r="AAS37" s="131"/>
      <c r="AAT37" s="131"/>
      <c r="AAU37" s="131"/>
      <c r="AAV37" s="131"/>
      <c r="AAW37" s="131"/>
      <c r="AAX37" s="131"/>
      <c r="AAY37" s="131"/>
      <c r="AAZ37" s="131"/>
      <c r="ABA37" s="131"/>
      <c r="ABB37" s="131"/>
      <c r="ABC37" s="131"/>
      <c r="ABD37" s="131"/>
      <c r="ABE37" s="131"/>
      <c r="ABF37" s="131"/>
      <c r="ABG37" s="131"/>
      <c r="ABH37" s="131"/>
      <c r="ABI37" s="131"/>
      <c r="ABJ37" s="131"/>
      <c r="ABK37" s="131"/>
      <c r="ABL37" s="131"/>
      <c r="ABM37" s="131"/>
      <c r="ABN37" s="131"/>
      <c r="ABO37" s="131"/>
      <c r="ABP37" s="131"/>
      <c r="ABQ37" s="131"/>
      <c r="ABR37" s="131"/>
      <c r="ABS37" s="131"/>
      <c r="ABT37" s="131"/>
      <c r="ABU37" s="131"/>
      <c r="ABV37" s="131"/>
      <c r="ABW37" s="131"/>
      <c r="ABX37" s="131"/>
      <c r="ABY37" s="131"/>
      <c r="ABZ37" s="131"/>
      <c r="ACA37" s="131"/>
      <c r="ACB37" s="131"/>
      <c r="ACC37" s="131"/>
      <c r="ACD37" s="131"/>
      <c r="ACE37" s="131"/>
      <c r="ACF37" s="131"/>
      <c r="ACG37" s="131"/>
      <c r="ACH37" s="131"/>
      <c r="ACI37" s="131"/>
      <c r="ACJ37" s="131"/>
      <c r="ACK37" s="131"/>
      <c r="ACL37" s="131"/>
      <c r="ACM37" s="131"/>
      <c r="ACN37" s="131"/>
      <c r="ACO37" s="131"/>
      <c r="ACP37" s="131"/>
      <c r="ACQ37" s="131"/>
      <c r="ACR37" s="131"/>
      <c r="ACS37" s="131"/>
      <c r="ACT37" s="131"/>
      <c r="ACU37" s="131"/>
      <c r="ACV37" s="131"/>
      <c r="ACW37" s="131"/>
      <c r="ACX37" s="131"/>
      <c r="ACY37" s="131"/>
      <c r="ACZ37" s="131"/>
      <c r="ADA37" s="131"/>
      <c r="ADB37" s="131"/>
      <c r="ADC37" s="131"/>
      <c r="ADD37" s="131"/>
      <c r="ADE37" s="131"/>
      <c r="ADF37" s="131"/>
      <c r="ADG37" s="131"/>
      <c r="ADH37" s="131"/>
      <c r="ADI37" s="131"/>
      <c r="ADJ37" s="131"/>
      <c r="ADK37" s="131"/>
      <c r="ADL37" s="131"/>
      <c r="ADM37" s="131"/>
      <c r="ADN37" s="131"/>
      <c r="ADO37" s="131"/>
      <c r="ADP37" s="131"/>
      <c r="ADQ37" s="131"/>
      <c r="ADR37" s="131"/>
      <c r="ADS37" s="131"/>
      <c r="ADT37" s="131"/>
      <c r="ADU37" s="131"/>
      <c r="ADV37" s="131"/>
      <c r="ADW37" s="131"/>
      <c r="ADX37" s="131"/>
      <c r="ADY37" s="131"/>
      <c r="ADZ37" s="131"/>
      <c r="AEA37" s="131"/>
      <c r="AEB37" s="131"/>
      <c r="AEC37" s="131"/>
      <c r="AED37" s="131"/>
      <c r="AEE37" s="131"/>
      <c r="AEF37" s="131"/>
      <c r="AEG37" s="131"/>
      <c r="AEH37" s="131"/>
      <c r="AEI37" s="131"/>
      <c r="AEJ37" s="131"/>
      <c r="AEK37" s="131"/>
      <c r="AEL37" s="131"/>
      <c r="AEM37" s="131"/>
      <c r="AEN37" s="131"/>
      <c r="AEO37" s="131"/>
      <c r="AEP37" s="131"/>
      <c r="AEQ37" s="131"/>
      <c r="AER37" s="131"/>
      <c r="AES37" s="131"/>
      <c r="AET37" s="131"/>
      <c r="AEU37" s="131"/>
      <c r="AEV37" s="131"/>
      <c r="AEW37" s="131"/>
      <c r="AEX37" s="131"/>
      <c r="AEY37" s="131"/>
      <c r="AEZ37" s="131"/>
      <c r="AFA37" s="131"/>
      <c r="AFB37" s="131"/>
      <c r="AFC37" s="131"/>
      <c r="AFD37" s="131"/>
      <c r="AFE37" s="131"/>
      <c r="AFF37" s="131"/>
      <c r="AFG37" s="131"/>
      <c r="AFH37" s="131"/>
      <c r="AFI37" s="131"/>
      <c r="AFJ37" s="131"/>
      <c r="AFK37" s="131"/>
      <c r="APO37" s="130"/>
      <c r="APP37" s="130"/>
      <c r="APQ37" s="130"/>
      <c r="APR37" s="130"/>
      <c r="APS37" s="130"/>
      <c r="APT37" s="130"/>
      <c r="APU37" s="130"/>
      <c r="APV37" s="130"/>
      <c r="APW37" s="130"/>
      <c r="APX37" s="130"/>
      <c r="APY37" s="130"/>
      <c r="APZ37" s="130"/>
      <c r="AQA37" s="130"/>
      <c r="AQB37" s="130"/>
      <c r="AQC37" s="130"/>
      <c r="AQD37" s="130"/>
      <c r="AQE37" s="130"/>
      <c r="AQF37" s="130"/>
      <c r="AQG37" s="130"/>
      <c r="AQH37" s="130"/>
      <c r="AQI37" s="130"/>
      <c r="AQJ37" s="130"/>
      <c r="AQK37" s="130"/>
      <c r="AQL37" s="130"/>
      <c r="AQM37" s="130"/>
      <c r="AQN37" s="130"/>
      <c r="AQO37" s="130"/>
      <c r="AQP37" s="130"/>
      <c r="AQQ37" s="130"/>
      <c r="AQR37" s="130"/>
      <c r="AQS37" s="130"/>
      <c r="AQT37" s="130"/>
      <c r="AQU37" s="130"/>
      <c r="AQV37" s="130"/>
      <c r="AQW37" s="130"/>
      <c r="AQX37" s="130"/>
      <c r="AQY37" s="130"/>
      <c r="AQZ37" s="130"/>
      <c r="ARA37" s="130"/>
      <c r="ARB37" s="130"/>
      <c r="ARC37" s="130"/>
      <c r="ARD37" s="130"/>
      <c r="ARE37" s="130"/>
      <c r="ARF37" s="130"/>
      <c r="ARG37" s="130"/>
      <c r="ARH37" s="130"/>
      <c r="ARI37" s="130"/>
      <c r="ARJ37" s="130"/>
      <c r="ARK37" s="130"/>
      <c r="ARL37" s="130"/>
      <c r="ARM37" s="130"/>
      <c r="ARN37" s="130"/>
      <c r="ARO37" s="130"/>
      <c r="ARP37" s="130"/>
      <c r="ARQ37" s="130"/>
      <c r="ARR37" s="130"/>
      <c r="ARS37" s="130"/>
      <c r="ART37" s="130"/>
      <c r="ARU37" s="130"/>
      <c r="ARV37" s="130"/>
      <c r="ARW37" s="130"/>
      <c r="ARX37" s="130"/>
      <c r="ARY37" s="130"/>
      <c r="ARZ37" s="130"/>
      <c r="ASA37" s="130"/>
      <c r="ASB37" s="130"/>
      <c r="ASC37" s="130"/>
      <c r="ASD37" s="130"/>
      <c r="ASE37" s="130"/>
      <c r="ASF37" s="130"/>
      <c r="ASG37" s="130"/>
      <c r="ASH37" s="130"/>
      <c r="ASI37" s="130"/>
      <c r="ASJ37" s="130"/>
      <c r="ASK37" s="130"/>
      <c r="ASL37" s="130"/>
      <c r="ASM37" s="130"/>
      <c r="ASN37" s="130"/>
      <c r="ASO37" s="130"/>
      <c r="ASP37" s="130"/>
      <c r="ASQ37" s="130"/>
      <c r="ASR37" s="130"/>
      <c r="ASS37" s="130"/>
      <c r="AST37" s="130"/>
      <c r="ASU37" s="130"/>
      <c r="ASV37" s="130"/>
      <c r="ASW37" s="130"/>
    </row>
    <row r="38" spans="1:1022 1029:1197" s="129" customFormat="1" ht="25.5" outlineLevel="1">
      <c r="A38" s="137" t="s">
        <v>236</v>
      </c>
      <c r="B38" s="139" t="s">
        <v>267</v>
      </c>
      <c r="C38" s="139" t="s">
        <v>268</v>
      </c>
      <c r="D38" s="139" t="s">
        <v>269</v>
      </c>
      <c r="E38" s="137">
        <v>59</v>
      </c>
      <c r="F38" s="138"/>
      <c r="G38" s="136" t="s">
        <v>19</v>
      </c>
      <c r="H38" s="136" t="s">
        <v>366</v>
      </c>
      <c r="I38" s="136" t="s">
        <v>13</v>
      </c>
      <c r="J38" s="136" t="s">
        <v>13</v>
      </c>
      <c r="K38" s="136" t="s">
        <v>366</v>
      </c>
      <c r="L38" s="136" t="s">
        <v>366</v>
      </c>
      <c r="M38" s="136"/>
      <c r="N38" s="136" t="s">
        <v>366</v>
      </c>
      <c r="O38" s="138"/>
      <c r="HS38" s="128"/>
      <c r="HT38" s="128" t="s">
        <v>3991</v>
      </c>
      <c r="HU38" s="128" t="s">
        <v>3991</v>
      </c>
      <c r="HV38" s="128" t="s">
        <v>3996</v>
      </c>
      <c r="HW38" s="128" t="s">
        <v>3995</v>
      </c>
      <c r="HX38" s="128" t="s">
        <v>3994</v>
      </c>
      <c r="HY38" s="128" t="s">
        <v>3994</v>
      </c>
      <c r="HZ38" s="128" t="s">
        <v>3994</v>
      </c>
      <c r="IA38" s="128" t="s">
        <v>3993</v>
      </c>
      <c r="IB38" s="128" t="s">
        <v>3993</v>
      </c>
      <c r="IC38" s="128" t="s">
        <v>3993</v>
      </c>
      <c r="ID38" s="128" t="s">
        <v>3992</v>
      </c>
      <c r="IE38" s="128" t="s">
        <v>3843</v>
      </c>
      <c r="IF38" s="128"/>
      <c r="IH38" s="128"/>
      <c r="II38" s="128"/>
      <c r="IJ38" s="128"/>
      <c r="IK38" s="128"/>
      <c r="IL38" s="128"/>
      <c r="IM38" s="128" t="s">
        <v>3996</v>
      </c>
      <c r="IN38" s="128" t="s">
        <v>3989</v>
      </c>
      <c r="IO38" s="128"/>
      <c r="IP38" s="128"/>
      <c r="IQ38" s="128"/>
      <c r="IR38" s="128"/>
      <c r="IS38" s="128"/>
      <c r="IT38" s="128"/>
      <c r="IU38" s="128" t="s">
        <v>3996</v>
      </c>
      <c r="IV38" s="128" t="s">
        <v>3991</v>
      </c>
      <c r="IW38" s="128" t="s">
        <v>3996</v>
      </c>
      <c r="IX38" s="128" t="s">
        <v>3995</v>
      </c>
      <c r="IY38" s="128" t="s">
        <v>3994</v>
      </c>
      <c r="IZ38" s="128" t="s">
        <v>3994</v>
      </c>
      <c r="JA38" s="128" t="s">
        <v>3994</v>
      </c>
      <c r="JB38" s="128" t="s">
        <v>3993</v>
      </c>
      <c r="JC38" s="128" t="s">
        <v>3993</v>
      </c>
      <c r="JD38" s="128" t="s">
        <v>3993</v>
      </c>
      <c r="JE38" s="128" t="s">
        <v>3992</v>
      </c>
      <c r="JF38" s="128" t="s">
        <v>3843</v>
      </c>
      <c r="JG38" s="128"/>
      <c r="JH38" s="128" t="s">
        <v>3991</v>
      </c>
      <c r="JI38" s="128" t="s">
        <v>3991</v>
      </c>
      <c r="JJ38" s="128" t="s">
        <v>3991</v>
      </c>
      <c r="JK38" s="128" t="s">
        <v>3991</v>
      </c>
      <c r="JL38" s="128" t="s">
        <v>3991</v>
      </c>
      <c r="JM38" s="128" t="s">
        <v>3843</v>
      </c>
      <c r="JN38" s="128"/>
      <c r="JO38" s="128"/>
      <c r="JP38" s="128"/>
      <c r="JQ38" s="128"/>
      <c r="JR38" s="128"/>
      <c r="JS38" s="128" t="s">
        <v>3991</v>
      </c>
      <c r="JT38" s="128" t="s">
        <v>3991</v>
      </c>
      <c r="JU38" s="128" t="s">
        <v>3843</v>
      </c>
      <c r="JV38" s="128"/>
      <c r="JW38" s="128"/>
      <c r="JX38" s="128"/>
      <c r="JY38" s="128"/>
      <c r="JZ38" s="128"/>
      <c r="KA38" s="128"/>
      <c r="KB38" s="128"/>
      <c r="KC38" s="128" t="s">
        <v>3991</v>
      </c>
      <c r="KD38" s="128"/>
      <c r="KE38" s="128"/>
      <c r="KF38" s="128"/>
      <c r="KG38" s="128"/>
      <c r="KH38" s="128" t="s">
        <v>3989</v>
      </c>
      <c r="KI38" s="128" t="s">
        <v>3990</v>
      </c>
      <c r="KJ38" s="165" t="s">
        <v>3843</v>
      </c>
      <c r="KK38" s="128"/>
      <c r="KL38" s="128"/>
      <c r="KM38" s="128"/>
      <c r="KN38" s="128" t="s">
        <v>3989</v>
      </c>
      <c r="KO38" s="128" t="s">
        <v>3988</v>
      </c>
      <c r="KP38" s="165" t="s">
        <v>3843</v>
      </c>
      <c r="KQ38" s="128"/>
      <c r="KR38" s="128"/>
      <c r="KS38" s="128"/>
      <c r="KT38" s="128"/>
      <c r="KU38" s="128"/>
      <c r="KV38" s="128"/>
      <c r="KW38" s="128"/>
      <c r="KX38" s="128"/>
      <c r="KY38" s="128"/>
      <c r="KZ38" s="128"/>
      <c r="LA38" s="128"/>
      <c r="LB38" s="128"/>
      <c r="LC38" s="128"/>
      <c r="LD38" s="128"/>
      <c r="LE38" s="128"/>
      <c r="LF38" s="128"/>
      <c r="LG38" s="128"/>
      <c r="LH38" s="128"/>
      <c r="LI38" s="128"/>
      <c r="LJ38" s="128"/>
      <c r="LK38" s="143"/>
      <c r="LL38" s="143"/>
      <c r="LM38" s="143"/>
      <c r="LN38" s="143"/>
      <c r="LO38" s="143"/>
      <c r="LP38" s="128"/>
      <c r="LQ38" s="128"/>
      <c r="LR38" s="128"/>
      <c r="LS38" s="128"/>
      <c r="LT38" s="128"/>
      <c r="LU38" s="143" t="s">
        <v>3987</v>
      </c>
      <c r="LV38" s="143"/>
      <c r="LW38" s="143"/>
      <c r="LX38" s="143"/>
      <c r="LY38" s="143"/>
      <c r="LZ38" s="143"/>
      <c r="MA38" s="143"/>
      <c r="MB38" s="143"/>
      <c r="MC38" s="143"/>
      <c r="MD38" s="143"/>
      <c r="ME38" s="143"/>
      <c r="MF38" s="143"/>
      <c r="MG38" s="143" t="s">
        <v>3987</v>
      </c>
      <c r="MH38" s="128" t="s">
        <v>3986</v>
      </c>
      <c r="MI38" s="128"/>
      <c r="MJ38" s="128"/>
      <c r="MK38" s="128" t="s">
        <v>3985</v>
      </c>
      <c r="ML38" s="128" t="s">
        <v>3984</v>
      </c>
      <c r="MM38" s="128" t="s">
        <v>3983</v>
      </c>
      <c r="MN38" s="128" t="s">
        <v>3843</v>
      </c>
      <c r="MO38" s="128"/>
      <c r="MP38" s="128"/>
      <c r="MQ38" s="141"/>
      <c r="MR38" s="141"/>
      <c r="MS38" s="141"/>
      <c r="MT38" s="141"/>
      <c r="MU38" s="141"/>
      <c r="MV38" s="141"/>
      <c r="MW38" s="141"/>
      <c r="MX38" s="141"/>
      <c r="MY38" s="141"/>
      <c r="MZ38" s="128"/>
      <c r="NA38" s="128"/>
      <c r="NB38" s="143"/>
      <c r="NC38" s="143"/>
      <c r="ND38" s="143"/>
      <c r="NE38" s="143"/>
      <c r="NF38" s="143"/>
      <c r="NG38" s="128"/>
      <c r="NH38" s="128"/>
      <c r="NI38" s="128"/>
      <c r="NJ38" s="128"/>
      <c r="NK38" s="128"/>
      <c r="NL38" s="141"/>
      <c r="NM38" s="141"/>
      <c r="NN38" s="141"/>
      <c r="NO38" s="141"/>
      <c r="NP38" s="141"/>
      <c r="NQ38" s="128"/>
      <c r="NR38" s="128"/>
      <c r="NS38" s="128"/>
      <c r="NT38" s="128"/>
      <c r="NU38" s="128"/>
      <c r="NV38" s="128"/>
      <c r="NW38" s="128"/>
      <c r="NX38" s="128"/>
      <c r="NY38" s="128"/>
      <c r="NZ38" s="128"/>
      <c r="OA38" s="128"/>
      <c r="OB38" s="128"/>
      <c r="OC38" s="128"/>
      <c r="OD38" s="128"/>
      <c r="OE38" s="128"/>
      <c r="OF38" s="128"/>
      <c r="OG38" s="128"/>
      <c r="OH38" s="128"/>
      <c r="OI38" s="128"/>
      <c r="OJ38" s="128"/>
      <c r="OK38" s="128"/>
      <c r="OL38" s="128"/>
      <c r="OM38" s="128"/>
      <c r="ON38" s="128"/>
      <c r="OO38" s="128"/>
      <c r="RQ38" s="134"/>
      <c r="RR38" s="134"/>
      <c r="RS38" s="134"/>
      <c r="RT38" s="134"/>
      <c r="TD38" s="133"/>
      <c r="TE38" s="132"/>
      <c r="TF38" s="132"/>
      <c r="TX38" s="132"/>
      <c r="TY38" s="132"/>
      <c r="TZ38" s="132"/>
      <c r="VL38" s="132"/>
      <c r="VM38" s="132"/>
      <c r="VN38" s="132"/>
      <c r="VO38" s="132"/>
      <c r="VR38" s="131"/>
      <c r="VS38" s="131"/>
      <c r="VT38" s="131"/>
      <c r="VU38" s="131"/>
      <c r="VV38" s="131"/>
      <c r="VW38" s="131"/>
      <c r="VX38" s="131"/>
      <c r="VY38" s="131"/>
      <c r="VZ38" s="131"/>
      <c r="WA38" s="131"/>
      <c r="WB38" s="131"/>
      <c r="WC38" s="131"/>
      <c r="WD38" s="131"/>
      <c r="WE38" s="131"/>
      <c r="WF38" s="131"/>
      <c r="WG38" s="131"/>
      <c r="WH38" s="131"/>
      <c r="WI38" s="131"/>
      <c r="WJ38" s="131"/>
      <c r="WK38" s="131"/>
      <c r="WL38" s="131"/>
      <c r="WM38" s="131"/>
      <c r="WN38" s="131"/>
      <c r="WO38" s="131"/>
      <c r="WP38" s="131"/>
      <c r="WQ38" s="131"/>
      <c r="WR38" s="131"/>
      <c r="WS38" s="131"/>
      <c r="WT38" s="131"/>
      <c r="WU38" s="131"/>
      <c r="WV38" s="131"/>
      <c r="WW38" s="131"/>
      <c r="WX38" s="131"/>
      <c r="WY38" s="131"/>
      <c r="WZ38" s="131"/>
      <c r="XA38" s="131"/>
      <c r="XB38" s="131"/>
      <c r="XC38" s="131"/>
      <c r="XD38" s="131"/>
      <c r="XE38" s="131"/>
      <c r="XF38" s="131"/>
      <c r="XG38" s="131"/>
      <c r="XH38" s="131"/>
      <c r="XI38" s="131"/>
      <c r="XJ38" s="131"/>
      <c r="XK38" s="131"/>
      <c r="XL38" s="131"/>
      <c r="XM38" s="131"/>
      <c r="XN38" s="131"/>
      <c r="XO38" s="131"/>
      <c r="XP38" s="131"/>
      <c r="XQ38" s="131"/>
      <c r="XR38" s="131"/>
      <c r="XS38" s="131"/>
      <c r="XT38" s="131"/>
      <c r="XU38" s="131"/>
      <c r="XV38" s="131"/>
      <c r="XW38" s="131"/>
      <c r="XX38" s="131"/>
      <c r="XY38" s="131"/>
      <c r="XZ38" s="131"/>
      <c r="YA38" s="131"/>
      <c r="YB38" s="131"/>
      <c r="YC38" s="131"/>
      <c r="YD38" s="131"/>
      <c r="YE38" s="131"/>
      <c r="YF38" s="131"/>
      <c r="YG38" s="131"/>
      <c r="YH38" s="131"/>
      <c r="YI38" s="131"/>
      <c r="YJ38" s="131"/>
      <c r="YK38" s="131"/>
      <c r="YL38" s="131"/>
      <c r="YM38" s="131"/>
      <c r="YN38" s="131"/>
      <c r="YO38" s="131"/>
      <c r="YP38" s="131"/>
      <c r="YQ38" s="131"/>
      <c r="YR38" s="131"/>
      <c r="YS38" s="131"/>
      <c r="YT38" s="131"/>
      <c r="YU38" s="131"/>
      <c r="YV38" s="131"/>
      <c r="YW38" s="131"/>
      <c r="YX38" s="131"/>
      <c r="YY38" s="131"/>
      <c r="YZ38" s="131"/>
      <c r="ZA38" s="131"/>
      <c r="ZB38" s="131"/>
      <c r="ZC38" s="131"/>
      <c r="ZD38" s="131"/>
      <c r="ZE38" s="131"/>
      <c r="ZF38" s="131"/>
      <c r="ZG38" s="131"/>
      <c r="ZH38" s="131"/>
      <c r="ZI38" s="131"/>
      <c r="ZJ38" s="131"/>
      <c r="ZK38" s="131"/>
      <c r="ZL38" s="131"/>
      <c r="ZM38" s="131"/>
      <c r="ZN38" s="131"/>
      <c r="ZO38" s="131"/>
      <c r="ZP38" s="131"/>
      <c r="ZQ38" s="131"/>
      <c r="ZR38" s="131"/>
      <c r="ZS38" s="131"/>
      <c r="ZT38" s="131"/>
      <c r="ZU38" s="131"/>
      <c r="ZV38" s="131"/>
      <c r="ZW38" s="131"/>
      <c r="ZX38" s="131"/>
      <c r="ZY38" s="131"/>
      <c r="ZZ38" s="131"/>
      <c r="AAA38" s="131"/>
      <c r="AAB38" s="131"/>
      <c r="AAC38" s="131"/>
      <c r="AAD38" s="131"/>
      <c r="AAE38" s="131"/>
      <c r="AAF38" s="131"/>
      <c r="AAG38" s="131"/>
      <c r="AAH38" s="131"/>
      <c r="AAJ38" s="131"/>
      <c r="AAK38" s="131"/>
      <c r="AAL38" s="131"/>
      <c r="AAM38" s="131"/>
      <c r="AAN38" s="131"/>
      <c r="AAO38" s="131"/>
      <c r="AAP38" s="131"/>
      <c r="AAQ38" s="131"/>
      <c r="AAR38" s="131"/>
      <c r="AAS38" s="131"/>
      <c r="AAT38" s="131"/>
      <c r="AAU38" s="131"/>
      <c r="AAV38" s="131"/>
      <c r="AAW38" s="131"/>
      <c r="AAX38" s="131"/>
      <c r="AAY38" s="131"/>
      <c r="AAZ38" s="131"/>
      <c r="ABA38" s="131"/>
      <c r="ABB38" s="131"/>
      <c r="ABC38" s="131"/>
      <c r="ABD38" s="131"/>
      <c r="ABE38" s="131"/>
      <c r="ABF38" s="131"/>
      <c r="ABG38" s="131"/>
      <c r="ABH38" s="131"/>
      <c r="ABI38" s="131"/>
      <c r="ABJ38" s="131"/>
      <c r="ABK38" s="131"/>
      <c r="ABL38" s="131"/>
      <c r="ABM38" s="131"/>
      <c r="ABN38" s="131"/>
      <c r="ABO38" s="131"/>
      <c r="ABP38" s="131"/>
      <c r="ABQ38" s="131"/>
      <c r="ABR38" s="131"/>
      <c r="ABS38" s="131"/>
      <c r="ABT38" s="131"/>
      <c r="ABU38" s="131"/>
      <c r="ABV38" s="131"/>
      <c r="ABW38" s="131"/>
      <c r="ABX38" s="131"/>
      <c r="ABY38" s="131"/>
      <c r="ABZ38" s="131"/>
      <c r="ACA38" s="131"/>
      <c r="ACB38" s="131"/>
      <c r="ACC38" s="131"/>
      <c r="ACD38" s="131"/>
      <c r="ACE38" s="131"/>
      <c r="ACF38" s="131"/>
      <c r="ACG38" s="131"/>
      <c r="ACH38" s="131"/>
      <c r="ACI38" s="131"/>
      <c r="ACJ38" s="131"/>
      <c r="ACK38" s="131"/>
      <c r="ACL38" s="131"/>
      <c r="ACM38" s="131"/>
      <c r="ACN38" s="131"/>
      <c r="ACO38" s="131"/>
      <c r="ACP38" s="131"/>
      <c r="ACQ38" s="131"/>
      <c r="ACR38" s="131"/>
      <c r="ACS38" s="131"/>
      <c r="ACT38" s="131"/>
      <c r="ACU38" s="131"/>
      <c r="ACV38" s="131"/>
      <c r="ACW38" s="131"/>
      <c r="ACX38" s="131"/>
      <c r="ACY38" s="131"/>
      <c r="ACZ38" s="131"/>
      <c r="ADA38" s="131"/>
      <c r="ADB38" s="131"/>
      <c r="ADC38" s="131"/>
      <c r="ADD38" s="131"/>
      <c r="ADE38" s="131"/>
      <c r="ADF38" s="131"/>
      <c r="ADG38" s="131"/>
      <c r="ADH38" s="131"/>
      <c r="ADI38" s="131"/>
      <c r="ADJ38" s="131"/>
      <c r="ADK38" s="131"/>
      <c r="ADL38" s="131"/>
      <c r="ADM38" s="131"/>
      <c r="ADN38" s="131"/>
      <c r="ADO38" s="131"/>
      <c r="ADP38" s="131"/>
      <c r="ADQ38" s="131"/>
      <c r="ADR38" s="131"/>
      <c r="ADS38" s="131"/>
      <c r="ADT38" s="131"/>
      <c r="ADU38" s="131"/>
      <c r="ADV38" s="131"/>
      <c r="ADW38" s="131"/>
      <c r="ADX38" s="131"/>
      <c r="ADY38" s="131"/>
      <c r="ADZ38" s="131"/>
      <c r="AEA38" s="131"/>
      <c r="AEB38" s="131"/>
      <c r="AEC38" s="131"/>
      <c r="AED38" s="131"/>
      <c r="AEE38" s="131"/>
      <c r="AEF38" s="131"/>
      <c r="AEG38" s="131"/>
      <c r="AEH38" s="131"/>
      <c r="AEI38" s="131"/>
      <c r="AEJ38" s="131"/>
      <c r="AEK38" s="131"/>
      <c r="AEL38" s="131"/>
      <c r="AEM38" s="131"/>
      <c r="AEN38" s="131"/>
      <c r="AEO38" s="131"/>
      <c r="AEP38" s="131"/>
      <c r="AEQ38" s="131"/>
      <c r="AER38" s="131"/>
      <c r="AES38" s="131"/>
      <c r="AET38" s="131"/>
      <c r="AEU38" s="131"/>
      <c r="AEV38" s="131"/>
      <c r="AEW38" s="131"/>
      <c r="AEX38" s="131"/>
      <c r="AEY38" s="131"/>
      <c r="AEZ38" s="131"/>
      <c r="AFA38" s="131"/>
      <c r="AFB38" s="131"/>
      <c r="AFC38" s="131"/>
      <c r="AFD38" s="131"/>
      <c r="AFE38" s="131"/>
      <c r="AFF38" s="131"/>
      <c r="AFG38" s="131"/>
      <c r="AFH38" s="131"/>
      <c r="AFI38" s="131"/>
      <c r="AFJ38" s="131"/>
      <c r="AFK38" s="131"/>
      <c r="APO38" s="130"/>
      <c r="APP38" s="130"/>
      <c r="APQ38" s="130"/>
      <c r="APR38" s="130"/>
      <c r="APS38" s="130"/>
      <c r="APT38" s="130"/>
      <c r="APU38" s="130"/>
      <c r="APV38" s="130"/>
      <c r="APW38" s="130"/>
      <c r="APX38" s="130"/>
      <c r="APY38" s="130"/>
      <c r="APZ38" s="130"/>
      <c r="AQA38" s="130"/>
      <c r="AQB38" s="130"/>
      <c r="AQC38" s="130"/>
      <c r="AQD38" s="130"/>
      <c r="AQE38" s="130"/>
      <c r="AQF38" s="130"/>
      <c r="AQG38" s="130"/>
      <c r="AQH38" s="130"/>
      <c r="AQI38" s="130"/>
      <c r="AQJ38" s="130"/>
      <c r="AQK38" s="130"/>
      <c r="AQL38" s="130"/>
      <c r="AQM38" s="130"/>
      <c r="AQN38" s="130"/>
      <c r="AQO38" s="130"/>
      <c r="AQP38" s="130"/>
      <c r="AQQ38" s="130"/>
      <c r="AQR38" s="130"/>
      <c r="AQS38" s="130"/>
      <c r="AQT38" s="130"/>
      <c r="AQU38" s="130"/>
      <c r="AQV38" s="130"/>
      <c r="AQW38" s="130"/>
      <c r="AQX38" s="130"/>
      <c r="AQY38" s="130"/>
      <c r="AQZ38" s="130"/>
      <c r="ARA38" s="130"/>
      <c r="ARB38" s="130"/>
      <c r="ARC38" s="130"/>
      <c r="ARD38" s="130"/>
      <c r="ARE38" s="130"/>
      <c r="ARF38" s="130"/>
      <c r="ARG38" s="130"/>
      <c r="ARH38" s="130"/>
      <c r="ARI38" s="130"/>
      <c r="ARJ38" s="130"/>
      <c r="ARK38" s="130"/>
      <c r="ARL38" s="130"/>
      <c r="ARM38" s="130"/>
      <c r="ARN38" s="130"/>
      <c r="ARO38" s="130"/>
      <c r="ARP38" s="130"/>
      <c r="ARQ38" s="130"/>
      <c r="ARR38" s="130"/>
      <c r="ARS38" s="130"/>
      <c r="ART38" s="130"/>
      <c r="ARU38" s="130"/>
      <c r="ARV38" s="130"/>
      <c r="ARW38" s="130"/>
      <c r="ARX38" s="130"/>
      <c r="ARY38" s="130"/>
      <c r="ARZ38" s="130"/>
      <c r="ASA38" s="130"/>
      <c r="ASB38" s="130"/>
      <c r="ASC38" s="130"/>
      <c r="ASD38" s="130"/>
      <c r="ASE38" s="130"/>
      <c r="ASF38" s="130"/>
      <c r="ASG38" s="130"/>
      <c r="ASH38" s="130"/>
      <c r="ASI38" s="130"/>
      <c r="ASJ38" s="130"/>
      <c r="ASK38" s="130"/>
      <c r="ASL38" s="130"/>
      <c r="ASM38" s="130"/>
      <c r="ASN38" s="130"/>
      <c r="ASO38" s="130"/>
      <c r="ASP38" s="130"/>
      <c r="ASQ38" s="130"/>
      <c r="ASR38" s="130"/>
      <c r="ASS38" s="130"/>
      <c r="AST38" s="130"/>
      <c r="ASU38" s="130"/>
      <c r="ASV38" s="130"/>
      <c r="ASW38" s="130"/>
    </row>
    <row r="39" spans="1:1022 1029:1197" s="129" customFormat="1" ht="25.5" outlineLevel="1">
      <c r="A39" s="137" t="s">
        <v>236</v>
      </c>
      <c r="B39" s="139" t="s">
        <v>270</v>
      </c>
      <c r="C39" s="139" t="s">
        <v>271</v>
      </c>
      <c r="D39" s="139" t="s">
        <v>272</v>
      </c>
      <c r="E39" s="137">
        <v>60</v>
      </c>
      <c r="F39" s="138" t="s">
        <v>104</v>
      </c>
      <c r="G39" s="136" t="s">
        <v>173</v>
      </c>
      <c r="H39" s="136" t="s">
        <v>366</v>
      </c>
      <c r="I39" s="136" t="s">
        <v>13</v>
      </c>
      <c r="J39" s="136" t="s">
        <v>13</v>
      </c>
      <c r="K39" s="136" t="s">
        <v>366</v>
      </c>
      <c r="L39" s="136" t="s">
        <v>366</v>
      </c>
      <c r="M39" s="136"/>
      <c r="N39" s="136" t="s">
        <v>366</v>
      </c>
      <c r="O39" s="138"/>
      <c r="HT39" s="128">
        <v>375</v>
      </c>
      <c r="HU39" s="128">
        <v>375</v>
      </c>
      <c r="HV39" s="129">
        <v>190</v>
      </c>
      <c r="HW39" s="129">
        <v>65</v>
      </c>
      <c r="HX39" s="129">
        <v>200</v>
      </c>
      <c r="HY39" s="129">
        <v>200</v>
      </c>
      <c r="HZ39" s="129">
        <v>200</v>
      </c>
      <c r="IA39" s="129">
        <v>500</v>
      </c>
      <c r="IB39" s="129">
        <v>500</v>
      </c>
      <c r="IC39" s="129">
        <v>500</v>
      </c>
      <c r="ID39" s="156" t="s">
        <v>399</v>
      </c>
      <c r="IE39" s="129" t="s">
        <v>3843</v>
      </c>
      <c r="IM39" s="129">
        <v>190</v>
      </c>
      <c r="IN39" s="129">
        <v>150</v>
      </c>
      <c r="IU39" s="129">
        <v>190</v>
      </c>
      <c r="IV39" s="128">
        <v>375</v>
      </c>
      <c r="IW39" s="129">
        <v>190</v>
      </c>
      <c r="IX39" s="129">
        <v>65</v>
      </c>
      <c r="IY39" s="129">
        <v>200</v>
      </c>
      <c r="IZ39" s="129">
        <v>200</v>
      </c>
      <c r="JA39" s="129">
        <v>200</v>
      </c>
      <c r="JB39" s="129">
        <v>500</v>
      </c>
      <c r="JC39" s="129">
        <v>500</v>
      </c>
      <c r="JD39" s="129">
        <v>500</v>
      </c>
      <c r="JE39" s="156" t="s">
        <v>399</v>
      </c>
      <c r="JF39" s="129" t="s">
        <v>3843</v>
      </c>
      <c r="JH39" s="128">
        <v>375</v>
      </c>
      <c r="JI39" s="128">
        <v>375</v>
      </c>
      <c r="JJ39" s="128">
        <v>375</v>
      </c>
      <c r="JK39" s="128">
        <v>375</v>
      </c>
      <c r="JL39" s="128">
        <v>375</v>
      </c>
      <c r="JM39" s="129" t="s">
        <v>3843</v>
      </c>
      <c r="JS39" s="128">
        <v>375</v>
      </c>
      <c r="JT39" s="128">
        <v>375</v>
      </c>
      <c r="JU39" s="129" t="s">
        <v>3843</v>
      </c>
      <c r="KC39" s="128">
        <v>375</v>
      </c>
      <c r="KH39" s="129">
        <v>150</v>
      </c>
      <c r="KI39" s="129">
        <v>420</v>
      </c>
      <c r="KN39" s="129">
        <v>150</v>
      </c>
      <c r="KO39" s="129">
        <v>420</v>
      </c>
      <c r="LK39" s="135"/>
      <c r="LL39" s="135"/>
      <c r="LM39" s="135"/>
      <c r="LN39" s="135"/>
      <c r="LO39" s="135"/>
      <c r="LU39" s="135"/>
      <c r="LV39" s="135">
        <v>100</v>
      </c>
      <c r="LW39" s="135">
        <v>150</v>
      </c>
      <c r="LX39" s="135">
        <v>200</v>
      </c>
      <c r="LY39" s="135">
        <v>250</v>
      </c>
      <c r="LZ39" s="135">
        <v>275</v>
      </c>
      <c r="MA39" s="135">
        <v>300</v>
      </c>
      <c r="MB39" s="135">
        <v>350</v>
      </c>
      <c r="MC39" s="135">
        <v>400</v>
      </c>
      <c r="MD39" s="135">
        <v>450</v>
      </c>
      <c r="ME39" s="135">
        <v>500</v>
      </c>
      <c r="MF39" s="151" t="s">
        <v>3843</v>
      </c>
      <c r="MG39" s="135"/>
      <c r="MH39" s="129">
        <v>220</v>
      </c>
      <c r="MQ39" s="132"/>
      <c r="MR39" s="132"/>
      <c r="MS39" s="132"/>
      <c r="MT39" s="132"/>
      <c r="MU39" s="132"/>
      <c r="MV39" s="132"/>
      <c r="MW39" s="132"/>
      <c r="MX39" s="132"/>
      <c r="MY39" s="132"/>
      <c r="NB39" s="135"/>
      <c r="NC39" s="135"/>
      <c r="ND39" s="135"/>
      <c r="NE39" s="135"/>
      <c r="NF39" s="135"/>
      <c r="NL39" s="132"/>
      <c r="NM39" s="132"/>
      <c r="NN39" s="132"/>
      <c r="NO39" s="132"/>
      <c r="NP39" s="132"/>
      <c r="RQ39" s="134"/>
      <c r="RR39" s="134"/>
      <c r="RS39" s="134"/>
      <c r="RT39" s="134"/>
      <c r="TD39" s="133"/>
      <c r="TE39" s="132"/>
      <c r="TF39" s="132"/>
      <c r="TX39" s="132"/>
      <c r="TY39" s="132"/>
      <c r="TZ39" s="132"/>
      <c r="VL39" s="132"/>
      <c r="VM39" s="132"/>
      <c r="VN39" s="132"/>
      <c r="VO39" s="132"/>
      <c r="VR39" s="131"/>
      <c r="VS39" s="131"/>
      <c r="VT39" s="131"/>
      <c r="VU39" s="131"/>
      <c r="VV39" s="131"/>
      <c r="VW39" s="131"/>
      <c r="VX39" s="131"/>
      <c r="VY39" s="131"/>
      <c r="VZ39" s="131"/>
      <c r="WA39" s="131"/>
      <c r="WB39" s="131"/>
      <c r="WC39" s="131"/>
      <c r="WD39" s="131"/>
      <c r="WE39" s="131"/>
      <c r="WF39" s="131"/>
      <c r="WG39" s="131"/>
      <c r="WH39" s="131"/>
      <c r="WI39" s="131"/>
      <c r="WJ39" s="131"/>
      <c r="WK39" s="131"/>
      <c r="WL39" s="131"/>
      <c r="WM39" s="131"/>
      <c r="WN39" s="131"/>
      <c r="WO39" s="131"/>
      <c r="WP39" s="131"/>
      <c r="WQ39" s="131"/>
      <c r="WR39" s="131"/>
      <c r="WS39" s="131"/>
      <c r="WT39" s="131"/>
      <c r="WU39" s="131"/>
      <c r="WV39" s="131"/>
      <c r="WW39" s="131"/>
      <c r="WX39" s="131"/>
      <c r="WY39" s="131"/>
      <c r="WZ39" s="131"/>
      <c r="XA39" s="131"/>
      <c r="XB39" s="131"/>
      <c r="XC39" s="131"/>
      <c r="XD39" s="131"/>
      <c r="XE39" s="131"/>
      <c r="XF39" s="131"/>
      <c r="XG39" s="131"/>
      <c r="XH39" s="131"/>
      <c r="XI39" s="131"/>
      <c r="XJ39" s="131"/>
      <c r="XK39" s="131"/>
      <c r="XL39" s="131"/>
      <c r="XM39" s="131"/>
      <c r="XN39" s="131"/>
      <c r="XO39" s="131"/>
      <c r="XP39" s="131"/>
      <c r="XQ39" s="131"/>
      <c r="XR39" s="131"/>
      <c r="XS39" s="131"/>
      <c r="XT39" s="131"/>
      <c r="XU39" s="131"/>
      <c r="XV39" s="131"/>
      <c r="XW39" s="131"/>
      <c r="XX39" s="131"/>
      <c r="XY39" s="131"/>
      <c r="XZ39" s="131"/>
      <c r="YA39" s="131"/>
      <c r="YB39" s="131"/>
      <c r="YC39" s="131"/>
      <c r="YD39" s="131"/>
      <c r="YE39" s="131"/>
      <c r="YF39" s="131"/>
      <c r="YG39" s="131"/>
      <c r="YH39" s="131"/>
      <c r="YI39" s="131"/>
      <c r="YJ39" s="131"/>
      <c r="YK39" s="131"/>
      <c r="YL39" s="131"/>
      <c r="YM39" s="131"/>
      <c r="YN39" s="131"/>
      <c r="YO39" s="131"/>
      <c r="YP39" s="131"/>
      <c r="YQ39" s="131"/>
      <c r="YR39" s="131"/>
      <c r="YS39" s="131"/>
      <c r="YT39" s="131"/>
      <c r="YU39" s="131"/>
      <c r="YV39" s="131"/>
      <c r="YW39" s="131"/>
      <c r="YX39" s="131"/>
      <c r="YY39" s="131"/>
      <c r="YZ39" s="131"/>
      <c r="ZA39" s="131"/>
      <c r="ZB39" s="131"/>
      <c r="ZC39" s="131"/>
      <c r="ZD39" s="131"/>
      <c r="ZE39" s="131"/>
      <c r="ZF39" s="131"/>
      <c r="ZG39" s="131"/>
      <c r="ZH39" s="131"/>
      <c r="ZI39" s="131"/>
      <c r="ZJ39" s="131"/>
      <c r="ZK39" s="131"/>
      <c r="ZL39" s="131"/>
      <c r="ZM39" s="131"/>
      <c r="ZN39" s="131"/>
      <c r="ZO39" s="131"/>
      <c r="ZP39" s="131"/>
      <c r="ZQ39" s="131"/>
      <c r="ZR39" s="131"/>
      <c r="ZS39" s="131"/>
      <c r="ZT39" s="131"/>
      <c r="ZU39" s="131"/>
      <c r="ZV39" s="131"/>
      <c r="ZW39" s="131"/>
      <c r="ZX39" s="131"/>
      <c r="ZY39" s="131"/>
      <c r="ZZ39" s="131"/>
      <c r="AAA39" s="131"/>
      <c r="AAB39" s="131"/>
      <c r="AAC39" s="131"/>
      <c r="AAD39" s="131"/>
      <c r="AAE39" s="131"/>
      <c r="AAF39" s="131"/>
      <c r="AAG39" s="131"/>
      <c r="AAH39" s="131"/>
      <c r="AAJ39" s="131"/>
      <c r="AAK39" s="131"/>
      <c r="AAL39" s="131"/>
      <c r="AAM39" s="131"/>
      <c r="AAN39" s="131"/>
      <c r="AAO39" s="131"/>
      <c r="AAP39" s="131"/>
      <c r="AAQ39" s="131"/>
      <c r="AAR39" s="131"/>
      <c r="AAS39" s="131"/>
      <c r="AAT39" s="131"/>
      <c r="AAU39" s="131"/>
      <c r="AAV39" s="131"/>
      <c r="AAW39" s="131"/>
      <c r="AAX39" s="131"/>
      <c r="AAY39" s="131"/>
      <c r="AAZ39" s="131"/>
      <c r="ABA39" s="131"/>
      <c r="ABB39" s="131"/>
      <c r="ABC39" s="131"/>
      <c r="ABD39" s="131"/>
      <c r="ABE39" s="131"/>
      <c r="ABF39" s="131"/>
      <c r="ABG39" s="131"/>
      <c r="ABH39" s="131"/>
      <c r="ABI39" s="131"/>
      <c r="ABJ39" s="131"/>
      <c r="ABK39" s="131"/>
      <c r="ABL39" s="131"/>
      <c r="ABM39" s="131"/>
      <c r="ABN39" s="131"/>
      <c r="ABO39" s="131"/>
      <c r="ABP39" s="131"/>
      <c r="ABQ39" s="131"/>
      <c r="ABR39" s="131"/>
      <c r="ABS39" s="131"/>
      <c r="ABT39" s="131"/>
      <c r="ABU39" s="131"/>
      <c r="ABV39" s="131"/>
      <c r="ABW39" s="131"/>
      <c r="ABX39" s="131"/>
      <c r="ABY39" s="131"/>
      <c r="ABZ39" s="131"/>
      <c r="ACA39" s="131"/>
      <c r="ACB39" s="131"/>
      <c r="ACC39" s="131"/>
      <c r="ACD39" s="131"/>
      <c r="ACE39" s="131"/>
      <c r="ACF39" s="131"/>
      <c r="ACG39" s="131"/>
      <c r="ACH39" s="131"/>
      <c r="ACI39" s="131"/>
      <c r="ACJ39" s="131"/>
      <c r="ACK39" s="131"/>
      <c r="ACL39" s="131"/>
      <c r="ACM39" s="131"/>
      <c r="ACN39" s="131"/>
      <c r="ACO39" s="131"/>
      <c r="ACP39" s="131"/>
      <c r="ACQ39" s="131"/>
      <c r="ACR39" s="131"/>
      <c r="ACS39" s="131"/>
      <c r="ACT39" s="131"/>
      <c r="ACU39" s="131"/>
      <c r="ACV39" s="131"/>
      <c r="ACW39" s="131"/>
      <c r="ACX39" s="131"/>
      <c r="ACY39" s="131"/>
      <c r="ACZ39" s="131"/>
      <c r="ADA39" s="131"/>
      <c r="ADB39" s="131"/>
      <c r="ADC39" s="131"/>
      <c r="ADD39" s="131"/>
      <c r="ADE39" s="131"/>
      <c r="ADF39" s="131"/>
      <c r="ADG39" s="131"/>
      <c r="ADH39" s="131"/>
      <c r="ADI39" s="131"/>
      <c r="ADJ39" s="131"/>
      <c r="ADK39" s="131"/>
      <c r="ADL39" s="131"/>
      <c r="ADM39" s="131"/>
      <c r="ADN39" s="131"/>
      <c r="ADO39" s="131"/>
      <c r="ADP39" s="131"/>
      <c r="ADQ39" s="131"/>
      <c r="ADR39" s="131"/>
      <c r="ADS39" s="131"/>
      <c r="ADT39" s="131"/>
      <c r="ADU39" s="131"/>
      <c r="ADV39" s="131"/>
      <c r="ADW39" s="131"/>
      <c r="ADX39" s="131"/>
      <c r="ADY39" s="131"/>
      <c r="ADZ39" s="131"/>
      <c r="AEA39" s="131"/>
      <c r="AEB39" s="131"/>
      <c r="AEC39" s="131"/>
      <c r="AED39" s="131"/>
      <c r="AEE39" s="131"/>
      <c r="AEF39" s="131"/>
      <c r="AEG39" s="131"/>
      <c r="AEH39" s="131"/>
      <c r="AEI39" s="131"/>
      <c r="AEJ39" s="131"/>
      <c r="AEK39" s="131"/>
      <c r="AEL39" s="131"/>
      <c r="AEM39" s="131"/>
      <c r="AEN39" s="131"/>
      <c r="AEO39" s="131"/>
      <c r="AEP39" s="131"/>
      <c r="AEQ39" s="131"/>
      <c r="AER39" s="131"/>
      <c r="AES39" s="131"/>
      <c r="AET39" s="131"/>
      <c r="AEU39" s="131"/>
      <c r="AEV39" s="131"/>
      <c r="AEW39" s="131"/>
      <c r="AEX39" s="131"/>
      <c r="AEY39" s="131"/>
      <c r="AEZ39" s="131"/>
      <c r="AFA39" s="131"/>
      <c r="AFB39" s="131"/>
      <c r="AFC39" s="131"/>
      <c r="AFD39" s="131"/>
      <c r="AFE39" s="131"/>
      <c r="AFF39" s="131"/>
      <c r="AFG39" s="131"/>
      <c r="AFH39" s="131"/>
      <c r="AFI39" s="131"/>
      <c r="AFJ39" s="131"/>
      <c r="AFK39" s="131"/>
      <c r="APO39" s="130"/>
      <c r="APP39" s="130"/>
      <c r="APQ39" s="130"/>
      <c r="APR39" s="130"/>
      <c r="APS39" s="130"/>
      <c r="APT39" s="130"/>
      <c r="APU39" s="130"/>
      <c r="APV39" s="130"/>
      <c r="APW39" s="130"/>
      <c r="APX39" s="130"/>
      <c r="APY39" s="130"/>
      <c r="APZ39" s="130"/>
      <c r="AQA39" s="130"/>
      <c r="AQB39" s="130"/>
      <c r="AQC39" s="130"/>
      <c r="AQD39" s="130"/>
      <c r="AQE39" s="130"/>
      <c r="AQF39" s="130"/>
      <c r="AQG39" s="130"/>
      <c r="AQH39" s="130"/>
      <c r="AQI39" s="130"/>
      <c r="AQJ39" s="130"/>
      <c r="AQK39" s="130"/>
      <c r="AQL39" s="130"/>
      <c r="AQM39" s="130"/>
      <c r="AQN39" s="130"/>
      <c r="AQO39" s="130"/>
      <c r="AQP39" s="130"/>
      <c r="AQQ39" s="130"/>
      <c r="AQR39" s="130"/>
      <c r="AQS39" s="130"/>
      <c r="AQT39" s="130"/>
      <c r="AQU39" s="130"/>
      <c r="AQV39" s="130"/>
      <c r="AQW39" s="130"/>
      <c r="AQX39" s="130"/>
      <c r="AQY39" s="130"/>
      <c r="AQZ39" s="130"/>
      <c r="ARA39" s="130"/>
      <c r="ARB39" s="130"/>
      <c r="ARC39" s="130"/>
      <c r="ARD39" s="130"/>
      <c r="ARE39" s="130"/>
      <c r="ARF39" s="130"/>
      <c r="ARG39" s="130"/>
      <c r="ARH39" s="130"/>
      <c r="ARI39" s="130"/>
      <c r="ARJ39" s="130"/>
      <c r="ARK39" s="130"/>
      <c r="ARL39" s="130"/>
      <c r="ARM39" s="130"/>
      <c r="ARN39" s="130"/>
      <c r="ARO39" s="130"/>
      <c r="ARP39" s="130"/>
      <c r="ARQ39" s="130"/>
      <c r="ARR39" s="130"/>
      <c r="ARS39" s="130"/>
      <c r="ART39" s="130"/>
      <c r="ARU39" s="130"/>
      <c r="ARV39" s="130"/>
      <c r="ARW39" s="130"/>
      <c r="ARX39" s="130"/>
      <c r="ARY39" s="130"/>
      <c r="ARZ39" s="130"/>
      <c r="ASA39" s="130"/>
      <c r="ASB39" s="130"/>
      <c r="ASC39" s="130"/>
      <c r="ASD39" s="130"/>
      <c r="ASE39" s="130"/>
      <c r="ASF39" s="130"/>
      <c r="ASG39" s="130"/>
      <c r="ASH39" s="130"/>
      <c r="ASI39" s="130"/>
      <c r="ASJ39" s="130"/>
      <c r="ASK39" s="130"/>
      <c r="ASL39" s="130"/>
      <c r="ASM39" s="130"/>
      <c r="ASN39" s="130"/>
      <c r="ASO39" s="130"/>
      <c r="ASP39" s="130"/>
      <c r="ASQ39" s="130"/>
      <c r="ASR39" s="130"/>
      <c r="ASS39" s="130"/>
      <c r="AST39" s="130"/>
      <c r="ASU39" s="130"/>
      <c r="ASV39" s="130"/>
      <c r="ASW39" s="130"/>
    </row>
    <row r="40" spans="1:1022 1029:1197" s="129" customFormat="1" outlineLevel="1">
      <c r="A40" s="137" t="s">
        <v>236</v>
      </c>
      <c r="B40" s="139" t="s">
        <v>273</v>
      </c>
      <c r="C40" s="139" t="s">
        <v>274</v>
      </c>
      <c r="D40" s="139" t="s">
        <v>275</v>
      </c>
      <c r="E40" s="137">
        <v>61</v>
      </c>
      <c r="F40" s="138"/>
      <c r="G40" s="136" t="s">
        <v>19</v>
      </c>
      <c r="H40" s="136" t="s">
        <v>366</v>
      </c>
      <c r="I40" s="136" t="s">
        <v>13</v>
      </c>
      <c r="J40" s="136" t="s">
        <v>13</v>
      </c>
      <c r="K40" s="136" t="s">
        <v>366</v>
      </c>
      <c r="L40" s="136" t="s">
        <v>366</v>
      </c>
      <c r="M40" s="136"/>
      <c r="N40" s="136" t="s">
        <v>366</v>
      </c>
      <c r="O40" s="138"/>
      <c r="Q40" s="128"/>
      <c r="R40" s="128"/>
      <c r="T40" s="128"/>
      <c r="AP40" s="128"/>
      <c r="AQ40" s="128"/>
      <c r="AR40" s="128"/>
      <c r="AS40" s="128"/>
      <c r="AT40" s="128"/>
      <c r="AU40" s="128"/>
      <c r="AV40" s="128"/>
      <c r="AW40" s="128"/>
      <c r="AY40" s="128"/>
      <c r="AZ40" s="128"/>
      <c r="BA40" s="128"/>
      <c r="BD40" s="128"/>
      <c r="BE40" s="128"/>
      <c r="BF40" s="128"/>
      <c r="BJ40" s="128"/>
      <c r="BK40" s="128"/>
      <c r="FL40" s="128"/>
      <c r="GR40" s="128"/>
      <c r="GU40" s="128"/>
      <c r="GV40" s="128"/>
      <c r="GX40" s="128"/>
      <c r="HA40" s="128"/>
      <c r="HB40" s="128"/>
      <c r="HD40" s="128"/>
      <c r="HE40" s="128"/>
      <c r="HH40" s="128"/>
      <c r="HK40" s="128"/>
      <c r="HL40" s="128"/>
      <c r="HN40" s="128"/>
      <c r="HO40" s="128"/>
      <c r="HS40" s="128"/>
      <c r="HT40" s="128"/>
      <c r="HU40" s="128"/>
      <c r="HV40" s="128"/>
      <c r="HW40" s="128" t="s">
        <v>3980</v>
      </c>
      <c r="HX40" s="128" t="s">
        <v>3982</v>
      </c>
      <c r="HY40" s="128" t="s">
        <v>3980</v>
      </c>
      <c r="HZ40" s="128" t="s">
        <v>3981</v>
      </c>
      <c r="IA40" s="128" t="s">
        <v>3982</v>
      </c>
      <c r="IB40" s="128" t="s">
        <v>3980</v>
      </c>
      <c r="IC40" s="128" t="s">
        <v>3981</v>
      </c>
      <c r="ID40" s="128" t="s">
        <v>3980</v>
      </c>
      <c r="IE40" s="128" t="s">
        <v>3843</v>
      </c>
      <c r="IF40" s="128"/>
      <c r="IG40" s="128"/>
      <c r="IH40" s="128"/>
      <c r="II40" s="128"/>
      <c r="IJ40" s="128"/>
      <c r="IK40" s="128"/>
      <c r="IL40" s="128"/>
      <c r="IM40" s="128"/>
      <c r="IN40" s="128"/>
      <c r="IO40" s="128"/>
      <c r="IP40" s="128"/>
      <c r="IQ40" s="128"/>
      <c r="IR40" s="128"/>
      <c r="IS40" s="128"/>
      <c r="IT40" s="128"/>
      <c r="IU40" s="128"/>
      <c r="IV40" s="128"/>
      <c r="IW40" s="128"/>
      <c r="IX40" s="128" t="s">
        <v>3980</v>
      </c>
      <c r="IY40" s="128" t="s">
        <v>3982</v>
      </c>
      <c r="IZ40" s="128" t="s">
        <v>3980</v>
      </c>
      <c r="JA40" s="128" t="s">
        <v>3981</v>
      </c>
      <c r="JB40" s="128" t="s">
        <v>3982</v>
      </c>
      <c r="JC40" s="128" t="s">
        <v>3980</v>
      </c>
      <c r="JD40" s="128" t="s">
        <v>3981</v>
      </c>
      <c r="JE40" s="128" t="s">
        <v>3980</v>
      </c>
      <c r="JF40" s="128" t="s">
        <v>3843</v>
      </c>
      <c r="JG40" s="128"/>
      <c r="JH40" s="128"/>
      <c r="JI40" s="128"/>
      <c r="JJ40" s="128"/>
      <c r="JK40" s="128"/>
      <c r="JL40" s="128"/>
      <c r="JM40" s="128"/>
      <c r="JN40" s="128"/>
      <c r="JO40" s="128"/>
      <c r="JP40" s="128"/>
      <c r="JQ40" s="128"/>
      <c r="JR40" s="128"/>
      <c r="JS40" s="128"/>
      <c r="JT40" s="128"/>
      <c r="JU40" s="128"/>
      <c r="JV40" s="128"/>
      <c r="JW40" s="128"/>
      <c r="JX40" s="128"/>
      <c r="JY40" s="128"/>
      <c r="JZ40" s="128"/>
      <c r="KA40" s="128"/>
      <c r="KB40" s="128"/>
      <c r="KC40" s="128"/>
      <c r="KD40" s="128"/>
      <c r="KE40" s="128"/>
      <c r="KF40" s="128"/>
      <c r="KG40" s="128"/>
      <c r="KH40" s="128"/>
      <c r="KI40" s="128"/>
      <c r="KJ40" s="128"/>
      <c r="KK40" s="128"/>
      <c r="KL40" s="128"/>
      <c r="KM40" s="128"/>
      <c r="KN40" s="128"/>
      <c r="KO40" s="128"/>
      <c r="KP40" s="128"/>
      <c r="KQ40" s="128"/>
      <c r="KR40" s="128"/>
      <c r="KS40" s="128"/>
      <c r="KT40" s="128"/>
      <c r="KU40" s="128"/>
      <c r="KV40" s="128"/>
      <c r="KW40" s="128"/>
      <c r="KX40" s="128"/>
      <c r="KY40" s="128"/>
      <c r="KZ40" s="128"/>
      <c r="LA40" s="128"/>
      <c r="LB40" s="128"/>
      <c r="LC40" s="128"/>
      <c r="LD40" s="128"/>
      <c r="LE40" s="128"/>
      <c r="LF40" s="128"/>
      <c r="LG40" s="128"/>
      <c r="LH40" s="128"/>
      <c r="LI40" s="128"/>
      <c r="LJ40" s="128"/>
      <c r="LK40" s="143"/>
      <c r="LL40" s="143"/>
      <c r="LM40" s="143"/>
      <c r="LN40" s="143"/>
      <c r="LO40" s="143"/>
      <c r="LP40" s="128"/>
      <c r="LQ40" s="128"/>
      <c r="LR40" s="128"/>
      <c r="LS40" s="128"/>
      <c r="LT40" s="128"/>
      <c r="LU40" s="143"/>
      <c r="LV40" s="143"/>
      <c r="LW40" s="143"/>
      <c r="LX40" s="143"/>
      <c r="LY40" s="143"/>
      <c r="LZ40" s="143"/>
      <c r="MA40" s="143"/>
      <c r="MB40" s="143"/>
      <c r="MC40" s="143"/>
      <c r="MD40" s="143"/>
      <c r="ME40" s="143"/>
      <c r="MF40" s="143"/>
      <c r="MG40" s="143"/>
      <c r="MH40" s="128"/>
      <c r="MI40" s="128"/>
      <c r="MJ40" s="128"/>
      <c r="MK40" s="128"/>
      <c r="ML40" s="128"/>
      <c r="MM40" s="128"/>
      <c r="MN40" s="128"/>
      <c r="MO40" s="128"/>
      <c r="MP40" s="128"/>
      <c r="MQ40" s="141"/>
      <c r="MR40" s="141"/>
      <c r="MS40" s="141"/>
      <c r="MT40" s="141"/>
      <c r="MU40" s="141"/>
      <c r="MV40" s="141"/>
      <c r="MW40" s="141"/>
      <c r="MX40" s="141"/>
      <c r="MY40" s="141"/>
      <c r="MZ40" s="128"/>
      <c r="NA40" s="128"/>
      <c r="NB40" s="143"/>
      <c r="NC40" s="143"/>
      <c r="ND40" s="143"/>
      <c r="NE40" s="143"/>
      <c r="NF40" s="143"/>
      <c r="NG40" s="128"/>
      <c r="NH40" s="128"/>
      <c r="NI40" s="128"/>
      <c r="NJ40" s="128"/>
      <c r="NK40" s="128"/>
      <c r="NL40" s="141"/>
      <c r="NM40" s="141"/>
      <c r="NN40" s="141"/>
      <c r="NO40" s="141"/>
      <c r="NP40" s="141"/>
      <c r="NQ40" s="128"/>
      <c r="NR40" s="128"/>
      <c r="NS40" s="128"/>
      <c r="NT40" s="128"/>
      <c r="NU40" s="128"/>
      <c r="NV40" s="128"/>
      <c r="NW40" s="128"/>
      <c r="NX40" s="128"/>
      <c r="NY40" s="128"/>
      <c r="NZ40" s="128"/>
      <c r="OA40" s="128"/>
      <c r="OB40" s="128"/>
      <c r="OC40" s="128"/>
      <c r="OD40" s="128"/>
      <c r="OE40" s="128"/>
      <c r="OF40" s="128"/>
      <c r="OG40" s="128"/>
      <c r="OH40" s="128"/>
      <c r="OI40" s="128"/>
      <c r="OJ40" s="128"/>
      <c r="OK40" s="128"/>
      <c r="OL40" s="128"/>
      <c r="OM40" s="128"/>
      <c r="ON40" s="128"/>
      <c r="OO40" s="128"/>
      <c r="OU40" s="128"/>
      <c r="OX40" s="128"/>
      <c r="OY40" s="128"/>
      <c r="OZ40" s="128"/>
      <c r="PA40" s="128"/>
      <c r="PB40" s="128"/>
      <c r="PL40" s="128"/>
      <c r="PM40" s="128"/>
      <c r="QE40" s="128"/>
      <c r="QF40" s="128"/>
      <c r="QI40" s="128"/>
      <c r="QJ40" s="128"/>
      <c r="QK40" s="128"/>
      <c r="QL40" s="128"/>
      <c r="RO40" s="128"/>
      <c r="RP40" s="128"/>
      <c r="RQ40" s="134"/>
      <c r="RR40" s="134"/>
      <c r="RS40" s="134"/>
      <c r="RT40" s="134"/>
      <c r="RV40" s="128"/>
      <c r="RY40" s="128"/>
      <c r="SD40" s="128"/>
      <c r="SE40" s="128"/>
      <c r="SF40" s="128"/>
      <c r="SP40" s="128"/>
      <c r="SQ40" s="128"/>
      <c r="SR40" s="128"/>
      <c r="SU40" s="128"/>
      <c r="TD40" s="133"/>
      <c r="TE40" s="132"/>
      <c r="TF40" s="132"/>
      <c r="TX40" s="132"/>
      <c r="TY40" s="132"/>
      <c r="TZ40" s="132"/>
      <c r="VL40" s="132"/>
      <c r="VM40" s="132"/>
      <c r="VN40" s="132"/>
      <c r="VO40" s="132"/>
      <c r="VR40" s="131"/>
      <c r="VS40" s="131"/>
      <c r="VT40" s="131"/>
      <c r="VU40" s="131"/>
      <c r="VV40" s="131"/>
      <c r="VW40" s="131"/>
      <c r="VX40" s="131"/>
      <c r="VY40" s="131"/>
      <c r="VZ40" s="131"/>
      <c r="WA40" s="131"/>
      <c r="WB40" s="162"/>
      <c r="WC40" s="131"/>
      <c r="WD40" s="131"/>
      <c r="WE40" s="131"/>
      <c r="WF40" s="131"/>
      <c r="WG40" s="131"/>
      <c r="WH40" s="131"/>
      <c r="WI40" s="131"/>
      <c r="WJ40" s="131"/>
      <c r="WK40" s="131"/>
      <c r="WL40" s="131"/>
      <c r="WM40" s="131"/>
      <c r="WN40" s="131"/>
      <c r="WO40" s="131"/>
      <c r="WP40" s="131"/>
      <c r="WQ40" s="131"/>
      <c r="WR40" s="131"/>
      <c r="WS40" s="131"/>
      <c r="WT40" s="131"/>
      <c r="WU40" s="131"/>
      <c r="WV40" s="131"/>
      <c r="WW40" s="131"/>
      <c r="WX40" s="131"/>
      <c r="WY40" s="131"/>
      <c r="WZ40" s="131"/>
      <c r="XA40" s="131"/>
      <c r="XB40" s="131"/>
      <c r="XC40" s="131"/>
      <c r="XD40" s="131"/>
      <c r="XE40" s="131"/>
      <c r="XF40" s="131"/>
      <c r="XG40" s="131"/>
      <c r="XH40" s="131"/>
      <c r="XI40" s="131"/>
      <c r="XJ40" s="131"/>
      <c r="XK40" s="131"/>
      <c r="XL40" s="131"/>
      <c r="XM40" s="162"/>
      <c r="XN40" s="131"/>
      <c r="XO40" s="131"/>
      <c r="XP40" s="131"/>
      <c r="XQ40" s="131"/>
      <c r="XR40" s="131"/>
      <c r="XS40" s="131"/>
      <c r="XT40" s="162"/>
      <c r="XU40" s="131"/>
      <c r="XV40" s="131"/>
      <c r="XW40" s="131"/>
      <c r="XX40" s="131"/>
      <c r="XY40" s="131"/>
      <c r="XZ40" s="131"/>
      <c r="YA40" s="131"/>
      <c r="YB40" s="131"/>
      <c r="YC40" s="131"/>
      <c r="YD40" s="131"/>
      <c r="YE40" s="162"/>
      <c r="YF40" s="131"/>
      <c r="YG40" s="131"/>
      <c r="YH40" s="131"/>
      <c r="YI40" s="131"/>
      <c r="YJ40" s="131"/>
      <c r="YK40" s="131"/>
      <c r="YL40" s="131"/>
      <c r="YM40" s="131"/>
      <c r="YN40" s="131"/>
      <c r="YO40" s="131"/>
      <c r="YP40" s="131"/>
      <c r="YQ40" s="131"/>
      <c r="YR40" s="131"/>
      <c r="YS40" s="131"/>
      <c r="YT40" s="131"/>
      <c r="YU40" s="131"/>
      <c r="YV40" s="131"/>
      <c r="YW40" s="131"/>
      <c r="YX40" s="131"/>
      <c r="YY40" s="131"/>
      <c r="YZ40" s="131"/>
      <c r="ZA40" s="131"/>
      <c r="ZB40" s="131"/>
      <c r="ZC40" s="131"/>
      <c r="ZD40" s="131"/>
      <c r="ZE40" s="131"/>
      <c r="ZF40" s="131"/>
      <c r="ZG40" s="131"/>
      <c r="ZH40" s="131"/>
      <c r="ZI40" s="131"/>
      <c r="ZJ40" s="131"/>
      <c r="ZK40" s="131"/>
      <c r="ZL40" s="131"/>
      <c r="ZM40" s="131"/>
      <c r="ZN40" s="131"/>
      <c r="ZO40" s="131"/>
      <c r="ZP40" s="131"/>
      <c r="ZQ40" s="131"/>
      <c r="ZR40" s="131"/>
      <c r="ZS40" s="131"/>
      <c r="ZT40" s="131"/>
      <c r="ZU40" s="131"/>
      <c r="ZV40" s="131"/>
      <c r="ZW40" s="162"/>
      <c r="ZX40" s="131"/>
      <c r="ZY40" s="131"/>
      <c r="ZZ40" s="131"/>
      <c r="AAA40" s="131"/>
      <c r="AAB40" s="131"/>
      <c r="AAC40" s="131"/>
      <c r="AAD40" s="131"/>
      <c r="AAE40" s="131"/>
      <c r="AAF40" s="131"/>
      <c r="AAG40" s="131"/>
      <c r="AAH40" s="162"/>
      <c r="AAJ40" s="131"/>
      <c r="AAK40" s="131"/>
      <c r="AAL40" s="131"/>
      <c r="AAM40" s="131"/>
      <c r="AAN40" s="131"/>
      <c r="AAO40" s="131"/>
      <c r="AAP40" s="131"/>
      <c r="AAQ40" s="131"/>
      <c r="AAR40" s="131"/>
      <c r="AAS40" s="131"/>
      <c r="AAT40" s="131"/>
      <c r="AAU40" s="131"/>
      <c r="AAV40" s="131"/>
      <c r="AAW40" s="131"/>
      <c r="AAX40" s="131"/>
      <c r="AAY40" s="131"/>
      <c r="AAZ40" s="131"/>
      <c r="ABA40" s="131"/>
      <c r="ABB40" s="131"/>
      <c r="ABC40" s="131"/>
      <c r="ABD40" s="131"/>
      <c r="ABE40" s="131"/>
      <c r="ABF40" s="131"/>
      <c r="ABG40" s="131"/>
      <c r="ABH40" s="131"/>
      <c r="ABI40" s="131"/>
      <c r="ABJ40" s="131"/>
      <c r="ABK40" s="131"/>
      <c r="ABL40" s="131"/>
      <c r="ABM40" s="131"/>
      <c r="ABN40" s="131"/>
      <c r="ABO40" s="131"/>
      <c r="ABP40" s="131"/>
      <c r="ABQ40" s="131"/>
      <c r="ABR40" s="131"/>
      <c r="ABS40" s="131"/>
      <c r="ABT40" s="162"/>
      <c r="ABU40" s="162"/>
      <c r="ABV40" s="162"/>
      <c r="ABW40" s="162"/>
      <c r="ABX40" s="162"/>
      <c r="ABY40" s="162"/>
      <c r="ABZ40" s="162"/>
      <c r="ACA40" s="131"/>
      <c r="ACB40" s="131"/>
      <c r="ACC40" s="131"/>
      <c r="ACD40" s="131"/>
      <c r="ACE40" s="131"/>
      <c r="ACF40" s="131"/>
      <c r="ACG40" s="131"/>
      <c r="ACH40" s="131"/>
      <c r="ACI40" s="131"/>
      <c r="ACJ40" s="131"/>
      <c r="ACK40" s="131"/>
      <c r="ACL40" s="131"/>
      <c r="ACM40" s="131"/>
      <c r="ACN40" s="131"/>
      <c r="ACO40" s="131"/>
      <c r="ACP40" s="131"/>
      <c r="ACQ40" s="131"/>
      <c r="ACR40" s="131"/>
      <c r="ACS40" s="131"/>
      <c r="ACT40" s="131"/>
      <c r="ACU40" s="131"/>
      <c r="ACV40" s="131"/>
      <c r="ACW40" s="131"/>
      <c r="ACX40" s="131"/>
      <c r="ACY40" s="131"/>
      <c r="ACZ40" s="131"/>
      <c r="ADA40" s="131"/>
      <c r="ADB40" s="131"/>
      <c r="ADC40" s="131"/>
      <c r="ADD40" s="131"/>
      <c r="ADE40" s="131"/>
      <c r="ADF40" s="131"/>
      <c r="ADG40" s="131"/>
      <c r="ADH40" s="131"/>
      <c r="ADI40" s="131"/>
      <c r="ADJ40" s="131"/>
      <c r="ADK40" s="131"/>
      <c r="ADL40" s="131"/>
      <c r="ADM40" s="131"/>
      <c r="ADN40" s="131"/>
      <c r="ADO40" s="131"/>
      <c r="ADP40" s="131"/>
      <c r="ADQ40" s="131"/>
      <c r="ADR40" s="131"/>
      <c r="ADS40" s="131"/>
      <c r="ADT40" s="131"/>
      <c r="ADU40" s="131"/>
      <c r="ADV40" s="131"/>
      <c r="ADW40" s="131"/>
      <c r="ADX40" s="131"/>
      <c r="ADY40" s="131"/>
      <c r="ADZ40" s="131"/>
      <c r="AEA40" s="131"/>
      <c r="AEB40" s="131"/>
      <c r="AEC40" s="131"/>
      <c r="AED40" s="131"/>
      <c r="AEE40" s="131"/>
      <c r="AEF40" s="131"/>
      <c r="AEG40" s="131"/>
      <c r="AEH40" s="131"/>
      <c r="AEI40" s="131"/>
      <c r="AEJ40" s="131"/>
      <c r="AEK40" s="131"/>
      <c r="AEL40" s="131"/>
      <c r="AEM40" s="131"/>
      <c r="AEN40" s="131"/>
      <c r="AEO40" s="131"/>
      <c r="AEP40" s="131"/>
      <c r="AEQ40" s="131"/>
      <c r="AER40" s="131"/>
      <c r="AES40" s="131"/>
      <c r="AET40" s="131"/>
      <c r="AEU40" s="131"/>
      <c r="AEV40" s="131"/>
      <c r="AEW40" s="131"/>
      <c r="AEX40" s="131"/>
      <c r="AEY40" s="131"/>
      <c r="AEZ40" s="131"/>
      <c r="AFA40" s="131"/>
      <c r="AFB40" s="131"/>
      <c r="AFC40" s="131"/>
      <c r="AFD40" s="131"/>
      <c r="AFE40" s="131"/>
      <c r="AFF40" s="131"/>
      <c r="AFG40" s="131"/>
      <c r="AFH40" s="131"/>
      <c r="AFI40" s="131"/>
      <c r="AFJ40" s="131"/>
      <c r="AFK40" s="131"/>
      <c r="AFN40" s="128"/>
      <c r="AFO40" s="128"/>
      <c r="AFP40" s="128"/>
      <c r="AFQ40" s="128"/>
      <c r="AFX40" s="128"/>
      <c r="AFY40" s="128"/>
      <c r="AFZ40" s="128"/>
      <c r="AGA40" s="128"/>
      <c r="AGH40" s="128"/>
      <c r="AGI40" s="128"/>
      <c r="AGJ40" s="128"/>
      <c r="AGK40" s="128"/>
      <c r="AHB40" s="128"/>
      <c r="AHF40" s="128"/>
      <c r="AHM40" s="128"/>
      <c r="AHX40" s="128"/>
      <c r="AII40" s="128"/>
      <c r="AIT40" s="128"/>
      <c r="AIX40" s="128"/>
      <c r="AJE40" s="128"/>
      <c r="AJF40" s="128"/>
      <c r="AJG40" s="128"/>
      <c r="AJH40" s="128"/>
      <c r="AJI40" s="128"/>
      <c r="AJP40" s="128"/>
      <c r="AJQ40" s="128"/>
      <c r="AJR40" s="128"/>
      <c r="AJS40" s="128"/>
      <c r="AKA40" s="128"/>
      <c r="AKB40" s="128"/>
      <c r="AKC40" s="128"/>
      <c r="AKD40" s="128"/>
      <c r="AKE40" s="128"/>
      <c r="AKL40" s="128"/>
      <c r="AKM40" s="128"/>
      <c r="AKN40" s="128"/>
      <c r="AKO40" s="128"/>
      <c r="AKP40" s="128"/>
      <c r="AKQ40" s="128"/>
      <c r="AKR40" s="128"/>
      <c r="AKS40" s="128"/>
      <c r="AKT40" s="128"/>
      <c r="AKU40" s="128"/>
      <c r="AKV40" s="128"/>
      <c r="AKW40" s="128"/>
      <c r="AKX40" s="128"/>
      <c r="AKY40" s="128"/>
      <c r="AKZ40" s="128"/>
      <c r="ALA40" s="128"/>
      <c r="ALB40" s="128"/>
      <c r="ALC40" s="128"/>
      <c r="ALD40" s="128"/>
      <c r="ALE40" s="128"/>
      <c r="ALF40" s="128"/>
      <c r="ALG40" s="128"/>
      <c r="ALH40" s="128"/>
      <c r="ALI40" s="128"/>
      <c r="ALJ40" s="128"/>
      <c r="ALK40" s="128"/>
      <c r="ALM40" s="128"/>
      <c r="ALN40" s="128"/>
      <c r="ALO40" s="128"/>
      <c r="ALP40" s="128"/>
      <c r="ALQ40" s="128"/>
      <c r="ALR40" s="128"/>
      <c r="ALS40" s="128"/>
      <c r="ALT40" s="128"/>
      <c r="ALU40" s="128"/>
      <c r="ALV40" s="128"/>
      <c r="AMD40" s="128"/>
      <c r="AME40" s="128"/>
      <c r="AMF40" s="128"/>
      <c r="AMG40" s="128"/>
      <c r="AMH40" s="128"/>
      <c r="AMO40" s="128"/>
      <c r="AMP40" s="128"/>
      <c r="AMQ40" s="128"/>
      <c r="AMR40" s="128"/>
      <c r="AMZ40" s="128"/>
      <c r="ANA40" s="128"/>
      <c r="ANB40" s="128"/>
      <c r="ANC40" s="128"/>
      <c r="ANL40" s="128"/>
      <c r="ANM40" s="128"/>
      <c r="ANN40" s="128"/>
      <c r="ANW40" s="128"/>
      <c r="ANX40" s="128"/>
      <c r="ANY40" s="128"/>
      <c r="APO40" s="130"/>
      <c r="APP40" s="130"/>
      <c r="APQ40" s="130"/>
      <c r="APR40" s="130"/>
      <c r="APS40" s="130"/>
      <c r="APT40" s="130"/>
      <c r="APU40" s="130"/>
      <c r="APV40" s="130"/>
      <c r="APW40" s="130"/>
      <c r="APX40" s="130"/>
      <c r="APY40" s="130"/>
      <c r="APZ40" s="130"/>
      <c r="AQA40" s="130"/>
      <c r="AQB40" s="130"/>
      <c r="AQC40" s="130"/>
      <c r="AQD40" s="130"/>
      <c r="AQE40" s="130"/>
      <c r="AQF40" s="130"/>
      <c r="AQG40" s="130"/>
      <c r="AQH40" s="130"/>
      <c r="AQI40" s="130"/>
      <c r="AQJ40" s="130"/>
      <c r="AQK40" s="130"/>
      <c r="AQL40" s="130"/>
      <c r="AQM40" s="130"/>
      <c r="AQN40" s="130"/>
      <c r="AQO40" s="130"/>
      <c r="AQP40" s="130"/>
      <c r="AQQ40" s="130"/>
      <c r="AQR40" s="130"/>
      <c r="AQS40" s="130"/>
      <c r="AQT40" s="130"/>
      <c r="AQU40" s="130"/>
      <c r="AQV40" s="130"/>
      <c r="AQW40" s="130"/>
      <c r="AQX40" s="130"/>
      <c r="AQY40" s="130"/>
      <c r="AQZ40" s="130"/>
      <c r="ARA40" s="130"/>
      <c r="ARB40" s="130"/>
      <c r="ARC40" s="130"/>
      <c r="ARD40" s="130"/>
      <c r="ARE40" s="130"/>
      <c r="ARF40" s="130"/>
      <c r="ARG40" s="130"/>
      <c r="ARH40" s="130"/>
      <c r="ARI40" s="130"/>
      <c r="ARJ40" s="130"/>
      <c r="ARK40" s="130"/>
      <c r="ARL40" s="130"/>
      <c r="ARM40" s="130"/>
      <c r="ARN40" s="130"/>
      <c r="ARO40" s="130"/>
      <c r="ARP40" s="130"/>
      <c r="ARQ40" s="130"/>
      <c r="ARR40" s="130"/>
      <c r="ARS40" s="130"/>
      <c r="ART40" s="130"/>
      <c r="ARU40" s="130"/>
      <c r="ARV40" s="130"/>
      <c r="ARW40" s="130"/>
      <c r="ARX40" s="130"/>
      <c r="ARY40" s="130"/>
      <c r="ARZ40" s="130"/>
      <c r="ASA40" s="130"/>
      <c r="ASB40" s="130"/>
      <c r="ASC40" s="130"/>
      <c r="ASD40" s="130"/>
      <c r="ASE40" s="130"/>
      <c r="ASF40" s="130"/>
      <c r="ASG40" s="130"/>
      <c r="ASH40" s="130"/>
      <c r="ASI40" s="130"/>
      <c r="ASJ40" s="130"/>
      <c r="ASK40" s="130"/>
      <c r="ASL40" s="130"/>
      <c r="ASM40" s="130"/>
      <c r="ASN40" s="130"/>
      <c r="ASO40" s="130"/>
      <c r="ASP40" s="130"/>
      <c r="ASQ40" s="130"/>
      <c r="ASR40" s="130"/>
      <c r="ASS40" s="130"/>
      <c r="AST40" s="130"/>
      <c r="ASU40" s="130"/>
      <c r="ASV40" s="130"/>
      <c r="ASW40" s="130"/>
      <c r="ASX40" s="128"/>
      <c r="ASY40" s="128"/>
      <c r="ASZ40" s="128"/>
      <c r="ATA40" s="128"/>
    </row>
    <row r="41" spans="1:1022 1029:1197" s="129" customFormat="1" outlineLevel="1">
      <c r="A41" s="137" t="s">
        <v>236</v>
      </c>
      <c r="B41" s="139" t="s">
        <v>276</v>
      </c>
      <c r="C41" s="139" t="s">
        <v>277</v>
      </c>
      <c r="D41" s="139" t="s">
        <v>278</v>
      </c>
      <c r="E41" s="137">
        <v>62</v>
      </c>
      <c r="F41" s="138"/>
      <c r="G41" s="136" t="s">
        <v>19</v>
      </c>
      <c r="H41" s="136" t="s">
        <v>366</v>
      </c>
      <c r="I41" s="136" t="s">
        <v>13</v>
      </c>
      <c r="J41" s="136" t="s">
        <v>13</v>
      </c>
      <c r="K41" s="136" t="s">
        <v>366</v>
      </c>
      <c r="L41" s="136" t="s">
        <v>366</v>
      </c>
      <c r="M41" s="136"/>
      <c r="N41" s="136" t="s">
        <v>366</v>
      </c>
      <c r="O41" s="138"/>
      <c r="Q41" s="128"/>
      <c r="R41" s="128"/>
      <c r="T41" s="128"/>
      <c r="AP41" s="128"/>
      <c r="AQ41" s="128"/>
      <c r="AR41" s="128"/>
      <c r="AS41" s="128"/>
      <c r="AT41" s="128"/>
      <c r="AU41" s="128"/>
      <c r="AV41" s="128"/>
      <c r="AW41" s="128"/>
      <c r="AY41" s="128"/>
      <c r="AZ41" s="128"/>
      <c r="BA41" s="128"/>
      <c r="BD41" s="128"/>
      <c r="BE41" s="128"/>
      <c r="BF41" s="128"/>
      <c r="BJ41" s="128"/>
      <c r="BK41" s="128"/>
      <c r="FL41" s="128"/>
      <c r="GR41" s="128"/>
      <c r="GU41" s="128"/>
      <c r="GV41" s="128"/>
      <c r="GX41" s="128"/>
      <c r="HA41" s="128"/>
      <c r="HB41" s="128"/>
      <c r="HD41" s="128"/>
      <c r="HE41" s="128"/>
      <c r="HH41" s="128"/>
      <c r="HK41" s="128"/>
      <c r="HL41" s="128"/>
      <c r="HN41" s="128"/>
      <c r="HO41" s="128"/>
      <c r="HS41" s="128"/>
      <c r="HT41" s="128"/>
      <c r="HU41" s="128"/>
      <c r="HV41" s="128"/>
      <c r="HW41" s="128" t="s">
        <v>3977</v>
      </c>
      <c r="HX41" s="128" t="s">
        <v>3979</v>
      </c>
      <c r="HY41" s="128" t="s">
        <v>3977</v>
      </c>
      <c r="HZ41" s="128" t="s">
        <v>3978</v>
      </c>
      <c r="IA41" s="128" t="s">
        <v>3979</v>
      </c>
      <c r="IB41" s="128" t="s">
        <v>3977</v>
      </c>
      <c r="IC41" s="128" t="s">
        <v>3978</v>
      </c>
      <c r="ID41" s="128" t="s">
        <v>3977</v>
      </c>
      <c r="IE41" s="128" t="s">
        <v>3843</v>
      </c>
      <c r="IF41" s="128"/>
      <c r="IG41" s="128"/>
      <c r="IH41" s="128"/>
      <c r="II41" s="128"/>
      <c r="IJ41" s="128"/>
      <c r="IK41" s="128"/>
      <c r="IL41" s="128"/>
      <c r="IM41" s="128"/>
      <c r="IN41" s="128"/>
      <c r="IO41" s="128"/>
      <c r="IP41" s="128"/>
      <c r="IQ41" s="128"/>
      <c r="IR41" s="128"/>
      <c r="IS41" s="128"/>
      <c r="IT41" s="128"/>
      <c r="IU41" s="128"/>
      <c r="IV41" s="128"/>
      <c r="IW41" s="128"/>
      <c r="IX41" s="128" t="s">
        <v>3977</v>
      </c>
      <c r="IY41" s="128" t="s">
        <v>3979</v>
      </c>
      <c r="IZ41" s="128" t="s">
        <v>3977</v>
      </c>
      <c r="JA41" s="128" t="s">
        <v>3978</v>
      </c>
      <c r="JB41" s="128" t="s">
        <v>3979</v>
      </c>
      <c r="JC41" s="128" t="s">
        <v>3977</v>
      </c>
      <c r="JD41" s="128" t="s">
        <v>3978</v>
      </c>
      <c r="JE41" s="128" t="s">
        <v>3977</v>
      </c>
      <c r="JF41" s="128" t="s">
        <v>3843</v>
      </c>
      <c r="JG41" s="128"/>
      <c r="JH41" s="128"/>
      <c r="JI41" s="128"/>
      <c r="JJ41" s="128"/>
      <c r="JK41" s="128"/>
      <c r="JL41" s="128"/>
      <c r="JM41" s="128"/>
      <c r="JN41" s="128"/>
      <c r="JO41" s="128"/>
      <c r="JP41" s="128"/>
      <c r="JQ41" s="128"/>
      <c r="JR41" s="128"/>
      <c r="JS41" s="128"/>
      <c r="JT41" s="128"/>
      <c r="JU41" s="128"/>
      <c r="JV41" s="128"/>
      <c r="JW41" s="128"/>
      <c r="JX41" s="128"/>
      <c r="JY41" s="128"/>
      <c r="JZ41" s="128"/>
      <c r="KA41" s="128"/>
      <c r="KB41" s="128"/>
      <c r="KC41" s="128"/>
      <c r="KD41" s="128"/>
      <c r="KE41" s="128"/>
      <c r="KF41" s="128"/>
      <c r="KG41" s="128"/>
      <c r="KH41" s="128"/>
      <c r="KI41" s="128"/>
      <c r="KJ41" s="128"/>
      <c r="KK41" s="128"/>
      <c r="KL41" s="128"/>
      <c r="KM41" s="128"/>
      <c r="KN41" s="128"/>
      <c r="KO41" s="128"/>
      <c r="KP41" s="128"/>
      <c r="KQ41" s="128"/>
      <c r="KR41" s="128"/>
      <c r="KS41" s="128"/>
      <c r="KT41" s="128"/>
      <c r="KU41" s="128"/>
      <c r="KV41" s="128"/>
      <c r="KW41" s="128"/>
      <c r="KX41" s="128"/>
      <c r="KY41" s="128"/>
      <c r="KZ41" s="128"/>
      <c r="LA41" s="128"/>
      <c r="LB41" s="128"/>
      <c r="LC41" s="128"/>
      <c r="LD41" s="128"/>
      <c r="LE41" s="128"/>
      <c r="LF41" s="128"/>
      <c r="LG41" s="128"/>
      <c r="LH41" s="128"/>
      <c r="LI41" s="128"/>
      <c r="LJ41" s="128"/>
      <c r="LK41" s="143"/>
      <c r="LL41" s="143"/>
      <c r="LM41" s="143"/>
      <c r="LN41" s="143"/>
      <c r="LO41" s="143"/>
      <c r="LP41" s="128"/>
      <c r="LQ41" s="128"/>
      <c r="LR41" s="128"/>
      <c r="LS41" s="128"/>
      <c r="LT41" s="128"/>
      <c r="LU41" s="143"/>
      <c r="LV41" s="143"/>
      <c r="LW41" s="143"/>
      <c r="LX41" s="143"/>
      <c r="LY41" s="143"/>
      <c r="LZ41" s="143"/>
      <c r="MA41" s="143"/>
      <c r="MB41" s="143"/>
      <c r="MC41" s="143"/>
      <c r="MD41" s="143"/>
      <c r="ME41" s="143"/>
      <c r="MF41" s="143"/>
      <c r="MG41" s="143"/>
      <c r="MH41" s="128"/>
      <c r="MI41" s="128"/>
      <c r="MJ41" s="128"/>
      <c r="MK41" s="128"/>
      <c r="ML41" s="128"/>
      <c r="MM41" s="128"/>
      <c r="MN41" s="128"/>
      <c r="MO41" s="128"/>
      <c r="MP41" s="128"/>
      <c r="MQ41" s="141"/>
      <c r="MR41" s="141"/>
      <c r="MS41" s="141"/>
      <c r="MT41" s="141"/>
      <c r="MU41" s="141"/>
      <c r="MV41" s="141"/>
      <c r="MW41" s="141"/>
      <c r="MX41" s="141"/>
      <c r="MY41" s="141"/>
      <c r="MZ41" s="128"/>
      <c r="NA41" s="128"/>
      <c r="NB41" s="143"/>
      <c r="NC41" s="143"/>
      <c r="ND41" s="143"/>
      <c r="NE41" s="143"/>
      <c r="NF41" s="143"/>
      <c r="NG41" s="128"/>
      <c r="NH41" s="128"/>
      <c r="NI41" s="128"/>
      <c r="NJ41" s="128"/>
      <c r="NK41" s="128"/>
      <c r="NL41" s="141"/>
      <c r="NM41" s="141"/>
      <c r="NN41" s="141"/>
      <c r="NO41" s="141"/>
      <c r="NP41" s="141"/>
      <c r="NQ41" s="128"/>
      <c r="NR41" s="128"/>
      <c r="NS41" s="128"/>
      <c r="NT41" s="128"/>
      <c r="NU41" s="128"/>
      <c r="NV41" s="128"/>
      <c r="NW41" s="128"/>
      <c r="NX41" s="128"/>
      <c r="NY41" s="128"/>
      <c r="NZ41" s="128"/>
      <c r="OA41" s="128"/>
      <c r="OB41" s="128"/>
      <c r="OC41" s="128"/>
      <c r="OD41" s="128"/>
      <c r="OE41" s="128"/>
      <c r="OF41" s="128"/>
      <c r="OG41" s="128"/>
      <c r="OH41" s="128"/>
      <c r="OI41" s="128"/>
      <c r="OJ41" s="128"/>
      <c r="OK41" s="128"/>
      <c r="OL41" s="128"/>
      <c r="OM41" s="128"/>
      <c r="ON41" s="128"/>
      <c r="OO41" s="128"/>
      <c r="OU41" s="128"/>
      <c r="OX41" s="128"/>
      <c r="OY41" s="128"/>
      <c r="OZ41" s="128"/>
      <c r="PA41" s="128"/>
      <c r="PB41" s="128"/>
      <c r="PL41" s="128"/>
      <c r="PM41" s="128"/>
      <c r="QE41" s="128"/>
      <c r="QF41" s="128"/>
      <c r="QI41" s="128"/>
      <c r="QJ41" s="128"/>
      <c r="QK41" s="128"/>
      <c r="QL41" s="128"/>
      <c r="RO41" s="128"/>
      <c r="RP41" s="128"/>
      <c r="RQ41" s="134"/>
      <c r="RR41" s="134"/>
      <c r="RS41" s="134"/>
      <c r="RT41" s="134"/>
      <c r="RV41" s="128"/>
      <c r="RY41" s="128"/>
      <c r="SD41" s="128"/>
      <c r="SE41" s="128"/>
      <c r="SF41" s="128"/>
      <c r="SP41" s="128"/>
      <c r="SQ41" s="128"/>
      <c r="SR41" s="128"/>
      <c r="SU41" s="128"/>
      <c r="TD41" s="133"/>
      <c r="TE41" s="132"/>
      <c r="TF41" s="132"/>
      <c r="TX41" s="132"/>
      <c r="TY41" s="132"/>
      <c r="TZ41" s="132"/>
      <c r="VL41" s="132"/>
      <c r="VM41" s="132"/>
      <c r="VN41" s="132"/>
      <c r="VO41" s="132"/>
      <c r="VR41" s="131"/>
      <c r="VS41" s="131"/>
      <c r="VT41" s="131"/>
      <c r="VU41" s="131"/>
      <c r="VV41" s="131"/>
      <c r="VW41" s="131"/>
      <c r="VX41" s="131"/>
      <c r="VY41" s="131"/>
      <c r="VZ41" s="131"/>
      <c r="WA41" s="131"/>
      <c r="WB41" s="162"/>
      <c r="WC41" s="131"/>
      <c r="WD41" s="131"/>
      <c r="WE41" s="131"/>
      <c r="WF41" s="131"/>
      <c r="WG41" s="131"/>
      <c r="WH41" s="131"/>
      <c r="WI41" s="131"/>
      <c r="WJ41" s="131"/>
      <c r="WK41" s="131"/>
      <c r="WL41" s="131"/>
      <c r="WM41" s="131"/>
      <c r="WN41" s="131"/>
      <c r="WO41" s="131"/>
      <c r="WP41" s="131"/>
      <c r="WQ41" s="131"/>
      <c r="WR41" s="131"/>
      <c r="WS41" s="131"/>
      <c r="WT41" s="131"/>
      <c r="WU41" s="131"/>
      <c r="WV41" s="131"/>
      <c r="WW41" s="131"/>
      <c r="WX41" s="131"/>
      <c r="WY41" s="131"/>
      <c r="WZ41" s="131"/>
      <c r="XA41" s="131"/>
      <c r="XB41" s="131"/>
      <c r="XC41" s="131"/>
      <c r="XD41" s="131"/>
      <c r="XE41" s="131"/>
      <c r="XF41" s="131"/>
      <c r="XG41" s="131"/>
      <c r="XH41" s="131"/>
      <c r="XI41" s="131"/>
      <c r="XJ41" s="131"/>
      <c r="XK41" s="131"/>
      <c r="XL41" s="131"/>
      <c r="XM41" s="162"/>
      <c r="XN41" s="131"/>
      <c r="XO41" s="131"/>
      <c r="XP41" s="131"/>
      <c r="XQ41" s="131"/>
      <c r="XR41" s="131"/>
      <c r="XS41" s="131"/>
      <c r="XT41" s="162"/>
      <c r="XU41" s="131"/>
      <c r="XV41" s="131"/>
      <c r="XW41" s="131"/>
      <c r="XX41" s="131"/>
      <c r="XY41" s="131"/>
      <c r="XZ41" s="131"/>
      <c r="YA41" s="131"/>
      <c r="YB41" s="131"/>
      <c r="YC41" s="131"/>
      <c r="YD41" s="131"/>
      <c r="YE41" s="162"/>
      <c r="YF41" s="131"/>
      <c r="YG41" s="131"/>
      <c r="YH41" s="131"/>
      <c r="YI41" s="131"/>
      <c r="YJ41" s="131"/>
      <c r="YK41" s="131"/>
      <c r="YL41" s="131"/>
      <c r="YM41" s="131"/>
      <c r="YN41" s="131"/>
      <c r="YO41" s="131"/>
      <c r="YP41" s="131"/>
      <c r="YQ41" s="131"/>
      <c r="YR41" s="131"/>
      <c r="YS41" s="131"/>
      <c r="YT41" s="131"/>
      <c r="YU41" s="131"/>
      <c r="YV41" s="131"/>
      <c r="YW41" s="131"/>
      <c r="YX41" s="131"/>
      <c r="YY41" s="131"/>
      <c r="YZ41" s="131"/>
      <c r="ZA41" s="131"/>
      <c r="ZB41" s="131"/>
      <c r="ZC41" s="131"/>
      <c r="ZD41" s="131"/>
      <c r="ZE41" s="131"/>
      <c r="ZF41" s="131"/>
      <c r="ZG41" s="131"/>
      <c r="ZH41" s="131"/>
      <c r="ZI41" s="131"/>
      <c r="ZJ41" s="131"/>
      <c r="ZK41" s="131"/>
      <c r="ZL41" s="131"/>
      <c r="ZM41" s="131"/>
      <c r="ZN41" s="131"/>
      <c r="ZO41" s="131"/>
      <c r="ZP41" s="131"/>
      <c r="ZQ41" s="131"/>
      <c r="ZR41" s="131"/>
      <c r="ZS41" s="131"/>
      <c r="ZT41" s="131"/>
      <c r="ZU41" s="131"/>
      <c r="ZV41" s="131"/>
      <c r="ZW41" s="162"/>
      <c r="ZX41" s="131"/>
      <c r="ZY41" s="131"/>
      <c r="ZZ41" s="131"/>
      <c r="AAA41" s="131"/>
      <c r="AAB41" s="131"/>
      <c r="AAC41" s="131"/>
      <c r="AAD41" s="131"/>
      <c r="AAE41" s="131"/>
      <c r="AAF41" s="131"/>
      <c r="AAG41" s="131"/>
      <c r="AAH41" s="162"/>
      <c r="AAJ41" s="131"/>
      <c r="AAK41" s="131"/>
      <c r="AAL41" s="131"/>
      <c r="AAM41" s="131"/>
      <c r="AAN41" s="131"/>
      <c r="AAO41" s="131"/>
      <c r="AAP41" s="131"/>
      <c r="AAQ41" s="131"/>
      <c r="AAR41" s="131"/>
      <c r="AAS41" s="131"/>
      <c r="AAT41" s="131"/>
      <c r="AAU41" s="131"/>
      <c r="AAV41" s="131"/>
      <c r="AAW41" s="131"/>
      <c r="AAX41" s="131"/>
      <c r="AAY41" s="131"/>
      <c r="AAZ41" s="131"/>
      <c r="ABA41" s="131"/>
      <c r="ABB41" s="131"/>
      <c r="ABC41" s="131"/>
      <c r="ABD41" s="131"/>
      <c r="ABE41" s="131"/>
      <c r="ABF41" s="131"/>
      <c r="ABG41" s="131"/>
      <c r="ABH41" s="131"/>
      <c r="ABI41" s="131"/>
      <c r="ABJ41" s="131"/>
      <c r="ABK41" s="131"/>
      <c r="ABL41" s="131"/>
      <c r="ABM41" s="131"/>
      <c r="ABN41" s="131"/>
      <c r="ABO41" s="131"/>
      <c r="ABP41" s="131"/>
      <c r="ABQ41" s="131"/>
      <c r="ABR41" s="131"/>
      <c r="ABS41" s="131"/>
      <c r="ABT41" s="162"/>
      <c r="ABU41" s="162"/>
      <c r="ABV41" s="162"/>
      <c r="ABW41" s="162"/>
      <c r="ABX41" s="162"/>
      <c r="ABY41" s="162"/>
      <c r="ABZ41" s="162"/>
      <c r="ACA41" s="131"/>
      <c r="ACB41" s="131"/>
      <c r="ACC41" s="131"/>
      <c r="ACD41" s="131"/>
      <c r="ACE41" s="131"/>
      <c r="ACF41" s="131"/>
      <c r="ACG41" s="131"/>
      <c r="ACH41" s="131"/>
      <c r="ACI41" s="131"/>
      <c r="ACJ41" s="131"/>
      <c r="ACK41" s="131"/>
      <c r="ACL41" s="131"/>
      <c r="ACM41" s="131"/>
      <c r="ACN41" s="131"/>
      <c r="ACO41" s="131"/>
      <c r="ACP41" s="131"/>
      <c r="ACQ41" s="131"/>
      <c r="ACR41" s="131"/>
      <c r="ACS41" s="131"/>
      <c r="ACT41" s="131"/>
      <c r="ACU41" s="131"/>
      <c r="ACV41" s="131"/>
      <c r="ACW41" s="131"/>
      <c r="ACX41" s="131"/>
      <c r="ACY41" s="131"/>
      <c r="ACZ41" s="131"/>
      <c r="ADA41" s="131"/>
      <c r="ADB41" s="131"/>
      <c r="ADC41" s="131"/>
      <c r="ADD41" s="131"/>
      <c r="ADE41" s="131"/>
      <c r="ADF41" s="131"/>
      <c r="ADG41" s="131"/>
      <c r="ADH41" s="131"/>
      <c r="ADI41" s="131"/>
      <c r="ADJ41" s="131"/>
      <c r="ADK41" s="131"/>
      <c r="ADL41" s="131"/>
      <c r="ADM41" s="131"/>
      <c r="ADN41" s="131"/>
      <c r="ADO41" s="131"/>
      <c r="ADP41" s="131"/>
      <c r="ADQ41" s="131"/>
      <c r="ADR41" s="131"/>
      <c r="ADS41" s="131"/>
      <c r="ADT41" s="131"/>
      <c r="ADU41" s="131"/>
      <c r="ADV41" s="131"/>
      <c r="ADW41" s="131"/>
      <c r="ADX41" s="131"/>
      <c r="ADY41" s="131"/>
      <c r="ADZ41" s="131"/>
      <c r="AEA41" s="131"/>
      <c r="AEB41" s="131"/>
      <c r="AEC41" s="131"/>
      <c r="AED41" s="131"/>
      <c r="AEE41" s="131"/>
      <c r="AEF41" s="131"/>
      <c r="AEG41" s="131"/>
      <c r="AEH41" s="131"/>
      <c r="AEI41" s="131"/>
      <c r="AEJ41" s="131"/>
      <c r="AEK41" s="131"/>
      <c r="AEL41" s="131"/>
      <c r="AEM41" s="131"/>
      <c r="AEN41" s="131"/>
      <c r="AEO41" s="131"/>
      <c r="AEP41" s="131"/>
      <c r="AEQ41" s="131"/>
      <c r="AER41" s="131"/>
      <c r="AES41" s="131"/>
      <c r="AET41" s="131"/>
      <c r="AEU41" s="131"/>
      <c r="AEV41" s="131"/>
      <c r="AEW41" s="131"/>
      <c r="AEX41" s="131"/>
      <c r="AEY41" s="131"/>
      <c r="AEZ41" s="131"/>
      <c r="AFA41" s="131"/>
      <c r="AFB41" s="131"/>
      <c r="AFC41" s="131"/>
      <c r="AFD41" s="131"/>
      <c r="AFE41" s="131"/>
      <c r="AFF41" s="131"/>
      <c r="AFG41" s="131"/>
      <c r="AFH41" s="131"/>
      <c r="AFI41" s="131"/>
      <c r="AFJ41" s="131"/>
      <c r="AFK41" s="131"/>
      <c r="AFN41" s="128"/>
      <c r="AFO41" s="128"/>
      <c r="AFP41" s="128"/>
      <c r="AFQ41" s="128"/>
      <c r="AFX41" s="128"/>
      <c r="AFY41" s="128"/>
      <c r="AFZ41" s="128"/>
      <c r="AGA41" s="128"/>
      <c r="AGH41" s="128"/>
      <c r="AGI41" s="128"/>
      <c r="AGJ41" s="128"/>
      <c r="AGK41" s="128"/>
      <c r="AHB41" s="128"/>
      <c r="AHF41" s="128"/>
      <c r="AHM41" s="128"/>
      <c r="AHX41" s="128"/>
      <c r="AII41" s="128"/>
      <c r="AIT41" s="128"/>
      <c r="AIX41" s="128"/>
      <c r="AJE41" s="128"/>
      <c r="AJF41" s="128"/>
      <c r="AJG41" s="128"/>
      <c r="AJH41" s="128"/>
      <c r="AJI41" s="128"/>
      <c r="AJP41" s="128"/>
      <c r="AJQ41" s="128"/>
      <c r="AJR41" s="128"/>
      <c r="AJS41" s="128"/>
      <c r="AKA41" s="128"/>
      <c r="AKB41" s="128"/>
      <c r="AKC41" s="128"/>
      <c r="AKD41" s="128"/>
      <c r="AKE41" s="128"/>
      <c r="AKL41" s="128"/>
      <c r="AKM41" s="128"/>
      <c r="AKN41" s="128"/>
      <c r="AKO41" s="128"/>
      <c r="AKP41" s="128"/>
      <c r="AKQ41" s="128"/>
      <c r="AKR41" s="128"/>
      <c r="AKS41" s="128"/>
      <c r="AKT41" s="128"/>
      <c r="AKU41" s="128"/>
      <c r="AKV41" s="128"/>
      <c r="AKW41" s="128"/>
      <c r="AKX41" s="128"/>
      <c r="AKY41" s="128"/>
      <c r="AKZ41" s="128"/>
      <c r="ALA41" s="128"/>
      <c r="ALB41" s="128"/>
      <c r="ALC41" s="128"/>
      <c r="ALD41" s="128"/>
      <c r="ALE41" s="128"/>
      <c r="ALF41" s="128"/>
      <c r="ALG41" s="128"/>
      <c r="ALH41" s="128"/>
      <c r="ALI41" s="128"/>
      <c r="ALJ41" s="128"/>
      <c r="ALK41" s="128"/>
      <c r="ALM41" s="128"/>
      <c r="ALN41" s="128"/>
      <c r="ALO41" s="128"/>
      <c r="ALP41" s="128"/>
      <c r="ALQ41" s="128"/>
      <c r="ALR41" s="128"/>
      <c r="ALS41" s="128"/>
      <c r="ALT41" s="128"/>
      <c r="ALU41" s="128"/>
      <c r="ALV41" s="128"/>
      <c r="AMD41" s="128"/>
      <c r="AME41" s="128"/>
      <c r="AMF41" s="128"/>
      <c r="AMG41" s="128"/>
      <c r="AMH41" s="128"/>
      <c r="AMO41" s="128"/>
      <c r="AMP41" s="128"/>
      <c r="AMQ41" s="128"/>
      <c r="AMR41" s="128"/>
      <c r="AMZ41" s="128"/>
      <c r="ANA41" s="128"/>
      <c r="ANB41" s="128"/>
      <c r="ANC41" s="128"/>
      <c r="ANL41" s="128"/>
      <c r="ANM41" s="128"/>
      <c r="ANN41" s="128"/>
      <c r="ANW41" s="128"/>
      <c r="ANX41" s="128"/>
      <c r="ANY41" s="128"/>
      <c r="APO41" s="130"/>
      <c r="APP41" s="130"/>
      <c r="APQ41" s="130"/>
      <c r="APR41" s="130"/>
      <c r="APS41" s="130"/>
      <c r="APT41" s="130"/>
      <c r="APU41" s="130"/>
      <c r="APV41" s="130"/>
      <c r="APW41" s="130"/>
      <c r="APX41" s="130"/>
      <c r="APY41" s="130"/>
      <c r="APZ41" s="130"/>
      <c r="AQA41" s="130"/>
      <c r="AQB41" s="130"/>
      <c r="AQC41" s="130"/>
      <c r="AQD41" s="130"/>
      <c r="AQE41" s="130"/>
      <c r="AQF41" s="130"/>
      <c r="AQG41" s="130"/>
      <c r="AQH41" s="130"/>
      <c r="AQI41" s="130"/>
      <c r="AQJ41" s="130"/>
      <c r="AQK41" s="130"/>
      <c r="AQL41" s="130"/>
      <c r="AQM41" s="130"/>
      <c r="AQN41" s="130"/>
      <c r="AQO41" s="130"/>
      <c r="AQP41" s="130"/>
      <c r="AQQ41" s="130"/>
      <c r="AQR41" s="130"/>
      <c r="AQS41" s="130"/>
      <c r="AQT41" s="130"/>
      <c r="AQU41" s="130"/>
      <c r="AQV41" s="130"/>
      <c r="AQW41" s="130"/>
      <c r="AQX41" s="130"/>
      <c r="AQY41" s="130"/>
      <c r="AQZ41" s="130"/>
      <c r="ARA41" s="130"/>
      <c r="ARB41" s="130"/>
      <c r="ARC41" s="130"/>
      <c r="ARD41" s="130"/>
      <c r="ARE41" s="130"/>
      <c r="ARF41" s="130"/>
      <c r="ARG41" s="130"/>
      <c r="ARH41" s="130"/>
      <c r="ARI41" s="130"/>
      <c r="ARJ41" s="130"/>
      <c r="ARK41" s="130"/>
      <c r="ARL41" s="130"/>
      <c r="ARM41" s="130"/>
      <c r="ARN41" s="130"/>
      <c r="ARO41" s="130"/>
      <c r="ARP41" s="130"/>
      <c r="ARQ41" s="130"/>
      <c r="ARR41" s="130"/>
      <c r="ARS41" s="130"/>
      <c r="ART41" s="130"/>
      <c r="ARU41" s="130"/>
      <c r="ARV41" s="130"/>
      <c r="ARW41" s="130"/>
      <c r="ARX41" s="130"/>
      <c r="ARY41" s="130"/>
      <c r="ARZ41" s="130"/>
      <c r="ASA41" s="130"/>
      <c r="ASB41" s="130"/>
      <c r="ASC41" s="130"/>
      <c r="ASD41" s="130"/>
      <c r="ASE41" s="130"/>
      <c r="ASF41" s="130"/>
      <c r="ASG41" s="130"/>
      <c r="ASH41" s="130"/>
      <c r="ASI41" s="130"/>
      <c r="ASJ41" s="130"/>
      <c r="ASK41" s="130"/>
      <c r="ASL41" s="130"/>
      <c r="ASM41" s="130"/>
      <c r="ASN41" s="130"/>
      <c r="ASO41" s="130"/>
      <c r="ASP41" s="130"/>
      <c r="ASQ41" s="130"/>
      <c r="ASR41" s="130"/>
      <c r="ASS41" s="130"/>
      <c r="AST41" s="130"/>
      <c r="ASU41" s="130"/>
      <c r="ASV41" s="130"/>
      <c r="ASW41" s="130"/>
      <c r="ASX41" s="128"/>
      <c r="ASY41" s="128"/>
      <c r="ASZ41" s="128"/>
      <c r="ATA41" s="128"/>
    </row>
    <row r="42" spans="1:1022 1029:1197" s="129" customFormat="1" outlineLevel="1">
      <c r="A42" s="137" t="s">
        <v>236</v>
      </c>
      <c r="B42" s="139" t="s">
        <v>279</v>
      </c>
      <c r="C42" s="139" t="s">
        <v>280</v>
      </c>
      <c r="D42" s="139" t="s">
        <v>281</v>
      </c>
      <c r="E42" s="137">
        <v>63</v>
      </c>
      <c r="F42" s="138" t="s">
        <v>104</v>
      </c>
      <c r="G42" s="136" t="s">
        <v>173</v>
      </c>
      <c r="H42" s="136" t="s">
        <v>366</v>
      </c>
      <c r="I42" s="136" t="s">
        <v>13</v>
      </c>
      <c r="J42" s="136" t="s">
        <v>13</v>
      </c>
      <c r="K42" s="136" t="s">
        <v>366</v>
      </c>
      <c r="L42" s="136" t="s">
        <v>366</v>
      </c>
      <c r="M42" s="136"/>
      <c r="N42" s="136" t="s">
        <v>366</v>
      </c>
      <c r="O42" s="138"/>
      <c r="Q42" s="128"/>
      <c r="R42" s="128"/>
      <c r="T42" s="128"/>
      <c r="AP42" s="128"/>
      <c r="AQ42" s="128"/>
      <c r="AR42" s="128"/>
      <c r="AS42" s="128"/>
      <c r="AT42" s="128"/>
      <c r="AU42" s="128"/>
      <c r="AV42" s="128"/>
      <c r="AW42" s="128"/>
      <c r="AY42" s="128"/>
      <c r="AZ42" s="128"/>
      <c r="BA42" s="128"/>
      <c r="BD42" s="128"/>
      <c r="BE42" s="128"/>
      <c r="BF42" s="128"/>
      <c r="BJ42" s="128"/>
      <c r="BK42" s="128"/>
      <c r="FL42" s="128"/>
      <c r="GR42" s="128"/>
      <c r="GU42" s="128"/>
      <c r="GV42" s="128"/>
      <c r="GX42" s="128"/>
      <c r="HA42" s="128"/>
      <c r="HB42" s="128"/>
      <c r="HD42" s="128"/>
      <c r="HE42" s="128"/>
      <c r="HH42" s="128"/>
      <c r="HK42" s="128"/>
      <c r="HL42" s="128"/>
      <c r="HN42" s="128"/>
      <c r="HO42" s="128"/>
      <c r="HT42" s="128"/>
      <c r="HU42" s="128"/>
      <c r="HW42" s="129">
        <v>500</v>
      </c>
      <c r="HX42" s="129">
        <v>200</v>
      </c>
      <c r="HY42" s="129">
        <v>500</v>
      </c>
      <c r="HZ42" s="156" t="s">
        <v>399</v>
      </c>
      <c r="IA42" s="129">
        <v>200</v>
      </c>
      <c r="IB42" s="129">
        <v>500</v>
      </c>
      <c r="IC42" s="156" t="s">
        <v>399</v>
      </c>
      <c r="ID42" s="129">
        <v>500</v>
      </c>
      <c r="IE42" s="129" t="s">
        <v>3843</v>
      </c>
      <c r="IG42" s="128"/>
      <c r="IV42" s="128"/>
      <c r="IX42" s="129">
        <v>500</v>
      </c>
      <c r="IY42" s="129">
        <v>200</v>
      </c>
      <c r="IZ42" s="129">
        <v>500</v>
      </c>
      <c r="JA42" s="156" t="s">
        <v>399</v>
      </c>
      <c r="JB42" s="129">
        <v>200</v>
      </c>
      <c r="JC42" s="129">
        <v>500</v>
      </c>
      <c r="JD42" s="156" t="s">
        <v>399</v>
      </c>
      <c r="JE42" s="129">
        <v>500</v>
      </c>
      <c r="JF42" s="129" t="s">
        <v>3843</v>
      </c>
      <c r="JH42" s="128"/>
      <c r="JI42" s="128"/>
      <c r="JJ42" s="128"/>
      <c r="JK42" s="128"/>
      <c r="JL42" s="128"/>
      <c r="JS42" s="128"/>
      <c r="JT42" s="128"/>
      <c r="KC42" s="128"/>
      <c r="LK42" s="135"/>
      <c r="LL42" s="135"/>
      <c r="LM42" s="135"/>
      <c r="LN42" s="135"/>
      <c r="LO42" s="135"/>
      <c r="LU42" s="135"/>
      <c r="LV42" s="135"/>
      <c r="LW42" s="135"/>
      <c r="LX42" s="135"/>
      <c r="LY42" s="135"/>
      <c r="LZ42" s="135"/>
      <c r="MA42" s="135"/>
      <c r="MB42" s="135"/>
      <c r="MC42" s="135"/>
      <c r="MD42" s="135"/>
      <c r="ME42" s="135"/>
      <c r="MF42" s="135"/>
      <c r="MG42" s="135"/>
      <c r="MQ42" s="132"/>
      <c r="MR42" s="132"/>
      <c r="MS42" s="132"/>
      <c r="MT42" s="132"/>
      <c r="MU42" s="132"/>
      <c r="MV42" s="132"/>
      <c r="MW42" s="132"/>
      <c r="MX42" s="132"/>
      <c r="MY42" s="132"/>
      <c r="NB42" s="135"/>
      <c r="NC42" s="135"/>
      <c r="ND42" s="135"/>
      <c r="NE42" s="135"/>
      <c r="NF42" s="135"/>
      <c r="NL42" s="132"/>
      <c r="NM42" s="132"/>
      <c r="NN42" s="132"/>
      <c r="NO42" s="132"/>
      <c r="NP42" s="132"/>
      <c r="OU42" s="128"/>
      <c r="OX42" s="128"/>
      <c r="OY42" s="128"/>
      <c r="OZ42" s="128"/>
      <c r="PA42" s="128"/>
      <c r="PB42" s="128"/>
      <c r="PL42" s="128"/>
      <c r="PM42" s="128"/>
      <c r="QE42" s="128"/>
      <c r="QF42" s="128"/>
      <c r="QI42" s="128"/>
      <c r="QJ42" s="128"/>
      <c r="QK42" s="128"/>
      <c r="QL42" s="128"/>
      <c r="RO42" s="128"/>
      <c r="RP42" s="128"/>
      <c r="RQ42" s="134"/>
      <c r="RR42" s="134"/>
      <c r="RS42" s="134"/>
      <c r="RT42" s="134"/>
      <c r="RV42" s="128"/>
      <c r="RY42" s="128"/>
      <c r="SD42" s="128"/>
      <c r="SE42" s="128"/>
      <c r="SF42" s="128"/>
      <c r="SP42" s="128"/>
      <c r="SQ42" s="128"/>
      <c r="SR42" s="128"/>
      <c r="SU42" s="128"/>
      <c r="TD42" s="133"/>
      <c r="TE42" s="132"/>
      <c r="TF42" s="132"/>
      <c r="TX42" s="132"/>
      <c r="TY42" s="132"/>
      <c r="TZ42" s="132"/>
      <c r="VL42" s="132"/>
      <c r="VM42" s="132"/>
      <c r="VN42" s="132"/>
      <c r="VO42" s="132"/>
      <c r="VR42" s="131"/>
      <c r="VS42" s="131"/>
      <c r="VT42" s="131"/>
      <c r="VU42" s="131"/>
      <c r="VV42" s="131"/>
      <c r="VW42" s="131"/>
      <c r="VX42" s="131"/>
      <c r="VY42" s="131"/>
      <c r="VZ42" s="131"/>
      <c r="WA42" s="131"/>
      <c r="WB42" s="162"/>
      <c r="WC42" s="131"/>
      <c r="WD42" s="131"/>
      <c r="WE42" s="131"/>
      <c r="WF42" s="131"/>
      <c r="WG42" s="131"/>
      <c r="WH42" s="131"/>
      <c r="WI42" s="131"/>
      <c r="WJ42" s="131"/>
      <c r="WK42" s="131"/>
      <c r="WL42" s="131"/>
      <c r="WM42" s="131"/>
      <c r="WN42" s="131"/>
      <c r="WO42" s="131"/>
      <c r="WP42" s="131"/>
      <c r="WQ42" s="131"/>
      <c r="WR42" s="131"/>
      <c r="WS42" s="131"/>
      <c r="WT42" s="131"/>
      <c r="WU42" s="131"/>
      <c r="WV42" s="131"/>
      <c r="WW42" s="131"/>
      <c r="WX42" s="131"/>
      <c r="WY42" s="131"/>
      <c r="WZ42" s="131"/>
      <c r="XA42" s="131"/>
      <c r="XB42" s="131"/>
      <c r="XC42" s="131"/>
      <c r="XD42" s="131"/>
      <c r="XE42" s="131"/>
      <c r="XF42" s="131"/>
      <c r="XG42" s="131"/>
      <c r="XH42" s="131"/>
      <c r="XI42" s="131"/>
      <c r="XJ42" s="131"/>
      <c r="XK42" s="131"/>
      <c r="XL42" s="131"/>
      <c r="XM42" s="162"/>
      <c r="XN42" s="131"/>
      <c r="XO42" s="131"/>
      <c r="XP42" s="131"/>
      <c r="XQ42" s="131"/>
      <c r="XR42" s="131"/>
      <c r="XS42" s="131"/>
      <c r="XT42" s="162"/>
      <c r="XU42" s="131"/>
      <c r="XV42" s="131"/>
      <c r="XW42" s="131"/>
      <c r="XX42" s="131"/>
      <c r="XY42" s="131"/>
      <c r="XZ42" s="131"/>
      <c r="YA42" s="131"/>
      <c r="YB42" s="131"/>
      <c r="YC42" s="131"/>
      <c r="YD42" s="131"/>
      <c r="YE42" s="162"/>
      <c r="YF42" s="131"/>
      <c r="YG42" s="131"/>
      <c r="YH42" s="131"/>
      <c r="YI42" s="131"/>
      <c r="YJ42" s="131"/>
      <c r="YK42" s="131"/>
      <c r="YL42" s="131"/>
      <c r="YM42" s="131"/>
      <c r="YN42" s="131"/>
      <c r="YO42" s="131"/>
      <c r="YP42" s="131"/>
      <c r="YQ42" s="131"/>
      <c r="YR42" s="131"/>
      <c r="YS42" s="131"/>
      <c r="YT42" s="131"/>
      <c r="YU42" s="131"/>
      <c r="YV42" s="131"/>
      <c r="YW42" s="131"/>
      <c r="YX42" s="131"/>
      <c r="YY42" s="131"/>
      <c r="YZ42" s="131"/>
      <c r="ZA42" s="131"/>
      <c r="ZB42" s="131"/>
      <c r="ZC42" s="131"/>
      <c r="ZD42" s="131"/>
      <c r="ZE42" s="131"/>
      <c r="ZF42" s="131"/>
      <c r="ZG42" s="131"/>
      <c r="ZH42" s="131"/>
      <c r="ZI42" s="131"/>
      <c r="ZJ42" s="131"/>
      <c r="ZK42" s="131"/>
      <c r="ZL42" s="131"/>
      <c r="ZM42" s="131"/>
      <c r="ZN42" s="131"/>
      <c r="ZO42" s="131"/>
      <c r="ZP42" s="131"/>
      <c r="ZQ42" s="131"/>
      <c r="ZR42" s="131"/>
      <c r="ZS42" s="131"/>
      <c r="ZT42" s="131"/>
      <c r="ZU42" s="131"/>
      <c r="ZV42" s="131"/>
      <c r="ZW42" s="162"/>
      <c r="ZX42" s="131"/>
      <c r="ZY42" s="131"/>
      <c r="ZZ42" s="131"/>
      <c r="AAA42" s="131"/>
      <c r="AAB42" s="131"/>
      <c r="AAC42" s="131"/>
      <c r="AAD42" s="131"/>
      <c r="AAE42" s="131"/>
      <c r="AAF42" s="131"/>
      <c r="AAG42" s="131"/>
      <c r="AAH42" s="162"/>
      <c r="AAJ42" s="131"/>
      <c r="AAK42" s="131"/>
      <c r="AAL42" s="131"/>
      <c r="AAM42" s="131"/>
      <c r="AAN42" s="131"/>
      <c r="AAO42" s="131"/>
      <c r="AAP42" s="131"/>
      <c r="AAQ42" s="131"/>
      <c r="AAR42" s="131"/>
      <c r="AAS42" s="131"/>
      <c r="AAT42" s="131"/>
      <c r="AAU42" s="131"/>
      <c r="AAV42" s="131"/>
      <c r="AAW42" s="131"/>
      <c r="AAX42" s="131"/>
      <c r="AAY42" s="131"/>
      <c r="AAZ42" s="131"/>
      <c r="ABA42" s="131"/>
      <c r="ABB42" s="131"/>
      <c r="ABC42" s="131"/>
      <c r="ABD42" s="131"/>
      <c r="ABE42" s="131"/>
      <c r="ABF42" s="131"/>
      <c r="ABG42" s="131"/>
      <c r="ABH42" s="131"/>
      <c r="ABI42" s="131"/>
      <c r="ABJ42" s="131"/>
      <c r="ABK42" s="131"/>
      <c r="ABL42" s="131"/>
      <c r="ABM42" s="131"/>
      <c r="ABN42" s="131"/>
      <c r="ABO42" s="131"/>
      <c r="ABP42" s="131"/>
      <c r="ABQ42" s="131"/>
      <c r="ABR42" s="131"/>
      <c r="ABS42" s="131"/>
      <c r="ABT42" s="162"/>
      <c r="ABU42" s="162"/>
      <c r="ABV42" s="162"/>
      <c r="ABW42" s="162"/>
      <c r="ABX42" s="162"/>
      <c r="ABY42" s="162"/>
      <c r="ABZ42" s="162"/>
      <c r="ACA42" s="131"/>
      <c r="ACB42" s="131"/>
      <c r="ACC42" s="131"/>
      <c r="ACD42" s="131"/>
      <c r="ACE42" s="131"/>
      <c r="ACF42" s="131"/>
      <c r="ACG42" s="131"/>
      <c r="ACH42" s="131"/>
      <c r="ACI42" s="131"/>
      <c r="ACJ42" s="131"/>
      <c r="ACK42" s="131"/>
      <c r="ACL42" s="131"/>
      <c r="ACM42" s="131"/>
      <c r="ACN42" s="131"/>
      <c r="ACO42" s="131"/>
      <c r="ACP42" s="131"/>
      <c r="ACQ42" s="131"/>
      <c r="ACR42" s="131"/>
      <c r="ACS42" s="131"/>
      <c r="ACT42" s="131"/>
      <c r="ACU42" s="131"/>
      <c r="ACV42" s="131"/>
      <c r="ACW42" s="131"/>
      <c r="ACX42" s="131"/>
      <c r="ACY42" s="131"/>
      <c r="ACZ42" s="131"/>
      <c r="ADA42" s="131"/>
      <c r="ADB42" s="131"/>
      <c r="ADC42" s="131"/>
      <c r="ADD42" s="131"/>
      <c r="ADE42" s="131"/>
      <c r="ADF42" s="131"/>
      <c r="ADG42" s="131"/>
      <c r="ADH42" s="131"/>
      <c r="ADI42" s="131"/>
      <c r="ADJ42" s="131"/>
      <c r="ADK42" s="131"/>
      <c r="ADL42" s="131"/>
      <c r="ADM42" s="131"/>
      <c r="ADN42" s="131"/>
      <c r="ADO42" s="131"/>
      <c r="ADP42" s="131"/>
      <c r="ADQ42" s="131"/>
      <c r="ADR42" s="131"/>
      <c r="ADS42" s="131"/>
      <c r="ADT42" s="131"/>
      <c r="ADU42" s="131"/>
      <c r="ADV42" s="131"/>
      <c r="ADW42" s="131"/>
      <c r="ADX42" s="131"/>
      <c r="ADY42" s="131"/>
      <c r="ADZ42" s="131"/>
      <c r="AEA42" s="131"/>
      <c r="AEB42" s="131"/>
      <c r="AEC42" s="131"/>
      <c r="AED42" s="131"/>
      <c r="AEE42" s="131"/>
      <c r="AEF42" s="131"/>
      <c r="AEG42" s="131"/>
      <c r="AEH42" s="131"/>
      <c r="AEI42" s="131"/>
      <c r="AEJ42" s="131"/>
      <c r="AEK42" s="131"/>
      <c r="AEL42" s="131"/>
      <c r="AEM42" s="131"/>
      <c r="AEN42" s="131"/>
      <c r="AEO42" s="131"/>
      <c r="AEP42" s="131"/>
      <c r="AEQ42" s="131"/>
      <c r="AER42" s="131"/>
      <c r="AES42" s="131"/>
      <c r="AET42" s="131"/>
      <c r="AEU42" s="131"/>
      <c r="AEV42" s="131"/>
      <c r="AEW42" s="131"/>
      <c r="AEX42" s="131"/>
      <c r="AEY42" s="131"/>
      <c r="AEZ42" s="131"/>
      <c r="AFA42" s="131"/>
      <c r="AFB42" s="131"/>
      <c r="AFC42" s="131"/>
      <c r="AFD42" s="131"/>
      <c r="AFE42" s="131"/>
      <c r="AFF42" s="131"/>
      <c r="AFG42" s="131"/>
      <c r="AFH42" s="131"/>
      <c r="AFI42" s="131"/>
      <c r="AFJ42" s="131"/>
      <c r="AFK42" s="131"/>
      <c r="AFN42" s="128"/>
      <c r="AFO42" s="128"/>
      <c r="AFP42" s="128"/>
      <c r="AFQ42" s="128"/>
      <c r="AFX42" s="128"/>
      <c r="AFY42" s="128"/>
      <c r="AFZ42" s="128"/>
      <c r="AGA42" s="128"/>
      <c r="AGH42" s="128"/>
      <c r="AGI42" s="128"/>
      <c r="AGJ42" s="128"/>
      <c r="AGK42" s="128"/>
      <c r="AHB42" s="128"/>
      <c r="AHF42" s="128"/>
      <c r="AHM42" s="128"/>
      <c r="AHX42" s="128"/>
      <c r="AII42" s="128"/>
      <c r="AIT42" s="128"/>
      <c r="AIX42" s="128"/>
      <c r="AJE42" s="128"/>
      <c r="AJF42" s="128"/>
      <c r="AJG42" s="128"/>
      <c r="AJH42" s="128"/>
      <c r="AJI42" s="128"/>
      <c r="AJP42" s="128"/>
      <c r="AJQ42" s="128"/>
      <c r="AJR42" s="128"/>
      <c r="AJS42" s="128"/>
      <c r="AKA42" s="128"/>
      <c r="AKB42" s="128"/>
      <c r="AKC42" s="128"/>
      <c r="AKD42" s="128"/>
      <c r="AKE42" s="128"/>
      <c r="AKL42" s="128"/>
      <c r="AKM42" s="128"/>
      <c r="AKN42" s="128"/>
      <c r="AKO42" s="128"/>
      <c r="AKP42" s="128"/>
      <c r="AKQ42" s="128"/>
      <c r="AKR42" s="128"/>
      <c r="AKS42" s="128"/>
      <c r="AKT42" s="128"/>
      <c r="AKU42" s="128"/>
      <c r="AKV42" s="128"/>
      <c r="AKW42" s="128"/>
      <c r="AKX42" s="128"/>
      <c r="AKY42" s="128"/>
      <c r="AKZ42" s="128"/>
      <c r="ALA42" s="128"/>
      <c r="ALB42" s="128"/>
      <c r="ALC42" s="128"/>
      <c r="ALD42" s="128"/>
      <c r="ALE42" s="128"/>
      <c r="ALF42" s="128"/>
      <c r="ALG42" s="128"/>
      <c r="ALH42" s="128"/>
      <c r="ALI42" s="128"/>
      <c r="ALJ42" s="128"/>
      <c r="ALK42" s="128"/>
      <c r="ALM42" s="128"/>
      <c r="ALN42" s="128"/>
      <c r="ALO42" s="128"/>
      <c r="ALP42" s="128"/>
      <c r="ALQ42" s="128"/>
      <c r="ALR42" s="128"/>
      <c r="ALS42" s="128"/>
      <c r="ALT42" s="128"/>
      <c r="ALU42" s="128"/>
      <c r="ALV42" s="128"/>
      <c r="AMD42" s="128"/>
      <c r="AME42" s="128"/>
      <c r="AMF42" s="128"/>
      <c r="AMG42" s="128"/>
      <c r="AMH42" s="128"/>
      <c r="AMO42" s="128"/>
      <c r="AMP42" s="128"/>
      <c r="AMQ42" s="128"/>
      <c r="AMR42" s="128"/>
      <c r="AMZ42" s="128"/>
      <c r="ANA42" s="128"/>
      <c r="ANB42" s="128"/>
      <c r="ANC42" s="128"/>
      <c r="ANL42" s="128"/>
      <c r="ANM42" s="128"/>
      <c r="ANN42" s="128"/>
      <c r="ANW42" s="128"/>
      <c r="ANX42" s="128"/>
      <c r="ANY42" s="128"/>
      <c r="APO42" s="130"/>
      <c r="APP42" s="130"/>
      <c r="APQ42" s="130"/>
      <c r="APR42" s="130"/>
      <c r="APS42" s="130"/>
      <c r="APT42" s="130"/>
      <c r="APU42" s="130"/>
      <c r="APV42" s="130"/>
      <c r="APW42" s="130"/>
      <c r="APX42" s="130"/>
      <c r="APY42" s="130"/>
      <c r="APZ42" s="130"/>
      <c r="AQA42" s="130"/>
      <c r="AQB42" s="130"/>
      <c r="AQC42" s="130"/>
      <c r="AQD42" s="130"/>
      <c r="AQE42" s="130"/>
      <c r="AQF42" s="130"/>
      <c r="AQG42" s="130"/>
      <c r="AQH42" s="130"/>
      <c r="AQI42" s="130"/>
      <c r="AQJ42" s="130"/>
      <c r="AQK42" s="130"/>
      <c r="AQL42" s="130"/>
      <c r="AQM42" s="130"/>
      <c r="AQN42" s="130"/>
      <c r="AQO42" s="130"/>
      <c r="AQP42" s="130"/>
      <c r="AQQ42" s="130"/>
      <c r="AQR42" s="130"/>
      <c r="AQS42" s="130"/>
      <c r="AQT42" s="130"/>
      <c r="AQU42" s="130"/>
      <c r="AQV42" s="130"/>
      <c r="AQW42" s="130"/>
      <c r="AQX42" s="130"/>
      <c r="AQY42" s="130"/>
      <c r="AQZ42" s="130"/>
      <c r="ARA42" s="130"/>
      <c r="ARB42" s="130"/>
      <c r="ARC42" s="130"/>
      <c r="ARD42" s="130"/>
      <c r="ARE42" s="130"/>
      <c r="ARF42" s="130"/>
      <c r="ARG42" s="130"/>
      <c r="ARH42" s="130"/>
      <c r="ARI42" s="130"/>
      <c r="ARJ42" s="130"/>
      <c r="ARK42" s="130"/>
      <c r="ARL42" s="130"/>
      <c r="ARM42" s="130"/>
      <c r="ARN42" s="130"/>
      <c r="ARO42" s="130"/>
      <c r="ARP42" s="130"/>
      <c r="ARQ42" s="130"/>
      <c r="ARR42" s="130"/>
      <c r="ARS42" s="130"/>
      <c r="ART42" s="130"/>
      <c r="ARU42" s="130"/>
      <c r="ARV42" s="130"/>
      <c r="ARW42" s="130"/>
      <c r="ARX42" s="130"/>
      <c r="ARY42" s="130"/>
      <c r="ARZ42" s="130"/>
      <c r="ASA42" s="130"/>
      <c r="ASB42" s="130"/>
      <c r="ASC42" s="130"/>
      <c r="ASD42" s="130"/>
      <c r="ASE42" s="130"/>
      <c r="ASF42" s="130"/>
      <c r="ASG42" s="130"/>
      <c r="ASH42" s="130"/>
      <c r="ASI42" s="130"/>
      <c r="ASJ42" s="130"/>
      <c r="ASK42" s="130"/>
      <c r="ASL42" s="130"/>
      <c r="ASM42" s="130"/>
      <c r="ASN42" s="130"/>
      <c r="ASO42" s="130"/>
      <c r="ASP42" s="130"/>
      <c r="ASQ42" s="130"/>
      <c r="ASR42" s="130"/>
      <c r="ASS42" s="130"/>
      <c r="AST42" s="130"/>
      <c r="ASU42" s="130"/>
      <c r="ASV42" s="130"/>
      <c r="ASW42" s="130"/>
      <c r="ASX42" s="128"/>
      <c r="ASY42" s="128"/>
      <c r="ASZ42" s="128"/>
      <c r="ATA42" s="128"/>
    </row>
    <row r="43" spans="1:1022 1029:1197" s="129" customFormat="1" outlineLevel="1">
      <c r="A43" s="137" t="s">
        <v>236</v>
      </c>
      <c r="B43" s="139" t="s">
        <v>282</v>
      </c>
      <c r="C43" s="139" t="s">
        <v>283</v>
      </c>
      <c r="D43" s="139" t="s">
        <v>284</v>
      </c>
      <c r="E43" s="137">
        <v>64</v>
      </c>
      <c r="F43" s="138"/>
      <c r="G43" s="136" t="s">
        <v>19</v>
      </c>
      <c r="H43" s="136" t="s">
        <v>366</v>
      </c>
      <c r="I43" s="136" t="s">
        <v>366</v>
      </c>
      <c r="J43" s="136" t="s">
        <v>366</v>
      </c>
      <c r="K43" s="136" t="s">
        <v>13</v>
      </c>
      <c r="L43" s="136" t="s">
        <v>366</v>
      </c>
      <c r="M43" s="136"/>
      <c r="N43" s="136" t="s">
        <v>366</v>
      </c>
      <c r="O43" s="138"/>
      <c r="LK43" s="135"/>
      <c r="LL43" s="135"/>
      <c r="LM43" s="135"/>
      <c r="LN43" s="135"/>
      <c r="LO43" s="135"/>
      <c r="LU43" s="135"/>
      <c r="LV43" s="135"/>
      <c r="LW43" s="135"/>
      <c r="LX43" s="135"/>
      <c r="LY43" s="135"/>
      <c r="LZ43" s="135"/>
      <c r="MA43" s="135"/>
      <c r="MB43" s="135"/>
      <c r="MC43" s="135"/>
      <c r="MD43" s="135"/>
      <c r="ME43" s="135"/>
      <c r="MF43" s="135"/>
      <c r="MG43" s="135"/>
      <c r="MQ43" s="132"/>
      <c r="MR43" s="132"/>
      <c r="MS43" s="132"/>
      <c r="MT43" s="132"/>
      <c r="MU43" s="132"/>
      <c r="MV43" s="132"/>
      <c r="MW43" s="132"/>
      <c r="MX43" s="132"/>
      <c r="MY43" s="132"/>
      <c r="NB43" s="135"/>
      <c r="NC43" s="135"/>
      <c r="ND43" s="135"/>
      <c r="NE43" s="135"/>
      <c r="NF43" s="135"/>
      <c r="NL43" s="132"/>
      <c r="NM43" s="132"/>
      <c r="NN43" s="132"/>
      <c r="NO43" s="132"/>
      <c r="NP43" s="132"/>
      <c r="QN43" s="129" t="s">
        <v>3976</v>
      </c>
      <c r="QR43" s="129" t="s">
        <v>3843</v>
      </c>
      <c r="QS43" s="129" t="s">
        <v>3976</v>
      </c>
      <c r="QV43" s="129" t="s">
        <v>3843</v>
      </c>
      <c r="RQ43" s="134"/>
      <c r="RR43" s="134"/>
      <c r="RS43" s="134"/>
      <c r="RT43" s="134"/>
      <c r="TD43" s="133"/>
      <c r="TE43" s="132"/>
      <c r="TF43" s="132"/>
      <c r="TX43" s="132"/>
      <c r="TY43" s="132"/>
      <c r="TZ43" s="132"/>
      <c r="VF43" s="129" t="s">
        <v>3976</v>
      </c>
      <c r="VL43" s="132"/>
      <c r="VM43" s="132"/>
      <c r="VN43" s="132"/>
      <c r="VO43" s="132"/>
      <c r="VR43" s="131"/>
      <c r="VS43" s="131"/>
      <c r="VT43" s="131"/>
      <c r="VU43" s="131"/>
      <c r="VV43" s="131"/>
      <c r="VW43" s="131"/>
      <c r="VX43" s="131"/>
      <c r="VY43" s="131"/>
      <c r="VZ43" s="131"/>
      <c r="WA43" s="131"/>
      <c r="WB43" s="131"/>
      <c r="WC43" s="131"/>
      <c r="WD43" s="131"/>
      <c r="WE43" s="131"/>
      <c r="WF43" s="131"/>
      <c r="WG43" s="131"/>
      <c r="WH43" s="131"/>
      <c r="WI43" s="131"/>
      <c r="WJ43" s="131"/>
      <c r="WK43" s="131"/>
      <c r="WL43" s="131"/>
      <c r="WM43" s="131"/>
      <c r="WN43" s="131"/>
      <c r="WO43" s="131"/>
      <c r="WP43" s="131"/>
      <c r="WQ43" s="131"/>
      <c r="WR43" s="131"/>
      <c r="WS43" s="131"/>
      <c r="WT43" s="131"/>
      <c r="WU43" s="131"/>
      <c r="WV43" s="131"/>
      <c r="WW43" s="131"/>
      <c r="WX43" s="131"/>
      <c r="WY43" s="131"/>
      <c r="WZ43" s="131"/>
      <c r="XA43" s="131"/>
      <c r="XB43" s="131"/>
      <c r="XC43" s="131"/>
      <c r="XD43" s="131"/>
      <c r="XE43" s="131"/>
      <c r="XF43" s="131"/>
      <c r="XG43" s="131"/>
      <c r="XH43" s="131"/>
      <c r="XI43" s="131"/>
      <c r="XJ43" s="131"/>
      <c r="XK43" s="131"/>
      <c r="XL43" s="131"/>
      <c r="XM43" s="131"/>
      <c r="XN43" s="131"/>
      <c r="XO43" s="131"/>
      <c r="XP43" s="131"/>
      <c r="XQ43" s="131"/>
      <c r="XR43" s="131"/>
      <c r="XS43" s="131"/>
      <c r="XT43" s="131"/>
      <c r="XU43" s="131"/>
      <c r="XV43" s="131"/>
      <c r="XW43" s="131"/>
      <c r="XX43" s="131"/>
      <c r="XY43" s="131"/>
      <c r="XZ43" s="131"/>
      <c r="YA43" s="131"/>
      <c r="YB43" s="131"/>
      <c r="YC43" s="131"/>
      <c r="YD43" s="131"/>
      <c r="YE43" s="131"/>
      <c r="YF43" s="131"/>
      <c r="YG43" s="131"/>
      <c r="YH43" s="131"/>
      <c r="YI43" s="131"/>
      <c r="YJ43" s="131"/>
      <c r="YK43" s="131"/>
      <c r="YL43" s="131"/>
      <c r="YM43" s="131"/>
      <c r="YN43" s="131"/>
      <c r="YO43" s="131"/>
      <c r="YP43" s="131"/>
      <c r="YQ43" s="131"/>
      <c r="YR43" s="131"/>
      <c r="YS43" s="131"/>
      <c r="YT43" s="131"/>
      <c r="YU43" s="131"/>
      <c r="YV43" s="131"/>
      <c r="YW43" s="131"/>
      <c r="YX43" s="131"/>
      <c r="YY43" s="131"/>
      <c r="YZ43" s="131"/>
      <c r="ZA43" s="131"/>
      <c r="ZB43" s="131"/>
      <c r="ZC43" s="131"/>
      <c r="ZD43" s="131"/>
      <c r="ZE43" s="131"/>
      <c r="ZF43" s="131"/>
      <c r="ZG43" s="131"/>
      <c r="ZH43" s="131"/>
      <c r="ZI43" s="131"/>
      <c r="ZJ43" s="131"/>
      <c r="ZK43" s="131"/>
      <c r="ZL43" s="131"/>
      <c r="ZM43" s="131"/>
      <c r="ZN43" s="131"/>
      <c r="ZO43" s="131"/>
      <c r="ZP43" s="131"/>
      <c r="ZQ43" s="131"/>
      <c r="ZR43" s="131"/>
      <c r="ZS43" s="131"/>
      <c r="ZT43" s="131"/>
      <c r="ZU43" s="131"/>
      <c r="ZV43" s="131"/>
      <c r="ZW43" s="131"/>
      <c r="ZX43" s="131"/>
      <c r="ZY43" s="131"/>
      <c r="ZZ43" s="131"/>
      <c r="AAA43" s="131"/>
      <c r="AAB43" s="131"/>
      <c r="AAC43" s="131"/>
      <c r="AAD43" s="131"/>
      <c r="AAE43" s="131"/>
      <c r="AAF43" s="131"/>
      <c r="AAG43" s="131"/>
      <c r="AAH43" s="131"/>
      <c r="AAJ43" s="131"/>
      <c r="AAK43" s="131"/>
      <c r="AAL43" s="131"/>
      <c r="AAM43" s="131"/>
      <c r="AAN43" s="131"/>
      <c r="AAO43" s="131"/>
      <c r="AAP43" s="131"/>
      <c r="AAQ43" s="131"/>
      <c r="AAR43" s="131"/>
      <c r="AAS43" s="131"/>
      <c r="AAT43" s="131"/>
      <c r="AAU43" s="131"/>
      <c r="AAV43" s="131"/>
      <c r="AAW43" s="131"/>
      <c r="AAX43" s="131"/>
      <c r="AAY43" s="131"/>
      <c r="AAZ43" s="131"/>
      <c r="ABA43" s="131"/>
      <c r="ABB43" s="131"/>
      <c r="ABC43" s="131"/>
      <c r="ABD43" s="131"/>
      <c r="ABE43" s="131"/>
      <c r="ABF43" s="131"/>
      <c r="ABG43" s="131"/>
      <c r="ABH43" s="131"/>
      <c r="ABI43" s="131"/>
      <c r="ABJ43" s="131"/>
      <c r="ABK43" s="131"/>
      <c r="ABL43" s="131"/>
      <c r="ABM43" s="131"/>
      <c r="ABN43" s="131"/>
      <c r="ABO43" s="131"/>
      <c r="ABP43" s="131"/>
      <c r="ABQ43" s="131"/>
      <c r="ABR43" s="131"/>
      <c r="ABS43" s="131"/>
      <c r="ABT43" s="131"/>
      <c r="ABU43" s="131"/>
      <c r="ABV43" s="131"/>
      <c r="ABW43" s="131"/>
      <c r="ABX43" s="131"/>
      <c r="ABY43" s="131"/>
      <c r="ABZ43" s="131"/>
      <c r="ACA43" s="131"/>
      <c r="ACB43" s="131"/>
      <c r="ACC43" s="131"/>
      <c r="ACD43" s="131"/>
      <c r="ACE43" s="131"/>
      <c r="ACF43" s="131"/>
      <c r="ACG43" s="131"/>
      <c r="ACH43" s="131"/>
      <c r="ACI43" s="131"/>
      <c r="ACJ43" s="131"/>
      <c r="ACK43" s="131"/>
      <c r="ACL43" s="131"/>
      <c r="ACM43" s="131"/>
      <c r="ACN43" s="131"/>
      <c r="ACO43" s="131"/>
      <c r="ACP43" s="131"/>
      <c r="ACQ43" s="131"/>
      <c r="ACR43" s="131"/>
      <c r="ACS43" s="131"/>
      <c r="ACT43" s="131"/>
      <c r="ACU43" s="131"/>
      <c r="ACV43" s="131"/>
      <c r="ACW43" s="131"/>
      <c r="ACX43" s="131"/>
      <c r="ACY43" s="131"/>
      <c r="ACZ43" s="131"/>
      <c r="ADA43" s="131"/>
      <c r="ADB43" s="131"/>
      <c r="ADC43" s="131"/>
      <c r="ADD43" s="131"/>
      <c r="ADE43" s="131"/>
      <c r="ADF43" s="131"/>
      <c r="ADG43" s="131"/>
      <c r="ADH43" s="131"/>
      <c r="ADI43" s="131"/>
      <c r="ADJ43" s="131"/>
      <c r="ADK43" s="131"/>
      <c r="ADL43" s="131"/>
      <c r="ADM43" s="131"/>
      <c r="ADN43" s="131"/>
      <c r="ADO43" s="131"/>
      <c r="ADP43" s="131"/>
      <c r="ADQ43" s="131"/>
      <c r="ADR43" s="131"/>
      <c r="ADS43" s="131"/>
      <c r="ADT43" s="131"/>
      <c r="ADU43" s="131"/>
      <c r="ADV43" s="131"/>
      <c r="ADW43" s="131"/>
      <c r="ADX43" s="131"/>
      <c r="ADY43" s="131"/>
      <c r="ADZ43" s="131"/>
      <c r="AEA43" s="131"/>
      <c r="AEB43" s="131"/>
      <c r="AEC43" s="131"/>
      <c r="AED43" s="131"/>
      <c r="AEE43" s="131"/>
      <c r="AEF43" s="131"/>
      <c r="AEG43" s="131"/>
      <c r="AEH43" s="131"/>
      <c r="AEI43" s="131"/>
      <c r="AEJ43" s="131"/>
      <c r="AEK43" s="131"/>
      <c r="AEL43" s="131"/>
      <c r="AEM43" s="131"/>
      <c r="AEN43" s="131"/>
      <c r="AEO43" s="131"/>
      <c r="AEP43" s="131"/>
      <c r="AEQ43" s="131"/>
      <c r="AER43" s="131"/>
      <c r="AES43" s="131"/>
      <c r="AET43" s="131"/>
      <c r="AEU43" s="131"/>
      <c r="AEV43" s="131"/>
      <c r="AEW43" s="131"/>
      <c r="AEX43" s="131"/>
      <c r="AEY43" s="131"/>
      <c r="AEZ43" s="131"/>
      <c r="AFA43" s="131"/>
      <c r="AFB43" s="131"/>
      <c r="AFC43" s="131"/>
      <c r="AFD43" s="131"/>
      <c r="AFE43" s="131"/>
      <c r="AFF43" s="131"/>
      <c r="AFG43" s="131"/>
      <c r="AFH43" s="131"/>
      <c r="AFI43" s="131"/>
      <c r="AFJ43" s="131"/>
      <c r="AFK43" s="131"/>
      <c r="APO43" s="130"/>
      <c r="APP43" s="130"/>
      <c r="APQ43" s="130"/>
      <c r="APR43" s="130"/>
      <c r="APS43" s="130"/>
      <c r="APT43" s="130"/>
      <c r="APU43" s="130"/>
      <c r="APV43" s="130"/>
      <c r="APW43" s="130"/>
      <c r="APX43" s="130"/>
      <c r="APY43" s="130"/>
      <c r="APZ43" s="130"/>
      <c r="AQA43" s="130"/>
      <c r="AQB43" s="130"/>
      <c r="AQC43" s="130"/>
      <c r="AQD43" s="130"/>
      <c r="AQE43" s="130"/>
      <c r="AQF43" s="130"/>
      <c r="AQG43" s="130"/>
      <c r="AQH43" s="130"/>
      <c r="AQI43" s="130"/>
      <c r="AQJ43" s="130"/>
      <c r="AQK43" s="130"/>
      <c r="AQL43" s="130"/>
      <c r="AQM43" s="130"/>
      <c r="AQN43" s="130"/>
      <c r="AQO43" s="130"/>
      <c r="AQP43" s="130"/>
      <c r="AQQ43" s="130"/>
      <c r="AQR43" s="130"/>
      <c r="AQS43" s="130"/>
      <c r="AQT43" s="130"/>
      <c r="AQU43" s="130"/>
      <c r="AQV43" s="130"/>
      <c r="AQW43" s="130"/>
      <c r="AQX43" s="130"/>
      <c r="AQY43" s="130"/>
      <c r="AQZ43" s="130"/>
      <c r="ARA43" s="130"/>
      <c r="ARB43" s="130"/>
      <c r="ARC43" s="130"/>
      <c r="ARD43" s="130"/>
      <c r="ARE43" s="130"/>
      <c r="ARF43" s="130"/>
      <c r="ARG43" s="130"/>
      <c r="ARH43" s="130"/>
      <c r="ARI43" s="130"/>
      <c r="ARJ43" s="130"/>
      <c r="ARK43" s="130"/>
      <c r="ARL43" s="130"/>
      <c r="ARM43" s="130"/>
      <c r="ARN43" s="130"/>
      <c r="ARO43" s="130"/>
      <c r="ARP43" s="130"/>
      <c r="ARQ43" s="130"/>
      <c r="ARR43" s="130"/>
      <c r="ARS43" s="130"/>
      <c r="ART43" s="130"/>
      <c r="ARU43" s="130"/>
      <c r="ARV43" s="130"/>
      <c r="ARW43" s="130"/>
      <c r="ARX43" s="130"/>
      <c r="ARY43" s="130"/>
      <c r="ARZ43" s="130"/>
      <c r="ASA43" s="130"/>
      <c r="ASB43" s="130"/>
      <c r="ASC43" s="130"/>
      <c r="ASD43" s="130"/>
      <c r="ASE43" s="130"/>
      <c r="ASF43" s="130"/>
      <c r="ASG43" s="130"/>
      <c r="ASH43" s="130"/>
      <c r="ASI43" s="130"/>
      <c r="ASJ43" s="130"/>
      <c r="ASK43" s="130"/>
      <c r="ASL43" s="130"/>
      <c r="ASM43" s="130"/>
      <c r="ASN43" s="130"/>
      <c r="ASO43" s="130"/>
      <c r="ASP43" s="130"/>
      <c r="ASQ43" s="130"/>
      <c r="ASR43" s="130"/>
      <c r="ASS43" s="130"/>
      <c r="AST43" s="130"/>
      <c r="ASU43" s="130"/>
      <c r="ASV43" s="130"/>
      <c r="ASW43" s="130"/>
    </row>
    <row r="44" spans="1:1022 1029:1197" s="129" customFormat="1" outlineLevel="1">
      <c r="A44" s="137" t="s">
        <v>236</v>
      </c>
      <c r="B44" s="139" t="s">
        <v>285</v>
      </c>
      <c r="C44" s="139" t="s">
        <v>286</v>
      </c>
      <c r="D44" s="139" t="s">
        <v>287</v>
      </c>
      <c r="E44" s="137">
        <v>65</v>
      </c>
      <c r="F44" s="138"/>
      <c r="G44" s="136" t="s">
        <v>19</v>
      </c>
      <c r="H44" s="136" t="s">
        <v>366</v>
      </c>
      <c r="I44" s="136" t="s">
        <v>366</v>
      </c>
      <c r="J44" s="136" t="s">
        <v>366</v>
      </c>
      <c r="K44" s="136" t="s">
        <v>13</v>
      </c>
      <c r="L44" s="136" t="s">
        <v>366</v>
      </c>
      <c r="M44" s="136"/>
      <c r="N44" s="136" t="s">
        <v>366</v>
      </c>
      <c r="O44" s="138"/>
      <c r="LK44" s="135"/>
      <c r="LL44" s="135"/>
      <c r="LM44" s="135"/>
      <c r="LN44" s="135"/>
      <c r="LO44" s="135"/>
      <c r="LU44" s="135"/>
      <c r="LV44" s="135"/>
      <c r="LW44" s="135"/>
      <c r="LX44" s="135"/>
      <c r="LY44" s="135"/>
      <c r="LZ44" s="135"/>
      <c r="MA44" s="135"/>
      <c r="MB44" s="135"/>
      <c r="MC44" s="135"/>
      <c r="MD44" s="135"/>
      <c r="ME44" s="135"/>
      <c r="MF44" s="135"/>
      <c r="MG44" s="135"/>
      <c r="MQ44" s="132"/>
      <c r="MR44" s="132"/>
      <c r="MS44" s="132"/>
      <c r="MT44" s="132"/>
      <c r="MU44" s="132"/>
      <c r="MV44" s="132"/>
      <c r="MW44" s="132"/>
      <c r="MX44" s="132"/>
      <c r="MY44" s="132"/>
      <c r="NB44" s="135"/>
      <c r="NC44" s="135"/>
      <c r="ND44" s="135"/>
      <c r="NE44" s="135"/>
      <c r="NF44" s="135"/>
      <c r="NL44" s="132"/>
      <c r="NM44" s="132"/>
      <c r="NN44" s="132"/>
      <c r="NO44" s="132"/>
      <c r="NP44" s="132"/>
      <c r="QN44" s="129" t="s">
        <v>3975</v>
      </c>
      <c r="QR44" s="129" t="s">
        <v>3843</v>
      </c>
      <c r="QS44" s="129" t="s">
        <v>3975</v>
      </c>
      <c r="QV44" s="129" t="s">
        <v>3843</v>
      </c>
      <c r="RQ44" s="134"/>
      <c r="RR44" s="134"/>
      <c r="RS44" s="134"/>
      <c r="RT44" s="134"/>
      <c r="TD44" s="133"/>
      <c r="TE44" s="132"/>
      <c r="TF44" s="132"/>
      <c r="TX44" s="132"/>
      <c r="TY44" s="132"/>
      <c r="TZ44" s="132"/>
      <c r="VF44" s="129" t="s">
        <v>3975</v>
      </c>
      <c r="VL44" s="132"/>
      <c r="VM44" s="132"/>
      <c r="VN44" s="132"/>
      <c r="VO44" s="132"/>
      <c r="VR44" s="131"/>
      <c r="VS44" s="131"/>
      <c r="VT44" s="131"/>
      <c r="VU44" s="131"/>
      <c r="VV44" s="131"/>
      <c r="VW44" s="131"/>
      <c r="VX44" s="131"/>
      <c r="VY44" s="131"/>
      <c r="VZ44" s="131"/>
      <c r="WA44" s="131"/>
      <c r="WB44" s="131"/>
      <c r="WC44" s="131"/>
      <c r="WD44" s="131"/>
      <c r="WE44" s="131"/>
      <c r="WF44" s="131"/>
      <c r="WG44" s="131"/>
      <c r="WH44" s="131"/>
      <c r="WI44" s="131"/>
      <c r="WJ44" s="131"/>
      <c r="WK44" s="131"/>
      <c r="WL44" s="131"/>
      <c r="WM44" s="131"/>
      <c r="WN44" s="131"/>
      <c r="WO44" s="131"/>
      <c r="WP44" s="131"/>
      <c r="WQ44" s="131"/>
      <c r="WR44" s="131"/>
      <c r="WS44" s="131"/>
      <c r="WT44" s="131"/>
      <c r="WU44" s="131"/>
      <c r="WV44" s="131"/>
      <c r="WW44" s="131"/>
      <c r="WX44" s="131"/>
      <c r="WY44" s="131"/>
      <c r="WZ44" s="131"/>
      <c r="XA44" s="131"/>
      <c r="XB44" s="131"/>
      <c r="XC44" s="131"/>
      <c r="XD44" s="131"/>
      <c r="XE44" s="131"/>
      <c r="XF44" s="131"/>
      <c r="XG44" s="131"/>
      <c r="XH44" s="131"/>
      <c r="XI44" s="131"/>
      <c r="XJ44" s="131"/>
      <c r="XK44" s="131"/>
      <c r="XL44" s="131"/>
      <c r="XM44" s="131"/>
      <c r="XN44" s="131"/>
      <c r="XO44" s="131"/>
      <c r="XP44" s="131"/>
      <c r="XQ44" s="131"/>
      <c r="XR44" s="131"/>
      <c r="XS44" s="131"/>
      <c r="XT44" s="131"/>
      <c r="XU44" s="131"/>
      <c r="XV44" s="131"/>
      <c r="XW44" s="131"/>
      <c r="XX44" s="131"/>
      <c r="XY44" s="131"/>
      <c r="XZ44" s="131"/>
      <c r="YA44" s="131"/>
      <c r="YB44" s="131"/>
      <c r="YC44" s="131"/>
      <c r="YD44" s="131"/>
      <c r="YE44" s="131"/>
      <c r="YF44" s="131"/>
      <c r="YG44" s="131"/>
      <c r="YH44" s="131"/>
      <c r="YI44" s="131"/>
      <c r="YJ44" s="131"/>
      <c r="YK44" s="131"/>
      <c r="YL44" s="131"/>
      <c r="YM44" s="131"/>
      <c r="YN44" s="131"/>
      <c r="YO44" s="131"/>
      <c r="YP44" s="131"/>
      <c r="YQ44" s="131"/>
      <c r="YR44" s="131"/>
      <c r="YS44" s="131"/>
      <c r="YT44" s="131"/>
      <c r="YU44" s="131"/>
      <c r="YV44" s="131"/>
      <c r="YW44" s="131"/>
      <c r="YX44" s="131"/>
      <c r="YY44" s="131"/>
      <c r="YZ44" s="131"/>
      <c r="ZA44" s="131"/>
      <c r="ZB44" s="131"/>
      <c r="ZC44" s="131"/>
      <c r="ZD44" s="131"/>
      <c r="ZE44" s="131"/>
      <c r="ZF44" s="131"/>
      <c r="ZG44" s="131"/>
      <c r="ZH44" s="131"/>
      <c r="ZI44" s="131"/>
      <c r="ZJ44" s="131"/>
      <c r="ZK44" s="131"/>
      <c r="ZL44" s="131"/>
      <c r="ZM44" s="131"/>
      <c r="ZN44" s="131"/>
      <c r="ZO44" s="131"/>
      <c r="ZP44" s="131"/>
      <c r="ZQ44" s="131"/>
      <c r="ZR44" s="131"/>
      <c r="ZS44" s="131"/>
      <c r="ZT44" s="131"/>
      <c r="ZU44" s="131"/>
      <c r="ZV44" s="131"/>
      <c r="ZW44" s="131"/>
      <c r="ZX44" s="131"/>
      <c r="ZY44" s="131"/>
      <c r="ZZ44" s="131"/>
      <c r="AAA44" s="131"/>
      <c r="AAB44" s="131"/>
      <c r="AAC44" s="131"/>
      <c r="AAD44" s="131"/>
      <c r="AAE44" s="131"/>
      <c r="AAF44" s="131"/>
      <c r="AAG44" s="131"/>
      <c r="AAH44" s="131"/>
      <c r="AAJ44" s="131"/>
      <c r="AAK44" s="131"/>
      <c r="AAL44" s="131"/>
      <c r="AAM44" s="131"/>
      <c r="AAN44" s="131"/>
      <c r="AAO44" s="131"/>
      <c r="AAP44" s="131"/>
      <c r="AAQ44" s="131"/>
      <c r="AAR44" s="131"/>
      <c r="AAS44" s="131"/>
      <c r="AAT44" s="131"/>
      <c r="AAU44" s="131"/>
      <c r="AAV44" s="131"/>
      <c r="AAW44" s="131"/>
      <c r="AAX44" s="131"/>
      <c r="AAY44" s="131"/>
      <c r="AAZ44" s="131"/>
      <c r="ABA44" s="131"/>
      <c r="ABB44" s="131"/>
      <c r="ABC44" s="131"/>
      <c r="ABD44" s="131"/>
      <c r="ABE44" s="131"/>
      <c r="ABF44" s="131"/>
      <c r="ABG44" s="131"/>
      <c r="ABH44" s="131"/>
      <c r="ABI44" s="131"/>
      <c r="ABJ44" s="131"/>
      <c r="ABK44" s="131"/>
      <c r="ABL44" s="131"/>
      <c r="ABM44" s="131"/>
      <c r="ABN44" s="131"/>
      <c r="ABO44" s="131"/>
      <c r="ABP44" s="131"/>
      <c r="ABQ44" s="131"/>
      <c r="ABR44" s="131"/>
      <c r="ABS44" s="131"/>
      <c r="ABT44" s="131"/>
      <c r="ABU44" s="131"/>
      <c r="ABV44" s="131"/>
      <c r="ABW44" s="131"/>
      <c r="ABX44" s="131"/>
      <c r="ABY44" s="131"/>
      <c r="ABZ44" s="131"/>
      <c r="ACA44" s="131"/>
      <c r="ACB44" s="131"/>
      <c r="ACC44" s="131"/>
      <c r="ACD44" s="131"/>
      <c r="ACE44" s="131"/>
      <c r="ACF44" s="131"/>
      <c r="ACG44" s="131"/>
      <c r="ACH44" s="131"/>
      <c r="ACI44" s="131"/>
      <c r="ACJ44" s="131"/>
      <c r="ACK44" s="131"/>
      <c r="ACL44" s="131"/>
      <c r="ACM44" s="131"/>
      <c r="ACN44" s="131"/>
      <c r="ACO44" s="131"/>
      <c r="ACP44" s="131"/>
      <c r="ACQ44" s="131"/>
      <c r="ACR44" s="131"/>
      <c r="ACS44" s="131"/>
      <c r="ACT44" s="131"/>
      <c r="ACU44" s="131"/>
      <c r="ACV44" s="131"/>
      <c r="ACW44" s="131"/>
      <c r="ACX44" s="131"/>
      <c r="ACY44" s="131"/>
      <c r="ACZ44" s="131"/>
      <c r="ADA44" s="131"/>
      <c r="ADB44" s="131"/>
      <c r="ADC44" s="131"/>
      <c r="ADD44" s="131"/>
      <c r="ADE44" s="131"/>
      <c r="ADF44" s="131"/>
      <c r="ADG44" s="131"/>
      <c r="ADH44" s="131"/>
      <c r="ADI44" s="131"/>
      <c r="ADJ44" s="131"/>
      <c r="ADK44" s="131"/>
      <c r="ADL44" s="131"/>
      <c r="ADM44" s="131"/>
      <c r="ADN44" s="131"/>
      <c r="ADO44" s="131"/>
      <c r="ADP44" s="131"/>
      <c r="ADQ44" s="131"/>
      <c r="ADR44" s="131"/>
      <c r="ADS44" s="131"/>
      <c r="ADT44" s="131"/>
      <c r="ADU44" s="131"/>
      <c r="ADV44" s="131"/>
      <c r="ADW44" s="131"/>
      <c r="ADX44" s="131"/>
      <c r="ADY44" s="131"/>
      <c r="ADZ44" s="131"/>
      <c r="AEA44" s="131"/>
      <c r="AEB44" s="131"/>
      <c r="AEC44" s="131"/>
      <c r="AED44" s="131"/>
      <c r="AEE44" s="131"/>
      <c r="AEF44" s="131"/>
      <c r="AEG44" s="131"/>
      <c r="AEH44" s="131"/>
      <c r="AEI44" s="131"/>
      <c r="AEJ44" s="131"/>
      <c r="AEK44" s="131"/>
      <c r="AEL44" s="131"/>
      <c r="AEM44" s="131"/>
      <c r="AEN44" s="131"/>
      <c r="AEO44" s="131"/>
      <c r="AEP44" s="131"/>
      <c r="AEQ44" s="131"/>
      <c r="AER44" s="131"/>
      <c r="AES44" s="131"/>
      <c r="AET44" s="131"/>
      <c r="AEU44" s="131"/>
      <c r="AEV44" s="131"/>
      <c r="AEW44" s="131"/>
      <c r="AEX44" s="131"/>
      <c r="AEY44" s="131"/>
      <c r="AEZ44" s="131"/>
      <c r="AFA44" s="131"/>
      <c r="AFB44" s="131"/>
      <c r="AFC44" s="131"/>
      <c r="AFD44" s="131"/>
      <c r="AFE44" s="131"/>
      <c r="AFF44" s="131"/>
      <c r="AFG44" s="131"/>
      <c r="AFH44" s="131"/>
      <c r="AFI44" s="131"/>
      <c r="AFJ44" s="131"/>
      <c r="AFK44" s="131"/>
      <c r="APO44" s="130"/>
      <c r="APP44" s="130"/>
      <c r="APQ44" s="130"/>
      <c r="APR44" s="130"/>
      <c r="APS44" s="130"/>
      <c r="APT44" s="130"/>
      <c r="APU44" s="130"/>
      <c r="APV44" s="130"/>
      <c r="APW44" s="130"/>
      <c r="APX44" s="130"/>
      <c r="APY44" s="130"/>
      <c r="APZ44" s="130"/>
      <c r="AQA44" s="130"/>
      <c r="AQB44" s="130"/>
      <c r="AQC44" s="130"/>
      <c r="AQD44" s="130"/>
      <c r="AQE44" s="130"/>
      <c r="AQF44" s="130"/>
      <c r="AQG44" s="130"/>
      <c r="AQH44" s="130"/>
      <c r="AQI44" s="130"/>
      <c r="AQJ44" s="130"/>
      <c r="AQK44" s="130"/>
      <c r="AQL44" s="130"/>
      <c r="AQM44" s="130"/>
      <c r="AQN44" s="130"/>
      <c r="AQO44" s="130"/>
      <c r="AQP44" s="130"/>
      <c r="AQQ44" s="130"/>
      <c r="AQR44" s="130"/>
      <c r="AQS44" s="130"/>
      <c r="AQT44" s="130"/>
      <c r="AQU44" s="130"/>
      <c r="AQV44" s="130"/>
      <c r="AQW44" s="130"/>
      <c r="AQX44" s="130"/>
      <c r="AQY44" s="130"/>
      <c r="AQZ44" s="130"/>
      <c r="ARA44" s="130"/>
      <c r="ARB44" s="130"/>
      <c r="ARC44" s="130"/>
      <c r="ARD44" s="130"/>
      <c r="ARE44" s="130"/>
      <c r="ARF44" s="130"/>
      <c r="ARG44" s="130"/>
      <c r="ARH44" s="130"/>
      <c r="ARI44" s="130"/>
      <c r="ARJ44" s="130"/>
      <c r="ARK44" s="130"/>
      <c r="ARL44" s="130"/>
      <c r="ARM44" s="130"/>
      <c r="ARN44" s="130"/>
      <c r="ARO44" s="130"/>
      <c r="ARP44" s="130"/>
      <c r="ARQ44" s="130"/>
      <c r="ARR44" s="130"/>
      <c r="ARS44" s="130"/>
      <c r="ART44" s="130"/>
      <c r="ARU44" s="130"/>
      <c r="ARV44" s="130"/>
      <c r="ARW44" s="130"/>
      <c r="ARX44" s="130"/>
      <c r="ARY44" s="130"/>
      <c r="ARZ44" s="130"/>
      <c r="ASA44" s="130"/>
      <c r="ASB44" s="130"/>
      <c r="ASC44" s="130"/>
      <c r="ASD44" s="130"/>
      <c r="ASE44" s="130"/>
      <c r="ASF44" s="130"/>
      <c r="ASG44" s="130"/>
      <c r="ASH44" s="130"/>
      <c r="ASI44" s="130"/>
      <c r="ASJ44" s="130"/>
      <c r="ASK44" s="130"/>
      <c r="ASL44" s="130"/>
      <c r="ASM44" s="130"/>
      <c r="ASN44" s="130"/>
      <c r="ASO44" s="130"/>
      <c r="ASP44" s="130"/>
      <c r="ASQ44" s="130"/>
      <c r="ASR44" s="130"/>
      <c r="ASS44" s="130"/>
      <c r="AST44" s="130"/>
      <c r="ASU44" s="130"/>
      <c r="ASV44" s="130"/>
      <c r="ASW44" s="130"/>
    </row>
    <row r="45" spans="1:1022 1029:1197" s="129" customFormat="1" outlineLevel="1">
      <c r="A45" s="137" t="s">
        <v>236</v>
      </c>
      <c r="B45" s="139" t="s">
        <v>288</v>
      </c>
      <c r="C45" s="139" t="s">
        <v>289</v>
      </c>
      <c r="D45" s="139" t="s">
        <v>290</v>
      </c>
      <c r="E45" s="137">
        <v>66</v>
      </c>
      <c r="F45" s="138"/>
      <c r="G45" s="136" t="s">
        <v>19</v>
      </c>
      <c r="H45" s="136" t="s">
        <v>366</v>
      </c>
      <c r="I45" s="136" t="s">
        <v>366</v>
      </c>
      <c r="J45" s="136" t="s">
        <v>366</v>
      </c>
      <c r="K45" s="136" t="s">
        <v>13</v>
      </c>
      <c r="L45" s="136" t="s">
        <v>366</v>
      </c>
      <c r="M45" s="136"/>
      <c r="N45" s="136" t="s">
        <v>366</v>
      </c>
      <c r="O45" s="138"/>
      <c r="LK45" s="135"/>
      <c r="LL45" s="135"/>
      <c r="LM45" s="135"/>
      <c r="LN45" s="135"/>
      <c r="LO45" s="135"/>
      <c r="LU45" s="135"/>
      <c r="LV45" s="135"/>
      <c r="LW45" s="135"/>
      <c r="LX45" s="135"/>
      <c r="LY45" s="135"/>
      <c r="LZ45" s="135"/>
      <c r="MA45" s="135"/>
      <c r="MB45" s="135"/>
      <c r="MC45" s="135"/>
      <c r="MD45" s="135"/>
      <c r="ME45" s="135"/>
      <c r="MF45" s="135"/>
      <c r="MG45" s="135"/>
      <c r="MQ45" s="132"/>
      <c r="MR45" s="132"/>
      <c r="MS45" s="132"/>
      <c r="MT45" s="132"/>
      <c r="MU45" s="132"/>
      <c r="MV45" s="132"/>
      <c r="MW45" s="132"/>
      <c r="MX45" s="132"/>
      <c r="MY45" s="132"/>
      <c r="NB45" s="135"/>
      <c r="NC45" s="135"/>
      <c r="ND45" s="135"/>
      <c r="NE45" s="135"/>
      <c r="NF45" s="135"/>
      <c r="NL45" s="132"/>
      <c r="NM45" s="132"/>
      <c r="NN45" s="132"/>
      <c r="NO45" s="132"/>
      <c r="NP45" s="132"/>
      <c r="QN45" s="129" t="s">
        <v>3974</v>
      </c>
      <c r="QR45" s="129" t="s">
        <v>3843</v>
      </c>
      <c r="QS45" s="129" t="s">
        <v>3974</v>
      </c>
      <c r="QV45" s="129" t="s">
        <v>3843</v>
      </c>
      <c r="RQ45" s="134"/>
      <c r="RR45" s="134"/>
      <c r="RS45" s="134"/>
      <c r="RT45" s="134"/>
      <c r="TD45" s="133"/>
      <c r="TE45" s="132"/>
      <c r="TF45" s="132"/>
      <c r="TX45" s="132"/>
      <c r="TY45" s="132"/>
      <c r="TZ45" s="132"/>
      <c r="VF45" s="129" t="s">
        <v>3973</v>
      </c>
      <c r="VL45" s="132"/>
      <c r="VM45" s="132"/>
      <c r="VN45" s="132"/>
      <c r="VO45" s="132"/>
      <c r="VR45" s="131"/>
      <c r="VS45" s="131"/>
      <c r="VT45" s="131"/>
      <c r="VU45" s="131"/>
      <c r="VV45" s="131"/>
      <c r="VW45" s="131"/>
      <c r="VX45" s="131"/>
      <c r="VY45" s="131"/>
      <c r="VZ45" s="131"/>
      <c r="WA45" s="131"/>
      <c r="WB45" s="131"/>
      <c r="WC45" s="131"/>
      <c r="WD45" s="131"/>
      <c r="WE45" s="131"/>
      <c r="WF45" s="131"/>
      <c r="WG45" s="131"/>
      <c r="WH45" s="131"/>
      <c r="WI45" s="131"/>
      <c r="WJ45" s="131"/>
      <c r="WK45" s="131"/>
      <c r="WL45" s="131"/>
      <c r="WM45" s="131"/>
      <c r="WN45" s="131"/>
      <c r="WO45" s="131"/>
      <c r="WP45" s="131"/>
      <c r="WQ45" s="131"/>
      <c r="WR45" s="131"/>
      <c r="WS45" s="131"/>
      <c r="WT45" s="131"/>
      <c r="WU45" s="131"/>
      <c r="WV45" s="131"/>
      <c r="WW45" s="131"/>
      <c r="WX45" s="131"/>
      <c r="WY45" s="131"/>
      <c r="WZ45" s="131"/>
      <c r="XA45" s="131"/>
      <c r="XB45" s="131"/>
      <c r="XC45" s="131"/>
      <c r="XD45" s="131"/>
      <c r="XE45" s="131"/>
      <c r="XF45" s="131"/>
      <c r="XG45" s="131"/>
      <c r="XH45" s="131"/>
      <c r="XI45" s="131"/>
      <c r="XJ45" s="131"/>
      <c r="XK45" s="131"/>
      <c r="XL45" s="131"/>
      <c r="XM45" s="131"/>
      <c r="XN45" s="131"/>
      <c r="XO45" s="131"/>
      <c r="XP45" s="131"/>
      <c r="XQ45" s="131"/>
      <c r="XR45" s="131"/>
      <c r="XS45" s="131"/>
      <c r="XT45" s="131"/>
      <c r="XU45" s="131"/>
      <c r="XV45" s="131"/>
      <c r="XW45" s="131"/>
      <c r="XX45" s="131"/>
      <c r="XY45" s="131"/>
      <c r="XZ45" s="131"/>
      <c r="YA45" s="131"/>
      <c r="YB45" s="131"/>
      <c r="YC45" s="131"/>
      <c r="YD45" s="131"/>
      <c r="YE45" s="131"/>
      <c r="YF45" s="131"/>
      <c r="YG45" s="131"/>
      <c r="YH45" s="131"/>
      <c r="YI45" s="131"/>
      <c r="YJ45" s="131"/>
      <c r="YK45" s="131"/>
      <c r="YL45" s="131"/>
      <c r="YM45" s="131"/>
      <c r="YN45" s="131"/>
      <c r="YO45" s="131"/>
      <c r="YP45" s="131"/>
      <c r="YQ45" s="131"/>
      <c r="YR45" s="131"/>
      <c r="YS45" s="131"/>
      <c r="YT45" s="131"/>
      <c r="YU45" s="131"/>
      <c r="YV45" s="131"/>
      <c r="YW45" s="131"/>
      <c r="YX45" s="131"/>
      <c r="YY45" s="131"/>
      <c r="YZ45" s="131"/>
      <c r="ZA45" s="131"/>
      <c r="ZB45" s="131"/>
      <c r="ZC45" s="131"/>
      <c r="ZD45" s="131"/>
      <c r="ZE45" s="131"/>
      <c r="ZF45" s="131"/>
      <c r="ZG45" s="131"/>
      <c r="ZH45" s="131"/>
      <c r="ZI45" s="131"/>
      <c r="ZJ45" s="131"/>
      <c r="ZK45" s="131"/>
      <c r="ZL45" s="131"/>
      <c r="ZM45" s="131"/>
      <c r="ZN45" s="131"/>
      <c r="ZO45" s="131"/>
      <c r="ZP45" s="131"/>
      <c r="ZQ45" s="131"/>
      <c r="ZR45" s="131"/>
      <c r="ZS45" s="131"/>
      <c r="ZT45" s="131"/>
      <c r="ZU45" s="131"/>
      <c r="ZV45" s="131"/>
      <c r="ZW45" s="131"/>
      <c r="ZX45" s="131"/>
      <c r="ZY45" s="131"/>
      <c r="ZZ45" s="131"/>
      <c r="AAA45" s="131"/>
      <c r="AAB45" s="131"/>
      <c r="AAC45" s="131"/>
      <c r="AAD45" s="131"/>
      <c r="AAE45" s="131"/>
      <c r="AAF45" s="131"/>
      <c r="AAG45" s="131"/>
      <c r="AAH45" s="131"/>
      <c r="AAJ45" s="131"/>
      <c r="AAK45" s="131"/>
      <c r="AAL45" s="131"/>
      <c r="AAM45" s="131"/>
      <c r="AAN45" s="131"/>
      <c r="AAO45" s="131"/>
      <c r="AAP45" s="131"/>
      <c r="AAQ45" s="131"/>
      <c r="AAR45" s="131"/>
      <c r="AAS45" s="131"/>
      <c r="AAT45" s="131"/>
      <c r="AAU45" s="131"/>
      <c r="AAV45" s="131"/>
      <c r="AAW45" s="131"/>
      <c r="AAX45" s="131"/>
      <c r="AAY45" s="131"/>
      <c r="AAZ45" s="131"/>
      <c r="ABA45" s="131"/>
      <c r="ABB45" s="131"/>
      <c r="ABC45" s="131"/>
      <c r="ABD45" s="131"/>
      <c r="ABE45" s="131"/>
      <c r="ABF45" s="131"/>
      <c r="ABG45" s="131"/>
      <c r="ABH45" s="131"/>
      <c r="ABI45" s="131"/>
      <c r="ABJ45" s="131"/>
      <c r="ABK45" s="131"/>
      <c r="ABL45" s="131"/>
      <c r="ABM45" s="131"/>
      <c r="ABN45" s="131"/>
      <c r="ABO45" s="131"/>
      <c r="ABP45" s="131"/>
      <c r="ABQ45" s="131"/>
      <c r="ABR45" s="131"/>
      <c r="ABS45" s="131"/>
      <c r="ABT45" s="131"/>
      <c r="ABU45" s="131"/>
      <c r="ABV45" s="131"/>
      <c r="ABW45" s="131"/>
      <c r="ABX45" s="131"/>
      <c r="ABY45" s="131"/>
      <c r="ABZ45" s="131"/>
      <c r="ACA45" s="131"/>
      <c r="ACB45" s="131"/>
      <c r="ACC45" s="131"/>
      <c r="ACD45" s="131"/>
      <c r="ACE45" s="131"/>
      <c r="ACF45" s="131"/>
      <c r="ACG45" s="131"/>
      <c r="ACH45" s="131"/>
      <c r="ACI45" s="131"/>
      <c r="ACJ45" s="131"/>
      <c r="ACK45" s="131"/>
      <c r="ACL45" s="131"/>
      <c r="ACM45" s="131"/>
      <c r="ACN45" s="131"/>
      <c r="ACO45" s="131"/>
      <c r="ACP45" s="131"/>
      <c r="ACQ45" s="131"/>
      <c r="ACR45" s="131"/>
      <c r="ACS45" s="131"/>
      <c r="ACT45" s="131"/>
      <c r="ACU45" s="131"/>
      <c r="ACV45" s="131"/>
      <c r="ACW45" s="131"/>
      <c r="ACX45" s="131"/>
      <c r="ACY45" s="131"/>
      <c r="ACZ45" s="131"/>
      <c r="ADA45" s="131"/>
      <c r="ADB45" s="131"/>
      <c r="ADC45" s="131"/>
      <c r="ADD45" s="131"/>
      <c r="ADE45" s="131"/>
      <c r="ADF45" s="131"/>
      <c r="ADG45" s="131"/>
      <c r="ADH45" s="131"/>
      <c r="ADI45" s="131"/>
      <c r="ADJ45" s="131"/>
      <c r="ADK45" s="131"/>
      <c r="ADL45" s="131"/>
      <c r="ADM45" s="131"/>
      <c r="ADN45" s="131"/>
      <c r="ADO45" s="131"/>
      <c r="ADP45" s="131"/>
      <c r="ADQ45" s="131"/>
      <c r="ADR45" s="131"/>
      <c r="ADS45" s="131"/>
      <c r="ADT45" s="131"/>
      <c r="ADU45" s="131"/>
      <c r="ADV45" s="131"/>
      <c r="ADW45" s="131"/>
      <c r="ADX45" s="131"/>
      <c r="ADY45" s="131"/>
      <c r="ADZ45" s="131"/>
      <c r="AEA45" s="131"/>
      <c r="AEB45" s="131"/>
      <c r="AEC45" s="131"/>
      <c r="AED45" s="131"/>
      <c r="AEE45" s="131"/>
      <c r="AEF45" s="131"/>
      <c r="AEG45" s="131"/>
      <c r="AEH45" s="131"/>
      <c r="AEI45" s="131"/>
      <c r="AEJ45" s="131"/>
      <c r="AEK45" s="131"/>
      <c r="AEL45" s="131"/>
      <c r="AEM45" s="131"/>
      <c r="AEN45" s="131"/>
      <c r="AEO45" s="131"/>
      <c r="AEP45" s="131"/>
      <c r="AEQ45" s="131"/>
      <c r="AER45" s="131"/>
      <c r="AES45" s="131"/>
      <c r="AET45" s="131"/>
      <c r="AEU45" s="131"/>
      <c r="AEV45" s="131"/>
      <c r="AEW45" s="131"/>
      <c r="AEX45" s="131"/>
      <c r="AEY45" s="131"/>
      <c r="AEZ45" s="131"/>
      <c r="AFA45" s="131"/>
      <c r="AFB45" s="131"/>
      <c r="AFC45" s="131"/>
      <c r="AFD45" s="131"/>
      <c r="AFE45" s="131"/>
      <c r="AFF45" s="131"/>
      <c r="AFG45" s="131"/>
      <c r="AFH45" s="131"/>
      <c r="AFI45" s="131"/>
      <c r="AFJ45" s="131"/>
      <c r="AFK45" s="131"/>
      <c r="APO45" s="130"/>
      <c r="APP45" s="130"/>
      <c r="APQ45" s="130"/>
      <c r="APR45" s="130"/>
      <c r="APS45" s="130"/>
      <c r="APT45" s="130"/>
      <c r="APU45" s="130"/>
      <c r="APV45" s="130"/>
      <c r="APW45" s="130"/>
      <c r="APX45" s="130"/>
      <c r="APY45" s="130"/>
      <c r="APZ45" s="130"/>
      <c r="AQA45" s="130"/>
      <c r="AQB45" s="130"/>
      <c r="AQC45" s="130"/>
      <c r="AQD45" s="130"/>
      <c r="AQE45" s="130"/>
      <c r="AQF45" s="130"/>
      <c r="AQG45" s="130"/>
      <c r="AQH45" s="130"/>
      <c r="AQI45" s="130"/>
      <c r="AQJ45" s="130"/>
      <c r="AQK45" s="130"/>
      <c r="AQL45" s="130"/>
      <c r="AQM45" s="130"/>
      <c r="AQN45" s="130"/>
      <c r="AQO45" s="130"/>
      <c r="AQP45" s="130"/>
      <c r="AQQ45" s="130"/>
      <c r="AQR45" s="130"/>
      <c r="AQS45" s="130"/>
      <c r="AQT45" s="130"/>
      <c r="AQU45" s="130"/>
      <c r="AQV45" s="130"/>
      <c r="AQW45" s="130"/>
      <c r="AQX45" s="130"/>
      <c r="AQY45" s="130"/>
      <c r="AQZ45" s="130"/>
      <c r="ARA45" s="130"/>
      <c r="ARB45" s="130"/>
      <c r="ARC45" s="130"/>
      <c r="ARD45" s="130"/>
      <c r="ARE45" s="130"/>
      <c r="ARF45" s="130"/>
      <c r="ARG45" s="130"/>
      <c r="ARH45" s="130"/>
      <c r="ARI45" s="130"/>
      <c r="ARJ45" s="130"/>
      <c r="ARK45" s="130"/>
      <c r="ARL45" s="130"/>
      <c r="ARM45" s="130"/>
      <c r="ARN45" s="130"/>
      <c r="ARO45" s="130"/>
      <c r="ARP45" s="130"/>
      <c r="ARQ45" s="130"/>
      <c r="ARR45" s="130"/>
      <c r="ARS45" s="130"/>
      <c r="ART45" s="130"/>
      <c r="ARU45" s="130"/>
      <c r="ARV45" s="130"/>
      <c r="ARW45" s="130"/>
      <c r="ARX45" s="130"/>
      <c r="ARY45" s="130"/>
      <c r="ARZ45" s="130"/>
      <c r="ASA45" s="130"/>
      <c r="ASB45" s="130"/>
      <c r="ASC45" s="130"/>
      <c r="ASD45" s="130"/>
      <c r="ASE45" s="130"/>
      <c r="ASF45" s="130"/>
      <c r="ASG45" s="130"/>
      <c r="ASH45" s="130"/>
      <c r="ASI45" s="130"/>
      <c r="ASJ45" s="130"/>
      <c r="ASK45" s="130"/>
      <c r="ASL45" s="130"/>
      <c r="ASM45" s="130"/>
      <c r="ASN45" s="130"/>
      <c r="ASO45" s="130"/>
      <c r="ASP45" s="130"/>
      <c r="ASQ45" s="130"/>
      <c r="ASR45" s="130"/>
      <c r="ASS45" s="130"/>
      <c r="AST45" s="130"/>
      <c r="ASU45" s="130"/>
      <c r="ASV45" s="130"/>
      <c r="ASW45" s="130"/>
    </row>
    <row r="46" spans="1:1022 1029:1197" s="129" customFormat="1" outlineLevel="1">
      <c r="A46" s="137" t="s">
        <v>236</v>
      </c>
      <c r="B46" s="139" t="s">
        <v>291</v>
      </c>
      <c r="C46" s="139" t="s">
        <v>292</v>
      </c>
      <c r="D46" s="139" t="s">
        <v>293</v>
      </c>
      <c r="E46" s="137">
        <v>67</v>
      </c>
      <c r="F46" s="138"/>
      <c r="G46" s="136" t="s">
        <v>19</v>
      </c>
      <c r="H46" s="136" t="s">
        <v>366</v>
      </c>
      <c r="I46" s="136" t="s">
        <v>366</v>
      </c>
      <c r="J46" s="136" t="s">
        <v>366</v>
      </c>
      <c r="K46" s="136" t="s">
        <v>13</v>
      </c>
      <c r="L46" s="136" t="s">
        <v>366</v>
      </c>
      <c r="M46" s="136"/>
      <c r="N46" s="136" t="s">
        <v>366</v>
      </c>
      <c r="O46" s="138"/>
      <c r="LK46" s="135"/>
      <c r="LL46" s="135"/>
      <c r="LM46" s="135"/>
      <c r="LN46" s="135"/>
      <c r="LO46" s="135"/>
      <c r="LU46" s="135"/>
      <c r="LV46" s="135"/>
      <c r="LW46" s="135"/>
      <c r="LX46" s="135"/>
      <c r="LY46" s="135"/>
      <c r="LZ46" s="135"/>
      <c r="MA46" s="135"/>
      <c r="MB46" s="135"/>
      <c r="MC46" s="135"/>
      <c r="MD46" s="135"/>
      <c r="ME46" s="135"/>
      <c r="MF46" s="135"/>
      <c r="MG46" s="135"/>
      <c r="MQ46" s="132"/>
      <c r="MR46" s="132"/>
      <c r="MS46" s="132"/>
      <c r="MT46" s="132"/>
      <c r="MU46" s="132"/>
      <c r="MV46" s="132"/>
      <c r="MW46" s="132"/>
      <c r="MX46" s="132"/>
      <c r="MY46" s="132"/>
      <c r="NB46" s="135"/>
      <c r="NC46" s="135"/>
      <c r="ND46" s="135"/>
      <c r="NE46" s="135"/>
      <c r="NF46" s="135"/>
      <c r="NL46" s="132"/>
      <c r="NM46" s="132"/>
      <c r="NN46" s="132"/>
      <c r="NO46" s="132"/>
      <c r="NP46" s="132"/>
      <c r="QN46" s="129" t="s">
        <v>3972</v>
      </c>
      <c r="QR46" s="129" t="s">
        <v>3843</v>
      </c>
      <c r="QS46" s="129" t="s">
        <v>3972</v>
      </c>
      <c r="QV46" s="129" t="s">
        <v>3843</v>
      </c>
      <c r="RQ46" s="134"/>
      <c r="RR46" s="134"/>
      <c r="RS46" s="134"/>
      <c r="RT46" s="134"/>
      <c r="TD46" s="133"/>
      <c r="TE46" s="132"/>
      <c r="TF46" s="132"/>
      <c r="TX46" s="132"/>
      <c r="TY46" s="132"/>
      <c r="TZ46" s="132"/>
      <c r="VF46" s="129" t="s">
        <v>3971</v>
      </c>
      <c r="VL46" s="132"/>
      <c r="VM46" s="132"/>
      <c r="VN46" s="132"/>
      <c r="VO46" s="132"/>
      <c r="VR46" s="131"/>
      <c r="VS46" s="131"/>
      <c r="VT46" s="131"/>
      <c r="VU46" s="131"/>
      <c r="VV46" s="131"/>
      <c r="VW46" s="131"/>
      <c r="VX46" s="131"/>
      <c r="VY46" s="131"/>
      <c r="VZ46" s="131"/>
      <c r="WA46" s="131"/>
      <c r="WB46" s="131"/>
      <c r="WC46" s="131"/>
      <c r="WD46" s="131"/>
      <c r="WE46" s="131"/>
      <c r="WF46" s="131"/>
      <c r="WG46" s="131"/>
      <c r="WH46" s="131"/>
      <c r="WI46" s="131"/>
      <c r="WJ46" s="131"/>
      <c r="WK46" s="131"/>
      <c r="WL46" s="131"/>
      <c r="WM46" s="131"/>
      <c r="WN46" s="131"/>
      <c r="WO46" s="131"/>
      <c r="WP46" s="131"/>
      <c r="WQ46" s="131"/>
      <c r="WR46" s="131"/>
      <c r="WS46" s="131"/>
      <c r="WT46" s="131"/>
      <c r="WU46" s="131"/>
      <c r="WV46" s="131"/>
      <c r="WW46" s="131"/>
      <c r="WX46" s="131"/>
      <c r="WY46" s="131"/>
      <c r="WZ46" s="131"/>
      <c r="XA46" s="131"/>
      <c r="XB46" s="131"/>
      <c r="XC46" s="131"/>
      <c r="XD46" s="131"/>
      <c r="XE46" s="131"/>
      <c r="XF46" s="131"/>
      <c r="XG46" s="131"/>
      <c r="XH46" s="131"/>
      <c r="XI46" s="131"/>
      <c r="XJ46" s="131"/>
      <c r="XK46" s="131"/>
      <c r="XL46" s="131"/>
      <c r="XM46" s="131"/>
      <c r="XN46" s="131"/>
      <c r="XO46" s="131"/>
      <c r="XP46" s="131"/>
      <c r="XQ46" s="131"/>
      <c r="XR46" s="131"/>
      <c r="XS46" s="131"/>
      <c r="XT46" s="131"/>
      <c r="XU46" s="131"/>
      <c r="XV46" s="131"/>
      <c r="XW46" s="131"/>
      <c r="XX46" s="131"/>
      <c r="XY46" s="131"/>
      <c r="XZ46" s="131"/>
      <c r="YA46" s="131"/>
      <c r="YB46" s="131"/>
      <c r="YC46" s="131"/>
      <c r="YD46" s="131"/>
      <c r="YE46" s="131"/>
      <c r="YF46" s="131"/>
      <c r="YG46" s="131"/>
      <c r="YH46" s="131"/>
      <c r="YI46" s="131"/>
      <c r="YJ46" s="131"/>
      <c r="YK46" s="131"/>
      <c r="YL46" s="131"/>
      <c r="YM46" s="131"/>
      <c r="YN46" s="131"/>
      <c r="YO46" s="131"/>
      <c r="YP46" s="131"/>
      <c r="YQ46" s="131"/>
      <c r="YR46" s="131"/>
      <c r="YS46" s="131"/>
      <c r="YT46" s="131"/>
      <c r="YU46" s="131"/>
      <c r="YV46" s="131"/>
      <c r="YW46" s="131"/>
      <c r="YX46" s="131"/>
      <c r="YY46" s="131"/>
      <c r="YZ46" s="131"/>
      <c r="ZA46" s="131"/>
      <c r="ZB46" s="131"/>
      <c r="ZC46" s="131"/>
      <c r="ZD46" s="131"/>
      <c r="ZE46" s="131"/>
      <c r="ZF46" s="131"/>
      <c r="ZG46" s="131"/>
      <c r="ZH46" s="131"/>
      <c r="ZI46" s="131"/>
      <c r="ZJ46" s="131"/>
      <c r="ZK46" s="131"/>
      <c r="ZL46" s="131"/>
      <c r="ZM46" s="131"/>
      <c r="ZN46" s="131"/>
      <c r="ZO46" s="131"/>
      <c r="ZP46" s="131"/>
      <c r="ZQ46" s="131"/>
      <c r="ZR46" s="131"/>
      <c r="ZS46" s="131"/>
      <c r="ZT46" s="131"/>
      <c r="ZU46" s="131"/>
      <c r="ZV46" s="131"/>
      <c r="ZW46" s="131"/>
      <c r="ZX46" s="131"/>
      <c r="ZY46" s="131"/>
      <c r="ZZ46" s="131"/>
      <c r="AAA46" s="131"/>
      <c r="AAB46" s="131"/>
      <c r="AAC46" s="131"/>
      <c r="AAD46" s="131"/>
      <c r="AAE46" s="131"/>
      <c r="AAF46" s="131"/>
      <c r="AAG46" s="131"/>
      <c r="AAH46" s="131"/>
      <c r="AAJ46" s="131"/>
      <c r="AAK46" s="131"/>
      <c r="AAL46" s="131"/>
      <c r="AAM46" s="131"/>
      <c r="AAN46" s="131"/>
      <c r="AAO46" s="131"/>
      <c r="AAP46" s="131"/>
      <c r="AAQ46" s="131"/>
      <c r="AAR46" s="131"/>
      <c r="AAS46" s="131"/>
      <c r="AAT46" s="131"/>
      <c r="AAU46" s="131"/>
      <c r="AAV46" s="131"/>
      <c r="AAW46" s="131"/>
      <c r="AAX46" s="131"/>
      <c r="AAY46" s="131"/>
      <c r="AAZ46" s="131"/>
      <c r="ABA46" s="131"/>
      <c r="ABB46" s="131"/>
      <c r="ABC46" s="131"/>
      <c r="ABD46" s="131"/>
      <c r="ABE46" s="131"/>
      <c r="ABF46" s="131"/>
      <c r="ABG46" s="131"/>
      <c r="ABH46" s="131"/>
      <c r="ABI46" s="131"/>
      <c r="ABJ46" s="131"/>
      <c r="ABK46" s="131"/>
      <c r="ABL46" s="131"/>
      <c r="ABM46" s="131"/>
      <c r="ABN46" s="131"/>
      <c r="ABO46" s="131"/>
      <c r="ABP46" s="131"/>
      <c r="ABQ46" s="131"/>
      <c r="ABR46" s="131"/>
      <c r="ABS46" s="131"/>
      <c r="ABT46" s="131"/>
      <c r="ABU46" s="131"/>
      <c r="ABV46" s="131"/>
      <c r="ABW46" s="131"/>
      <c r="ABX46" s="131"/>
      <c r="ABY46" s="131"/>
      <c r="ABZ46" s="131"/>
      <c r="ACA46" s="131"/>
      <c r="ACB46" s="131"/>
      <c r="ACC46" s="131"/>
      <c r="ACD46" s="131"/>
      <c r="ACE46" s="131"/>
      <c r="ACF46" s="131"/>
      <c r="ACG46" s="131"/>
      <c r="ACH46" s="131"/>
      <c r="ACI46" s="131"/>
      <c r="ACJ46" s="131"/>
      <c r="ACK46" s="131"/>
      <c r="ACL46" s="131"/>
      <c r="ACM46" s="131"/>
      <c r="ACN46" s="131"/>
      <c r="ACO46" s="131"/>
      <c r="ACP46" s="131"/>
      <c r="ACQ46" s="131"/>
      <c r="ACR46" s="131"/>
      <c r="ACS46" s="131"/>
      <c r="ACT46" s="131"/>
      <c r="ACU46" s="131"/>
      <c r="ACV46" s="131"/>
      <c r="ACW46" s="131"/>
      <c r="ACX46" s="131"/>
      <c r="ACY46" s="131"/>
      <c r="ACZ46" s="131"/>
      <c r="ADA46" s="131"/>
      <c r="ADB46" s="131"/>
      <c r="ADC46" s="131"/>
      <c r="ADD46" s="131"/>
      <c r="ADE46" s="131"/>
      <c r="ADF46" s="131"/>
      <c r="ADG46" s="131"/>
      <c r="ADH46" s="131"/>
      <c r="ADI46" s="131"/>
      <c r="ADJ46" s="131"/>
      <c r="ADK46" s="131"/>
      <c r="ADL46" s="131"/>
      <c r="ADM46" s="131"/>
      <c r="ADN46" s="131"/>
      <c r="ADO46" s="131"/>
      <c r="ADP46" s="131"/>
      <c r="ADQ46" s="131"/>
      <c r="ADR46" s="131"/>
      <c r="ADS46" s="131"/>
      <c r="ADT46" s="131"/>
      <c r="ADU46" s="131"/>
      <c r="ADV46" s="131"/>
      <c r="ADW46" s="131"/>
      <c r="ADX46" s="131"/>
      <c r="ADY46" s="131"/>
      <c r="ADZ46" s="131"/>
      <c r="AEA46" s="131"/>
      <c r="AEB46" s="131"/>
      <c r="AEC46" s="131"/>
      <c r="AED46" s="131"/>
      <c r="AEE46" s="131"/>
      <c r="AEF46" s="131"/>
      <c r="AEG46" s="131"/>
      <c r="AEH46" s="131"/>
      <c r="AEI46" s="131"/>
      <c r="AEJ46" s="131"/>
      <c r="AEK46" s="131"/>
      <c r="AEL46" s="131"/>
      <c r="AEM46" s="131"/>
      <c r="AEN46" s="131"/>
      <c r="AEO46" s="131"/>
      <c r="AEP46" s="131"/>
      <c r="AEQ46" s="131"/>
      <c r="AER46" s="131"/>
      <c r="AES46" s="131"/>
      <c r="AET46" s="131"/>
      <c r="AEU46" s="131"/>
      <c r="AEV46" s="131"/>
      <c r="AEW46" s="131"/>
      <c r="AEX46" s="131"/>
      <c r="AEY46" s="131"/>
      <c r="AEZ46" s="131"/>
      <c r="AFA46" s="131"/>
      <c r="AFB46" s="131"/>
      <c r="AFC46" s="131"/>
      <c r="AFD46" s="131"/>
      <c r="AFE46" s="131"/>
      <c r="AFF46" s="131"/>
      <c r="AFG46" s="131"/>
      <c r="AFH46" s="131"/>
      <c r="AFI46" s="131"/>
      <c r="AFJ46" s="131"/>
      <c r="AFK46" s="131"/>
      <c r="APO46" s="130"/>
      <c r="APP46" s="130"/>
      <c r="APQ46" s="130"/>
      <c r="APR46" s="130"/>
      <c r="APS46" s="130"/>
      <c r="APT46" s="130"/>
      <c r="APU46" s="130"/>
      <c r="APV46" s="130"/>
      <c r="APW46" s="130"/>
      <c r="APX46" s="130"/>
      <c r="APY46" s="130"/>
      <c r="APZ46" s="130"/>
      <c r="AQA46" s="130"/>
      <c r="AQB46" s="130"/>
      <c r="AQC46" s="130"/>
      <c r="AQD46" s="130"/>
      <c r="AQE46" s="130"/>
      <c r="AQF46" s="130"/>
      <c r="AQG46" s="130"/>
      <c r="AQH46" s="130"/>
      <c r="AQI46" s="130"/>
      <c r="AQJ46" s="130"/>
      <c r="AQK46" s="130"/>
      <c r="AQL46" s="130"/>
      <c r="AQM46" s="130"/>
      <c r="AQN46" s="130"/>
      <c r="AQO46" s="130"/>
      <c r="AQP46" s="130"/>
      <c r="AQQ46" s="130"/>
      <c r="AQR46" s="130"/>
      <c r="AQS46" s="130"/>
      <c r="AQT46" s="130"/>
      <c r="AQU46" s="130"/>
      <c r="AQV46" s="130"/>
      <c r="AQW46" s="130"/>
      <c r="AQX46" s="130"/>
      <c r="AQY46" s="130"/>
      <c r="AQZ46" s="130"/>
      <c r="ARA46" s="130"/>
      <c r="ARB46" s="130"/>
      <c r="ARC46" s="130"/>
      <c r="ARD46" s="130"/>
      <c r="ARE46" s="130"/>
      <c r="ARF46" s="130"/>
      <c r="ARG46" s="130"/>
      <c r="ARH46" s="130"/>
      <c r="ARI46" s="130"/>
      <c r="ARJ46" s="130"/>
      <c r="ARK46" s="130"/>
      <c r="ARL46" s="130"/>
      <c r="ARM46" s="130"/>
      <c r="ARN46" s="130"/>
      <c r="ARO46" s="130"/>
      <c r="ARP46" s="130"/>
      <c r="ARQ46" s="130"/>
      <c r="ARR46" s="130"/>
      <c r="ARS46" s="130"/>
      <c r="ART46" s="130"/>
      <c r="ARU46" s="130"/>
      <c r="ARV46" s="130"/>
      <c r="ARW46" s="130"/>
      <c r="ARX46" s="130"/>
      <c r="ARY46" s="130"/>
      <c r="ARZ46" s="130"/>
      <c r="ASA46" s="130"/>
      <c r="ASB46" s="130"/>
      <c r="ASC46" s="130"/>
      <c r="ASD46" s="130"/>
      <c r="ASE46" s="130"/>
      <c r="ASF46" s="130"/>
      <c r="ASG46" s="130"/>
      <c r="ASH46" s="130"/>
      <c r="ASI46" s="130"/>
      <c r="ASJ46" s="130"/>
      <c r="ASK46" s="130"/>
      <c r="ASL46" s="130"/>
      <c r="ASM46" s="130"/>
      <c r="ASN46" s="130"/>
      <c r="ASO46" s="130"/>
      <c r="ASP46" s="130"/>
      <c r="ASQ46" s="130"/>
      <c r="ASR46" s="130"/>
      <c r="ASS46" s="130"/>
      <c r="AST46" s="130"/>
      <c r="ASU46" s="130"/>
      <c r="ASV46" s="130"/>
      <c r="ASW46" s="130"/>
    </row>
    <row r="47" spans="1:1022 1029:1197" s="129" customFormat="1" outlineLevel="1">
      <c r="A47" s="137" t="s">
        <v>236</v>
      </c>
      <c r="B47" s="139" t="s">
        <v>294</v>
      </c>
      <c r="C47" s="139" t="s">
        <v>295</v>
      </c>
      <c r="D47" s="139" t="s">
        <v>296</v>
      </c>
      <c r="E47" s="137">
        <v>68</v>
      </c>
      <c r="F47" s="138"/>
      <c r="G47" s="136" t="s">
        <v>19</v>
      </c>
      <c r="H47" s="136" t="s">
        <v>366</v>
      </c>
      <c r="I47" s="136" t="s">
        <v>366</v>
      </c>
      <c r="J47" s="136" t="s">
        <v>366</v>
      </c>
      <c r="K47" s="136" t="s">
        <v>13</v>
      </c>
      <c r="L47" s="136" t="s">
        <v>366</v>
      </c>
      <c r="M47" s="136"/>
      <c r="N47" s="136" t="s">
        <v>366</v>
      </c>
      <c r="O47" s="138"/>
      <c r="LK47" s="135"/>
      <c r="LL47" s="135"/>
      <c r="LM47" s="135"/>
      <c r="LN47" s="135"/>
      <c r="LO47" s="135"/>
      <c r="LU47" s="135"/>
      <c r="LV47" s="135"/>
      <c r="LW47" s="135"/>
      <c r="LX47" s="135"/>
      <c r="LY47" s="135"/>
      <c r="LZ47" s="135"/>
      <c r="MA47" s="135"/>
      <c r="MB47" s="135"/>
      <c r="MC47" s="135"/>
      <c r="MD47" s="135"/>
      <c r="ME47" s="135"/>
      <c r="MF47" s="135"/>
      <c r="MG47" s="135"/>
      <c r="MQ47" s="132"/>
      <c r="MR47" s="132"/>
      <c r="MS47" s="132"/>
      <c r="MT47" s="132"/>
      <c r="MU47" s="132"/>
      <c r="MV47" s="132"/>
      <c r="MW47" s="132"/>
      <c r="MX47" s="132"/>
      <c r="MY47" s="132"/>
      <c r="NB47" s="135"/>
      <c r="NC47" s="135"/>
      <c r="ND47" s="135"/>
      <c r="NE47" s="135"/>
      <c r="NF47" s="135"/>
      <c r="NL47" s="132"/>
      <c r="NM47" s="132"/>
      <c r="NN47" s="132"/>
      <c r="NO47" s="132"/>
      <c r="NP47" s="132"/>
      <c r="QN47" s="129" t="s">
        <v>3970</v>
      </c>
      <c r="QR47" s="129" t="s">
        <v>3843</v>
      </c>
      <c r="QS47" s="129" t="s">
        <v>3970</v>
      </c>
      <c r="QV47" s="129" t="s">
        <v>3843</v>
      </c>
      <c r="RQ47" s="134"/>
      <c r="RR47" s="134"/>
      <c r="RS47" s="134"/>
      <c r="RT47" s="134"/>
      <c r="TD47" s="133"/>
      <c r="TE47" s="132"/>
      <c r="TF47" s="132"/>
      <c r="TX47" s="132"/>
      <c r="TY47" s="132"/>
      <c r="TZ47" s="132"/>
      <c r="VF47" s="129" t="s">
        <v>3970</v>
      </c>
      <c r="VL47" s="132"/>
      <c r="VM47" s="132"/>
      <c r="VN47" s="132"/>
      <c r="VO47" s="132"/>
      <c r="VR47" s="131"/>
      <c r="VS47" s="131"/>
      <c r="VT47" s="131"/>
      <c r="VU47" s="131"/>
      <c r="VV47" s="131"/>
      <c r="VW47" s="131"/>
      <c r="VX47" s="131"/>
      <c r="VY47" s="131"/>
      <c r="VZ47" s="131"/>
      <c r="WA47" s="131"/>
      <c r="WB47" s="131"/>
      <c r="WC47" s="131"/>
      <c r="WD47" s="131"/>
      <c r="WE47" s="131"/>
      <c r="WF47" s="131"/>
      <c r="WG47" s="131"/>
      <c r="WH47" s="131"/>
      <c r="WI47" s="131"/>
      <c r="WJ47" s="131"/>
      <c r="WK47" s="131"/>
      <c r="WL47" s="131"/>
      <c r="WM47" s="131"/>
      <c r="WN47" s="131"/>
      <c r="WO47" s="131"/>
      <c r="WP47" s="131"/>
      <c r="WQ47" s="131"/>
      <c r="WR47" s="131"/>
      <c r="WS47" s="131"/>
      <c r="WT47" s="131"/>
      <c r="WU47" s="131"/>
      <c r="WV47" s="131"/>
      <c r="WW47" s="131"/>
      <c r="WX47" s="131"/>
      <c r="WY47" s="131"/>
      <c r="WZ47" s="131"/>
      <c r="XA47" s="131"/>
      <c r="XB47" s="131"/>
      <c r="XC47" s="131"/>
      <c r="XD47" s="131"/>
      <c r="XE47" s="131"/>
      <c r="XF47" s="131"/>
      <c r="XG47" s="131"/>
      <c r="XH47" s="131"/>
      <c r="XI47" s="131"/>
      <c r="XJ47" s="131"/>
      <c r="XK47" s="131"/>
      <c r="XL47" s="131"/>
      <c r="XM47" s="131"/>
      <c r="XN47" s="131"/>
      <c r="XO47" s="131"/>
      <c r="XP47" s="131"/>
      <c r="XQ47" s="131"/>
      <c r="XR47" s="131"/>
      <c r="XS47" s="131"/>
      <c r="XT47" s="131"/>
      <c r="XU47" s="131"/>
      <c r="XV47" s="131"/>
      <c r="XW47" s="131"/>
      <c r="XX47" s="131"/>
      <c r="XY47" s="131"/>
      <c r="XZ47" s="131"/>
      <c r="YA47" s="131"/>
      <c r="YB47" s="131"/>
      <c r="YC47" s="131"/>
      <c r="YD47" s="131"/>
      <c r="YE47" s="131"/>
      <c r="YF47" s="131"/>
      <c r="YG47" s="131"/>
      <c r="YH47" s="131"/>
      <c r="YI47" s="131"/>
      <c r="YJ47" s="131"/>
      <c r="YK47" s="131"/>
      <c r="YL47" s="131"/>
      <c r="YM47" s="131"/>
      <c r="YN47" s="131"/>
      <c r="YO47" s="131"/>
      <c r="YP47" s="131"/>
      <c r="YQ47" s="131"/>
      <c r="YR47" s="131"/>
      <c r="YS47" s="131"/>
      <c r="YT47" s="131"/>
      <c r="YU47" s="131"/>
      <c r="YV47" s="131"/>
      <c r="YW47" s="131"/>
      <c r="YX47" s="131"/>
      <c r="YY47" s="131"/>
      <c r="YZ47" s="131"/>
      <c r="ZA47" s="131"/>
      <c r="ZB47" s="131"/>
      <c r="ZC47" s="131"/>
      <c r="ZD47" s="131"/>
      <c r="ZE47" s="131"/>
      <c r="ZF47" s="131"/>
      <c r="ZG47" s="131"/>
      <c r="ZH47" s="131"/>
      <c r="ZI47" s="131"/>
      <c r="ZJ47" s="131"/>
      <c r="ZK47" s="131"/>
      <c r="ZL47" s="131"/>
      <c r="ZM47" s="131"/>
      <c r="ZN47" s="131"/>
      <c r="ZO47" s="131"/>
      <c r="ZP47" s="131"/>
      <c r="ZQ47" s="131"/>
      <c r="ZR47" s="131"/>
      <c r="ZS47" s="131"/>
      <c r="ZT47" s="131"/>
      <c r="ZU47" s="131"/>
      <c r="ZV47" s="131"/>
      <c r="ZW47" s="131"/>
      <c r="ZX47" s="131"/>
      <c r="ZY47" s="131"/>
      <c r="ZZ47" s="131"/>
      <c r="AAA47" s="131"/>
      <c r="AAB47" s="131"/>
      <c r="AAC47" s="131"/>
      <c r="AAD47" s="131"/>
      <c r="AAE47" s="131"/>
      <c r="AAF47" s="131"/>
      <c r="AAG47" s="131"/>
      <c r="AAH47" s="131"/>
      <c r="AAJ47" s="131"/>
      <c r="AAK47" s="131"/>
      <c r="AAL47" s="131"/>
      <c r="AAM47" s="131"/>
      <c r="AAN47" s="131"/>
      <c r="AAO47" s="131"/>
      <c r="AAP47" s="131"/>
      <c r="AAQ47" s="131"/>
      <c r="AAR47" s="131"/>
      <c r="AAS47" s="131"/>
      <c r="AAT47" s="131"/>
      <c r="AAU47" s="131"/>
      <c r="AAV47" s="131"/>
      <c r="AAW47" s="131"/>
      <c r="AAX47" s="131"/>
      <c r="AAY47" s="131"/>
      <c r="AAZ47" s="131"/>
      <c r="ABA47" s="131"/>
      <c r="ABB47" s="131"/>
      <c r="ABC47" s="131"/>
      <c r="ABD47" s="131"/>
      <c r="ABE47" s="131"/>
      <c r="ABF47" s="131"/>
      <c r="ABG47" s="131"/>
      <c r="ABH47" s="131"/>
      <c r="ABI47" s="131"/>
      <c r="ABJ47" s="131"/>
      <c r="ABK47" s="131"/>
      <c r="ABL47" s="131"/>
      <c r="ABM47" s="131"/>
      <c r="ABN47" s="131"/>
      <c r="ABO47" s="131"/>
      <c r="ABP47" s="131"/>
      <c r="ABQ47" s="131"/>
      <c r="ABR47" s="131"/>
      <c r="ABS47" s="131"/>
      <c r="ABT47" s="131"/>
      <c r="ABU47" s="131"/>
      <c r="ABV47" s="131"/>
      <c r="ABW47" s="131"/>
      <c r="ABX47" s="131"/>
      <c r="ABY47" s="131"/>
      <c r="ABZ47" s="131"/>
      <c r="ACA47" s="131"/>
      <c r="ACB47" s="131"/>
      <c r="ACC47" s="131"/>
      <c r="ACD47" s="131"/>
      <c r="ACE47" s="131"/>
      <c r="ACF47" s="131"/>
      <c r="ACG47" s="131"/>
      <c r="ACH47" s="131"/>
      <c r="ACI47" s="131"/>
      <c r="ACJ47" s="131"/>
      <c r="ACK47" s="131"/>
      <c r="ACL47" s="131"/>
      <c r="ACM47" s="131"/>
      <c r="ACN47" s="131"/>
      <c r="ACO47" s="131"/>
      <c r="ACP47" s="131"/>
      <c r="ACQ47" s="131"/>
      <c r="ACR47" s="131"/>
      <c r="ACS47" s="131"/>
      <c r="ACT47" s="131"/>
      <c r="ACU47" s="131"/>
      <c r="ACV47" s="131"/>
      <c r="ACW47" s="131"/>
      <c r="ACX47" s="131"/>
      <c r="ACY47" s="131"/>
      <c r="ACZ47" s="131"/>
      <c r="ADA47" s="131"/>
      <c r="ADB47" s="131"/>
      <c r="ADC47" s="131"/>
      <c r="ADD47" s="131"/>
      <c r="ADE47" s="131"/>
      <c r="ADF47" s="131"/>
      <c r="ADG47" s="131"/>
      <c r="ADH47" s="131"/>
      <c r="ADI47" s="131"/>
      <c r="ADJ47" s="131"/>
      <c r="ADK47" s="131"/>
      <c r="ADL47" s="131"/>
      <c r="ADM47" s="131"/>
      <c r="ADN47" s="131"/>
      <c r="ADO47" s="131"/>
      <c r="ADP47" s="131"/>
      <c r="ADQ47" s="131"/>
      <c r="ADR47" s="131"/>
      <c r="ADS47" s="131"/>
      <c r="ADT47" s="131"/>
      <c r="ADU47" s="131"/>
      <c r="ADV47" s="131"/>
      <c r="ADW47" s="131"/>
      <c r="ADX47" s="131"/>
      <c r="ADY47" s="131"/>
      <c r="ADZ47" s="131"/>
      <c r="AEA47" s="131"/>
      <c r="AEB47" s="131"/>
      <c r="AEC47" s="131"/>
      <c r="AED47" s="131"/>
      <c r="AEE47" s="131"/>
      <c r="AEF47" s="131"/>
      <c r="AEG47" s="131"/>
      <c r="AEH47" s="131"/>
      <c r="AEI47" s="131"/>
      <c r="AEJ47" s="131"/>
      <c r="AEK47" s="131"/>
      <c r="AEL47" s="131"/>
      <c r="AEM47" s="131"/>
      <c r="AEN47" s="131"/>
      <c r="AEO47" s="131"/>
      <c r="AEP47" s="131"/>
      <c r="AEQ47" s="131"/>
      <c r="AER47" s="131"/>
      <c r="AES47" s="131"/>
      <c r="AET47" s="131"/>
      <c r="AEU47" s="131"/>
      <c r="AEV47" s="131"/>
      <c r="AEW47" s="131"/>
      <c r="AEX47" s="131"/>
      <c r="AEY47" s="131"/>
      <c r="AEZ47" s="131"/>
      <c r="AFA47" s="131"/>
      <c r="AFB47" s="131"/>
      <c r="AFC47" s="131"/>
      <c r="AFD47" s="131"/>
      <c r="AFE47" s="131"/>
      <c r="AFF47" s="131"/>
      <c r="AFG47" s="131"/>
      <c r="AFH47" s="131"/>
      <c r="AFI47" s="131"/>
      <c r="AFJ47" s="131"/>
      <c r="AFK47" s="131"/>
      <c r="APO47" s="130"/>
      <c r="APP47" s="130"/>
      <c r="APQ47" s="130"/>
      <c r="APR47" s="130"/>
      <c r="APS47" s="130"/>
      <c r="APT47" s="130"/>
      <c r="APU47" s="130"/>
      <c r="APV47" s="130"/>
      <c r="APW47" s="130"/>
      <c r="APX47" s="130"/>
      <c r="APY47" s="130"/>
      <c r="APZ47" s="130"/>
      <c r="AQA47" s="130"/>
      <c r="AQB47" s="130"/>
      <c r="AQC47" s="130"/>
      <c r="AQD47" s="130"/>
      <c r="AQE47" s="130"/>
      <c r="AQF47" s="130"/>
      <c r="AQG47" s="130"/>
      <c r="AQH47" s="130"/>
      <c r="AQI47" s="130"/>
      <c r="AQJ47" s="130"/>
      <c r="AQK47" s="130"/>
      <c r="AQL47" s="130"/>
      <c r="AQM47" s="130"/>
      <c r="AQN47" s="130"/>
      <c r="AQO47" s="130"/>
      <c r="AQP47" s="130"/>
      <c r="AQQ47" s="130"/>
      <c r="AQR47" s="130"/>
      <c r="AQS47" s="130"/>
      <c r="AQT47" s="130"/>
      <c r="AQU47" s="130"/>
      <c r="AQV47" s="130"/>
      <c r="AQW47" s="130"/>
      <c r="AQX47" s="130"/>
      <c r="AQY47" s="130"/>
      <c r="AQZ47" s="130"/>
      <c r="ARA47" s="130"/>
      <c r="ARB47" s="130"/>
      <c r="ARC47" s="130"/>
      <c r="ARD47" s="130"/>
      <c r="ARE47" s="130"/>
      <c r="ARF47" s="130"/>
      <c r="ARG47" s="130"/>
      <c r="ARH47" s="130"/>
      <c r="ARI47" s="130"/>
      <c r="ARJ47" s="130"/>
      <c r="ARK47" s="130"/>
      <c r="ARL47" s="130"/>
      <c r="ARM47" s="130"/>
      <c r="ARN47" s="130"/>
      <c r="ARO47" s="130"/>
      <c r="ARP47" s="130"/>
      <c r="ARQ47" s="130"/>
      <c r="ARR47" s="130"/>
      <c r="ARS47" s="130"/>
      <c r="ART47" s="130"/>
      <c r="ARU47" s="130"/>
      <c r="ARV47" s="130"/>
      <c r="ARW47" s="130"/>
      <c r="ARX47" s="130"/>
      <c r="ARY47" s="130"/>
      <c r="ARZ47" s="130"/>
      <c r="ASA47" s="130"/>
      <c r="ASB47" s="130"/>
      <c r="ASC47" s="130"/>
      <c r="ASD47" s="130"/>
      <c r="ASE47" s="130"/>
      <c r="ASF47" s="130"/>
      <c r="ASG47" s="130"/>
      <c r="ASH47" s="130"/>
      <c r="ASI47" s="130"/>
      <c r="ASJ47" s="130"/>
      <c r="ASK47" s="130"/>
      <c r="ASL47" s="130"/>
      <c r="ASM47" s="130"/>
      <c r="ASN47" s="130"/>
      <c r="ASO47" s="130"/>
      <c r="ASP47" s="130"/>
      <c r="ASQ47" s="130"/>
      <c r="ASR47" s="130"/>
      <c r="ASS47" s="130"/>
      <c r="AST47" s="130"/>
      <c r="ASU47" s="130"/>
      <c r="ASV47" s="130"/>
      <c r="ASW47" s="130"/>
    </row>
    <row r="48" spans="1:1022 1029:1197" s="129" customFormat="1" outlineLevel="1">
      <c r="A48" s="137" t="s">
        <v>236</v>
      </c>
      <c r="B48" s="139" t="s">
        <v>297</v>
      </c>
      <c r="C48" s="139" t="s">
        <v>298</v>
      </c>
      <c r="D48" s="139" t="s">
        <v>299</v>
      </c>
      <c r="E48" s="137">
        <v>69</v>
      </c>
      <c r="F48" s="138"/>
      <c r="G48" s="136" t="s">
        <v>19</v>
      </c>
      <c r="H48" s="136" t="s">
        <v>366</v>
      </c>
      <c r="I48" s="136" t="s">
        <v>366</v>
      </c>
      <c r="J48" s="136" t="s">
        <v>366</v>
      </c>
      <c r="K48" s="136" t="s">
        <v>13</v>
      </c>
      <c r="L48" s="136" t="s">
        <v>366</v>
      </c>
      <c r="M48" s="136"/>
      <c r="N48" s="136" t="s">
        <v>366</v>
      </c>
      <c r="O48" s="138"/>
      <c r="LK48" s="135"/>
      <c r="LL48" s="135"/>
      <c r="LM48" s="135"/>
      <c r="LN48" s="135"/>
      <c r="LO48" s="135"/>
      <c r="LU48" s="135"/>
      <c r="LV48" s="135"/>
      <c r="LW48" s="135"/>
      <c r="LX48" s="135"/>
      <c r="LY48" s="135"/>
      <c r="LZ48" s="135"/>
      <c r="MA48" s="135"/>
      <c r="MB48" s="135"/>
      <c r="MC48" s="135"/>
      <c r="MD48" s="135"/>
      <c r="ME48" s="135"/>
      <c r="MF48" s="135"/>
      <c r="MG48" s="135"/>
      <c r="MQ48" s="132"/>
      <c r="MR48" s="132"/>
      <c r="MS48" s="132"/>
      <c r="MT48" s="132"/>
      <c r="MU48" s="132"/>
      <c r="MV48" s="132"/>
      <c r="MW48" s="132"/>
      <c r="MX48" s="132"/>
      <c r="MY48" s="132"/>
      <c r="NB48" s="135"/>
      <c r="NC48" s="135"/>
      <c r="ND48" s="135"/>
      <c r="NE48" s="135"/>
      <c r="NF48" s="135"/>
      <c r="NL48" s="132"/>
      <c r="NM48" s="132"/>
      <c r="NN48" s="132"/>
      <c r="NO48" s="132"/>
      <c r="NP48" s="132"/>
      <c r="QN48" s="129" t="s">
        <v>3969</v>
      </c>
      <c r="QR48" s="129" t="s">
        <v>3843</v>
      </c>
      <c r="QS48" s="129" t="s">
        <v>3969</v>
      </c>
      <c r="QV48" s="129" t="s">
        <v>3843</v>
      </c>
      <c r="RQ48" s="134"/>
      <c r="RR48" s="134"/>
      <c r="RS48" s="134"/>
      <c r="RT48" s="134"/>
      <c r="TD48" s="133"/>
      <c r="TE48" s="132"/>
      <c r="TF48" s="132"/>
      <c r="TX48" s="132"/>
      <c r="TY48" s="132"/>
      <c r="TZ48" s="132"/>
      <c r="VF48" s="129" t="s">
        <v>3969</v>
      </c>
      <c r="VL48" s="132"/>
      <c r="VM48" s="132"/>
      <c r="VN48" s="132"/>
      <c r="VO48" s="132"/>
      <c r="VR48" s="131"/>
      <c r="VS48" s="131"/>
      <c r="VT48" s="131"/>
      <c r="VU48" s="131"/>
      <c r="VV48" s="131"/>
      <c r="VW48" s="131"/>
      <c r="VX48" s="131"/>
      <c r="VY48" s="131"/>
      <c r="VZ48" s="131"/>
      <c r="WA48" s="131"/>
      <c r="WB48" s="131"/>
      <c r="WC48" s="131"/>
      <c r="WD48" s="131"/>
      <c r="WE48" s="131"/>
      <c r="WF48" s="131"/>
      <c r="WG48" s="131"/>
      <c r="WH48" s="131"/>
      <c r="WI48" s="131"/>
      <c r="WJ48" s="131"/>
      <c r="WK48" s="131"/>
      <c r="WL48" s="131"/>
      <c r="WM48" s="131"/>
      <c r="WN48" s="131"/>
      <c r="WO48" s="131"/>
      <c r="WP48" s="131"/>
      <c r="WQ48" s="131"/>
      <c r="WR48" s="131"/>
      <c r="WS48" s="131"/>
      <c r="WT48" s="131"/>
      <c r="WU48" s="131"/>
      <c r="WV48" s="131"/>
      <c r="WW48" s="131"/>
      <c r="WX48" s="131"/>
      <c r="WY48" s="131"/>
      <c r="WZ48" s="131"/>
      <c r="XA48" s="131"/>
      <c r="XB48" s="131"/>
      <c r="XC48" s="131"/>
      <c r="XD48" s="131"/>
      <c r="XE48" s="131"/>
      <c r="XF48" s="131"/>
      <c r="XG48" s="131"/>
      <c r="XH48" s="131"/>
      <c r="XI48" s="131"/>
      <c r="XJ48" s="131"/>
      <c r="XK48" s="131"/>
      <c r="XL48" s="131"/>
      <c r="XM48" s="131"/>
      <c r="XN48" s="131"/>
      <c r="XO48" s="131"/>
      <c r="XP48" s="131"/>
      <c r="XQ48" s="131"/>
      <c r="XR48" s="131"/>
      <c r="XS48" s="131"/>
      <c r="XT48" s="131"/>
      <c r="XU48" s="131"/>
      <c r="XV48" s="131"/>
      <c r="XW48" s="131"/>
      <c r="XX48" s="131"/>
      <c r="XY48" s="131"/>
      <c r="XZ48" s="131"/>
      <c r="YA48" s="131"/>
      <c r="YB48" s="131"/>
      <c r="YC48" s="131"/>
      <c r="YD48" s="131"/>
      <c r="YE48" s="131"/>
      <c r="YF48" s="131"/>
      <c r="YG48" s="131"/>
      <c r="YH48" s="131"/>
      <c r="YI48" s="131"/>
      <c r="YJ48" s="131"/>
      <c r="YK48" s="131"/>
      <c r="YL48" s="131"/>
      <c r="YM48" s="131"/>
      <c r="YN48" s="131"/>
      <c r="YO48" s="131"/>
      <c r="YP48" s="131"/>
      <c r="YQ48" s="131"/>
      <c r="YR48" s="131"/>
      <c r="YS48" s="131"/>
      <c r="YT48" s="131"/>
      <c r="YU48" s="131"/>
      <c r="YV48" s="131"/>
      <c r="YW48" s="131"/>
      <c r="YX48" s="131"/>
      <c r="YY48" s="131"/>
      <c r="YZ48" s="131"/>
      <c r="ZA48" s="131"/>
      <c r="ZB48" s="131"/>
      <c r="ZC48" s="131"/>
      <c r="ZD48" s="131"/>
      <c r="ZE48" s="131"/>
      <c r="ZF48" s="131"/>
      <c r="ZG48" s="131"/>
      <c r="ZH48" s="131"/>
      <c r="ZI48" s="131"/>
      <c r="ZJ48" s="131"/>
      <c r="ZK48" s="131"/>
      <c r="ZL48" s="131"/>
      <c r="ZM48" s="131"/>
      <c r="ZN48" s="131"/>
      <c r="ZO48" s="131"/>
      <c r="ZP48" s="131"/>
      <c r="ZQ48" s="131"/>
      <c r="ZR48" s="131"/>
      <c r="ZS48" s="131"/>
      <c r="ZT48" s="131"/>
      <c r="ZU48" s="131"/>
      <c r="ZV48" s="131"/>
      <c r="ZW48" s="131"/>
      <c r="ZX48" s="131"/>
      <c r="ZY48" s="131"/>
      <c r="ZZ48" s="131"/>
      <c r="AAA48" s="131"/>
      <c r="AAB48" s="131"/>
      <c r="AAC48" s="131"/>
      <c r="AAD48" s="131"/>
      <c r="AAE48" s="131"/>
      <c r="AAF48" s="131"/>
      <c r="AAG48" s="131"/>
      <c r="AAH48" s="131"/>
      <c r="AAJ48" s="131"/>
      <c r="AAK48" s="131"/>
      <c r="AAL48" s="131"/>
      <c r="AAM48" s="131"/>
      <c r="AAN48" s="131"/>
      <c r="AAO48" s="131"/>
      <c r="AAP48" s="131"/>
      <c r="AAQ48" s="131"/>
      <c r="AAR48" s="131"/>
      <c r="AAS48" s="131"/>
      <c r="AAT48" s="131"/>
      <c r="AAU48" s="131"/>
      <c r="AAV48" s="131"/>
      <c r="AAW48" s="131"/>
      <c r="AAX48" s="131"/>
      <c r="AAY48" s="131"/>
      <c r="AAZ48" s="131"/>
      <c r="ABA48" s="131"/>
      <c r="ABB48" s="131"/>
      <c r="ABC48" s="131"/>
      <c r="ABD48" s="131"/>
      <c r="ABE48" s="131"/>
      <c r="ABF48" s="131"/>
      <c r="ABG48" s="131"/>
      <c r="ABH48" s="131"/>
      <c r="ABI48" s="131"/>
      <c r="ABJ48" s="131"/>
      <c r="ABK48" s="131"/>
      <c r="ABL48" s="131"/>
      <c r="ABM48" s="131"/>
      <c r="ABN48" s="131"/>
      <c r="ABO48" s="131"/>
      <c r="ABP48" s="131"/>
      <c r="ABQ48" s="131"/>
      <c r="ABR48" s="131"/>
      <c r="ABS48" s="131"/>
      <c r="ABT48" s="131"/>
      <c r="ABU48" s="131"/>
      <c r="ABV48" s="131"/>
      <c r="ABW48" s="131"/>
      <c r="ABX48" s="131"/>
      <c r="ABY48" s="131"/>
      <c r="ABZ48" s="131"/>
      <c r="ACA48" s="131"/>
      <c r="ACB48" s="131"/>
      <c r="ACC48" s="131"/>
      <c r="ACD48" s="131"/>
      <c r="ACE48" s="131"/>
      <c r="ACF48" s="131"/>
      <c r="ACG48" s="131"/>
      <c r="ACH48" s="131"/>
      <c r="ACI48" s="131"/>
      <c r="ACJ48" s="131"/>
      <c r="ACK48" s="131"/>
      <c r="ACL48" s="131"/>
      <c r="ACM48" s="131"/>
      <c r="ACN48" s="131"/>
      <c r="ACO48" s="131"/>
      <c r="ACP48" s="131"/>
      <c r="ACQ48" s="131"/>
      <c r="ACR48" s="131"/>
      <c r="ACS48" s="131"/>
      <c r="ACT48" s="131"/>
      <c r="ACU48" s="131"/>
      <c r="ACV48" s="131"/>
      <c r="ACW48" s="131"/>
      <c r="ACX48" s="131"/>
      <c r="ACY48" s="131"/>
      <c r="ACZ48" s="131"/>
      <c r="ADA48" s="131"/>
      <c r="ADB48" s="131"/>
      <c r="ADC48" s="131"/>
      <c r="ADD48" s="131"/>
      <c r="ADE48" s="131"/>
      <c r="ADF48" s="131"/>
      <c r="ADG48" s="131"/>
      <c r="ADH48" s="131"/>
      <c r="ADI48" s="131"/>
      <c r="ADJ48" s="131"/>
      <c r="ADK48" s="131"/>
      <c r="ADL48" s="131"/>
      <c r="ADM48" s="131"/>
      <c r="ADN48" s="131"/>
      <c r="ADO48" s="131"/>
      <c r="ADP48" s="131"/>
      <c r="ADQ48" s="131"/>
      <c r="ADR48" s="131"/>
      <c r="ADS48" s="131"/>
      <c r="ADT48" s="131"/>
      <c r="ADU48" s="131"/>
      <c r="ADV48" s="131"/>
      <c r="ADW48" s="131"/>
      <c r="ADX48" s="131"/>
      <c r="ADY48" s="131"/>
      <c r="ADZ48" s="131"/>
      <c r="AEA48" s="131"/>
      <c r="AEB48" s="131"/>
      <c r="AEC48" s="131"/>
      <c r="AED48" s="131"/>
      <c r="AEE48" s="131"/>
      <c r="AEF48" s="131"/>
      <c r="AEG48" s="131"/>
      <c r="AEH48" s="131"/>
      <c r="AEI48" s="131"/>
      <c r="AEJ48" s="131"/>
      <c r="AEK48" s="131"/>
      <c r="AEL48" s="131"/>
      <c r="AEM48" s="131"/>
      <c r="AEN48" s="131"/>
      <c r="AEO48" s="131"/>
      <c r="AEP48" s="131"/>
      <c r="AEQ48" s="131"/>
      <c r="AER48" s="131"/>
      <c r="AES48" s="131"/>
      <c r="AET48" s="131"/>
      <c r="AEU48" s="131"/>
      <c r="AEV48" s="131"/>
      <c r="AEW48" s="131"/>
      <c r="AEX48" s="131"/>
      <c r="AEY48" s="131"/>
      <c r="AEZ48" s="131"/>
      <c r="AFA48" s="131"/>
      <c r="AFB48" s="131"/>
      <c r="AFC48" s="131"/>
      <c r="AFD48" s="131"/>
      <c r="AFE48" s="131"/>
      <c r="AFF48" s="131"/>
      <c r="AFG48" s="131"/>
      <c r="AFH48" s="131"/>
      <c r="AFI48" s="131"/>
      <c r="AFJ48" s="131"/>
      <c r="AFK48" s="131"/>
      <c r="APO48" s="130"/>
      <c r="APP48" s="130"/>
      <c r="APQ48" s="130"/>
      <c r="APR48" s="130"/>
      <c r="APS48" s="130"/>
      <c r="APT48" s="130"/>
      <c r="APU48" s="130"/>
      <c r="APV48" s="130"/>
      <c r="APW48" s="130"/>
      <c r="APX48" s="130"/>
      <c r="APY48" s="130"/>
      <c r="APZ48" s="130"/>
      <c r="AQA48" s="130"/>
      <c r="AQB48" s="130"/>
      <c r="AQC48" s="130"/>
      <c r="AQD48" s="130"/>
      <c r="AQE48" s="130"/>
      <c r="AQF48" s="130"/>
      <c r="AQG48" s="130"/>
      <c r="AQH48" s="130"/>
      <c r="AQI48" s="130"/>
      <c r="AQJ48" s="130"/>
      <c r="AQK48" s="130"/>
      <c r="AQL48" s="130"/>
      <c r="AQM48" s="130"/>
      <c r="AQN48" s="130"/>
      <c r="AQO48" s="130"/>
      <c r="AQP48" s="130"/>
      <c r="AQQ48" s="130"/>
      <c r="AQR48" s="130"/>
      <c r="AQS48" s="130"/>
      <c r="AQT48" s="130"/>
      <c r="AQU48" s="130"/>
      <c r="AQV48" s="130"/>
      <c r="AQW48" s="130"/>
      <c r="AQX48" s="130"/>
      <c r="AQY48" s="130"/>
      <c r="AQZ48" s="130"/>
      <c r="ARA48" s="130"/>
      <c r="ARB48" s="130"/>
      <c r="ARC48" s="130"/>
      <c r="ARD48" s="130"/>
      <c r="ARE48" s="130"/>
      <c r="ARF48" s="130"/>
      <c r="ARG48" s="130"/>
      <c r="ARH48" s="130"/>
      <c r="ARI48" s="130"/>
      <c r="ARJ48" s="130"/>
      <c r="ARK48" s="130"/>
      <c r="ARL48" s="130"/>
      <c r="ARM48" s="130"/>
      <c r="ARN48" s="130"/>
      <c r="ARO48" s="130"/>
      <c r="ARP48" s="130"/>
      <c r="ARQ48" s="130"/>
      <c r="ARR48" s="130"/>
      <c r="ARS48" s="130"/>
      <c r="ART48" s="130"/>
      <c r="ARU48" s="130"/>
      <c r="ARV48" s="130"/>
      <c r="ARW48" s="130"/>
      <c r="ARX48" s="130"/>
      <c r="ARY48" s="130"/>
      <c r="ARZ48" s="130"/>
      <c r="ASA48" s="130"/>
      <c r="ASB48" s="130"/>
      <c r="ASC48" s="130"/>
      <c r="ASD48" s="130"/>
      <c r="ASE48" s="130"/>
      <c r="ASF48" s="130"/>
      <c r="ASG48" s="130"/>
      <c r="ASH48" s="130"/>
      <c r="ASI48" s="130"/>
      <c r="ASJ48" s="130"/>
      <c r="ASK48" s="130"/>
      <c r="ASL48" s="130"/>
      <c r="ASM48" s="130"/>
      <c r="ASN48" s="130"/>
      <c r="ASO48" s="130"/>
      <c r="ASP48" s="130"/>
      <c r="ASQ48" s="130"/>
      <c r="ASR48" s="130"/>
      <c r="ASS48" s="130"/>
      <c r="AST48" s="130"/>
      <c r="ASU48" s="130"/>
      <c r="ASV48" s="130"/>
      <c r="ASW48" s="130"/>
    </row>
    <row r="49" spans="1:1296" s="129" customFormat="1" ht="25.5" outlineLevel="1">
      <c r="A49" s="137" t="s">
        <v>236</v>
      </c>
      <c r="B49" s="139" t="s">
        <v>300</v>
      </c>
      <c r="C49" s="139" t="s">
        <v>301</v>
      </c>
      <c r="D49" s="139" t="s">
        <v>302</v>
      </c>
      <c r="E49" s="137">
        <v>70</v>
      </c>
      <c r="F49" s="138"/>
      <c r="G49" s="136" t="s">
        <v>19</v>
      </c>
      <c r="H49" s="136" t="s">
        <v>366</v>
      </c>
      <c r="I49" s="136" t="s">
        <v>366</v>
      </c>
      <c r="J49" s="136" t="s">
        <v>366</v>
      </c>
      <c r="K49" s="136" t="s">
        <v>13</v>
      </c>
      <c r="L49" s="136" t="s">
        <v>366</v>
      </c>
      <c r="M49" s="136"/>
      <c r="N49" s="136" t="s">
        <v>366</v>
      </c>
      <c r="O49" s="138"/>
      <c r="LK49" s="135"/>
      <c r="LL49" s="135"/>
      <c r="LM49" s="135"/>
      <c r="LN49" s="135"/>
      <c r="LO49" s="135"/>
      <c r="LU49" s="135"/>
      <c r="LV49" s="135"/>
      <c r="LW49" s="135"/>
      <c r="LX49" s="135"/>
      <c r="LY49" s="135"/>
      <c r="LZ49" s="135"/>
      <c r="MA49" s="135"/>
      <c r="MB49" s="135"/>
      <c r="MC49" s="135"/>
      <c r="MD49" s="135"/>
      <c r="ME49" s="135"/>
      <c r="MF49" s="135"/>
      <c r="MG49" s="135"/>
      <c r="MQ49" s="132"/>
      <c r="MR49" s="132"/>
      <c r="MS49" s="132"/>
      <c r="MT49" s="132"/>
      <c r="MU49" s="132"/>
      <c r="MV49" s="132"/>
      <c r="MW49" s="132"/>
      <c r="MX49" s="132"/>
      <c r="MY49" s="132"/>
      <c r="NB49" s="135"/>
      <c r="NC49" s="135"/>
      <c r="ND49" s="135"/>
      <c r="NE49" s="135"/>
      <c r="NF49" s="135"/>
      <c r="NL49" s="132"/>
      <c r="NM49" s="132"/>
      <c r="NN49" s="132"/>
      <c r="NO49" s="132"/>
      <c r="NP49" s="132"/>
      <c r="QN49" s="129" t="s">
        <v>3968</v>
      </c>
      <c r="QR49" s="129" t="s">
        <v>3843</v>
      </c>
      <c r="QS49" s="129" t="s">
        <v>3968</v>
      </c>
      <c r="QV49" s="129" t="s">
        <v>3843</v>
      </c>
      <c r="RQ49" s="134"/>
      <c r="RR49" s="134"/>
      <c r="RS49" s="134"/>
      <c r="RT49" s="134"/>
      <c r="TD49" s="133"/>
      <c r="TE49" s="132"/>
      <c r="TF49" s="132"/>
      <c r="TX49" s="132"/>
      <c r="TY49" s="132"/>
      <c r="TZ49" s="132"/>
      <c r="VF49" s="129" t="s">
        <v>3967</v>
      </c>
      <c r="VL49" s="132"/>
      <c r="VM49" s="132"/>
      <c r="VN49" s="132"/>
      <c r="VO49" s="132"/>
      <c r="VR49" s="131"/>
      <c r="VS49" s="131"/>
      <c r="VT49" s="131"/>
      <c r="VU49" s="131"/>
      <c r="VV49" s="131"/>
      <c r="VW49" s="131"/>
      <c r="VX49" s="131"/>
      <c r="VY49" s="131"/>
      <c r="VZ49" s="131"/>
      <c r="WA49" s="131"/>
      <c r="WB49" s="131"/>
      <c r="WC49" s="131"/>
      <c r="WD49" s="131"/>
      <c r="WE49" s="131"/>
      <c r="WF49" s="131"/>
      <c r="WG49" s="131"/>
      <c r="WH49" s="131"/>
      <c r="WI49" s="131"/>
      <c r="WJ49" s="131"/>
      <c r="WK49" s="131"/>
      <c r="WL49" s="131"/>
      <c r="WM49" s="131"/>
      <c r="WN49" s="131"/>
      <c r="WO49" s="131"/>
      <c r="WP49" s="131"/>
      <c r="WQ49" s="131"/>
      <c r="WR49" s="131"/>
      <c r="WS49" s="131"/>
      <c r="WT49" s="131"/>
      <c r="WU49" s="131"/>
      <c r="WV49" s="131"/>
      <c r="WW49" s="131"/>
      <c r="WX49" s="131"/>
      <c r="WY49" s="131"/>
      <c r="WZ49" s="131"/>
      <c r="XA49" s="131"/>
      <c r="XB49" s="131"/>
      <c r="XC49" s="131"/>
      <c r="XD49" s="131"/>
      <c r="XE49" s="131"/>
      <c r="XF49" s="131"/>
      <c r="XG49" s="131"/>
      <c r="XH49" s="131"/>
      <c r="XI49" s="131"/>
      <c r="XJ49" s="131"/>
      <c r="XK49" s="131"/>
      <c r="XL49" s="131"/>
      <c r="XM49" s="131"/>
      <c r="XN49" s="131"/>
      <c r="XO49" s="131"/>
      <c r="XP49" s="131"/>
      <c r="XQ49" s="131"/>
      <c r="XR49" s="131"/>
      <c r="XS49" s="131"/>
      <c r="XT49" s="131"/>
      <c r="XU49" s="131"/>
      <c r="XV49" s="131"/>
      <c r="XW49" s="131"/>
      <c r="XX49" s="131"/>
      <c r="XY49" s="131"/>
      <c r="XZ49" s="131"/>
      <c r="YA49" s="131"/>
      <c r="YB49" s="131"/>
      <c r="YC49" s="131"/>
      <c r="YD49" s="131"/>
      <c r="YE49" s="131"/>
      <c r="YF49" s="131"/>
      <c r="YG49" s="131"/>
      <c r="YH49" s="131"/>
      <c r="YI49" s="131"/>
      <c r="YJ49" s="131"/>
      <c r="YK49" s="131"/>
      <c r="YL49" s="131"/>
      <c r="YM49" s="131"/>
      <c r="YN49" s="131"/>
      <c r="YO49" s="131"/>
      <c r="YP49" s="131"/>
      <c r="YQ49" s="131"/>
      <c r="YR49" s="131"/>
      <c r="YS49" s="131"/>
      <c r="YT49" s="131"/>
      <c r="YU49" s="131"/>
      <c r="YV49" s="131"/>
      <c r="YW49" s="131"/>
      <c r="YX49" s="131"/>
      <c r="YY49" s="131"/>
      <c r="YZ49" s="131"/>
      <c r="ZA49" s="131"/>
      <c r="ZB49" s="131"/>
      <c r="ZC49" s="131"/>
      <c r="ZD49" s="131"/>
      <c r="ZE49" s="131"/>
      <c r="ZF49" s="131"/>
      <c r="ZG49" s="131"/>
      <c r="ZH49" s="131"/>
      <c r="ZI49" s="131"/>
      <c r="ZJ49" s="131"/>
      <c r="ZK49" s="131"/>
      <c r="ZL49" s="131"/>
      <c r="ZM49" s="131"/>
      <c r="ZN49" s="131"/>
      <c r="ZO49" s="131"/>
      <c r="ZP49" s="131"/>
      <c r="ZQ49" s="131"/>
      <c r="ZR49" s="131"/>
      <c r="ZS49" s="131"/>
      <c r="ZT49" s="131"/>
      <c r="ZU49" s="131"/>
      <c r="ZV49" s="131"/>
      <c r="ZW49" s="131"/>
      <c r="ZX49" s="131"/>
      <c r="ZY49" s="131"/>
      <c r="ZZ49" s="131"/>
      <c r="AAA49" s="131"/>
      <c r="AAB49" s="131"/>
      <c r="AAC49" s="131"/>
      <c r="AAD49" s="131"/>
      <c r="AAE49" s="131"/>
      <c r="AAF49" s="131"/>
      <c r="AAG49" s="131"/>
      <c r="AAH49" s="131"/>
      <c r="AAJ49" s="131"/>
      <c r="AAK49" s="131"/>
      <c r="AAL49" s="131"/>
      <c r="AAM49" s="131"/>
      <c r="AAN49" s="131"/>
      <c r="AAO49" s="131"/>
      <c r="AAP49" s="131"/>
      <c r="AAQ49" s="131"/>
      <c r="AAR49" s="131"/>
      <c r="AAS49" s="131"/>
      <c r="AAT49" s="131"/>
      <c r="AAU49" s="131"/>
      <c r="AAV49" s="131"/>
      <c r="AAW49" s="131"/>
      <c r="AAX49" s="131"/>
      <c r="AAY49" s="131"/>
      <c r="AAZ49" s="131"/>
      <c r="ABA49" s="131"/>
      <c r="ABB49" s="131"/>
      <c r="ABC49" s="131"/>
      <c r="ABD49" s="131"/>
      <c r="ABE49" s="131"/>
      <c r="ABF49" s="131"/>
      <c r="ABG49" s="131"/>
      <c r="ABH49" s="131"/>
      <c r="ABI49" s="131"/>
      <c r="ABJ49" s="131"/>
      <c r="ABK49" s="131"/>
      <c r="ABL49" s="131"/>
      <c r="ABM49" s="131"/>
      <c r="ABN49" s="131"/>
      <c r="ABO49" s="131"/>
      <c r="ABP49" s="131"/>
      <c r="ABQ49" s="131"/>
      <c r="ABR49" s="131"/>
      <c r="ABS49" s="131"/>
      <c r="ABT49" s="131"/>
      <c r="ABU49" s="131"/>
      <c r="ABV49" s="131"/>
      <c r="ABW49" s="131"/>
      <c r="ABX49" s="131"/>
      <c r="ABY49" s="131"/>
      <c r="ABZ49" s="131"/>
      <c r="ACA49" s="131"/>
      <c r="ACB49" s="131"/>
      <c r="ACC49" s="131"/>
      <c r="ACD49" s="131"/>
      <c r="ACE49" s="131"/>
      <c r="ACF49" s="131"/>
      <c r="ACG49" s="131"/>
      <c r="ACH49" s="131"/>
      <c r="ACI49" s="131"/>
      <c r="ACJ49" s="131"/>
      <c r="ACK49" s="131"/>
      <c r="ACL49" s="131"/>
      <c r="ACM49" s="131"/>
      <c r="ACN49" s="131"/>
      <c r="ACO49" s="131"/>
      <c r="ACP49" s="131"/>
      <c r="ACQ49" s="131"/>
      <c r="ACR49" s="131"/>
      <c r="ACS49" s="131"/>
      <c r="ACT49" s="131"/>
      <c r="ACU49" s="131"/>
      <c r="ACV49" s="131"/>
      <c r="ACW49" s="131"/>
      <c r="ACX49" s="131"/>
      <c r="ACY49" s="131"/>
      <c r="ACZ49" s="131"/>
      <c r="ADA49" s="131"/>
      <c r="ADB49" s="131"/>
      <c r="ADC49" s="131"/>
      <c r="ADD49" s="131"/>
      <c r="ADE49" s="131"/>
      <c r="ADF49" s="131"/>
      <c r="ADG49" s="131"/>
      <c r="ADH49" s="131"/>
      <c r="ADI49" s="131"/>
      <c r="ADJ49" s="131"/>
      <c r="ADK49" s="131"/>
      <c r="ADL49" s="131"/>
      <c r="ADM49" s="131"/>
      <c r="ADN49" s="131"/>
      <c r="ADO49" s="131"/>
      <c r="ADP49" s="131"/>
      <c r="ADQ49" s="131"/>
      <c r="ADR49" s="131"/>
      <c r="ADS49" s="131"/>
      <c r="ADT49" s="131"/>
      <c r="ADU49" s="131"/>
      <c r="ADV49" s="131"/>
      <c r="ADW49" s="131"/>
      <c r="ADX49" s="131"/>
      <c r="ADY49" s="131"/>
      <c r="ADZ49" s="131"/>
      <c r="AEA49" s="131"/>
      <c r="AEB49" s="131"/>
      <c r="AEC49" s="131"/>
      <c r="AED49" s="131"/>
      <c r="AEE49" s="131"/>
      <c r="AEF49" s="131"/>
      <c r="AEG49" s="131"/>
      <c r="AEH49" s="131"/>
      <c r="AEI49" s="131"/>
      <c r="AEJ49" s="131"/>
      <c r="AEK49" s="131"/>
      <c r="AEL49" s="131"/>
      <c r="AEM49" s="131"/>
      <c r="AEN49" s="131"/>
      <c r="AEO49" s="131"/>
      <c r="AEP49" s="131"/>
      <c r="AEQ49" s="131"/>
      <c r="AER49" s="131"/>
      <c r="AES49" s="131"/>
      <c r="AET49" s="131"/>
      <c r="AEU49" s="131"/>
      <c r="AEV49" s="131"/>
      <c r="AEW49" s="131"/>
      <c r="AEX49" s="131"/>
      <c r="AEY49" s="131"/>
      <c r="AEZ49" s="131"/>
      <c r="AFA49" s="131"/>
      <c r="AFB49" s="131"/>
      <c r="AFC49" s="131"/>
      <c r="AFD49" s="131"/>
      <c r="AFE49" s="131"/>
      <c r="AFF49" s="131"/>
      <c r="AFG49" s="131"/>
      <c r="AFH49" s="131"/>
      <c r="AFI49" s="131"/>
      <c r="AFJ49" s="131"/>
      <c r="AFK49" s="131"/>
      <c r="APO49" s="130"/>
      <c r="APP49" s="130"/>
      <c r="APQ49" s="130"/>
      <c r="APR49" s="130"/>
      <c r="APS49" s="130"/>
      <c r="APT49" s="130"/>
      <c r="APU49" s="130"/>
      <c r="APV49" s="130"/>
      <c r="APW49" s="130"/>
      <c r="APX49" s="130"/>
      <c r="APY49" s="130"/>
      <c r="APZ49" s="130"/>
      <c r="AQA49" s="130"/>
      <c r="AQB49" s="130"/>
      <c r="AQC49" s="130"/>
      <c r="AQD49" s="130"/>
      <c r="AQE49" s="130"/>
      <c r="AQF49" s="130"/>
      <c r="AQG49" s="130"/>
      <c r="AQH49" s="130"/>
      <c r="AQI49" s="130"/>
      <c r="AQJ49" s="130"/>
      <c r="AQK49" s="130"/>
      <c r="AQL49" s="130"/>
      <c r="AQM49" s="130"/>
      <c r="AQN49" s="130"/>
      <c r="AQO49" s="130"/>
      <c r="AQP49" s="130"/>
      <c r="AQQ49" s="130"/>
      <c r="AQR49" s="130"/>
      <c r="AQS49" s="130"/>
      <c r="AQT49" s="130"/>
      <c r="AQU49" s="130"/>
      <c r="AQV49" s="130"/>
      <c r="AQW49" s="130"/>
      <c r="AQX49" s="130"/>
      <c r="AQY49" s="130"/>
      <c r="AQZ49" s="130"/>
      <c r="ARA49" s="130"/>
      <c r="ARB49" s="130"/>
      <c r="ARC49" s="130"/>
      <c r="ARD49" s="130"/>
      <c r="ARE49" s="130"/>
      <c r="ARF49" s="130"/>
      <c r="ARG49" s="130"/>
      <c r="ARH49" s="130"/>
      <c r="ARI49" s="130"/>
      <c r="ARJ49" s="130"/>
      <c r="ARK49" s="130"/>
      <c r="ARL49" s="130"/>
      <c r="ARM49" s="130"/>
      <c r="ARN49" s="130"/>
      <c r="ARO49" s="130"/>
      <c r="ARP49" s="130"/>
      <c r="ARQ49" s="130"/>
      <c r="ARR49" s="130"/>
      <c r="ARS49" s="130"/>
      <c r="ART49" s="130"/>
      <c r="ARU49" s="130"/>
      <c r="ARV49" s="130"/>
      <c r="ARW49" s="130"/>
      <c r="ARX49" s="130"/>
      <c r="ARY49" s="130"/>
      <c r="ARZ49" s="130"/>
      <c r="ASA49" s="130"/>
      <c r="ASB49" s="130"/>
      <c r="ASC49" s="130"/>
      <c r="ASD49" s="130"/>
      <c r="ASE49" s="130"/>
      <c r="ASF49" s="130"/>
      <c r="ASG49" s="130"/>
      <c r="ASH49" s="130"/>
      <c r="ASI49" s="130"/>
      <c r="ASJ49" s="130"/>
      <c r="ASK49" s="130"/>
      <c r="ASL49" s="130"/>
      <c r="ASM49" s="130"/>
      <c r="ASN49" s="130"/>
      <c r="ASO49" s="130"/>
      <c r="ASP49" s="130"/>
      <c r="ASQ49" s="130"/>
      <c r="ASR49" s="130"/>
      <c r="ASS49" s="130"/>
      <c r="AST49" s="130"/>
      <c r="ASU49" s="130"/>
      <c r="ASV49" s="130"/>
      <c r="ASW49" s="130"/>
    </row>
    <row r="50" spans="1:1296" s="129" customFormat="1" ht="25.5" outlineLevel="1">
      <c r="A50" s="137" t="s">
        <v>236</v>
      </c>
      <c r="B50" s="139" t="s">
        <v>303</v>
      </c>
      <c r="C50" s="139" t="s">
        <v>304</v>
      </c>
      <c r="D50" s="139" t="s">
        <v>305</v>
      </c>
      <c r="E50" s="137">
        <v>71</v>
      </c>
      <c r="F50" s="138"/>
      <c r="G50" s="136" t="s">
        <v>19</v>
      </c>
      <c r="H50" s="136" t="s">
        <v>366</v>
      </c>
      <c r="I50" s="136" t="s">
        <v>366</v>
      </c>
      <c r="J50" s="136" t="s">
        <v>366</v>
      </c>
      <c r="K50" s="136" t="s">
        <v>13</v>
      </c>
      <c r="L50" s="136" t="s">
        <v>366</v>
      </c>
      <c r="M50" s="136"/>
      <c r="N50" s="136" t="s">
        <v>366</v>
      </c>
      <c r="O50" s="138"/>
      <c r="LK50" s="135"/>
      <c r="LL50" s="135"/>
      <c r="LM50" s="135"/>
      <c r="LN50" s="135"/>
      <c r="LO50" s="135"/>
      <c r="LU50" s="135"/>
      <c r="LV50" s="135"/>
      <c r="LW50" s="135"/>
      <c r="LX50" s="135"/>
      <c r="LY50" s="135"/>
      <c r="LZ50" s="135"/>
      <c r="MA50" s="135"/>
      <c r="MB50" s="135"/>
      <c r="MC50" s="135"/>
      <c r="MD50" s="135"/>
      <c r="ME50" s="135"/>
      <c r="MF50" s="135"/>
      <c r="MG50" s="135"/>
      <c r="MQ50" s="132"/>
      <c r="MR50" s="132"/>
      <c r="MS50" s="132"/>
      <c r="MT50" s="132"/>
      <c r="MU50" s="132"/>
      <c r="MV50" s="132"/>
      <c r="MW50" s="132"/>
      <c r="MX50" s="132"/>
      <c r="MY50" s="132"/>
      <c r="NB50" s="135"/>
      <c r="NC50" s="135"/>
      <c r="ND50" s="135"/>
      <c r="NE50" s="135"/>
      <c r="NF50" s="135"/>
      <c r="NL50" s="132"/>
      <c r="NM50" s="132"/>
      <c r="NN50" s="132"/>
      <c r="NO50" s="132"/>
      <c r="NP50" s="132"/>
      <c r="QN50" s="129" t="s">
        <v>3966</v>
      </c>
      <c r="QR50" s="129" t="s">
        <v>3843</v>
      </c>
      <c r="QS50" s="129" t="s">
        <v>3966</v>
      </c>
      <c r="QV50" s="129" t="s">
        <v>3843</v>
      </c>
      <c r="RQ50" s="134"/>
      <c r="RR50" s="134"/>
      <c r="RS50" s="134"/>
      <c r="RT50" s="134"/>
      <c r="TD50" s="133"/>
      <c r="TE50" s="132"/>
      <c r="TF50" s="132"/>
      <c r="TX50" s="132"/>
      <c r="TY50" s="132"/>
      <c r="TZ50" s="132"/>
      <c r="VF50" s="129" t="s">
        <v>3965</v>
      </c>
      <c r="VL50" s="132"/>
      <c r="VM50" s="132"/>
      <c r="VN50" s="132"/>
      <c r="VO50" s="132"/>
      <c r="VR50" s="131"/>
      <c r="VS50" s="131"/>
      <c r="VT50" s="131"/>
      <c r="VU50" s="131"/>
      <c r="VV50" s="131"/>
      <c r="VW50" s="131"/>
      <c r="VX50" s="131"/>
      <c r="VY50" s="131"/>
      <c r="VZ50" s="131"/>
      <c r="WA50" s="131"/>
      <c r="WB50" s="131"/>
      <c r="WC50" s="131"/>
      <c r="WD50" s="131"/>
      <c r="WE50" s="131"/>
      <c r="WF50" s="131"/>
      <c r="WG50" s="131"/>
      <c r="WH50" s="131"/>
      <c r="WI50" s="131"/>
      <c r="WJ50" s="131"/>
      <c r="WK50" s="131"/>
      <c r="WL50" s="131"/>
      <c r="WM50" s="131"/>
      <c r="WN50" s="131"/>
      <c r="WO50" s="131"/>
      <c r="WP50" s="131"/>
      <c r="WQ50" s="131"/>
      <c r="WR50" s="131"/>
      <c r="WS50" s="131"/>
      <c r="WT50" s="131"/>
      <c r="WU50" s="131"/>
      <c r="WV50" s="131"/>
      <c r="WW50" s="131"/>
      <c r="WX50" s="131"/>
      <c r="WY50" s="131"/>
      <c r="WZ50" s="131"/>
      <c r="XA50" s="131"/>
      <c r="XB50" s="131"/>
      <c r="XC50" s="131"/>
      <c r="XD50" s="131"/>
      <c r="XE50" s="131"/>
      <c r="XF50" s="131"/>
      <c r="XG50" s="131"/>
      <c r="XH50" s="131"/>
      <c r="XI50" s="131"/>
      <c r="XJ50" s="131"/>
      <c r="XK50" s="131"/>
      <c r="XL50" s="131"/>
      <c r="XM50" s="131"/>
      <c r="XN50" s="131"/>
      <c r="XO50" s="131"/>
      <c r="XP50" s="131"/>
      <c r="XQ50" s="131"/>
      <c r="XR50" s="131"/>
      <c r="XS50" s="131"/>
      <c r="XT50" s="131"/>
      <c r="XU50" s="131"/>
      <c r="XV50" s="131"/>
      <c r="XW50" s="131"/>
      <c r="XX50" s="131"/>
      <c r="XY50" s="131"/>
      <c r="XZ50" s="131"/>
      <c r="YA50" s="131"/>
      <c r="YB50" s="131"/>
      <c r="YC50" s="131"/>
      <c r="YD50" s="131"/>
      <c r="YE50" s="131"/>
      <c r="YF50" s="131"/>
      <c r="YG50" s="131"/>
      <c r="YH50" s="131"/>
      <c r="YI50" s="131"/>
      <c r="YJ50" s="131"/>
      <c r="YK50" s="131"/>
      <c r="YL50" s="131"/>
      <c r="YM50" s="131"/>
      <c r="YN50" s="131"/>
      <c r="YO50" s="131"/>
      <c r="YP50" s="131"/>
      <c r="YQ50" s="131"/>
      <c r="YR50" s="131"/>
      <c r="YS50" s="131"/>
      <c r="YT50" s="131"/>
      <c r="YU50" s="131"/>
      <c r="YV50" s="131"/>
      <c r="YW50" s="131"/>
      <c r="YX50" s="131"/>
      <c r="YY50" s="131"/>
      <c r="YZ50" s="131"/>
      <c r="ZA50" s="131"/>
      <c r="ZB50" s="131"/>
      <c r="ZC50" s="131"/>
      <c r="ZD50" s="131"/>
      <c r="ZE50" s="131"/>
      <c r="ZF50" s="131"/>
      <c r="ZG50" s="131"/>
      <c r="ZH50" s="131"/>
      <c r="ZI50" s="131"/>
      <c r="ZJ50" s="131"/>
      <c r="ZK50" s="131"/>
      <c r="ZL50" s="131"/>
      <c r="ZM50" s="131"/>
      <c r="ZN50" s="131"/>
      <c r="ZO50" s="131"/>
      <c r="ZP50" s="131"/>
      <c r="ZQ50" s="131"/>
      <c r="ZR50" s="131"/>
      <c r="ZS50" s="131"/>
      <c r="ZT50" s="131"/>
      <c r="ZU50" s="131"/>
      <c r="ZV50" s="131"/>
      <c r="ZW50" s="131"/>
      <c r="ZX50" s="131"/>
      <c r="ZY50" s="131"/>
      <c r="ZZ50" s="131"/>
      <c r="AAA50" s="131"/>
      <c r="AAB50" s="131"/>
      <c r="AAC50" s="131"/>
      <c r="AAD50" s="131"/>
      <c r="AAE50" s="131"/>
      <c r="AAF50" s="131"/>
      <c r="AAG50" s="131"/>
      <c r="AAH50" s="131"/>
      <c r="AAJ50" s="131"/>
      <c r="AAK50" s="131"/>
      <c r="AAL50" s="131"/>
      <c r="AAM50" s="131"/>
      <c r="AAN50" s="131"/>
      <c r="AAO50" s="131"/>
      <c r="AAP50" s="131"/>
      <c r="AAQ50" s="131"/>
      <c r="AAR50" s="131"/>
      <c r="AAS50" s="131"/>
      <c r="AAT50" s="131"/>
      <c r="AAU50" s="131"/>
      <c r="AAV50" s="131"/>
      <c r="AAW50" s="131"/>
      <c r="AAX50" s="131"/>
      <c r="AAY50" s="131"/>
      <c r="AAZ50" s="131"/>
      <c r="ABA50" s="131"/>
      <c r="ABB50" s="131"/>
      <c r="ABC50" s="131"/>
      <c r="ABD50" s="131"/>
      <c r="ABE50" s="131"/>
      <c r="ABF50" s="131"/>
      <c r="ABG50" s="131"/>
      <c r="ABH50" s="131"/>
      <c r="ABI50" s="131"/>
      <c r="ABJ50" s="131"/>
      <c r="ABK50" s="131"/>
      <c r="ABL50" s="131"/>
      <c r="ABM50" s="131"/>
      <c r="ABN50" s="131"/>
      <c r="ABO50" s="131"/>
      <c r="ABP50" s="131"/>
      <c r="ABQ50" s="131"/>
      <c r="ABR50" s="131"/>
      <c r="ABS50" s="131"/>
      <c r="ABT50" s="131"/>
      <c r="ABU50" s="131"/>
      <c r="ABV50" s="131"/>
      <c r="ABW50" s="131"/>
      <c r="ABX50" s="131"/>
      <c r="ABY50" s="131"/>
      <c r="ABZ50" s="131"/>
      <c r="ACA50" s="131"/>
      <c r="ACB50" s="131"/>
      <c r="ACC50" s="131"/>
      <c r="ACD50" s="131"/>
      <c r="ACE50" s="131"/>
      <c r="ACF50" s="131"/>
      <c r="ACG50" s="131"/>
      <c r="ACH50" s="131"/>
      <c r="ACI50" s="131"/>
      <c r="ACJ50" s="131"/>
      <c r="ACK50" s="131"/>
      <c r="ACL50" s="131"/>
      <c r="ACM50" s="131"/>
      <c r="ACN50" s="131"/>
      <c r="ACO50" s="131"/>
      <c r="ACP50" s="131"/>
      <c r="ACQ50" s="131"/>
      <c r="ACR50" s="131"/>
      <c r="ACS50" s="131"/>
      <c r="ACT50" s="131"/>
      <c r="ACU50" s="131"/>
      <c r="ACV50" s="131"/>
      <c r="ACW50" s="131"/>
      <c r="ACX50" s="131"/>
      <c r="ACY50" s="131"/>
      <c r="ACZ50" s="131"/>
      <c r="ADA50" s="131"/>
      <c r="ADB50" s="131"/>
      <c r="ADC50" s="131"/>
      <c r="ADD50" s="131"/>
      <c r="ADE50" s="131"/>
      <c r="ADF50" s="131"/>
      <c r="ADG50" s="131"/>
      <c r="ADH50" s="131"/>
      <c r="ADI50" s="131"/>
      <c r="ADJ50" s="131"/>
      <c r="ADK50" s="131"/>
      <c r="ADL50" s="131"/>
      <c r="ADM50" s="131"/>
      <c r="ADN50" s="131"/>
      <c r="ADO50" s="131"/>
      <c r="ADP50" s="131"/>
      <c r="ADQ50" s="131"/>
      <c r="ADR50" s="131"/>
      <c r="ADS50" s="131"/>
      <c r="ADT50" s="131"/>
      <c r="ADU50" s="131"/>
      <c r="ADV50" s="131"/>
      <c r="ADW50" s="131"/>
      <c r="ADX50" s="131"/>
      <c r="ADY50" s="131"/>
      <c r="ADZ50" s="131"/>
      <c r="AEA50" s="131"/>
      <c r="AEB50" s="131"/>
      <c r="AEC50" s="131"/>
      <c r="AED50" s="131"/>
      <c r="AEE50" s="131"/>
      <c r="AEF50" s="131"/>
      <c r="AEG50" s="131"/>
      <c r="AEH50" s="131"/>
      <c r="AEI50" s="131"/>
      <c r="AEJ50" s="131"/>
      <c r="AEK50" s="131"/>
      <c r="AEL50" s="131"/>
      <c r="AEM50" s="131"/>
      <c r="AEN50" s="131"/>
      <c r="AEO50" s="131"/>
      <c r="AEP50" s="131"/>
      <c r="AEQ50" s="131"/>
      <c r="AER50" s="131"/>
      <c r="AES50" s="131"/>
      <c r="AET50" s="131"/>
      <c r="AEU50" s="131"/>
      <c r="AEV50" s="131"/>
      <c r="AEW50" s="131"/>
      <c r="AEX50" s="131"/>
      <c r="AEY50" s="131"/>
      <c r="AEZ50" s="131"/>
      <c r="AFA50" s="131"/>
      <c r="AFB50" s="131"/>
      <c r="AFC50" s="131"/>
      <c r="AFD50" s="131"/>
      <c r="AFE50" s="131"/>
      <c r="AFF50" s="131"/>
      <c r="AFG50" s="131"/>
      <c r="AFH50" s="131"/>
      <c r="AFI50" s="131"/>
      <c r="AFJ50" s="131"/>
      <c r="AFK50" s="131"/>
      <c r="APO50" s="130"/>
      <c r="APP50" s="130"/>
      <c r="APQ50" s="130"/>
      <c r="APR50" s="130"/>
      <c r="APS50" s="130"/>
      <c r="APT50" s="130"/>
      <c r="APU50" s="130"/>
      <c r="APV50" s="130"/>
      <c r="APW50" s="130"/>
      <c r="APX50" s="130"/>
      <c r="APY50" s="130"/>
      <c r="APZ50" s="130"/>
      <c r="AQA50" s="130"/>
      <c r="AQB50" s="130"/>
      <c r="AQC50" s="130"/>
      <c r="AQD50" s="130"/>
      <c r="AQE50" s="130"/>
      <c r="AQF50" s="130"/>
      <c r="AQG50" s="130"/>
      <c r="AQH50" s="130"/>
      <c r="AQI50" s="130"/>
      <c r="AQJ50" s="130"/>
      <c r="AQK50" s="130"/>
      <c r="AQL50" s="130"/>
      <c r="AQM50" s="130"/>
      <c r="AQN50" s="130"/>
      <c r="AQO50" s="130"/>
      <c r="AQP50" s="130"/>
      <c r="AQQ50" s="130"/>
      <c r="AQR50" s="130"/>
      <c r="AQS50" s="130"/>
      <c r="AQT50" s="130"/>
      <c r="AQU50" s="130"/>
      <c r="AQV50" s="130"/>
      <c r="AQW50" s="130"/>
      <c r="AQX50" s="130"/>
      <c r="AQY50" s="130"/>
      <c r="AQZ50" s="130"/>
      <c r="ARA50" s="130"/>
      <c r="ARB50" s="130"/>
      <c r="ARC50" s="130"/>
      <c r="ARD50" s="130"/>
      <c r="ARE50" s="130"/>
      <c r="ARF50" s="130"/>
      <c r="ARG50" s="130"/>
      <c r="ARH50" s="130"/>
      <c r="ARI50" s="130"/>
      <c r="ARJ50" s="130"/>
      <c r="ARK50" s="130"/>
      <c r="ARL50" s="130"/>
      <c r="ARM50" s="130"/>
      <c r="ARN50" s="130"/>
      <c r="ARO50" s="130"/>
      <c r="ARP50" s="130"/>
      <c r="ARQ50" s="130"/>
      <c r="ARR50" s="130"/>
      <c r="ARS50" s="130"/>
      <c r="ART50" s="130"/>
      <c r="ARU50" s="130"/>
      <c r="ARV50" s="130"/>
      <c r="ARW50" s="130"/>
      <c r="ARX50" s="130"/>
      <c r="ARY50" s="130"/>
      <c r="ARZ50" s="130"/>
      <c r="ASA50" s="130"/>
      <c r="ASB50" s="130"/>
      <c r="ASC50" s="130"/>
      <c r="ASD50" s="130"/>
      <c r="ASE50" s="130"/>
      <c r="ASF50" s="130"/>
      <c r="ASG50" s="130"/>
      <c r="ASH50" s="130"/>
      <c r="ASI50" s="130"/>
      <c r="ASJ50" s="130"/>
      <c r="ASK50" s="130"/>
      <c r="ASL50" s="130"/>
      <c r="ASM50" s="130"/>
      <c r="ASN50" s="130"/>
      <c r="ASO50" s="130"/>
      <c r="ASP50" s="130"/>
      <c r="ASQ50" s="130"/>
      <c r="ASR50" s="130"/>
      <c r="ASS50" s="130"/>
      <c r="AST50" s="130"/>
      <c r="ASU50" s="130"/>
      <c r="ASV50" s="130"/>
      <c r="ASW50" s="130"/>
    </row>
    <row r="51" spans="1:1296" s="129" customFormat="1" ht="38.25" outlineLevel="1">
      <c r="A51" s="137" t="s">
        <v>236</v>
      </c>
      <c r="B51" s="139" t="s">
        <v>306</v>
      </c>
      <c r="C51" s="139" t="s">
        <v>307</v>
      </c>
      <c r="D51" s="139" t="s">
        <v>308</v>
      </c>
      <c r="E51" s="137">
        <v>72</v>
      </c>
      <c r="F51" s="138"/>
      <c r="G51" s="136" t="s">
        <v>19</v>
      </c>
      <c r="H51" s="136" t="s">
        <v>366</v>
      </c>
      <c r="I51" s="136" t="s">
        <v>366</v>
      </c>
      <c r="J51" s="136" t="s">
        <v>366</v>
      </c>
      <c r="K51" s="136" t="s">
        <v>13</v>
      </c>
      <c r="L51" s="136" t="s">
        <v>366</v>
      </c>
      <c r="M51" s="136"/>
      <c r="N51" s="136" t="s">
        <v>13</v>
      </c>
      <c r="O51" s="138"/>
      <c r="LK51" s="135"/>
      <c r="LL51" s="135"/>
      <c r="LM51" s="135"/>
      <c r="LN51" s="135"/>
      <c r="LO51" s="135"/>
      <c r="LU51" s="135"/>
      <c r="LV51" s="135"/>
      <c r="LW51" s="135"/>
      <c r="LX51" s="135"/>
      <c r="LY51" s="135"/>
      <c r="LZ51" s="135"/>
      <c r="MA51" s="135"/>
      <c r="MB51" s="135"/>
      <c r="MC51" s="135"/>
      <c r="MD51" s="135"/>
      <c r="ME51" s="135"/>
      <c r="MF51" s="135"/>
      <c r="MG51" s="135"/>
      <c r="MQ51" s="132"/>
      <c r="MR51" s="132"/>
      <c r="MS51" s="132"/>
      <c r="MT51" s="132"/>
      <c r="MU51" s="132"/>
      <c r="MV51" s="132"/>
      <c r="MW51" s="132"/>
      <c r="MX51" s="132"/>
      <c r="MY51" s="132"/>
      <c r="NB51" s="135"/>
      <c r="NC51" s="135"/>
      <c r="ND51" s="135"/>
      <c r="NE51" s="135"/>
      <c r="NF51" s="135"/>
      <c r="NL51" s="132"/>
      <c r="NM51" s="132"/>
      <c r="NN51" s="132"/>
      <c r="NO51" s="132"/>
      <c r="NP51" s="132"/>
      <c r="OZ51" s="129" t="s">
        <v>3955</v>
      </c>
      <c r="PA51" s="129" t="s">
        <v>3955</v>
      </c>
      <c r="PB51" s="129" t="s">
        <v>3843</v>
      </c>
      <c r="PC51" s="129" t="s">
        <v>3955</v>
      </c>
      <c r="PD51" s="129" t="s">
        <v>3955</v>
      </c>
      <c r="PE51" s="128" t="s">
        <v>3959</v>
      </c>
      <c r="PF51" s="129" t="s">
        <v>3843</v>
      </c>
      <c r="PM51" s="129" t="s">
        <v>3955</v>
      </c>
      <c r="PN51" s="129" t="s">
        <v>3955</v>
      </c>
      <c r="PO51" s="129" t="s">
        <v>3955</v>
      </c>
      <c r="PP51" s="128" t="s">
        <v>3959</v>
      </c>
      <c r="PQ51" s="129" t="s">
        <v>3843</v>
      </c>
      <c r="QI51" s="129" t="s">
        <v>3955</v>
      </c>
      <c r="QJ51" s="128" t="s">
        <v>3964</v>
      </c>
      <c r="QK51" s="156" t="s">
        <v>3843</v>
      </c>
      <c r="QO51" s="128" t="s">
        <v>3959</v>
      </c>
      <c r="QP51" s="128" t="s">
        <v>3963</v>
      </c>
      <c r="QQ51" s="128" t="s">
        <v>3963</v>
      </c>
      <c r="QR51" s="129" t="s">
        <v>3843</v>
      </c>
      <c r="QT51" s="128" t="s">
        <v>3959</v>
      </c>
      <c r="QU51" s="128" t="s">
        <v>3963</v>
      </c>
      <c r="QV51" s="129" t="s">
        <v>3843</v>
      </c>
      <c r="RQ51" s="134"/>
      <c r="RR51" s="134"/>
      <c r="RS51" s="134"/>
      <c r="RT51" s="134"/>
      <c r="TD51" s="133"/>
      <c r="TE51" s="132"/>
      <c r="TF51" s="132"/>
      <c r="TT51" s="129" t="s">
        <v>3955</v>
      </c>
      <c r="TU51" s="129" t="s">
        <v>3955</v>
      </c>
      <c r="TV51" s="128" t="s">
        <v>3964</v>
      </c>
      <c r="TW51" s="156" t="s">
        <v>3843</v>
      </c>
      <c r="TX51" s="132"/>
      <c r="TY51" s="132"/>
      <c r="TZ51" s="132"/>
      <c r="UP51" s="129" t="s">
        <v>3955</v>
      </c>
      <c r="UQ51" s="128" t="s">
        <v>3963</v>
      </c>
      <c r="UR51" s="128" t="s">
        <v>3963</v>
      </c>
      <c r="US51" s="129" t="s">
        <v>3843</v>
      </c>
      <c r="UU51" s="128" t="s">
        <v>3963</v>
      </c>
      <c r="UV51" s="128" t="s">
        <v>3963</v>
      </c>
      <c r="UW51" s="129" t="s">
        <v>3843</v>
      </c>
      <c r="VE51" s="129" t="s">
        <v>3955</v>
      </c>
      <c r="VJ51" s="129" t="s">
        <v>3955</v>
      </c>
      <c r="VL51" s="132"/>
      <c r="VM51" s="132"/>
      <c r="VN51" s="132"/>
      <c r="VO51" s="132"/>
      <c r="VR51" s="131"/>
      <c r="VS51" s="131"/>
      <c r="VT51" s="131"/>
      <c r="VU51" s="131"/>
      <c r="VV51" s="131"/>
      <c r="VW51" s="131"/>
      <c r="VX51" s="131"/>
      <c r="VY51" s="131"/>
      <c r="VZ51" s="131"/>
      <c r="WA51" s="131"/>
      <c r="WB51" s="131"/>
      <c r="WC51" s="131"/>
      <c r="WD51" s="131"/>
      <c r="WE51" s="131"/>
      <c r="WF51" s="131"/>
      <c r="WG51" s="131"/>
      <c r="WH51" s="131"/>
      <c r="WI51" s="131"/>
      <c r="WJ51" s="131"/>
      <c r="WK51" s="131"/>
      <c r="WL51" s="131"/>
      <c r="WM51" s="131"/>
      <c r="WN51" s="131"/>
      <c r="WO51" s="131"/>
      <c r="WP51" s="131"/>
      <c r="WQ51" s="131"/>
      <c r="WR51" s="131"/>
      <c r="WS51" s="131"/>
      <c r="WT51" s="131"/>
      <c r="WU51" s="131"/>
      <c r="WV51" s="131"/>
      <c r="WW51" s="131"/>
      <c r="WX51" s="131"/>
      <c r="WY51" s="131"/>
      <c r="WZ51" s="131"/>
      <c r="XA51" s="131"/>
      <c r="XB51" s="131"/>
      <c r="XC51" s="131"/>
      <c r="XD51" s="131"/>
      <c r="XE51" s="131"/>
      <c r="XF51" s="131"/>
      <c r="XG51" s="131"/>
      <c r="XH51" s="131"/>
      <c r="XI51" s="131"/>
      <c r="XJ51" s="131"/>
      <c r="XK51" s="131"/>
      <c r="XL51" s="131"/>
      <c r="XM51" s="131"/>
      <c r="XN51" s="131"/>
      <c r="XO51" s="131"/>
      <c r="XP51" s="131"/>
      <c r="XQ51" s="131"/>
      <c r="XR51" s="131"/>
      <c r="XS51" s="131"/>
      <c r="XT51" s="131"/>
      <c r="XU51" s="131"/>
      <c r="XV51" s="131"/>
      <c r="XW51" s="131"/>
      <c r="XX51" s="131"/>
      <c r="XY51" s="131"/>
      <c r="XZ51" s="131"/>
      <c r="YA51" s="131"/>
      <c r="YB51" s="131"/>
      <c r="YC51" s="131"/>
      <c r="YD51" s="131"/>
      <c r="YE51" s="131"/>
      <c r="YF51" s="131"/>
      <c r="YG51" s="131"/>
      <c r="YH51" s="131"/>
      <c r="YI51" s="131"/>
      <c r="YJ51" s="131"/>
      <c r="YK51" s="131"/>
      <c r="YL51" s="131"/>
      <c r="YM51" s="131"/>
      <c r="YN51" s="131"/>
      <c r="YO51" s="131"/>
      <c r="YP51" s="131"/>
      <c r="YQ51" s="131"/>
      <c r="YR51" s="131"/>
      <c r="YS51" s="131"/>
      <c r="YT51" s="131"/>
      <c r="YU51" s="131"/>
      <c r="YV51" s="131"/>
      <c r="YW51" s="131"/>
      <c r="YX51" s="131"/>
      <c r="YY51" s="131"/>
      <c r="YZ51" s="131"/>
      <c r="ZA51" s="131"/>
      <c r="ZB51" s="131"/>
      <c r="ZC51" s="131"/>
      <c r="ZD51" s="131"/>
      <c r="ZE51" s="131"/>
      <c r="ZF51" s="131"/>
      <c r="ZG51" s="131"/>
      <c r="ZH51" s="131"/>
      <c r="ZI51" s="131"/>
      <c r="ZJ51" s="131"/>
      <c r="ZK51" s="131"/>
      <c r="ZL51" s="131"/>
      <c r="ZM51" s="131"/>
      <c r="ZN51" s="131"/>
      <c r="ZO51" s="131"/>
      <c r="ZP51" s="131"/>
      <c r="ZQ51" s="131"/>
      <c r="ZR51" s="131"/>
      <c r="ZS51" s="131"/>
      <c r="ZT51" s="131"/>
      <c r="ZU51" s="131"/>
      <c r="ZV51" s="131"/>
      <c r="ZW51" s="131"/>
      <c r="ZX51" s="131"/>
      <c r="ZY51" s="131"/>
      <c r="ZZ51" s="131"/>
      <c r="AAA51" s="131"/>
      <c r="AAB51" s="131"/>
      <c r="AAC51" s="131"/>
      <c r="AAD51" s="131"/>
      <c r="AAE51" s="131"/>
      <c r="AAF51" s="131"/>
      <c r="AAG51" s="131"/>
      <c r="AAH51" s="131"/>
      <c r="AAJ51" s="131"/>
      <c r="AAK51" s="131"/>
      <c r="AAL51" s="131"/>
      <c r="AAM51" s="131"/>
      <c r="AAN51" s="131"/>
      <c r="AAO51" s="131"/>
      <c r="AAP51" s="131"/>
      <c r="AAQ51" s="131"/>
      <c r="AAR51" s="131"/>
      <c r="AAS51" s="131"/>
      <c r="AAT51" s="131"/>
      <c r="AAU51" s="131"/>
      <c r="AAV51" s="131"/>
      <c r="AAW51" s="131"/>
      <c r="AAX51" s="131"/>
      <c r="AAY51" s="131"/>
      <c r="AAZ51" s="131"/>
      <c r="ABA51" s="131"/>
      <c r="ABB51" s="131"/>
      <c r="ABC51" s="131"/>
      <c r="ABD51" s="131"/>
      <c r="ABE51" s="131"/>
      <c r="ABF51" s="131"/>
      <c r="ABG51" s="131"/>
      <c r="ABH51" s="131"/>
      <c r="ABI51" s="131"/>
      <c r="ABJ51" s="131"/>
      <c r="ABK51" s="131"/>
      <c r="ABL51" s="131"/>
      <c r="ABM51" s="131"/>
      <c r="ABN51" s="131"/>
      <c r="ABO51" s="131"/>
      <c r="ABP51" s="131"/>
      <c r="ABQ51" s="131"/>
      <c r="ABR51" s="131"/>
      <c r="ABS51" s="131"/>
      <c r="ABT51" s="131"/>
      <c r="ABU51" s="131"/>
      <c r="ABV51" s="131"/>
      <c r="ABW51" s="131"/>
      <c r="ABX51" s="131"/>
      <c r="ABY51" s="131"/>
      <c r="ABZ51" s="131"/>
      <c r="ACA51" s="131"/>
      <c r="ACB51" s="131"/>
      <c r="ACC51" s="131"/>
      <c r="ACD51" s="131"/>
      <c r="ACE51" s="131"/>
      <c r="ACF51" s="131"/>
      <c r="ACG51" s="131"/>
      <c r="ACH51" s="131"/>
      <c r="ACI51" s="131"/>
      <c r="ACJ51" s="131"/>
      <c r="ACK51" s="131"/>
      <c r="ACL51" s="131"/>
      <c r="ACM51" s="131"/>
      <c r="ACN51" s="131"/>
      <c r="ACO51" s="131"/>
      <c r="ACP51" s="131"/>
      <c r="ACQ51" s="131"/>
      <c r="ACR51" s="131"/>
      <c r="ACS51" s="131"/>
      <c r="ACT51" s="131"/>
      <c r="ACU51" s="131"/>
      <c r="ACV51" s="131"/>
      <c r="ACW51" s="131"/>
      <c r="ACX51" s="131"/>
      <c r="ACY51" s="131"/>
      <c r="ACZ51" s="131"/>
      <c r="ADA51" s="131"/>
      <c r="ADB51" s="131"/>
      <c r="ADC51" s="131"/>
      <c r="ADD51" s="131"/>
      <c r="ADE51" s="131"/>
      <c r="ADF51" s="131"/>
      <c r="ADG51" s="131"/>
      <c r="ADH51" s="131"/>
      <c r="ADI51" s="131"/>
      <c r="ADJ51" s="131"/>
      <c r="ADK51" s="131"/>
      <c r="ADL51" s="131"/>
      <c r="ADM51" s="131"/>
      <c r="ADN51" s="131"/>
      <c r="ADO51" s="131"/>
      <c r="ADP51" s="131"/>
      <c r="ADQ51" s="131"/>
      <c r="ADR51" s="131"/>
      <c r="ADS51" s="131"/>
      <c r="ADT51" s="131"/>
      <c r="ADU51" s="131"/>
      <c r="ADV51" s="131"/>
      <c r="ADW51" s="131"/>
      <c r="ADX51" s="131"/>
      <c r="ADY51" s="131"/>
      <c r="ADZ51" s="131"/>
      <c r="AEA51" s="131"/>
      <c r="AEB51" s="131"/>
      <c r="AEC51" s="131"/>
      <c r="AED51" s="131"/>
      <c r="AEE51" s="131"/>
      <c r="AEF51" s="131"/>
      <c r="AEG51" s="131"/>
      <c r="AEH51" s="131"/>
      <c r="AEI51" s="131"/>
      <c r="AEJ51" s="131"/>
      <c r="AEK51" s="131"/>
      <c r="AEL51" s="131"/>
      <c r="AEM51" s="131"/>
      <c r="AEN51" s="131"/>
      <c r="AEO51" s="131"/>
      <c r="AEP51" s="131"/>
      <c r="AEQ51" s="131"/>
      <c r="AER51" s="131"/>
      <c r="AES51" s="131"/>
      <c r="AET51" s="131"/>
      <c r="AEU51" s="131"/>
      <c r="AEV51" s="131"/>
      <c r="AEW51" s="131"/>
      <c r="AEX51" s="131"/>
      <c r="AEY51" s="131"/>
      <c r="AEZ51" s="131"/>
      <c r="AFA51" s="131"/>
      <c r="AFB51" s="131"/>
      <c r="AFC51" s="131"/>
      <c r="AFD51" s="131"/>
      <c r="AFE51" s="131"/>
      <c r="AFF51" s="131"/>
      <c r="AFG51" s="131"/>
      <c r="AFH51" s="131"/>
      <c r="AFI51" s="131"/>
      <c r="AFJ51" s="131"/>
      <c r="AFK51" s="131"/>
      <c r="APO51" s="130"/>
      <c r="APP51" s="130"/>
      <c r="APQ51" s="130"/>
      <c r="APR51" s="130"/>
      <c r="APS51" s="130"/>
      <c r="APT51" s="130"/>
      <c r="APU51" s="130"/>
      <c r="APV51" s="130"/>
      <c r="APW51" s="130"/>
      <c r="APX51" s="130"/>
      <c r="APY51" s="130"/>
      <c r="APZ51" s="130"/>
      <c r="AQA51" s="130"/>
      <c r="AQB51" s="130"/>
      <c r="AQC51" s="130"/>
      <c r="AQD51" s="130"/>
      <c r="AQE51" s="130"/>
      <c r="AQF51" s="130"/>
      <c r="AQG51" s="130"/>
      <c r="AQH51" s="130"/>
      <c r="AQI51" s="130"/>
      <c r="AQJ51" s="130"/>
      <c r="AQK51" s="130"/>
      <c r="AQL51" s="130"/>
      <c r="AQM51" s="130"/>
      <c r="AQN51" s="130"/>
      <c r="AQO51" s="130"/>
      <c r="AQP51" s="130"/>
      <c r="AQQ51" s="130"/>
      <c r="AQR51" s="130"/>
      <c r="AQS51" s="130"/>
      <c r="AQT51" s="130"/>
      <c r="AQU51" s="130"/>
      <c r="AQV51" s="130"/>
      <c r="AQW51" s="130"/>
      <c r="AQX51" s="130"/>
      <c r="AQY51" s="130"/>
      <c r="AQZ51" s="130"/>
      <c r="ARA51" s="130"/>
      <c r="ARB51" s="130"/>
      <c r="ARC51" s="130"/>
      <c r="ARD51" s="130"/>
      <c r="ARE51" s="130"/>
      <c r="ARF51" s="130"/>
      <c r="ARG51" s="130"/>
      <c r="ARH51" s="130"/>
      <c r="ARI51" s="130"/>
      <c r="ARJ51" s="130"/>
      <c r="ARK51" s="130"/>
      <c r="ARL51" s="130"/>
      <c r="ARM51" s="130"/>
      <c r="ARN51" s="130"/>
      <c r="ARO51" s="130"/>
      <c r="ARP51" s="130"/>
      <c r="ARQ51" s="130"/>
      <c r="ARR51" s="130"/>
      <c r="ARS51" s="130"/>
      <c r="ART51" s="130"/>
      <c r="ARU51" s="130"/>
      <c r="ARV51" s="130"/>
      <c r="ARW51" s="130"/>
      <c r="ARX51" s="130"/>
      <c r="ARY51" s="130"/>
      <c r="ARZ51" s="130"/>
      <c r="ASA51" s="130"/>
      <c r="ASB51" s="130"/>
      <c r="ASC51" s="130"/>
      <c r="ASD51" s="130"/>
      <c r="ASE51" s="130"/>
      <c r="ASF51" s="130"/>
      <c r="ASG51" s="130"/>
      <c r="ASH51" s="130"/>
      <c r="ASI51" s="130"/>
      <c r="ASJ51" s="130"/>
      <c r="ASK51" s="130"/>
      <c r="ASL51" s="130"/>
      <c r="ASM51" s="130"/>
      <c r="ASN51" s="130"/>
      <c r="ASO51" s="130"/>
      <c r="ASP51" s="130"/>
      <c r="ASQ51" s="130"/>
      <c r="ASR51" s="130"/>
      <c r="ASS51" s="130"/>
      <c r="AST51" s="130"/>
      <c r="ASU51" s="130"/>
      <c r="ASV51" s="130"/>
      <c r="ASW51" s="130"/>
      <c r="AVJ51" s="128"/>
      <c r="AVK51" s="128"/>
      <c r="AVL51" s="128"/>
      <c r="AVM51" s="128" t="s">
        <v>3961</v>
      </c>
      <c r="AVN51" s="128" t="s">
        <v>3960</v>
      </c>
      <c r="AVO51" s="128" t="s">
        <v>3843</v>
      </c>
      <c r="AVP51" s="128"/>
      <c r="AVQ51" s="128"/>
      <c r="AVR51" s="128"/>
      <c r="AVS51" s="128" t="s">
        <v>3961</v>
      </c>
      <c r="AVT51" s="128" t="s">
        <v>3960</v>
      </c>
      <c r="AVU51" s="128" t="s">
        <v>3843</v>
      </c>
      <c r="AVV51" s="128"/>
      <c r="AVW51" s="128"/>
      <c r="AVX51" s="128" t="s">
        <v>3961</v>
      </c>
      <c r="AVY51" s="128" t="s">
        <v>3962</v>
      </c>
      <c r="AVZ51" s="129" t="s">
        <v>3955</v>
      </c>
      <c r="AWA51" s="129" t="s">
        <v>3955</v>
      </c>
      <c r="AWB51" s="129" t="s">
        <v>3955</v>
      </c>
      <c r="AWC51" s="129" t="s">
        <v>3955</v>
      </c>
      <c r="AWD51" s="128" t="s">
        <v>3843</v>
      </c>
      <c r="AWE51" s="128"/>
      <c r="AWF51" s="128"/>
      <c r="AWG51" s="128"/>
      <c r="AWH51" s="128" t="s">
        <v>3961</v>
      </c>
      <c r="AWI51" s="128" t="s">
        <v>3960</v>
      </c>
      <c r="AWJ51" s="128" t="s">
        <v>3843</v>
      </c>
      <c r="AWK51" s="128"/>
      <c r="AWL51" s="128"/>
      <c r="AWM51" s="128"/>
      <c r="AWN51" s="128" t="s">
        <v>3961</v>
      </c>
      <c r="AWO51" s="128" t="s">
        <v>3960</v>
      </c>
      <c r="AWP51" s="128" t="s">
        <v>3843</v>
      </c>
      <c r="AWQ51" s="128"/>
      <c r="AWR51" s="128"/>
      <c r="AWS51" s="128"/>
      <c r="AWT51" s="128" t="s">
        <v>3961</v>
      </c>
      <c r="AWU51" s="128" t="s">
        <v>3960</v>
      </c>
      <c r="AWV51" s="128" t="s">
        <v>3843</v>
      </c>
    </row>
    <row r="52" spans="1:1296" s="129" customFormat="1" ht="38.25" outlineLevel="1">
      <c r="A52" s="137" t="s">
        <v>236</v>
      </c>
      <c r="B52" s="139" t="s">
        <v>309</v>
      </c>
      <c r="C52" s="139" t="s">
        <v>310</v>
      </c>
      <c r="D52" s="139" t="s">
        <v>311</v>
      </c>
      <c r="E52" s="137">
        <v>73</v>
      </c>
      <c r="F52" s="138"/>
      <c r="G52" s="136" t="s">
        <v>19</v>
      </c>
      <c r="H52" s="136" t="s">
        <v>366</v>
      </c>
      <c r="I52" s="136" t="s">
        <v>366</v>
      </c>
      <c r="J52" s="136" t="s">
        <v>366</v>
      </c>
      <c r="K52" s="136" t="s">
        <v>13</v>
      </c>
      <c r="L52" s="136" t="s">
        <v>366</v>
      </c>
      <c r="M52" s="136"/>
      <c r="N52" s="136" t="s">
        <v>13</v>
      </c>
      <c r="O52" s="138"/>
      <c r="LK52" s="135"/>
      <c r="LL52" s="135"/>
      <c r="LM52" s="135"/>
      <c r="LN52" s="135"/>
      <c r="LO52" s="135"/>
      <c r="LU52" s="135"/>
      <c r="LV52" s="135"/>
      <c r="LW52" s="135"/>
      <c r="LX52" s="135"/>
      <c r="LY52" s="135"/>
      <c r="LZ52" s="135"/>
      <c r="MA52" s="135"/>
      <c r="MB52" s="135"/>
      <c r="MC52" s="135"/>
      <c r="MD52" s="135"/>
      <c r="ME52" s="135"/>
      <c r="MF52" s="135"/>
      <c r="MG52" s="135"/>
      <c r="MQ52" s="132"/>
      <c r="MR52" s="132"/>
      <c r="MS52" s="132"/>
      <c r="MT52" s="132"/>
      <c r="MU52" s="132"/>
      <c r="MV52" s="132"/>
      <c r="MW52" s="132"/>
      <c r="MX52" s="132"/>
      <c r="MY52" s="132"/>
      <c r="NB52" s="135"/>
      <c r="NC52" s="135"/>
      <c r="ND52" s="135"/>
      <c r="NE52" s="135"/>
      <c r="NF52" s="135"/>
      <c r="NL52" s="132"/>
      <c r="NM52" s="132"/>
      <c r="NN52" s="132"/>
      <c r="NO52" s="132"/>
      <c r="NP52" s="132"/>
      <c r="OZ52" s="129" t="s">
        <v>3955</v>
      </c>
      <c r="PA52" s="129" t="s">
        <v>3955</v>
      </c>
      <c r="PB52" s="129" t="s">
        <v>3843</v>
      </c>
      <c r="PC52" s="129" t="s">
        <v>3955</v>
      </c>
      <c r="PD52" s="129" t="s">
        <v>3955</v>
      </c>
      <c r="PE52" s="128" t="s">
        <v>3959</v>
      </c>
      <c r="PF52" s="129" t="s">
        <v>3843</v>
      </c>
      <c r="PM52" s="129" t="s">
        <v>3955</v>
      </c>
      <c r="PN52" s="129" t="s">
        <v>3955</v>
      </c>
      <c r="PO52" s="129" t="s">
        <v>3955</v>
      </c>
      <c r="PP52" s="128" t="s">
        <v>3959</v>
      </c>
      <c r="PQ52" s="129" t="s">
        <v>3843</v>
      </c>
      <c r="QI52" s="129" t="s">
        <v>3955</v>
      </c>
      <c r="QJ52" s="128" t="s">
        <v>3958</v>
      </c>
      <c r="QK52" s="156" t="s">
        <v>3843</v>
      </c>
      <c r="QO52" s="128" t="s">
        <v>3959</v>
      </c>
      <c r="QP52" s="128" t="s">
        <v>3957</v>
      </c>
      <c r="QQ52" s="128" t="s">
        <v>3957</v>
      </c>
      <c r="QR52" s="129" t="s">
        <v>3843</v>
      </c>
      <c r="QT52" s="128" t="s">
        <v>3959</v>
      </c>
      <c r="QU52" s="128" t="s">
        <v>3957</v>
      </c>
      <c r="QV52" s="129" t="s">
        <v>3843</v>
      </c>
      <c r="RQ52" s="134"/>
      <c r="RR52" s="134"/>
      <c r="RS52" s="134"/>
      <c r="RT52" s="134"/>
      <c r="TD52" s="133"/>
      <c r="TE52" s="132"/>
      <c r="TF52" s="132"/>
      <c r="TT52" s="129" t="s">
        <v>3955</v>
      </c>
      <c r="TU52" s="129" t="s">
        <v>3955</v>
      </c>
      <c r="TV52" s="128" t="s">
        <v>3958</v>
      </c>
      <c r="TW52" s="156" t="s">
        <v>3843</v>
      </c>
      <c r="TX52" s="132"/>
      <c r="TY52" s="132"/>
      <c r="TZ52" s="132"/>
      <c r="UP52" s="129" t="s">
        <v>3955</v>
      </c>
      <c r="UQ52" s="128" t="s">
        <v>3957</v>
      </c>
      <c r="UR52" s="128" t="s">
        <v>3957</v>
      </c>
      <c r="US52" s="129" t="s">
        <v>3843</v>
      </c>
      <c r="UU52" s="128" t="s">
        <v>3957</v>
      </c>
      <c r="UV52" s="128" t="s">
        <v>3957</v>
      </c>
      <c r="UW52" s="129" t="s">
        <v>3843</v>
      </c>
      <c r="VE52" s="129" t="s">
        <v>3955</v>
      </c>
      <c r="VJ52" s="129" t="s">
        <v>3955</v>
      </c>
      <c r="VL52" s="132"/>
      <c r="VM52" s="132"/>
      <c r="VN52" s="132"/>
      <c r="VO52" s="132"/>
      <c r="VR52" s="131"/>
      <c r="VS52" s="131"/>
      <c r="VT52" s="131"/>
      <c r="VU52" s="131"/>
      <c r="VV52" s="131"/>
      <c r="VW52" s="131"/>
      <c r="VX52" s="131"/>
      <c r="VY52" s="131"/>
      <c r="VZ52" s="131"/>
      <c r="WA52" s="131"/>
      <c r="WB52" s="131"/>
      <c r="WC52" s="131"/>
      <c r="WD52" s="131"/>
      <c r="WE52" s="131"/>
      <c r="WF52" s="131"/>
      <c r="WG52" s="131"/>
      <c r="WH52" s="131"/>
      <c r="WI52" s="131"/>
      <c r="WJ52" s="131"/>
      <c r="WK52" s="131"/>
      <c r="WL52" s="131"/>
      <c r="WM52" s="131"/>
      <c r="WN52" s="131"/>
      <c r="WO52" s="131"/>
      <c r="WP52" s="131"/>
      <c r="WQ52" s="131"/>
      <c r="WR52" s="131"/>
      <c r="WS52" s="131"/>
      <c r="WT52" s="131"/>
      <c r="WU52" s="131"/>
      <c r="WV52" s="131"/>
      <c r="WW52" s="131"/>
      <c r="WX52" s="131"/>
      <c r="WY52" s="131"/>
      <c r="WZ52" s="131"/>
      <c r="XA52" s="131"/>
      <c r="XB52" s="131"/>
      <c r="XC52" s="131"/>
      <c r="XD52" s="131"/>
      <c r="XE52" s="131"/>
      <c r="XF52" s="131"/>
      <c r="XG52" s="131"/>
      <c r="XH52" s="131"/>
      <c r="XI52" s="131"/>
      <c r="XJ52" s="131"/>
      <c r="XK52" s="131"/>
      <c r="XL52" s="131"/>
      <c r="XM52" s="131"/>
      <c r="XN52" s="131"/>
      <c r="XO52" s="131"/>
      <c r="XP52" s="131"/>
      <c r="XQ52" s="131"/>
      <c r="XR52" s="131"/>
      <c r="XS52" s="131"/>
      <c r="XT52" s="131"/>
      <c r="XU52" s="131"/>
      <c r="XV52" s="131"/>
      <c r="XW52" s="131"/>
      <c r="XX52" s="131"/>
      <c r="XY52" s="131"/>
      <c r="XZ52" s="131"/>
      <c r="YA52" s="131"/>
      <c r="YB52" s="131"/>
      <c r="YC52" s="131"/>
      <c r="YD52" s="131"/>
      <c r="YE52" s="131"/>
      <c r="YF52" s="131"/>
      <c r="YG52" s="131"/>
      <c r="YH52" s="131"/>
      <c r="YI52" s="131"/>
      <c r="YJ52" s="131"/>
      <c r="YK52" s="131"/>
      <c r="YL52" s="131"/>
      <c r="YM52" s="131"/>
      <c r="YN52" s="131"/>
      <c r="YO52" s="131"/>
      <c r="YP52" s="131"/>
      <c r="YQ52" s="131"/>
      <c r="YR52" s="131"/>
      <c r="YS52" s="131"/>
      <c r="YT52" s="131"/>
      <c r="YU52" s="131"/>
      <c r="YV52" s="131"/>
      <c r="YW52" s="131"/>
      <c r="YX52" s="131"/>
      <c r="YY52" s="131"/>
      <c r="YZ52" s="131"/>
      <c r="ZA52" s="131"/>
      <c r="ZB52" s="131"/>
      <c r="ZC52" s="131"/>
      <c r="ZD52" s="131"/>
      <c r="ZE52" s="131"/>
      <c r="ZF52" s="131"/>
      <c r="ZG52" s="131"/>
      <c r="ZH52" s="131"/>
      <c r="ZI52" s="131"/>
      <c r="ZJ52" s="131"/>
      <c r="ZK52" s="131"/>
      <c r="ZL52" s="131"/>
      <c r="ZM52" s="131"/>
      <c r="ZN52" s="131"/>
      <c r="ZO52" s="131"/>
      <c r="ZP52" s="131"/>
      <c r="ZQ52" s="131"/>
      <c r="ZR52" s="131"/>
      <c r="ZS52" s="131"/>
      <c r="ZT52" s="131"/>
      <c r="ZU52" s="131"/>
      <c r="ZV52" s="131"/>
      <c r="ZW52" s="131"/>
      <c r="ZX52" s="131"/>
      <c r="ZY52" s="131"/>
      <c r="ZZ52" s="131"/>
      <c r="AAA52" s="131"/>
      <c r="AAB52" s="131"/>
      <c r="AAC52" s="131"/>
      <c r="AAD52" s="131"/>
      <c r="AAE52" s="131"/>
      <c r="AAF52" s="131"/>
      <c r="AAG52" s="131"/>
      <c r="AAH52" s="131"/>
      <c r="AAJ52" s="131"/>
      <c r="AAK52" s="131"/>
      <c r="AAL52" s="131"/>
      <c r="AAM52" s="131"/>
      <c r="AAN52" s="131"/>
      <c r="AAO52" s="131"/>
      <c r="AAP52" s="131"/>
      <c r="AAQ52" s="131"/>
      <c r="AAR52" s="131"/>
      <c r="AAS52" s="131"/>
      <c r="AAT52" s="131"/>
      <c r="AAU52" s="131"/>
      <c r="AAV52" s="131"/>
      <c r="AAW52" s="131"/>
      <c r="AAX52" s="131"/>
      <c r="AAY52" s="131"/>
      <c r="AAZ52" s="131"/>
      <c r="ABA52" s="131"/>
      <c r="ABB52" s="131"/>
      <c r="ABC52" s="131"/>
      <c r="ABD52" s="131"/>
      <c r="ABE52" s="131"/>
      <c r="ABF52" s="131"/>
      <c r="ABG52" s="131"/>
      <c r="ABH52" s="131"/>
      <c r="ABI52" s="131"/>
      <c r="ABJ52" s="131"/>
      <c r="ABK52" s="131"/>
      <c r="ABL52" s="131"/>
      <c r="ABM52" s="131"/>
      <c r="ABN52" s="131"/>
      <c r="ABO52" s="131"/>
      <c r="ABP52" s="131"/>
      <c r="ABQ52" s="131"/>
      <c r="ABR52" s="131"/>
      <c r="ABS52" s="131"/>
      <c r="ABT52" s="131"/>
      <c r="ABU52" s="131"/>
      <c r="ABV52" s="131"/>
      <c r="ABW52" s="131"/>
      <c r="ABX52" s="131"/>
      <c r="ABY52" s="131"/>
      <c r="ABZ52" s="131"/>
      <c r="ACA52" s="131"/>
      <c r="ACB52" s="131"/>
      <c r="ACC52" s="131"/>
      <c r="ACD52" s="131"/>
      <c r="ACE52" s="131"/>
      <c r="ACF52" s="131"/>
      <c r="ACG52" s="131"/>
      <c r="ACH52" s="131"/>
      <c r="ACI52" s="131"/>
      <c r="ACJ52" s="131"/>
      <c r="ACK52" s="131"/>
      <c r="ACL52" s="131"/>
      <c r="ACM52" s="131"/>
      <c r="ACN52" s="131"/>
      <c r="ACO52" s="131"/>
      <c r="ACP52" s="131"/>
      <c r="ACQ52" s="131"/>
      <c r="ACR52" s="131"/>
      <c r="ACS52" s="131"/>
      <c r="ACT52" s="131"/>
      <c r="ACU52" s="131"/>
      <c r="ACV52" s="131"/>
      <c r="ACW52" s="131"/>
      <c r="ACX52" s="131"/>
      <c r="ACY52" s="131"/>
      <c r="ACZ52" s="131"/>
      <c r="ADA52" s="131"/>
      <c r="ADB52" s="131"/>
      <c r="ADC52" s="131"/>
      <c r="ADD52" s="131"/>
      <c r="ADE52" s="131"/>
      <c r="ADF52" s="131"/>
      <c r="ADG52" s="131"/>
      <c r="ADH52" s="131"/>
      <c r="ADI52" s="131"/>
      <c r="ADJ52" s="131"/>
      <c r="ADK52" s="131"/>
      <c r="ADL52" s="131"/>
      <c r="ADM52" s="131"/>
      <c r="ADN52" s="131"/>
      <c r="ADO52" s="131"/>
      <c r="ADP52" s="131"/>
      <c r="ADQ52" s="131"/>
      <c r="ADR52" s="131"/>
      <c r="ADS52" s="131"/>
      <c r="ADT52" s="131"/>
      <c r="ADU52" s="131"/>
      <c r="ADV52" s="131"/>
      <c r="ADW52" s="131"/>
      <c r="ADX52" s="131"/>
      <c r="ADY52" s="131"/>
      <c r="ADZ52" s="131"/>
      <c r="AEA52" s="131"/>
      <c r="AEB52" s="131"/>
      <c r="AEC52" s="131"/>
      <c r="AED52" s="131"/>
      <c r="AEE52" s="131"/>
      <c r="AEF52" s="131"/>
      <c r="AEG52" s="131"/>
      <c r="AEH52" s="131"/>
      <c r="AEI52" s="131"/>
      <c r="AEJ52" s="131"/>
      <c r="AEK52" s="131"/>
      <c r="AEL52" s="131"/>
      <c r="AEM52" s="131"/>
      <c r="AEN52" s="131"/>
      <c r="AEO52" s="131"/>
      <c r="AEP52" s="131"/>
      <c r="AEQ52" s="131"/>
      <c r="AER52" s="131"/>
      <c r="AES52" s="131"/>
      <c r="AET52" s="131"/>
      <c r="AEU52" s="131"/>
      <c r="AEV52" s="131"/>
      <c r="AEW52" s="131"/>
      <c r="AEX52" s="131"/>
      <c r="AEY52" s="131"/>
      <c r="AEZ52" s="131"/>
      <c r="AFA52" s="131"/>
      <c r="AFB52" s="131"/>
      <c r="AFC52" s="131"/>
      <c r="AFD52" s="131"/>
      <c r="AFE52" s="131"/>
      <c r="AFF52" s="131"/>
      <c r="AFG52" s="131"/>
      <c r="AFH52" s="131"/>
      <c r="AFI52" s="131"/>
      <c r="AFJ52" s="131"/>
      <c r="AFK52" s="131"/>
      <c r="APO52" s="130"/>
      <c r="APP52" s="130"/>
      <c r="APQ52" s="130"/>
      <c r="APR52" s="130"/>
      <c r="APS52" s="130"/>
      <c r="APT52" s="130"/>
      <c r="APU52" s="130"/>
      <c r="APV52" s="130"/>
      <c r="APW52" s="130"/>
      <c r="APX52" s="130"/>
      <c r="APY52" s="130"/>
      <c r="APZ52" s="130"/>
      <c r="AQA52" s="130"/>
      <c r="AQB52" s="130"/>
      <c r="AQC52" s="130"/>
      <c r="AQD52" s="130"/>
      <c r="AQE52" s="130"/>
      <c r="AQF52" s="130"/>
      <c r="AQG52" s="130"/>
      <c r="AQH52" s="130"/>
      <c r="AQI52" s="130"/>
      <c r="AQJ52" s="130"/>
      <c r="AQK52" s="130"/>
      <c r="AQL52" s="130"/>
      <c r="AQM52" s="130"/>
      <c r="AQN52" s="130"/>
      <c r="AQO52" s="130"/>
      <c r="AQP52" s="130"/>
      <c r="AQQ52" s="130"/>
      <c r="AQR52" s="130"/>
      <c r="AQS52" s="130"/>
      <c r="AQT52" s="130"/>
      <c r="AQU52" s="130"/>
      <c r="AQV52" s="130"/>
      <c r="AQW52" s="130"/>
      <c r="AQX52" s="130"/>
      <c r="AQY52" s="130"/>
      <c r="AQZ52" s="130"/>
      <c r="ARA52" s="130"/>
      <c r="ARB52" s="130"/>
      <c r="ARC52" s="130"/>
      <c r="ARD52" s="130"/>
      <c r="ARE52" s="130"/>
      <c r="ARF52" s="130"/>
      <c r="ARG52" s="130"/>
      <c r="ARH52" s="130"/>
      <c r="ARI52" s="130"/>
      <c r="ARJ52" s="130"/>
      <c r="ARK52" s="130"/>
      <c r="ARL52" s="130"/>
      <c r="ARM52" s="130"/>
      <c r="ARN52" s="130"/>
      <c r="ARO52" s="130"/>
      <c r="ARP52" s="130"/>
      <c r="ARQ52" s="130"/>
      <c r="ARR52" s="130"/>
      <c r="ARS52" s="130"/>
      <c r="ART52" s="130"/>
      <c r="ARU52" s="130"/>
      <c r="ARV52" s="130"/>
      <c r="ARW52" s="130"/>
      <c r="ARX52" s="130"/>
      <c r="ARY52" s="130"/>
      <c r="ARZ52" s="130"/>
      <c r="ASA52" s="130"/>
      <c r="ASB52" s="130"/>
      <c r="ASC52" s="130"/>
      <c r="ASD52" s="130"/>
      <c r="ASE52" s="130"/>
      <c r="ASF52" s="130"/>
      <c r="ASG52" s="130"/>
      <c r="ASH52" s="130"/>
      <c r="ASI52" s="130"/>
      <c r="ASJ52" s="130"/>
      <c r="ASK52" s="130"/>
      <c r="ASL52" s="130"/>
      <c r="ASM52" s="130"/>
      <c r="ASN52" s="130"/>
      <c r="ASO52" s="130"/>
      <c r="ASP52" s="130"/>
      <c r="ASQ52" s="130"/>
      <c r="ASR52" s="130"/>
      <c r="ASS52" s="130"/>
      <c r="AST52" s="130"/>
      <c r="ASU52" s="130"/>
      <c r="ASV52" s="130"/>
      <c r="ASW52" s="130"/>
      <c r="AVJ52" s="128"/>
      <c r="AVK52" s="128"/>
      <c r="AVL52" s="128"/>
      <c r="AVM52" s="128" t="s">
        <v>3954</v>
      </c>
      <c r="AVN52" s="128" t="s">
        <v>3953</v>
      </c>
      <c r="AVO52" s="128" t="s">
        <v>3843</v>
      </c>
      <c r="AVP52" s="128"/>
      <c r="AVQ52" s="128"/>
      <c r="AVR52" s="128"/>
      <c r="AVS52" s="128" t="s">
        <v>3954</v>
      </c>
      <c r="AVT52" s="128" t="s">
        <v>3953</v>
      </c>
      <c r="AVU52" s="128" t="s">
        <v>3843</v>
      </c>
      <c r="AVV52" s="128"/>
      <c r="AVW52" s="128"/>
      <c r="AVX52" s="128" t="s">
        <v>3954</v>
      </c>
      <c r="AVY52" s="128" t="s">
        <v>3956</v>
      </c>
      <c r="AVZ52" s="129" t="s">
        <v>3955</v>
      </c>
      <c r="AWA52" s="129" t="s">
        <v>3955</v>
      </c>
      <c r="AWB52" s="129" t="s">
        <v>3955</v>
      </c>
      <c r="AWC52" s="129" t="s">
        <v>3955</v>
      </c>
      <c r="AWD52" s="128" t="s">
        <v>3843</v>
      </c>
      <c r="AWE52" s="128"/>
      <c r="AWF52" s="128"/>
      <c r="AWG52" s="128"/>
      <c r="AWH52" s="128" t="s">
        <v>3954</v>
      </c>
      <c r="AWI52" s="128" t="s">
        <v>3953</v>
      </c>
      <c r="AWJ52" s="128" t="s">
        <v>3843</v>
      </c>
      <c r="AWK52" s="128"/>
      <c r="AWL52" s="128"/>
      <c r="AWM52" s="128"/>
      <c r="AWN52" s="128" t="s">
        <v>3954</v>
      </c>
      <c r="AWO52" s="128" t="s">
        <v>3953</v>
      </c>
      <c r="AWP52" s="128" t="s">
        <v>3843</v>
      </c>
      <c r="AWQ52" s="128"/>
      <c r="AWR52" s="128"/>
      <c r="AWS52" s="128"/>
      <c r="AWT52" s="128" t="s">
        <v>3954</v>
      </c>
      <c r="AWU52" s="128" t="s">
        <v>3953</v>
      </c>
      <c r="AWV52" s="128" t="s">
        <v>3843</v>
      </c>
    </row>
    <row r="53" spans="1:1296" s="129" customFormat="1" ht="25.5" outlineLevel="1">
      <c r="A53" s="137" t="s">
        <v>236</v>
      </c>
      <c r="B53" s="139" t="s">
        <v>312</v>
      </c>
      <c r="C53" s="139" t="s">
        <v>313</v>
      </c>
      <c r="D53" s="139" t="s">
        <v>314</v>
      </c>
      <c r="E53" s="137">
        <v>74</v>
      </c>
      <c r="F53" s="138"/>
      <c r="G53" s="136" t="s">
        <v>19</v>
      </c>
      <c r="H53" s="136" t="s">
        <v>366</v>
      </c>
      <c r="I53" s="136" t="s">
        <v>366</v>
      </c>
      <c r="J53" s="136" t="s">
        <v>366</v>
      </c>
      <c r="K53" s="136" t="s">
        <v>13</v>
      </c>
      <c r="L53" s="136" t="s">
        <v>366</v>
      </c>
      <c r="M53" s="136"/>
      <c r="N53" s="136" t="s">
        <v>13</v>
      </c>
      <c r="O53" s="138"/>
      <c r="LK53" s="135"/>
      <c r="LL53" s="135"/>
      <c r="LM53" s="135"/>
      <c r="LN53" s="135"/>
      <c r="LO53" s="135"/>
      <c r="LU53" s="135"/>
      <c r="LV53" s="135"/>
      <c r="LW53" s="135"/>
      <c r="LX53" s="135"/>
      <c r="LY53" s="135"/>
      <c r="LZ53" s="135"/>
      <c r="MA53" s="135"/>
      <c r="MB53" s="135"/>
      <c r="MC53" s="135"/>
      <c r="MD53" s="135"/>
      <c r="ME53" s="135"/>
      <c r="MF53" s="135"/>
      <c r="MG53" s="135"/>
      <c r="MQ53" s="132"/>
      <c r="MR53" s="132"/>
      <c r="MS53" s="132"/>
      <c r="MT53" s="132"/>
      <c r="MU53" s="132"/>
      <c r="MV53" s="132"/>
      <c r="MW53" s="132"/>
      <c r="MX53" s="132"/>
      <c r="MY53" s="132"/>
      <c r="NB53" s="135"/>
      <c r="NC53" s="135"/>
      <c r="ND53" s="135"/>
      <c r="NE53" s="135"/>
      <c r="NF53" s="135"/>
      <c r="NL53" s="132"/>
      <c r="NM53" s="132"/>
      <c r="NN53" s="132"/>
      <c r="NO53" s="132"/>
      <c r="NP53" s="132"/>
      <c r="OZ53" s="128" t="s">
        <v>3952</v>
      </c>
      <c r="PA53" s="128" t="s">
        <v>3952</v>
      </c>
      <c r="PB53" s="129" t="s">
        <v>3843</v>
      </c>
      <c r="PC53" s="128" t="s">
        <v>3950</v>
      </c>
      <c r="PD53" s="128" t="s">
        <v>3950</v>
      </c>
      <c r="PE53" s="128" t="s">
        <v>3950</v>
      </c>
      <c r="PF53" s="129" t="s">
        <v>3843</v>
      </c>
      <c r="PM53" s="128" t="s">
        <v>3952</v>
      </c>
      <c r="PN53" s="128" t="s">
        <v>3950</v>
      </c>
      <c r="PO53" s="128" t="s">
        <v>3950</v>
      </c>
      <c r="PP53" s="128" t="s">
        <v>3950</v>
      </c>
      <c r="PQ53" s="129" t="s">
        <v>3843</v>
      </c>
      <c r="QI53" s="128" t="s">
        <v>3949</v>
      </c>
      <c r="QJ53" s="128" t="s">
        <v>3949</v>
      </c>
      <c r="QK53" s="156" t="s">
        <v>3843</v>
      </c>
      <c r="QL53" s="128"/>
      <c r="QO53" s="128" t="s">
        <v>3950</v>
      </c>
      <c r="QP53" s="128" t="s">
        <v>3952</v>
      </c>
      <c r="QQ53" s="128" t="s">
        <v>3952</v>
      </c>
      <c r="QR53" s="129" t="s">
        <v>3843</v>
      </c>
      <c r="QT53" s="128" t="s">
        <v>3950</v>
      </c>
      <c r="QU53" s="128" t="s">
        <v>3952</v>
      </c>
      <c r="QV53" s="129" t="s">
        <v>3843</v>
      </c>
      <c r="RQ53" s="134"/>
      <c r="RR53" s="134"/>
      <c r="RS53" s="134"/>
      <c r="RT53" s="134"/>
      <c r="TD53" s="133"/>
      <c r="TE53" s="132"/>
      <c r="TF53" s="132"/>
      <c r="TT53" s="128" t="s">
        <v>3949</v>
      </c>
      <c r="TU53" s="128" t="s">
        <v>3949</v>
      </c>
      <c r="TV53" s="128" t="s">
        <v>3949</v>
      </c>
      <c r="TW53" s="156" t="s">
        <v>3843</v>
      </c>
      <c r="TX53" s="132"/>
      <c r="TY53" s="132"/>
      <c r="TZ53" s="132"/>
      <c r="UP53" s="128" t="s">
        <v>3950</v>
      </c>
      <c r="UQ53" s="128" t="s">
        <v>3952</v>
      </c>
      <c r="UR53" s="128" t="s">
        <v>3952</v>
      </c>
      <c r="US53" s="129" t="s">
        <v>3843</v>
      </c>
      <c r="UU53" s="128" t="s">
        <v>3952</v>
      </c>
      <c r="UV53" s="128" t="s">
        <v>3952</v>
      </c>
      <c r="UW53" s="129" t="s">
        <v>3843</v>
      </c>
      <c r="VE53" s="128" t="s">
        <v>3950</v>
      </c>
      <c r="VJ53" s="128" t="s">
        <v>3950</v>
      </c>
      <c r="VL53" s="132"/>
      <c r="VM53" s="132"/>
      <c r="VN53" s="132"/>
      <c r="VO53" s="132"/>
      <c r="VR53" s="131"/>
      <c r="VS53" s="131"/>
      <c r="VT53" s="131"/>
      <c r="VU53" s="131"/>
      <c r="VV53" s="131"/>
      <c r="VW53" s="131"/>
      <c r="VX53" s="131"/>
      <c r="VY53" s="131"/>
      <c r="VZ53" s="131"/>
      <c r="WA53" s="131"/>
      <c r="WB53" s="131"/>
      <c r="WC53" s="131"/>
      <c r="WD53" s="131"/>
      <c r="WE53" s="131"/>
      <c r="WF53" s="131"/>
      <c r="WG53" s="131"/>
      <c r="WH53" s="131"/>
      <c r="WI53" s="131"/>
      <c r="WJ53" s="131"/>
      <c r="WK53" s="131"/>
      <c r="WL53" s="131"/>
      <c r="WM53" s="131"/>
      <c r="WN53" s="131"/>
      <c r="WO53" s="131"/>
      <c r="WP53" s="131"/>
      <c r="WQ53" s="131"/>
      <c r="WR53" s="131"/>
      <c r="WS53" s="131"/>
      <c r="WT53" s="131"/>
      <c r="WU53" s="131"/>
      <c r="WV53" s="131"/>
      <c r="WW53" s="131"/>
      <c r="WX53" s="131"/>
      <c r="WY53" s="131"/>
      <c r="WZ53" s="131"/>
      <c r="XA53" s="131"/>
      <c r="XB53" s="131"/>
      <c r="XC53" s="131"/>
      <c r="XD53" s="131"/>
      <c r="XE53" s="131"/>
      <c r="XF53" s="131"/>
      <c r="XG53" s="131"/>
      <c r="XH53" s="131"/>
      <c r="XI53" s="131"/>
      <c r="XJ53" s="131"/>
      <c r="XK53" s="131"/>
      <c r="XL53" s="131"/>
      <c r="XM53" s="131"/>
      <c r="XN53" s="131"/>
      <c r="XO53" s="131"/>
      <c r="XP53" s="131"/>
      <c r="XQ53" s="131"/>
      <c r="XR53" s="131"/>
      <c r="XS53" s="131"/>
      <c r="XT53" s="131"/>
      <c r="XU53" s="131"/>
      <c r="XV53" s="131"/>
      <c r="XW53" s="131"/>
      <c r="XX53" s="131"/>
      <c r="XY53" s="131"/>
      <c r="XZ53" s="131"/>
      <c r="YA53" s="131"/>
      <c r="YB53" s="131"/>
      <c r="YC53" s="131"/>
      <c r="YD53" s="131"/>
      <c r="YE53" s="131"/>
      <c r="YF53" s="131"/>
      <c r="YG53" s="131"/>
      <c r="YH53" s="131"/>
      <c r="YI53" s="131"/>
      <c r="YJ53" s="131"/>
      <c r="YK53" s="131"/>
      <c r="YL53" s="131"/>
      <c r="YM53" s="131"/>
      <c r="YN53" s="131"/>
      <c r="YO53" s="131"/>
      <c r="YP53" s="131"/>
      <c r="YQ53" s="131"/>
      <c r="YR53" s="131"/>
      <c r="YS53" s="131"/>
      <c r="YT53" s="131"/>
      <c r="YU53" s="131"/>
      <c r="YV53" s="131"/>
      <c r="YW53" s="131"/>
      <c r="YX53" s="131"/>
      <c r="YY53" s="131"/>
      <c r="YZ53" s="131"/>
      <c r="ZA53" s="131"/>
      <c r="ZB53" s="131"/>
      <c r="ZC53" s="131"/>
      <c r="ZD53" s="131"/>
      <c r="ZE53" s="131"/>
      <c r="ZF53" s="131"/>
      <c r="ZG53" s="131"/>
      <c r="ZH53" s="131"/>
      <c r="ZI53" s="131"/>
      <c r="ZJ53" s="131"/>
      <c r="ZK53" s="131"/>
      <c r="ZL53" s="131"/>
      <c r="ZM53" s="131"/>
      <c r="ZN53" s="131"/>
      <c r="ZO53" s="131"/>
      <c r="ZP53" s="131"/>
      <c r="ZQ53" s="131"/>
      <c r="ZR53" s="131"/>
      <c r="ZS53" s="131"/>
      <c r="ZT53" s="131"/>
      <c r="ZU53" s="131"/>
      <c r="ZV53" s="131"/>
      <c r="ZW53" s="131"/>
      <c r="ZX53" s="131"/>
      <c r="ZY53" s="131"/>
      <c r="ZZ53" s="131"/>
      <c r="AAA53" s="131"/>
      <c r="AAB53" s="131"/>
      <c r="AAC53" s="131"/>
      <c r="AAD53" s="131"/>
      <c r="AAE53" s="131"/>
      <c r="AAF53" s="131"/>
      <c r="AAG53" s="131"/>
      <c r="AAH53" s="131"/>
      <c r="AAJ53" s="131"/>
      <c r="AAK53" s="131"/>
      <c r="AAL53" s="131"/>
      <c r="AAM53" s="131"/>
      <c r="AAN53" s="131"/>
      <c r="AAO53" s="131"/>
      <c r="AAP53" s="131"/>
      <c r="AAQ53" s="131"/>
      <c r="AAR53" s="131"/>
      <c r="AAS53" s="131"/>
      <c r="AAT53" s="131"/>
      <c r="AAU53" s="131"/>
      <c r="AAV53" s="131"/>
      <c r="AAW53" s="131"/>
      <c r="AAX53" s="131"/>
      <c r="AAY53" s="131"/>
      <c r="AAZ53" s="131"/>
      <c r="ABA53" s="131"/>
      <c r="ABB53" s="131"/>
      <c r="ABC53" s="131"/>
      <c r="ABD53" s="131"/>
      <c r="ABE53" s="131"/>
      <c r="ABF53" s="131"/>
      <c r="ABG53" s="131"/>
      <c r="ABH53" s="131"/>
      <c r="ABI53" s="131"/>
      <c r="ABJ53" s="131"/>
      <c r="ABK53" s="131"/>
      <c r="ABL53" s="131"/>
      <c r="ABM53" s="131"/>
      <c r="ABN53" s="131"/>
      <c r="ABO53" s="131"/>
      <c r="ABP53" s="131"/>
      <c r="ABQ53" s="131"/>
      <c r="ABR53" s="131"/>
      <c r="ABS53" s="131"/>
      <c r="ABT53" s="131"/>
      <c r="ABU53" s="131"/>
      <c r="ABV53" s="131"/>
      <c r="ABW53" s="131"/>
      <c r="ABX53" s="131"/>
      <c r="ABY53" s="131"/>
      <c r="ABZ53" s="131"/>
      <c r="ACA53" s="131"/>
      <c r="ACB53" s="131"/>
      <c r="ACC53" s="131"/>
      <c r="ACD53" s="131"/>
      <c r="ACE53" s="131"/>
      <c r="ACF53" s="131"/>
      <c r="ACG53" s="131"/>
      <c r="ACH53" s="131"/>
      <c r="ACI53" s="131"/>
      <c r="ACJ53" s="131"/>
      <c r="ACK53" s="131"/>
      <c r="ACL53" s="131"/>
      <c r="ACM53" s="131"/>
      <c r="ACN53" s="131"/>
      <c r="ACO53" s="131"/>
      <c r="ACP53" s="131"/>
      <c r="ACQ53" s="131"/>
      <c r="ACR53" s="131"/>
      <c r="ACS53" s="131"/>
      <c r="ACT53" s="131"/>
      <c r="ACU53" s="131"/>
      <c r="ACV53" s="131"/>
      <c r="ACW53" s="131"/>
      <c r="ACX53" s="131"/>
      <c r="ACY53" s="131"/>
      <c r="ACZ53" s="131"/>
      <c r="ADA53" s="131"/>
      <c r="ADB53" s="131"/>
      <c r="ADC53" s="131"/>
      <c r="ADD53" s="131"/>
      <c r="ADE53" s="131"/>
      <c r="ADF53" s="131"/>
      <c r="ADG53" s="131"/>
      <c r="ADH53" s="131"/>
      <c r="ADI53" s="131"/>
      <c r="ADJ53" s="131"/>
      <c r="ADK53" s="131"/>
      <c r="ADL53" s="131"/>
      <c r="ADM53" s="131"/>
      <c r="ADN53" s="131"/>
      <c r="ADO53" s="131"/>
      <c r="ADP53" s="131"/>
      <c r="ADQ53" s="131"/>
      <c r="ADR53" s="131"/>
      <c r="ADS53" s="131"/>
      <c r="ADT53" s="131"/>
      <c r="ADU53" s="131"/>
      <c r="ADV53" s="131"/>
      <c r="ADW53" s="131"/>
      <c r="ADX53" s="131"/>
      <c r="ADY53" s="131"/>
      <c r="ADZ53" s="131"/>
      <c r="AEA53" s="131"/>
      <c r="AEB53" s="131"/>
      <c r="AEC53" s="131"/>
      <c r="AED53" s="131"/>
      <c r="AEE53" s="131"/>
      <c r="AEF53" s="131"/>
      <c r="AEG53" s="131"/>
      <c r="AEH53" s="131"/>
      <c r="AEI53" s="131"/>
      <c r="AEJ53" s="131"/>
      <c r="AEK53" s="131"/>
      <c r="AEL53" s="131"/>
      <c r="AEM53" s="131"/>
      <c r="AEN53" s="131"/>
      <c r="AEO53" s="131"/>
      <c r="AEP53" s="131"/>
      <c r="AEQ53" s="131"/>
      <c r="AER53" s="131"/>
      <c r="AES53" s="131"/>
      <c r="AET53" s="131"/>
      <c r="AEU53" s="131"/>
      <c r="AEV53" s="131"/>
      <c r="AEW53" s="131"/>
      <c r="AEX53" s="131"/>
      <c r="AEY53" s="131"/>
      <c r="AEZ53" s="131"/>
      <c r="AFA53" s="131"/>
      <c r="AFB53" s="131"/>
      <c r="AFC53" s="131"/>
      <c r="AFD53" s="131"/>
      <c r="AFE53" s="131"/>
      <c r="AFF53" s="131"/>
      <c r="AFG53" s="131"/>
      <c r="AFH53" s="131"/>
      <c r="AFI53" s="131"/>
      <c r="AFJ53" s="131"/>
      <c r="AFK53" s="131"/>
      <c r="APO53" s="130"/>
      <c r="APP53" s="130"/>
      <c r="APQ53" s="130"/>
      <c r="APR53" s="130"/>
      <c r="APS53" s="130"/>
      <c r="APT53" s="130"/>
      <c r="APU53" s="130"/>
      <c r="APV53" s="130"/>
      <c r="APW53" s="130"/>
      <c r="APX53" s="130"/>
      <c r="APY53" s="130"/>
      <c r="APZ53" s="130"/>
      <c r="AQA53" s="130"/>
      <c r="AQB53" s="130"/>
      <c r="AQC53" s="130"/>
      <c r="AQD53" s="130"/>
      <c r="AQE53" s="130"/>
      <c r="AQF53" s="130"/>
      <c r="AQG53" s="130"/>
      <c r="AQH53" s="130"/>
      <c r="AQI53" s="130"/>
      <c r="AQJ53" s="130"/>
      <c r="AQK53" s="130"/>
      <c r="AQL53" s="130"/>
      <c r="AQM53" s="130"/>
      <c r="AQN53" s="130"/>
      <c r="AQO53" s="130"/>
      <c r="AQP53" s="130"/>
      <c r="AQQ53" s="130"/>
      <c r="AQR53" s="130"/>
      <c r="AQS53" s="130"/>
      <c r="AQT53" s="130"/>
      <c r="AQU53" s="130"/>
      <c r="AQV53" s="130"/>
      <c r="AQW53" s="130"/>
      <c r="AQX53" s="130"/>
      <c r="AQY53" s="130"/>
      <c r="AQZ53" s="130"/>
      <c r="ARA53" s="130"/>
      <c r="ARB53" s="130"/>
      <c r="ARC53" s="130"/>
      <c r="ARD53" s="130"/>
      <c r="ARE53" s="130"/>
      <c r="ARF53" s="130"/>
      <c r="ARG53" s="130"/>
      <c r="ARH53" s="130"/>
      <c r="ARI53" s="130"/>
      <c r="ARJ53" s="130"/>
      <c r="ARK53" s="130"/>
      <c r="ARL53" s="130"/>
      <c r="ARM53" s="130"/>
      <c r="ARN53" s="130"/>
      <c r="ARO53" s="130"/>
      <c r="ARP53" s="130"/>
      <c r="ARQ53" s="130"/>
      <c r="ARR53" s="130"/>
      <c r="ARS53" s="130"/>
      <c r="ART53" s="130"/>
      <c r="ARU53" s="130"/>
      <c r="ARV53" s="130"/>
      <c r="ARW53" s="130"/>
      <c r="ARX53" s="130"/>
      <c r="ARY53" s="130"/>
      <c r="ARZ53" s="130"/>
      <c r="ASA53" s="130"/>
      <c r="ASB53" s="130"/>
      <c r="ASC53" s="130"/>
      <c r="ASD53" s="130"/>
      <c r="ASE53" s="130"/>
      <c r="ASF53" s="130"/>
      <c r="ASG53" s="130"/>
      <c r="ASH53" s="130"/>
      <c r="ASI53" s="130"/>
      <c r="ASJ53" s="130"/>
      <c r="ASK53" s="130"/>
      <c r="ASL53" s="130"/>
      <c r="ASM53" s="130"/>
      <c r="ASN53" s="130"/>
      <c r="ASO53" s="130"/>
      <c r="ASP53" s="130"/>
      <c r="ASQ53" s="130"/>
      <c r="ASR53" s="130"/>
      <c r="ASS53" s="130"/>
      <c r="AST53" s="130"/>
      <c r="ASU53" s="130"/>
      <c r="ASV53" s="130"/>
      <c r="ASW53" s="130"/>
      <c r="AVZ53" s="128" t="s">
        <v>3952</v>
      </c>
      <c r="AWA53" s="128" t="s">
        <v>3952</v>
      </c>
      <c r="AWB53" s="128" t="s">
        <v>3952</v>
      </c>
      <c r="AWC53" s="128" t="s">
        <v>3952</v>
      </c>
      <c r="AWD53" s="128" t="s">
        <v>3843</v>
      </c>
    </row>
    <row r="54" spans="1:1296" s="129" customFormat="1" ht="25.5" outlineLevel="1">
      <c r="A54" s="137" t="s">
        <v>236</v>
      </c>
      <c r="B54" s="139" t="s">
        <v>315</v>
      </c>
      <c r="C54" s="139" t="s">
        <v>316</v>
      </c>
      <c r="D54" s="139" t="s">
        <v>317</v>
      </c>
      <c r="E54" s="137">
        <v>75</v>
      </c>
      <c r="F54" s="138"/>
      <c r="G54" s="136" t="s">
        <v>19</v>
      </c>
      <c r="H54" s="136" t="s">
        <v>366</v>
      </c>
      <c r="I54" s="136" t="s">
        <v>366</v>
      </c>
      <c r="J54" s="136" t="s">
        <v>366</v>
      </c>
      <c r="K54" s="136" t="s">
        <v>13</v>
      </c>
      <c r="L54" s="136" t="s">
        <v>366</v>
      </c>
      <c r="M54" s="136"/>
      <c r="N54" s="136" t="s">
        <v>13</v>
      </c>
      <c r="O54" s="138"/>
      <c r="LK54" s="135"/>
      <c r="LL54" s="135"/>
      <c r="LM54" s="135"/>
      <c r="LN54" s="135"/>
      <c r="LO54" s="135"/>
      <c r="LU54" s="135"/>
      <c r="LV54" s="135"/>
      <c r="LW54" s="135"/>
      <c r="LX54" s="135"/>
      <c r="LY54" s="135"/>
      <c r="LZ54" s="135"/>
      <c r="MA54" s="135"/>
      <c r="MB54" s="135"/>
      <c r="MC54" s="135"/>
      <c r="MD54" s="135"/>
      <c r="ME54" s="135"/>
      <c r="MF54" s="135"/>
      <c r="MG54" s="135"/>
      <c r="MQ54" s="132"/>
      <c r="MR54" s="132"/>
      <c r="MS54" s="132"/>
      <c r="MT54" s="132"/>
      <c r="MU54" s="132"/>
      <c r="MV54" s="132"/>
      <c r="MW54" s="132"/>
      <c r="MX54" s="132"/>
      <c r="MY54" s="132"/>
      <c r="NB54" s="135"/>
      <c r="NC54" s="135"/>
      <c r="ND54" s="135"/>
      <c r="NE54" s="135"/>
      <c r="NF54" s="135"/>
      <c r="NL54" s="132"/>
      <c r="NM54" s="132"/>
      <c r="NN54" s="132"/>
      <c r="NO54" s="132"/>
      <c r="NP54" s="132"/>
      <c r="OZ54" s="128" t="s">
        <v>3946</v>
      </c>
      <c r="PA54" s="128" t="s">
        <v>3946</v>
      </c>
      <c r="PB54" s="129" t="s">
        <v>3843</v>
      </c>
      <c r="PC54" s="128" t="s">
        <v>3947</v>
      </c>
      <c r="PD54" s="128" t="s">
        <v>3947</v>
      </c>
      <c r="PE54" s="128" t="s">
        <v>3947</v>
      </c>
      <c r="PF54" s="129" t="s">
        <v>3843</v>
      </c>
      <c r="PM54" s="128" t="s">
        <v>3948</v>
      </c>
      <c r="PN54" s="128" t="s">
        <v>3951</v>
      </c>
      <c r="PO54" s="128" t="s">
        <v>3951</v>
      </c>
      <c r="PP54" s="128" t="s">
        <v>3951</v>
      </c>
      <c r="PQ54" s="129" t="s">
        <v>3843</v>
      </c>
      <c r="QI54" s="128" t="s">
        <v>3949</v>
      </c>
      <c r="QJ54" s="128" t="s">
        <v>3949</v>
      </c>
      <c r="QK54" s="156" t="s">
        <v>3843</v>
      </c>
      <c r="QL54" s="128"/>
      <c r="QO54" s="128" t="s">
        <v>3950</v>
      </c>
      <c r="QP54" s="128" t="s">
        <v>3948</v>
      </c>
      <c r="QQ54" s="128" t="s">
        <v>3948</v>
      </c>
      <c r="QR54" s="129" t="s">
        <v>3843</v>
      </c>
      <c r="QT54" s="128" t="s">
        <v>3950</v>
      </c>
      <c r="QU54" s="128" t="s">
        <v>3948</v>
      </c>
      <c r="QV54" s="129" t="s">
        <v>3843</v>
      </c>
      <c r="RQ54" s="134"/>
      <c r="RR54" s="134"/>
      <c r="RS54" s="134"/>
      <c r="RT54" s="134"/>
      <c r="TD54" s="133"/>
      <c r="TE54" s="132"/>
      <c r="TF54" s="132"/>
      <c r="TT54" s="128" t="s">
        <v>3949</v>
      </c>
      <c r="TU54" s="128" t="s">
        <v>3949</v>
      </c>
      <c r="TV54" s="128" t="s">
        <v>3949</v>
      </c>
      <c r="TW54" s="156" t="s">
        <v>3843</v>
      </c>
      <c r="TX54" s="132"/>
      <c r="TY54" s="132"/>
      <c r="TZ54" s="132"/>
      <c r="UP54" s="128" t="s">
        <v>3947</v>
      </c>
      <c r="UQ54" s="128" t="s">
        <v>3948</v>
      </c>
      <c r="UR54" s="128" t="s">
        <v>3948</v>
      </c>
      <c r="US54" s="129" t="s">
        <v>3843</v>
      </c>
      <c r="UU54" s="128" t="s">
        <v>3948</v>
      </c>
      <c r="UV54" s="128" t="s">
        <v>3948</v>
      </c>
      <c r="UW54" s="129" t="s">
        <v>3843</v>
      </c>
      <c r="VE54" s="128" t="s">
        <v>3947</v>
      </c>
      <c r="VJ54" s="128" t="s">
        <v>3947</v>
      </c>
      <c r="VL54" s="132"/>
      <c r="VM54" s="132"/>
      <c r="VN54" s="132"/>
      <c r="VO54" s="132"/>
      <c r="VR54" s="131"/>
      <c r="VS54" s="131"/>
      <c r="VT54" s="131"/>
      <c r="VU54" s="131"/>
      <c r="VV54" s="131"/>
      <c r="VW54" s="131"/>
      <c r="VX54" s="131"/>
      <c r="VY54" s="131"/>
      <c r="VZ54" s="131"/>
      <c r="WA54" s="131"/>
      <c r="WB54" s="131"/>
      <c r="WC54" s="131"/>
      <c r="WD54" s="131"/>
      <c r="WE54" s="131"/>
      <c r="WF54" s="131"/>
      <c r="WG54" s="131"/>
      <c r="WH54" s="131"/>
      <c r="WI54" s="131"/>
      <c r="WJ54" s="131"/>
      <c r="WK54" s="131"/>
      <c r="WL54" s="131"/>
      <c r="WM54" s="131"/>
      <c r="WN54" s="131"/>
      <c r="WO54" s="131"/>
      <c r="WP54" s="131"/>
      <c r="WQ54" s="131"/>
      <c r="WR54" s="131"/>
      <c r="WS54" s="131"/>
      <c r="WT54" s="131"/>
      <c r="WU54" s="131"/>
      <c r="WV54" s="131"/>
      <c r="WW54" s="131"/>
      <c r="WX54" s="131"/>
      <c r="WY54" s="131"/>
      <c r="WZ54" s="131"/>
      <c r="XA54" s="131"/>
      <c r="XB54" s="131"/>
      <c r="XC54" s="131"/>
      <c r="XD54" s="131"/>
      <c r="XE54" s="131"/>
      <c r="XF54" s="131"/>
      <c r="XG54" s="131"/>
      <c r="XH54" s="131"/>
      <c r="XI54" s="131"/>
      <c r="XJ54" s="131"/>
      <c r="XK54" s="131"/>
      <c r="XL54" s="131"/>
      <c r="XM54" s="131"/>
      <c r="XN54" s="131"/>
      <c r="XO54" s="131"/>
      <c r="XP54" s="131"/>
      <c r="XQ54" s="131"/>
      <c r="XR54" s="131"/>
      <c r="XS54" s="131"/>
      <c r="XT54" s="131"/>
      <c r="XU54" s="131"/>
      <c r="XV54" s="131"/>
      <c r="XW54" s="131"/>
      <c r="XX54" s="131"/>
      <c r="XY54" s="131"/>
      <c r="XZ54" s="131"/>
      <c r="YA54" s="131"/>
      <c r="YB54" s="131"/>
      <c r="YC54" s="131"/>
      <c r="YD54" s="131"/>
      <c r="YE54" s="131"/>
      <c r="YF54" s="131"/>
      <c r="YG54" s="131"/>
      <c r="YH54" s="131"/>
      <c r="YI54" s="131"/>
      <c r="YJ54" s="131"/>
      <c r="YK54" s="131"/>
      <c r="YL54" s="131"/>
      <c r="YM54" s="131"/>
      <c r="YN54" s="131"/>
      <c r="YO54" s="131"/>
      <c r="YP54" s="131"/>
      <c r="YQ54" s="131"/>
      <c r="YR54" s="131"/>
      <c r="YS54" s="131"/>
      <c r="YT54" s="131"/>
      <c r="YU54" s="131"/>
      <c r="YV54" s="131"/>
      <c r="YW54" s="131"/>
      <c r="YX54" s="131"/>
      <c r="YY54" s="131"/>
      <c r="YZ54" s="131"/>
      <c r="ZA54" s="131"/>
      <c r="ZB54" s="131"/>
      <c r="ZC54" s="131"/>
      <c r="ZD54" s="131"/>
      <c r="ZE54" s="131"/>
      <c r="ZF54" s="131"/>
      <c r="ZG54" s="131"/>
      <c r="ZH54" s="131"/>
      <c r="ZI54" s="131"/>
      <c r="ZJ54" s="131"/>
      <c r="ZK54" s="131"/>
      <c r="ZL54" s="131"/>
      <c r="ZM54" s="131"/>
      <c r="ZN54" s="131"/>
      <c r="ZO54" s="131"/>
      <c r="ZP54" s="131"/>
      <c r="ZQ54" s="131"/>
      <c r="ZR54" s="131"/>
      <c r="ZS54" s="131"/>
      <c r="ZT54" s="131"/>
      <c r="ZU54" s="131"/>
      <c r="ZV54" s="131"/>
      <c r="ZW54" s="131"/>
      <c r="ZX54" s="131"/>
      <c r="ZY54" s="131"/>
      <c r="ZZ54" s="131"/>
      <c r="AAA54" s="131"/>
      <c r="AAB54" s="131"/>
      <c r="AAC54" s="131"/>
      <c r="AAD54" s="131"/>
      <c r="AAE54" s="131"/>
      <c r="AAF54" s="131"/>
      <c r="AAG54" s="131"/>
      <c r="AAH54" s="131"/>
      <c r="AAJ54" s="131"/>
      <c r="AAK54" s="131"/>
      <c r="AAL54" s="131"/>
      <c r="AAM54" s="131"/>
      <c r="AAN54" s="131"/>
      <c r="AAO54" s="131"/>
      <c r="AAP54" s="131"/>
      <c r="AAQ54" s="131"/>
      <c r="AAR54" s="131"/>
      <c r="AAS54" s="131"/>
      <c r="AAT54" s="131"/>
      <c r="AAU54" s="131"/>
      <c r="AAV54" s="131"/>
      <c r="AAW54" s="131"/>
      <c r="AAX54" s="131"/>
      <c r="AAY54" s="131"/>
      <c r="AAZ54" s="131"/>
      <c r="ABA54" s="131"/>
      <c r="ABB54" s="131"/>
      <c r="ABC54" s="131"/>
      <c r="ABD54" s="131"/>
      <c r="ABE54" s="131"/>
      <c r="ABF54" s="131"/>
      <c r="ABG54" s="131"/>
      <c r="ABH54" s="131"/>
      <c r="ABI54" s="131"/>
      <c r="ABJ54" s="131"/>
      <c r="ABK54" s="131"/>
      <c r="ABL54" s="131"/>
      <c r="ABM54" s="131"/>
      <c r="ABN54" s="131"/>
      <c r="ABO54" s="131"/>
      <c r="ABP54" s="131"/>
      <c r="ABQ54" s="131"/>
      <c r="ABR54" s="131"/>
      <c r="ABS54" s="131"/>
      <c r="ABT54" s="131"/>
      <c r="ABU54" s="131"/>
      <c r="ABV54" s="131"/>
      <c r="ABW54" s="131"/>
      <c r="ABX54" s="131"/>
      <c r="ABY54" s="131"/>
      <c r="ABZ54" s="131"/>
      <c r="ACA54" s="131"/>
      <c r="ACB54" s="131"/>
      <c r="ACC54" s="131"/>
      <c r="ACD54" s="131"/>
      <c r="ACE54" s="131"/>
      <c r="ACF54" s="131"/>
      <c r="ACG54" s="131"/>
      <c r="ACH54" s="131"/>
      <c r="ACI54" s="131"/>
      <c r="ACJ54" s="131"/>
      <c r="ACK54" s="131"/>
      <c r="ACL54" s="131"/>
      <c r="ACM54" s="131"/>
      <c r="ACN54" s="131"/>
      <c r="ACO54" s="131"/>
      <c r="ACP54" s="131"/>
      <c r="ACQ54" s="131"/>
      <c r="ACR54" s="131"/>
      <c r="ACS54" s="131"/>
      <c r="ACT54" s="131"/>
      <c r="ACU54" s="131"/>
      <c r="ACV54" s="131"/>
      <c r="ACW54" s="131"/>
      <c r="ACX54" s="131"/>
      <c r="ACY54" s="131"/>
      <c r="ACZ54" s="131"/>
      <c r="ADA54" s="131"/>
      <c r="ADB54" s="131"/>
      <c r="ADC54" s="131"/>
      <c r="ADD54" s="131"/>
      <c r="ADE54" s="131"/>
      <c r="ADF54" s="131"/>
      <c r="ADG54" s="131"/>
      <c r="ADH54" s="131"/>
      <c r="ADI54" s="131"/>
      <c r="ADJ54" s="131"/>
      <c r="ADK54" s="131"/>
      <c r="ADL54" s="131"/>
      <c r="ADM54" s="131"/>
      <c r="ADN54" s="131"/>
      <c r="ADO54" s="131"/>
      <c r="ADP54" s="131"/>
      <c r="ADQ54" s="131"/>
      <c r="ADR54" s="131"/>
      <c r="ADS54" s="131"/>
      <c r="ADT54" s="131"/>
      <c r="ADU54" s="131"/>
      <c r="ADV54" s="131"/>
      <c r="ADW54" s="131"/>
      <c r="ADX54" s="131"/>
      <c r="ADY54" s="131"/>
      <c r="ADZ54" s="131"/>
      <c r="AEA54" s="131"/>
      <c r="AEB54" s="131"/>
      <c r="AEC54" s="131"/>
      <c r="AED54" s="131"/>
      <c r="AEE54" s="131"/>
      <c r="AEF54" s="131"/>
      <c r="AEG54" s="131"/>
      <c r="AEH54" s="131"/>
      <c r="AEI54" s="131"/>
      <c r="AEJ54" s="131"/>
      <c r="AEK54" s="131"/>
      <c r="AEL54" s="131"/>
      <c r="AEM54" s="131"/>
      <c r="AEN54" s="131"/>
      <c r="AEO54" s="131"/>
      <c r="AEP54" s="131"/>
      <c r="AEQ54" s="131"/>
      <c r="AER54" s="131"/>
      <c r="AES54" s="131"/>
      <c r="AET54" s="131"/>
      <c r="AEU54" s="131"/>
      <c r="AEV54" s="131"/>
      <c r="AEW54" s="131"/>
      <c r="AEX54" s="131"/>
      <c r="AEY54" s="131"/>
      <c r="AEZ54" s="131"/>
      <c r="AFA54" s="131"/>
      <c r="AFB54" s="131"/>
      <c r="AFC54" s="131"/>
      <c r="AFD54" s="131"/>
      <c r="AFE54" s="131"/>
      <c r="AFF54" s="131"/>
      <c r="AFG54" s="131"/>
      <c r="AFH54" s="131"/>
      <c r="AFI54" s="131"/>
      <c r="AFJ54" s="131"/>
      <c r="AFK54" s="131"/>
      <c r="APO54" s="130"/>
      <c r="APP54" s="130"/>
      <c r="APQ54" s="130"/>
      <c r="APR54" s="130"/>
      <c r="APS54" s="130"/>
      <c r="APT54" s="130"/>
      <c r="APU54" s="130"/>
      <c r="APV54" s="130"/>
      <c r="APW54" s="130"/>
      <c r="APX54" s="130"/>
      <c r="APY54" s="130"/>
      <c r="APZ54" s="130"/>
      <c r="AQA54" s="130"/>
      <c r="AQB54" s="130"/>
      <c r="AQC54" s="130"/>
      <c r="AQD54" s="130"/>
      <c r="AQE54" s="130"/>
      <c r="AQF54" s="130"/>
      <c r="AQG54" s="130"/>
      <c r="AQH54" s="130"/>
      <c r="AQI54" s="130"/>
      <c r="AQJ54" s="130"/>
      <c r="AQK54" s="130"/>
      <c r="AQL54" s="130"/>
      <c r="AQM54" s="130"/>
      <c r="AQN54" s="130"/>
      <c r="AQO54" s="130"/>
      <c r="AQP54" s="130"/>
      <c r="AQQ54" s="130"/>
      <c r="AQR54" s="130"/>
      <c r="AQS54" s="130"/>
      <c r="AQT54" s="130"/>
      <c r="AQU54" s="130"/>
      <c r="AQV54" s="130"/>
      <c r="AQW54" s="130"/>
      <c r="AQX54" s="130"/>
      <c r="AQY54" s="130"/>
      <c r="AQZ54" s="130"/>
      <c r="ARA54" s="130"/>
      <c r="ARB54" s="130"/>
      <c r="ARC54" s="130"/>
      <c r="ARD54" s="130"/>
      <c r="ARE54" s="130"/>
      <c r="ARF54" s="130"/>
      <c r="ARG54" s="130"/>
      <c r="ARH54" s="130"/>
      <c r="ARI54" s="130"/>
      <c r="ARJ54" s="130"/>
      <c r="ARK54" s="130"/>
      <c r="ARL54" s="130"/>
      <c r="ARM54" s="130"/>
      <c r="ARN54" s="130"/>
      <c r="ARO54" s="130"/>
      <c r="ARP54" s="130"/>
      <c r="ARQ54" s="130"/>
      <c r="ARR54" s="130"/>
      <c r="ARS54" s="130"/>
      <c r="ART54" s="130"/>
      <c r="ARU54" s="130"/>
      <c r="ARV54" s="130"/>
      <c r="ARW54" s="130"/>
      <c r="ARX54" s="130"/>
      <c r="ARY54" s="130"/>
      <c r="ARZ54" s="130"/>
      <c r="ASA54" s="130"/>
      <c r="ASB54" s="130"/>
      <c r="ASC54" s="130"/>
      <c r="ASD54" s="130"/>
      <c r="ASE54" s="130"/>
      <c r="ASF54" s="130"/>
      <c r="ASG54" s="130"/>
      <c r="ASH54" s="130"/>
      <c r="ASI54" s="130"/>
      <c r="ASJ54" s="130"/>
      <c r="ASK54" s="130"/>
      <c r="ASL54" s="130"/>
      <c r="ASM54" s="130"/>
      <c r="ASN54" s="130"/>
      <c r="ASO54" s="130"/>
      <c r="ASP54" s="130"/>
      <c r="ASQ54" s="130"/>
      <c r="ASR54" s="130"/>
      <c r="ASS54" s="130"/>
      <c r="AST54" s="130"/>
      <c r="ASU54" s="130"/>
      <c r="ASV54" s="130"/>
      <c r="ASW54" s="130"/>
      <c r="AVZ54" s="128" t="s">
        <v>3946</v>
      </c>
      <c r="AWA54" s="128" t="s">
        <v>3946</v>
      </c>
      <c r="AWB54" s="128" t="s">
        <v>3946</v>
      </c>
      <c r="AWC54" s="128" t="s">
        <v>3946</v>
      </c>
      <c r="AWD54" s="128" t="s">
        <v>3843</v>
      </c>
    </row>
    <row r="55" spans="1:1296" s="129" customFormat="1" ht="25.5" outlineLevel="1">
      <c r="A55" s="137" t="s">
        <v>236</v>
      </c>
      <c r="B55" s="139" t="s">
        <v>318</v>
      </c>
      <c r="C55" s="139" t="s">
        <v>319</v>
      </c>
      <c r="D55" s="139" t="s">
        <v>320</v>
      </c>
      <c r="E55" s="137">
        <v>76</v>
      </c>
      <c r="F55" s="138"/>
      <c r="G55" s="136" t="s">
        <v>19</v>
      </c>
      <c r="H55" s="136" t="s">
        <v>366</v>
      </c>
      <c r="I55" s="136" t="s">
        <v>366</v>
      </c>
      <c r="J55" s="136" t="s">
        <v>366</v>
      </c>
      <c r="K55" s="136" t="s">
        <v>13</v>
      </c>
      <c r="L55" s="136" t="s">
        <v>366</v>
      </c>
      <c r="M55" s="136"/>
      <c r="N55" s="136" t="s">
        <v>13</v>
      </c>
      <c r="O55" s="138"/>
      <c r="LK55" s="135"/>
      <c r="LL55" s="135"/>
      <c r="LM55" s="135"/>
      <c r="LN55" s="135"/>
      <c r="LO55" s="135"/>
      <c r="LU55" s="135"/>
      <c r="LV55" s="135"/>
      <c r="LW55" s="135"/>
      <c r="LX55" s="135"/>
      <c r="LY55" s="135"/>
      <c r="LZ55" s="135"/>
      <c r="MA55" s="135"/>
      <c r="MB55" s="135"/>
      <c r="MC55" s="135"/>
      <c r="MD55" s="135"/>
      <c r="ME55" s="135"/>
      <c r="MF55" s="135"/>
      <c r="MG55" s="135"/>
      <c r="MQ55" s="132"/>
      <c r="MR55" s="132"/>
      <c r="MS55" s="132"/>
      <c r="MT55" s="132"/>
      <c r="MU55" s="132"/>
      <c r="MV55" s="132"/>
      <c r="MW55" s="132"/>
      <c r="MX55" s="132"/>
      <c r="MY55" s="132"/>
      <c r="NB55" s="135"/>
      <c r="NC55" s="135"/>
      <c r="ND55" s="135"/>
      <c r="NE55" s="135"/>
      <c r="NF55" s="135"/>
      <c r="NL55" s="132"/>
      <c r="NM55" s="132"/>
      <c r="NN55" s="132"/>
      <c r="NO55" s="132"/>
      <c r="NP55" s="132"/>
      <c r="PD55" s="128" t="s">
        <v>3945</v>
      </c>
      <c r="PE55" s="128"/>
      <c r="PF55" s="129" t="s">
        <v>3843</v>
      </c>
      <c r="PO55" s="128" t="s">
        <v>3945</v>
      </c>
      <c r="PP55" s="128"/>
      <c r="PQ55" s="129" t="s">
        <v>3843</v>
      </c>
      <c r="QK55" s="156" t="s">
        <v>3843</v>
      </c>
      <c r="QO55" s="128"/>
      <c r="QP55" s="128"/>
      <c r="QQ55" s="128"/>
      <c r="QT55" s="128"/>
      <c r="QU55" s="128"/>
      <c r="RQ55" s="134"/>
      <c r="RR55" s="134"/>
      <c r="RS55" s="134"/>
      <c r="RT55" s="134"/>
      <c r="TD55" s="133"/>
      <c r="TE55" s="132"/>
      <c r="TF55" s="132"/>
      <c r="TW55" s="156" t="s">
        <v>3843</v>
      </c>
      <c r="TX55" s="132"/>
      <c r="TY55" s="132"/>
      <c r="TZ55" s="132"/>
      <c r="UQ55" s="128"/>
      <c r="UR55" s="128"/>
      <c r="UU55" s="128"/>
      <c r="UV55" s="128"/>
      <c r="VL55" s="132"/>
      <c r="VM55" s="132"/>
      <c r="VN55" s="132"/>
      <c r="VO55" s="132"/>
      <c r="VR55" s="131"/>
      <c r="VS55" s="131"/>
      <c r="VT55" s="131"/>
      <c r="VU55" s="131"/>
      <c r="VV55" s="131"/>
      <c r="VW55" s="131"/>
      <c r="VX55" s="131"/>
      <c r="VY55" s="131"/>
      <c r="VZ55" s="131"/>
      <c r="WA55" s="131"/>
      <c r="WB55" s="131"/>
      <c r="WC55" s="131"/>
      <c r="WD55" s="131"/>
      <c r="WE55" s="131"/>
      <c r="WF55" s="131"/>
      <c r="WG55" s="131"/>
      <c r="WH55" s="131"/>
      <c r="WI55" s="131"/>
      <c r="WJ55" s="131"/>
      <c r="WK55" s="131"/>
      <c r="WL55" s="131"/>
      <c r="WM55" s="131"/>
      <c r="WN55" s="131"/>
      <c r="WO55" s="131"/>
      <c r="WP55" s="131"/>
      <c r="WQ55" s="131"/>
      <c r="WR55" s="131"/>
      <c r="WS55" s="131"/>
      <c r="WT55" s="131"/>
      <c r="WU55" s="131"/>
      <c r="WV55" s="131"/>
      <c r="WW55" s="131"/>
      <c r="WX55" s="131"/>
      <c r="WY55" s="131"/>
      <c r="WZ55" s="131"/>
      <c r="XA55" s="131"/>
      <c r="XB55" s="131"/>
      <c r="XC55" s="131"/>
      <c r="XD55" s="131"/>
      <c r="XE55" s="131"/>
      <c r="XF55" s="131"/>
      <c r="XG55" s="131"/>
      <c r="XH55" s="131"/>
      <c r="XI55" s="131"/>
      <c r="XJ55" s="131"/>
      <c r="XK55" s="131"/>
      <c r="XL55" s="131"/>
      <c r="XM55" s="131"/>
      <c r="XN55" s="131"/>
      <c r="XO55" s="131"/>
      <c r="XP55" s="131"/>
      <c r="XQ55" s="131"/>
      <c r="XR55" s="131"/>
      <c r="XS55" s="131"/>
      <c r="XT55" s="131"/>
      <c r="XU55" s="131"/>
      <c r="XV55" s="131"/>
      <c r="XW55" s="131"/>
      <c r="XX55" s="131"/>
      <c r="XY55" s="131"/>
      <c r="XZ55" s="131"/>
      <c r="YA55" s="131"/>
      <c r="YB55" s="131"/>
      <c r="YC55" s="131"/>
      <c r="YD55" s="131"/>
      <c r="YE55" s="131"/>
      <c r="YF55" s="131"/>
      <c r="YG55" s="131"/>
      <c r="YH55" s="131"/>
      <c r="YI55" s="131"/>
      <c r="YJ55" s="131"/>
      <c r="YK55" s="131"/>
      <c r="YL55" s="131"/>
      <c r="YM55" s="131"/>
      <c r="YN55" s="131"/>
      <c r="YO55" s="131"/>
      <c r="YP55" s="131"/>
      <c r="YQ55" s="131"/>
      <c r="YR55" s="131"/>
      <c r="YS55" s="131"/>
      <c r="YT55" s="131"/>
      <c r="YU55" s="131"/>
      <c r="YV55" s="131"/>
      <c r="YW55" s="131"/>
      <c r="YX55" s="131"/>
      <c r="YY55" s="131"/>
      <c r="YZ55" s="131"/>
      <c r="ZA55" s="131"/>
      <c r="ZB55" s="131"/>
      <c r="ZC55" s="131"/>
      <c r="ZD55" s="131"/>
      <c r="ZE55" s="131"/>
      <c r="ZF55" s="131"/>
      <c r="ZG55" s="131"/>
      <c r="ZH55" s="131"/>
      <c r="ZI55" s="131"/>
      <c r="ZJ55" s="131"/>
      <c r="ZK55" s="131"/>
      <c r="ZL55" s="131"/>
      <c r="ZM55" s="131"/>
      <c r="ZN55" s="131"/>
      <c r="ZO55" s="131"/>
      <c r="ZP55" s="131"/>
      <c r="ZQ55" s="131"/>
      <c r="ZR55" s="131"/>
      <c r="ZS55" s="131"/>
      <c r="ZT55" s="131"/>
      <c r="ZU55" s="131"/>
      <c r="ZV55" s="131"/>
      <c r="ZW55" s="131"/>
      <c r="ZX55" s="131"/>
      <c r="ZY55" s="131"/>
      <c r="ZZ55" s="131"/>
      <c r="AAA55" s="131"/>
      <c r="AAB55" s="131"/>
      <c r="AAC55" s="131"/>
      <c r="AAD55" s="131"/>
      <c r="AAE55" s="131"/>
      <c r="AAF55" s="131"/>
      <c r="AAG55" s="131"/>
      <c r="AAH55" s="131"/>
      <c r="AAJ55" s="131"/>
      <c r="AAK55" s="131"/>
      <c r="AAL55" s="131"/>
      <c r="AAM55" s="131"/>
      <c r="AAN55" s="131"/>
      <c r="AAO55" s="131"/>
      <c r="AAP55" s="131"/>
      <c r="AAQ55" s="131"/>
      <c r="AAR55" s="131"/>
      <c r="AAS55" s="131"/>
      <c r="AAT55" s="131"/>
      <c r="AAU55" s="131"/>
      <c r="AAV55" s="131"/>
      <c r="AAW55" s="131"/>
      <c r="AAX55" s="131"/>
      <c r="AAY55" s="131"/>
      <c r="AAZ55" s="131"/>
      <c r="ABA55" s="131"/>
      <c r="ABB55" s="131"/>
      <c r="ABC55" s="131"/>
      <c r="ABD55" s="131"/>
      <c r="ABE55" s="131"/>
      <c r="ABF55" s="131"/>
      <c r="ABG55" s="131"/>
      <c r="ABH55" s="131"/>
      <c r="ABI55" s="131"/>
      <c r="ABJ55" s="131"/>
      <c r="ABK55" s="131"/>
      <c r="ABL55" s="131"/>
      <c r="ABM55" s="131"/>
      <c r="ABN55" s="131"/>
      <c r="ABO55" s="131"/>
      <c r="ABP55" s="131"/>
      <c r="ABQ55" s="131"/>
      <c r="ABR55" s="131"/>
      <c r="ABS55" s="131"/>
      <c r="ABT55" s="131"/>
      <c r="ABU55" s="131"/>
      <c r="ABV55" s="131"/>
      <c r="ABW55" s="131"/>
      <c r="ABX55" s="131"/>
      <c r="ABY55" s="131"/>
      <c r="ABZ55" s="131"/>
      <c r="ACA55" s="131"/>
      <c r="ACB55" s="131"/>
      <c r="ACC55" s="131"/>
      <c r="ACD55" s="131"/>
      <c r="ACE55" s="131"/>
      <c r="ACF55" s="131"/>
      <c r="ACG55" s="131"/>
      <c r="ACH55" s="131"/>
      <c r="ACI55" s="131"/>
      <c r="ACJ55" s="131"/>
      <c r="ACK55" s="131"/>
      <c r="ACL55" s="131"/>
      <c r="ACM55" s="131"/>
      <c r="ACN55" s="131"/>
      <c r="ACO55" s="131"/>
      <c r="ACP55" s="131"/>
      <c r="ACQ55" s="131"/>
      <c r="ACR55" s="131"/>
      <c r="ACS55" s="131"/>
      <c r="ACT55" s="131"/>
      <c r="ACU55" s="131"/>
      <c r="ACV55" s="131"/>
      <c r="ACW55" s="131"/>
      <c r="ACX55" s="131"/>
      <c r="ACY55" s="131"/>
      <c r="ACZ55" s="131"/>
      <c r="ADA55" s="131"/>
      <c r="ADB55" s="131"/>
      <c r="ADC55" s="131"/>
      <c r="ADD55" s="131"/>
      <c r="ADE55" s="131"/>
      <c r="ADF55" s="131"/>
      <c r="ADG55" s="131"/>
      <c r="ADH55" s="131"/>
      <c r="ADI55" s="131"/>
      <c r="ADJ55" s="131"/>
      <c r="ADK55" s="131"/>
      <c r="ADL55" s="131"/>
      <c r="ADM55" s="131"/>
      <c r="ADN55" s="131"/>
      <c r="ADO55" s="131"/>
      <c r="ADP55" s="131"/>
      <c r="ADQ55" s="131"/>
      <c r="ADR55" s="131"/>
      <c r="ADS55" s="131"/>
      <c r="ADT55" s="131"/>
      <c r="ADU55" s="131"/>
      <c r="ADV55" s="131"/>
      <c r="ADW55" s="131"/>
      <c r="ADX55" s="131"/>
      <c r="ADY55" s="131"/>
      <c r="ADZ55" s="131"/>
      <c r="AEA55" s="131"/>
      <c r="AEB55" s="131"/>
      <c r="AEC55" s="131"/>
      <c r="AED55" s="131"/>
      <c r="AEE55" s="131"/>
      <c r="AEF55" s="131"/>
      <c r="AEG55" s="131"/>
      <c r="AEH55" s="131"/>
      <c r="AEI55" s="131"/>
      <c r="AEJ55" s="131"/>
      <c r="AEK55" s="131"/>
      <c r="AEL55" s="131"/>
      <c r="AEM55" s="131"/>
      <c r="AEN55" s="131"/>
      <c r="AEO55" s="131"/>
      <c r="AEP55" s="131"/>
      <c r="AEQ55" s="131"/>
      <c r="AER55" s="131"/>
      <c r="AES55" s="131"/>
      <c r="AET55" s="131"/>
      <c r="AEU55" s="131"/>
      <c r="AEV55" s="131"/>
      <c r="AEW55" s="131"/>
      <c r="AEX55" s="131"/>
      <c r="AEY55" s="131"/>
      <c r="AEZ55" s="131"/>
      <c r="AFA55" s="131"/>
      <c r="AFB55" s="131"/>
      <c r="AFC55" s="131"/>
      <c r="AFD55" s="131"/>
      <c r="AFE55" s="131"/>
      <c r="AFF55" s="131"/>
      <c r="AFG55" s="131"/>
      <c r="AFH55" s="131"/>
      <c r="AFI55" s="131"/>
      <c r="AFJ55" s="131"/>
      <c r="AFK55" s="131"/>
      <c r="APO55" s="130"/>
      <c r="APP55" s="130"/>
      <c r="APQ55" s="130"/>
      <c r="APR55" s="130"/>
      <c r="APS55" s="130"/>
      <c r="APT55" s="130"/>
      <c r="APU55" s="130"/>
      <c r="APV55" s="130"/>
      <c r="APW55" s="130"/>
      <c r="APX55" s="130"/>
      <c r="APY55" s="130"/>
      <c r="APZ55" s="130"/>
      <c r="AQA55" s="130"/>
      <c r="AQB55" s="130"/>
      <c r="AQC55" s="130"/>
      <c r="AQD55" s="130"/>
      <c r="AQE55" s="130"/>
      <c r="AQF55" s="130"/>
      <c r="AQG55" s="130"/>
      <c r="AQH55" s="130"/>
      <c r="AQI55" s="130"/>
      <c r="AQJ55" s="130"/>
      <c r="AQK55" s="130"/>
      <c r="AQL55" s="130"/>
      <c r="AQM55" s="130"/>
      <c r="AQN55" s="130"/>
      <c r="AQO55" s="130"/>
      <c r="AQP55" s="130"/>
      <c r="AQQ55" s="130"/>
      <c r="AQR55" s="130"/>
      <c r="AQS55" s="130"/>
      <c r="AQT55" s="130"/>
      <c r="AQU55" s="130"/>
      <c r="AQV55" s="130"/>
      <c r="AQW55" s="130"/>
      <c r="AQX55" s="130"/>
      <c r="AQY55" s="130"/>
      <c r="AQZ55" s="130"/>
      <c r="ARA55" s="130"/>
      <c r="ARB55" s="130"/>
      <c r="ARC55" s="130"/>
      <c r="ARD55" s="130"/>
      <c r="ARE55" s="130"/>
      <c r="ARF55" s="130"/>
      <c r="ARG55" s="130"/>
      <c r="ARH55" s="130"/>
      <c r="ARI55" s="130"/>
      <c r="ARJ55" s="130"/>
      <c r="ARK55" s="130"/>
      <c r="ARL55" s="130"/>
      <c r="ARM55" s="130"/>
      <c r="ARN55" s="130"/>
      <c r="ARO55" s="130"/>
      <c r="ARP55" s="130"/>
      <c r="ARQ55" s="130"/>
      <c r="ARR55" s="130"/>
      <c r="ARS55" s="130"/>
      <c r="ART55" s="130"/>
      <c r="ARU55" s="130"/>
      <c r="ARV55" s="130"/>
      <c r="ARW55" s="130"/>
      <c r="ARX55" s="130"/>
      <c r="ARY55" s="130"/>
      <c r="ARZ55" s="130"/>
      <c r="ASA55" s="130"/>
      <c r="ASB55" s="130"/>
      <c r="ASC55" s="130"/>
      <c r="ASD55" s="130"/>
      <c r="ASE55" s="130"/>
      <c r="ASF55" s="130"/>
      <c r="ASG55" s="130"/>
      <c r="ASH55" s="130"/>
      <c r="ASI55" s="130"/>
      <c r="ASJ55" s="130"/>
      <c r="ASK55" s="130"/>
      <c r="ASL55" s="130"/>
      <c r="ASM55" s="130"/>
      <c r="ASN55" s="130"/>
      <c r="ASO55" s="130"/>
      <c r="ASP55" s="130"/>
      <c r="ASQ55" s="130"/>
      <c r="ASR55" s="130"/>
      <c r="ASS55" s="130"/>
      <c r="AST55" s="130"/>
      <c r="ASU55" s="130"/>
      <c r="ASV55" s="130"/>
      <c r="ASW55" s="130"/>
      <c r="AVZ55" s="129" t="s">
        <v>3943</v>
      </c>
      <c r="AWA55" s="129" t="s">
        <v>3942</v>
      </c>
      <c r="AWB55" s="129" t="s">
        <v>3941</v>
      </c>
      <c r="AWC55" s="129" t="s">
        <v>3940</v>
      </c>
      <c r="AWD55" s="128" t="s">
        <v>3843</v>
      </c>
    </row>
    <row r="56" spans="1:1296" s="129" customFormat="1" ht="25.5" outlineLevel="1">
      <c r="A56" s="137" t="s">
        <v>236</v>
      </c>
      <c r="B56" s="139" t="s">
        <v>321</v>
      </c>
      <c r="C56" s="139" t="s">
        <v>322</v>
      </c>
      <c r="D56" s="139" t="s">
        <v>323</v>
      </c>
      <c r="E56" s="137">
        <v>77</v>
      </c>
      <c r="F56" s="138"/>
      <c r="G56" s="136" t="s">
        <v>19</v>
      </c>
      <c r="H56" s="136" t="s">
        <v>366</v>
      </c>
      <c r="I56" s="136" t="s">
        <v>366</v>
      </c>
      <c r="J56" s="136" t="s">
        <v>366</v>
      </c>
      <c r="K56" s="136" t="s">
        <v>13</v>
      </c>
      <c r="L56" s="136" t="s">
        <v>366</v>
      </c>
      <c r="M56" s="136"/>
      <c r="N56" s="136" t="s">
        <v>13</v>
      </c>
      <c r="O56" s="138"/>
      <c r="LK56" s="135"/>
      <c r="LL56" s="135"/>
      <c r="LM56" s="135"/>
      <c r="LN56" s="135"/>
      <c r="LO56" s="135"/>
      <c r="LU56" s="135"/>
      <c r="LV56" s="135"/>
      <c r="LW56" s="135"/>
      <c r="LX56" s="135"/>
      <c r="LY56" s="135"/>
      <c r="LZ56" s="135"/>
      <c r="MA56" s="135"/>
      <c r="MB56" s="135"/>
      <c r="MC56" s="135"/>
      <c r="MD56" s="135"/>
      <c r="ME56" s="135"/>
      <c r="MF56" s="135"/>
      <c r="MG56" s="135"/>
      <c r="MQ56" s="132"/>
      <c r="MR56" s="132"/>
      <c r="MS56" s="132"/>
      <c r="MT56" s="132"/>
      <c r="MU56" s="132"/>
      <c r="MV56" s="132"/>
      <c r="MW56" s="132"/>
      <c r="MX56" s="132"/>
      <c r="MY56" s="132"/>
      <c r="NB56" s="135"/>
      <c r="NC56" s="135"/>
      <c r="ND56" s="135"/>
      <c r="NE56" s="135"/>
      <c r="NF56" s="135"/>
      <c r="NL56" s="132"/>
      <c r="NM56" s="132"/>
      <c r="NN56" s="132"/>
      <c r="NO56" s="132"/>
      <c r="NP56" s="132"/>
      <c r="PD56" s="128" t="s">
        <v>3944</v>
      </c>
      <c r="PF56" s="129" t="s">
        <v>3843</v>
      </c>
      <c r="PO56" s="128" t="s">
        <v>3944</v>
      </c>
      <c r="PQ56" s="129" t="s">
        <v>3843</v>
      </c>
      <c r="QK56" s="156" t="s">
        <v>3843</v>
      </c>
      <c r="RQ56" s="134"/>
      <c r="RR56" s="134"/>
      <c r="RS56" s="134"/>
      <c r="RT56" s="134"/>
      <c r="TD56" s="133"/>
      <c r="TE56" s="132"/>
      <c r="TF56" s="132"/>
      <c r="TW56" s="156" t="s">
        <v>3843</v>
      </c>
      <c r="TX56" s="132"/>
      <c r="TY56" s="132"/>
      <c r="TZ56" s="132"/>
      <c r="VL56" s="132"/>
      <c r="VM56" s="132"/>
      <c r="VN56" s="132"/>
      <c r="VO56" s="132"/>
      <c r="VR56" s="131"/>
      <c r="VS56" s="131"/>
      <c r="VT56" s="131"/>
      <c r="VU56" s="131"/>
      <c r="VV56" s="131"/>
      <c r="VW56" s="131"/>
      <c r="VX56" s="131"/>
      <c r="VY56" s="131"/>
      <c r="VZ56" s="131"/>
      <c r="WA56" s="131"/>
      <c r="WB56" s="131"/>
      <c r="WC56" s="131"/>
      <c r="WD56" s="131"/>
      <c r="WE56" s="131"/>
      <c r="WF56" s="131"/>
      <c r="WG56" s="131"/>
      <c r="WH56" s="131"/>
      <c r="WI56" s="131"/>
      <c r="WJ56" s="131"/>
      <c r="WK56" s="131"/>
      <c r="WL56" s="131"/>
      <c r="WM56" s="131"/>
      <c r="WN56" s="131"/>
      <c r="WO56" s="131"/>
      <c r="WP56" s="131"/>
      <c r="WQ56" s="131"/>
      <c r="WR56" s="131"/>
      <c r="WS56" s="131"/>
      <c r="WT56" s="131"/>
      <c r="WU56" s="131"/>
      <c r="WV56" s="131"/>
      <c r="WW56" s="131"/>
      <c r="WX56" s="131"/>
      <c r="WY56" s="131"/>
      <c r="WZ56" s="131"/>
      <c r="XA56" s="131"/>
      <c r="XB56" s="131"/>
      <c r="XC56" s="131"/>
      <c r="XD56" s="131"/>
      <c r="XE56" s="131"/>
      <c r="XF56" s="131"/>
      <c r="XG56" s="131"/>
      <c r="XH56" s="131"/>
      <c r="XI56" s="131"/>
      <c r="XJ56" s="131"/>
      <c r="XK56" s="131"/>
      <c r="XL56" s="131"/>
      <c r="XM56" s="131"/>
      <c r="XN56" s="131"/>
      <c r="XO56" s="131"/>
      <c r="XP56" s="131"/>
      <c r="XQ56" s="131"/>
      <c r="XR56" s="131"/>
      <c r="XS56" s="131"/>
      <c r="XT56" s="131"/>
      <c r="XU56" s="131"/>
      <c r="XV56" s="131"/>
      <c r="XW56" s="131"/>
      <c r="XX56" s="131"/>
      <c r="XY56" s="131"/>
      <c r="XZ56" s="131"/>
      <c r="YA56" s="131"/>
      <c r="YB56" s="131"/>
      <c r="YC56" s="131"/>
      <c r="YD56" s="131"/>
      <c r="YE56" s="131"/>
      <c r="YF56" s="131"/>
      <c r="YG56" s="131"/>
      <c r="YH56" s="131"/>
      <c r="YI56" s="131"/>
      <c r="YJ56" s="131"/>
      <c r="YK56" s="131"/>
      <c r="YL56" s="131"/>
      <c r="YM56" s="131"/>
      <c r="YN56" s="131"/>
      <c r="YO56" s="131"/>
      <c r="YP56" s="131"/>
      <c r="YQ56" s="131"/>
      <c r="YR56" s="131"/>
      <c r="YS56" s="131"/>
      <c r="YT56" s="131"/>
      <c r="YU56" s="131"/>
      <c r="YV56" s="131"/>
      <c r="YW56" s="131"/>
      <c r="YX56" s="131"/>
      <c r="YY56" s="131"/>
      <c r="YZ56" s="131"/>
      <c r="ZA56" s="131"/>
      <c r="ZB56" s="131"/>
      <c r="ZC56" s="131"/>
      <c r="ZD56" s="131"/>
      <c r="ZE56" s="131"/>
      <c r="ZF56" s="131"/>
      <c r="ZG56" s="131"/>
      <c r="ZH56" s="131"/>
      <c r="ZI56" s="131"/>
      <c r="ZJ56" s="131"/>
      <c r="ZK56" s="131"/>
      <c r="ZL56" s="131"/>
      <c r="ZM56" s="131"/>
      <c r="ZN56" s="131"/>
      <c r="ZO56" s="131"/>
      <c r="ZP56" s="131"/>
      <c r="ZQ56" s="131"/>
      <c r="ZR56" s="131"/>
      <c r="ZS56" s="131"/>
      <c r="ZT56" s="131"/>
      <c r="ZU56" s="131"/>
      <c r="ZV56" s="131"/>
      <c r="ZW56" s="131"/>
      <c r="ZX56" s="131"/>
      <c r="ZY56" s="131"/>
      <c r="ZZ56" s="131"/>
      <c r="AAA56" s="131"/>
      <c r="AAB56" s="131"/>
      <c r="AAC56" s="131"/>
      <c r="AAD56" s="131"/>
      <c r="AAE56" s="131"/>
      <c r="AAF56" s="131"/>
      <c r="AAG56" s="131"/>
      <c r="AAH56" s="131"/>
      <c r="AAJ56" s="131"/>
      <c r="AAK56" s="131"/>
      <c r="AAL56" s="131"/>
      <c r="AAM56" s="131"/>
      <c r="AAN56" s="131"/>
      <c r="AAO56" s="131"/>
      <c r="AAP56" s="131"/>
      <c r="AAQ56" s="131"/>
      <c r="AAR56" s="131"/>
      <c r="AAS56" s="131"/>
      <c r="AAT56" s="131"/>
      <c r="AAU56" s="131"/>
      <c r="AAV56" s="131"/>
      <c r="AAW56" s="131"/>
      <c r="AAX56" s="131"/>
      <c r="AAY56" s="131"/>
      <c r="AAZ56" s="131"/>
      <c r="ABA56" s="131"/>
      <c r="ABB56" s="131"/>
      <c r="ABC56" s="131"/>
      <c r="ABD56" s="131"/>
      <c r="ABE56" s="131"/>
      <c r="ABF56" s="131"/>
      <c r="ABG56" s="131"/>
      <c r="ABH56" s="131"/>
      <c r="ABI56" s="131"/>
      <c r="ABJ56" s="131"/>
      <c r="ABK56" s="131"/>
      <c r="ABL56" s="131"/>
      <c r="ABM56" s="131"/>
      <c r="ABN56" s="131"/>
      <c r="ABO56" s="131"/>
      <c r="ABP56" s="131"/>
      <c r="ABQ56" s="131"/>
      <c r="ABR56" s="131"/>
      <c r="ABS56" s="131"/>
      <c r="ABT56" s="131"/>
      <c r="ABU56" s="131"/>
      <c r="ABV56" s="131"/>
      <c r="ABW56" s="131"/>
      <c r="ABX56" s="131"/>
      <c r="ABY56" s="131"/>
      <c r="ABZ56" s="131"/>
      <c r="ACA56" s="131"/>
      <c r="ACB56" s="131"/>
      <c r="ACC56" s="131"/>
      <c r="ACD56" s="131"/>
      <c r="ACE56" s="131"/>
      <c r="ACF56" s="131"/>
      <c r="ACG56" s="131"/>
      <c r="ACH56" s="131"/>
      <c r="ACI56" s="131"/>
      <c r="ACJ56" s="131"/>
      <c r="ACK56" s="131"/>
      <c r="ACL56" s="131"/>
      <c r="ACM56" s="131"/>
      <c r="ACN56" s="131"/>
      <c r="ACO56" s="131"/>
      <c r="ACP56" s="131"/>
      <c r="ACQ56" s="131"/>
      <c r="ACR56" s="131"/>
      <c r="ACS56" s="131"/>
      <c r="ACT56" s="131"/>
      <c r="ACU56" s="131"/>
      <c r="ACV56" s="131"/>
      <c r="ACW56" s="131"/>
      <c r="ACX56" s="131"/>
      <c r="ACY56" s="131"/>
      <c r="ACZ56" s="131"/>
      <c r="ADA56" s="131"/>
      <c r="ADB56" s="131"/>
      <c r="ADC56" s="131"/>
      <c r="ADD56" s="131"/>
      <c r="ADE56" s="131"/>
      <c r="ADF56" s="131"/>
      <c r="ADG56" s="131"/>
      <c r="ADH56" s="131"/>
      <c r="ADI56" s="131"/>
      <c r="ADJ56" s="131"/>
      <c r="ADK56" s="131"/>
      <c r="ADL56" s="131"/>
      <c r="ADM56" s="131"/>
      <c r="ADN56" s="131"/>
      <c r="ADO56" s="131"/>
      <c r="ADP56" s="131"/>
      <c r="ADQ56" s="131"/>
      <c r="ADR56" s="131"/>
      <c r="ADS56" s="131"/>
      <c r="ADT56" s="131"/>
      <c r="ADU56" s="131"/>
      <c r="ADV56" s="131"/>
      <c r="ADW56" s="131"/>
      <c r="ADX56" s="131"/>
      <c r="ADY56" s="131"/>
      <c r="ADZ56" s="131"/>
      <c r="AEA56" s="131"/>
      <c r="AEB56" s="131"/>
      <c r="AEC56" s="131"/>
      <c r="AED56" s="131"/>
      <c r="AEE56" s="131"/>
      <c r="AEF56" s="131"/>
      <c r="AEG56" s="131"/>
      <c r="AEH56" s="131"/>
      <c r="AEI56" s="131"/>
      <c r="AEJ56" s="131"/>
      <c r="AEK56" s="131"/>
      <c r="AEL56" s="131"/>
      <c r="AEM56" s="131"/>
      <c r="AEN56" s="131"/>
      <c r="AEO56" s="131"/>
      <c r="AEP56" s="131"/>
      <c r="AEQ56" s="131"/>
      <c r="AER56" s="131"/>
      <c r="AES56" s="131"/>
      <c r="AET56" s="131"/>
      <c r="AEU56" s="131"/>
      <c r="AEV56" s="131"/>
      <c r="AEW56" s="131"/>
      <c r="AEX56" s="131"/>
      <c r="AEY56" s="131"/>
      <c r="AEZ56" s="131"/>
      <c r="AFA56" s="131"/>
      <c r="AFB56" s="131"/>
      <c r="AFC56" s="131"/>
      <c r="AFD56" s="131"/>
      <c r="AFE56" s="131"/>
      <c r="AFF56" s="131"/>
      <c r="AFG56" s="131"/>
      <c r="AFH56" s="131"/>
      <c r="AFI56" s="131"/>
      <c r="AFJ56" s="131"/>
      <c r="AFK56" s="131"/>
      <c r="APO56" s="130"/>
      <c r="APP56" s="130"/>
      <c r="APQ56" s="130"/>
      <c r="APR56" s="130"/>
      <c r="APS56" s="130"/>
      <c r="APT56" s="130"/>
      <c r="APU56" s="130"/>
      <c r="APV56" s="130"/>
      <c r="APW56" s="130"/>
      <c r="APX56" s="130"/>
      <c r="APY56" s="130"/>
      <c r="APZ56" s="130"/>
      <c r="AQA56" s="130"/>
      <c r="AQB56" s="130"/>
      <c r="AQC56" s="130"/>
      <c r="AQD56" s="130"/>
      <c r="AQE56" s="130"/>
      <c r="AQF56" s="130"/>
      <c r="AQG56" s="130"/>
      <c r="AQH56" s="130"/>
      <c r="AQI56" s="130"/>
      <c r="AQJ56" s="130"/>
      <c r="AQK56" s="130"/>
      <c r="AQL56" s="130"/>
      <c r="AQM56" s="130"/>
      <c r="AQN56" s="130"/>
      <c r="AQO56" s="130"/>
      <c r="AQP56" s="130"/>
      <c r="AQQ56" s="130"/>
      <c r="AQR56" s="130"/>
      <c r="AQS56" s="130"/>
      <c r="AQT56" s="130"/>
      <c r="AQU56" s="130"/>
      <c r="AQV56" s="130"/>
      <c r="AQW56" s="130"/>
      <c r="AQX56" s="130"/>
      <c r="AQY56" s="130"/>
      <c r="AQZ56" s="130"/>
      <c r="ARA56" s="130"/>
      <c r="ARB56" s="130"/>
      <c r="ARC56" s="130"/>
      <c r="ARD56" s="130"/>
      <c r="ARE56" s="130"/>
      <c r="ARF56" s="130"/>
      <c r="ARG56" s="130"/>
      <c r="ARH56" s="130"/>
      <c r="ARI56" s="130"/>
      <c r="ARJ56" s="130"/>
      <c r="ARK56" s="130"/>
      <c r="ARL56" s="130"/>
      <c r="ARM56" s="130"/>
      <c r="ARN56" s="130"/>
      <c r="ARO56" s="130"/>
      <c r="ARP56" s="130"/>
      <c r="ARQ56" s="130"/>
      <c r="ARR56" s="130"/>
      <c r="ARS56" s="130"/>
      <c r="ART56" s="130"/>
      <c r="ARU56" s="130"/>
      <c r="ARV56" s="130"/>
      <c r="ARW56" s="130"/>
      <c r="ARX56" s="130"/>
      <c r="ARY56" s="130"/>
      <c r="ARZ56" s="130"/>
      <c r="ASA56" s="130"/>
      <c r="ASB56" s="130"/>
      <c r="ASC56" s="130"/>
      <c r="ASD56" s="130"/>
      <c r="ASE56" s="130"/>
      <c r="ASF56" s="130"/>
      <c r="ASG56" s="130"/>
      <c r="ASH56" s="130"/>
      <c r="ASI56" s="130"/>
      <c r="ASJ56" s="130"/>
      <c r="ASK56" s="130"/>
      <c r="ASL56" s="130"/>
      <c r="ASM56" s="130"/>
      <c r="ASN56" s="130"/>
      <c r="ASO56" s="130"/>
      <c r="ASP56" s="130"/>
      <c r="ASQ56" s="130"/>
      <c r="ASR56" s="130"/>
      <c r="ASS56" s="130"/>
      <c r="AST56" s="130"/>
      <c r="ASU56" s="130"/>
      <c r="ASV56" s="130"/>
      <c r="ASW56" s="130"/>
      <c r="AVZ56" s="129" t="s">
        <v>3943</v>
      </c>
      <c r="AWA56" s="129" t="s">
        <v>3942</v>
      </c>
      <c r="AWB56" s="129" t="s">
        <v>3941</v>
      </c>
      <c r="AWC56" s="129" t="s">
        <v>3940</v>
      </c>
      <c r="AWD56" s="128" t="s">
        <v>3843</v>
      </c>
    </row>
    <row r="57" spans="1:1296" s="129" customFormat="1" ht="28.5" outlineLevel="1">
      <c r="A57" s="137" t="s">
        <v>236</v>
      </c>
      <c r="B57" s="139" t="s">
        <v>324</v>
      </c>
      <c r="C57" s="139" t="s">
        <v>3939</v>
      </c>
      <c r="D57" s="139" t="s">
        <v>3938</v>
      </c>
      <c r="E57" s="137">
        <v>78</v>
      </c>
      <c r="F57" s="138" t="s">
        <v>148</v>
      </c>
      <c r="G57" s="136" t="s">
        <v>173</v>
      </c>
      <c r="H57" s="136" t="s">
        <v>366</v>
      </c>
      <c r="I57" s="136" t="s">
        <v>13</v>
      </c>
      <c r="J57" s="136" t="s">
        <v>13</v>
      </c>
      <c r="K57" s="136" t="s">
        <v>13</v>
      </c>
      <c r="L57" s="136" t="s">
        <v>366</v>
      </c>
      <c r="M57" s="136"/>
      <c r="N57" s="136" t="s">
        <v>13</v>
      </c>
      <c r="O57" s="138"/>
      <c r="HT57" s="128">
        <v>51</v>
      </c>
      <c r="HU57" s="128">
        <v>51</v>
      </c>
      <c r="HV57" s="129">
        <v>45</v>
      </c>
      <c r="IE57" s="129" t="s">
        <v>3843</v>
      </c>
      <c r="IM57" s="129">
        <v>45</v>
      </c>
      <c r="IN57" s="129">
        <v>42</v>
      </c>
      <c r="IU57" s="129">
        <v>45</v>
      </c>
      <c r="IV57" s="128">
        <v>51</v>
      </c>
      <c r="IW57" s="129">
        <v>45</v>
      </c>
      <c r="JF57" s="129" t="s">
        <v>3843</v>
      </c>
      <c r="JH57" s="128">
        <v>51</v>
      </c>
      <c r="JI57" s="128">
        <v>51</v>
      </c>
      <c r="JJ57" s="128">
        <v>51</v>
      </c>
      <c r="JK57" s="128">
        <v>51</v>
      </c>
      <c r="JL57" s="128">
        <v>51</v>
      </c>
      <c r="JM57" s="129" t="s">
        <v>3843</v>
      </c>
      <c r="JS57" s="128">
        <v>51</v>
      </c>
      <c r="JT57" s="128">
        <v>51</v>
      </c>
      <c r="JU57" s="129" t="s">
        <v>3843</v>
      </c>
      <c r="KC57" s="128">
        <v>51</v>
      </c>
      <c r="KH57" s="129">
        <v>42</v>
      </c>
      <c r="KI57" s="129">
        <v>53</v>
      </c>
      <c r="KJ57" s="156" t="s">
        <v>3843</v>
      </c>
      <c r="KN57" s="129">
        <v>42</v>
      </c>
      <c r="KO57" s="129">
        <v>53</v>
      </c>
      <c r="KP57" s="156" t="s">
        <v>3843</v>
      </c>
      <c r="LK57" s="135"/>
      <c r="LL57" s="135"/>
      <c r="LM57" s="135"/>
      <c r="LN57" s="135"/>
      <c r="LO57" s="135"/>
      <c r="LU57" s="135"/>
      <c r="LV57" s="135">
        <v>38</v>
      </c>
      <c r="LW57" s="135">
        <v>43</v>
      </c>
      <c r="LX57" s="135">
        <v>46</v>
      </c>
      <c r="LY57" s="135">
        <v>49</v>
      </c>
      <c r="LZ57" s="135">
        <v>50</v>
      </c>
      <c r="MA57" s="135">
        <v>51</v>
      </c>
      <c r="MB57" s="135">
        <v>52</v>
      </c>
      <c r="MC57" s="135">
        <v>54</v>
      </c>
      <c r="MD57" s="135">
        <v>56</v>
      </c>
      <c r="ME57" s="135">
        <v>57</v>
      </c>
      <c r="MF57" s="151" t="s">
        <v>3843</v>
      </c>
      <c r="MG57" s="135"/>
      <c r="MH57" s="129">
        <v>42</v>
      </c>
      <c r="MK57" s="129">
        <v>57</v>
      </c>
      <c r="ML57" s="129">
        <v>56</v>
      </c>
      <c r="MM57" s="129">
        <v>35</v>
      </c>
      <c r="MN57" s="129" t="s">
        <v>3843</v>
      </c>
      <c r="MQ57" s="132"/>
      <c r="MR57" s="132"/>
      <c r="MS57" s="132"/>
      <c r="MT57" s="132"/>
      <c r="MU57" s="132"/>
      <c r="MV57" s="132"/>
      <c r="MW57" s="132"/>
      <c r="MX57" s="132"/>
      <c r="MY57" s="132"/>
      <c r="NB57" s="135"/>
      <c r="NC57" s="135"/>
      <c r="ND57" s="135"/>
      <c r="NE57" s="135"/>
      <c r="NF57" s="135"/>
      <c r="NL57" s="132"/>
      <c r="NM57" s="132"/>
      <c r="NN57" s="132"/>
      <c r="NO57" s="132"/>
      <c r="NP57" s="132"/>
      <c r="PC57" s="129">
        <v>24</v>
      </c>
      <c r="PD57" s="129">
        <v>41</v>
      </c>
      <c r="PE57" s="129">
        <v>33</v>
      </c>
      <c r="PF57" s="129" t="s">
        <v>3843</v>
      </c>
      <c r="PN57" s="129">
        <v>24</v>
      </c>
      <c r="PO57" s="129">
        <v>41</v>
      </c>
      <c r="PP57" s="129">
        <v>33</v>
      </c>
      <c r="PQ57" s="129" t="s">
        <v>3843</v>
      </c>
      <c r="QI57" s="129">
        <v>27</v>
      </c>
      <c r="QJ57" s="129">
        <v>27</v>
      </c>
      <c r="QK57" s="156" t="s">
        <v>3843</v>
      </c>
      <c r="QN57" s="129">
        <v>32</v>
      </c>
      <c r="QO57" s="129">
        <v>33</v>
      </c>
      <c r="QR57" s="129" t="s">
        <v>3843</v>
      </c>
      <c r="QS57" s="129">
        <v>32</v>
      </c>
      <c r="QT57" s="129">
        <v>33</v>
      </c>
      <c r="QV57" s="129" t="s">
        <v>3843</v>
      </c>
      <c r="RQ57" s="134"/>
      <c r="RR57" s="134"/>
      <c r="RS57" s="134"/>
      <c r="RT57" s="134"/>
      <c r="TD57" s="133"/>
      <c r="TE57" s="132"/>
      <c r="TF57" s="132"/>
      <c r="TT57" s="129">
        <v>27</v>
      </c>
      <c r="TU57" s="129">
        <v>27</v>
      </c>
      <c r="TV57" s="129">
        <v>27</v>
      </c>
      <c r="TW57" s="156" t="s">
        <v>3843</v>
      </c>
      <c r="TX57" s="132"/>
      <c r="TY57" s="132"/>
      <c r="TZ57" s="132"/>
      <c r="UP57" s="129">
        <v>24</v>
      </c>
      <c r="US57" s="129" t="s">
        <v>3843</v>
      </c>
      <c r="VE57" s="129">
        <v>24</v>
      </c>
      <c r="VF57" s="129">
        <v>32</v>
      </c>
      <c r="VJ57" s="129">
        <v>24</v>
      </c>
      <c r="VL57" s="132"/>
      <c r="VM57" s="132"/>
      <c r="VN57" s="132"/>
      <c r="VO57" s="132"/>
      <c r="VR57" s="131"/>
      <c r="VS57" s="131"/>
      <c r="VT57" s="131"/>
      <c r="VU57" s="131"/>
      <c r="VV57" s="131"/>
      <c r="VW57" s="131"/>
      <c r="VX57" s="131"/>
      <c r="VY57" s="131"/>
      <c r="VZ57" s="131"/>
      <c r="WA57" s="131"/>
      <c r="WB57" s="131"/>
      <c r="WC57" s="131"/>
      <c r="WD57" s="131"/>
      <c r="WE57" s="131"/>
      <c r="WF57" s="131"/>
      <c r="WG57" s="131"/>
      <c r="WH57" s="131"/>
      <c r="WI57" s="131"/>
      <c r="WJ57" s="131"/>
      <c r="WK57" s="131"/>
      <c r="WL57" s="131"/>
      <c r="WM57" s="131"/>
      <c r="WN57" s="131"/>
      <c r="WO57" s="131"/>
      <c r="WP57" s="131"/>
      <c r="WQ57" s="131"/>
      <c r="WR57" s="131"/>
      <c r="WS57" s="131"/>
      <c r="WT57" s="131"/>
      <c r="WU57" s="131"/>
      <c r="WV57" s="131"/>
      <c r="WW57" s="131"/>
      <c r="WX57" s="131"/>
      <c r="WY57" s="131"/>
      <c r="WZ57" s="131"/>
      <c r="XA57" s="131"/>
      <c r="XB57" s="131"/>
      <c r="XC57" s="131"/>
      <c r="XD57" s="131"/>
      <c r="XE57" s="131"/>
      <c r="XF57" s="131"/>
      <c r="XG57" s="131"/>
      <c r="XH57" s="131"/>
      <c r="XI57" s="131"/>
      <c r="XJ57" s="131"/>
      <c r="XK57" s="131"/>
      <c r="XL57" s="131"/>
      <c r="XM57" s="131"/>
      <c r="XN57" s="131"/>
      <c r="XO57" s="131"/>
      <c r="XP57" s="131"/>
      <c r="XQ57" s="131"/>
      <c r="XR57" s="131"/>
      <c r="XS57" s="131"/>
      <c r="XT57" s="131"/>
      <c r="XU57" s="131"/>
      <c r="XV57" s="131"/>
      <c r="XW57" s="131"/>
      <c r="XX57" s="131"/>
      <c r="XY57" s="131"/>
      <c r="XZ57" s="131"/>
      <c r="YA57" s="131"/>
      <c r="YB57" s="131"/>
      <c r="YC57" s="131"/>
      <c r="YD57" s="131"/>
      <c r="YE57" s="131"/>
      <c r="YF57" s="131"/>
      <c r="YG57" s="131"/>
      <c r="YH57" s="131"/>
      <c r="YI57" s="131"/>
      <c r="YJ57" s="131"/>
      <c r="YK57" s="131"/>
      <c r="YL57" s="131"/>
      <c r="YM57" s="131"/>
      <c r="YN57" s="131"/>
      <c r="YO57" s="131"/>
      <c r="YP57" s="131"/>
      <c r="YQ57" s="131"/>
      <c r="YR57" s="131"/>
      <c r="YS57" s="131"/>
      <c r="YT57" s="131"/>
      <c r="YU57" s="131"/>
      <c r="YV57" s="131"/>
      <c r="YW57" s="131"/>
      <c r="YX57" s="131"/>
      <c r="YY57" s="131"/>
      <c r="YZ57" s="131"/>
      <c r="ZA57" s="131"/>
      <c r="ZB57" s="131"/>
      <c r="ZC57" s="131"/>
      <c r="ZD57" s="131"/>
      <c r="ZE57" s="131"/>
      <c r="ZF57" s="131"/>
      <c r="ZG57" s="131"/>
      <c r="ZH57" s="131"/>
      <c r="ZI57" s="131"/>
      <c r="ZJ57" s="131"/>
      <c r="ZK57" s="131"/>
      <c r="ZL57" s="131"/>
      <c r="ZM57" s="131"/>
      <c r="ZN57" s="131"/>
      <c r="ZO57" s="131"/>
      <c r="ZP57" s="131"/>
      <c r="ZQ57" s="131"/>
      <c r="ZR57" s="131"/>
      <c r="ZS57" s="131"/>
      <c r="ZT57" s="131"/>
      <c r="ZU57" s="131"/>
      <c r="ZV57" s="131"/>
      <c r="ZW57" s="131"/>
      <c r="ZX57" s="131"/>
      <c r="ZY57" s="131"/>
      <c r="ZZ57" s="131"/>
      <c r="AAA57" s="131"/>
      <c r="AAB57" s="131"/>
      <c r="AAC57" s="131"/>
      <c r="AAD57" s="131"/>
      <c r="AAE57" s="131"/>
      <c r="AAF57" s="131"/>
      <c r="AAG57" s="131"/>
      <c r="AAH57" s="131"/>
      <c r="AAJ57" s="131"/>
      <c r="AAK57" s="131"/>
      <c r="AAL57" s="131"/>
      <c r="AAM57" s="131"/>
      <c r="AAN57" s="131"/>
      <c r="AAO57" s="131"/>
      <c r="AAP57" s="131"/>
      <c r="AAQ57" s="131"/>
      <c r="AAR57" s="131"/>
      <c r="AAS57" s="131"/>
      <c r="AAT57" s="131"/>
      <c r="AAU57" s="131"/>
      <c r="AAV57" s="131"/>
      <c r="AAW57" s="131"/>
      <c r="AAX57" s="131"/>
      <c r="AAY57" s="131"/>
      <c r="AAZ57" s="131"/>
      <c r="ABA57" s="131"/>
      <c r="ABB57" s="131"/>
      <c r="ABC57" s="131"/>
      <c r="ABD57" s="131"/>
      <c r="ABE57" s="131"/>
      <c r="ABF57" s="131"/>
      <c r="ABG57" s="131"/>
      <c r="ABH57" s="131"/>
      <c r="ABI57" s="131"/>
      <c r="ABJ57" s="131"/>
      <c r="ABK57" s="131"/>
      <c r="ABL57" s="131"/>
      <c r="ABM57" s="131"/>
      <c r="ABN57" s="131"/>
      <c r="ABO57" s="131"/>
      <c r="ABP57" s="131"/>
      <c r="ABQ57" s="131"/>
      <c r="ABR57" s="131"/>
      <c r="ABS57" s="131"/>
      <c r="ABT57" s="131"/>
      <c r="ABU57" s="131"/>
      <c r="ABV57" s="131"/>
      <c r="ABW57" s="131"/>
      <c r="ABX57" s="131"/>
      <c r="ABY57" s="131"/>
      <c r="ABZ57" s="131"/>
      <c r="ACA57" s="131"/>
      <c r="ACB57" s="131"/>
      <c r="ACC57" s="131"/>
      <c r="ACD57" s="131"/>
      <c r="ACE57" s="131"/>
      <c r="ACF57" s="131"/>
      <c r="ACG57" s="131"/>
      <c r="ACH57" s="131"/>
      <c r="ACI57" s="131"/>
      <c r="ACJ57" s="131"/>
      <c r="ACK57" s="131"/>
      <c r="ACL57" s="131"/>
      <c r="ACM57" s="131"/>
      <c r="ACN57" s="131"/>
      <c r="ACO57" s="131"/>
      <c r="ACP57" s="131"/>
      <c r="ACQ57" s="131"/>
      <c r="ACR57" s="131"/>
      <c r="ACS57" s="131"/>
      <c r="ACT57" s="131"/>
      <c r="ACU57" s="131"/>
      <c r="ACV57" s="131"/>
      <c r="ACW57" s="131"/>
      <c r="ACX57" s="131"/>
      <c r="ACY57" s="131"/>
      <c r="ACZ57" s="131"/>
      <c r="ADA57" s="131"/>
      <c r="ADB57" s="131"/>
      <c r="ADC57" s="131"/>
      <c r="ADD57" s="131"/>
      <c r="ADE57" s="131"/>
      <c r="ADF57" s="131"/>
      <c r="ADG57" s="131"/>
      <c r="ADH57" s="131"/>
      <c r="ADI57" s="131"/>
      <c r="ADJ57" s="131"/>
      <c r="ADK57" s="131"/>
      <c r="ADL57" s="131"/>
      <c r="ADM57" s="131"/>
      <c r="ADN57" s="131"/>
      <c r="ADO57" s="131"/>
      <c r="ADP57" s="131"/>
      <c r="ADQ57" s="131"/>
      <c r="ADR57" s="131"/>
      <c r="ADS57" s="131"/>
      <c r="ADT57" s="131"/>
      <c r="ADU57" s="131"/>
      <c r="ADV57" s="131"/>
      <c r="ADW57" s="131"/>
      <c r="ADX57" s="131"/>
      <c r="ADY57" s="131"/>
      <c r="ADZ57" s="131"/>
      <c r="AEA57" s="131"/>
      <c r="AEB57" s="131"/>
      <c r="AEC57" s="131"/>
      <c r="AED57" s="131"/>
      <c r="AEE57" s="131"/>
      <c r="AEF57" s="131"/>
      <c r="AEG57" s="131"/>
      <c r="AEH57" s="131"/>
      <c r="AEI57" s="131"/>
      <c r="AEJ57" s="131"/>
      <c r="AEK57" s="131"/>
      <c r="AEL57" s="131"/>
      <c r="AEM57" s="131"/>
      <c r="AEN57" s="131"/>
      <c r="AEO57" s="131"/>
      <c r="AEP57" s="131"/>
      <c r="AEQ57" s="131"/>
      <c r="AER57" s="131"/>
      <c r="AES57" s="131"/>
      <c r="AET57" s="131"/>
      <c r="AEU57" s="131"/>
      <c r="AEV57" s="131"/>
      <c r="AEW57" s="131"/>
      <c r="AEX57" s="131"/>
      <c r="AEY57" s="131"/>
      <c r="AEZ57" s="131"/>
      <c r="AFA57" s="131"/>
      <c r="AFB57" s="131"/>
      <c r="AFC57" s="131"/>
      <c r="AFD57" s="131"/>
      <c r="AFE57" s="131"/>
      <c r="AFF57" s="131"/>
      <c r="AFG57" s="131"/>
      <c r="AFH57" s="131"/>
      <c r="AFI57" s="131"/>
      <c r="AFJ57" s="131"/>
      <c r="AFK57" s="131"/>
      <c r="APO57" s="130"/>
      <c r="APP57" s="130"/>
      <c r="APQ57" s="130"/>
      <c r="APR57" s="130"/>
      <c r="APS57" s="130"/>
      <c r="APT57" s="130"/>
      <c r="APU57" s="130"/>
      <c r="APV57" s="130"/>
      <c r="APW57" s="130"/>
      <c r="APX57" s="130"/>
      <c r="APY57" s="130"/>
      <c r="APZ57" s="130"/>
      <c r="AQA57" s="130"/>
      <c r="AQB57" s="130"/>
      <c r="AQC57" s="130"/>
      <c r="AQD57" s="130"/>
      <c r="AQE57" s="130"/>
      <c r="AQF57" s="130"/>
      <c r="AQG57" s="130"/>
      <c r="AQH57" s="130"/>
      <c r="AQI57" s="130"/>
      <c r="AQJ57" s="130"/>
      <c r="AQK57" s="130"/>
      <c r="AQL57" s="130"/>
      <c r="AQM57" s="130"/>
      <c r="AQN57" s="130"/>
      <c r="AQO57" s="130"/>
      <c r="AQP57" s="130"/>
      <c r="AQQ57" s="130"/>
      <c r="AQR57" s="130"/>
      <c r="AQS57" s="130"/>
      <c r="AQT57" s="130"/>
      <c r="AQU57" s="130"/>
      <c r="AQV57" s="130"/>
      <c r="AQW57" s="130"/>
      <c r="AQX57" s="130"/>
      <c r="AQY57" s="130"/>
      <c r="AQZ57" s="130"/>
      <c r="ARA57" s="130"/>
      <c r="ARB57" s="130"/>
      <c r="ARC57" s="130"/>
      <c r="ARD57" s="130"/>
      <c r="ARE57" s="130"/>
      <c r="ARF57" s="130"/>
      <c r="ARG57" s="130"/>
      <c r="ARH57" s="130"/>
      <c r="ARI57" s="130"/>
      <c r="ARJ57" s="130"/>
      <c r="ARK57" s="130"/>
      <c r="ARL57" s="130"/>
      <c r="ARM57" s="130"/>
      <c r="ARN57" s="130"/>
      <c r="ARO57" s="130"/>
      <c r="ARP57" s="130"/>
      <c r="ARQ57" s="130"/>
      <c r="ARR57" s="130"/>
      <c r="ARS57" s="130"/>
      <c r="ART57" s="130"/>
      <c r="ARU57" s="130"/>
      <c r="ARV57" s="130"/>
      <c r="ARW57" s="130"/>
      <c r="ARX57" s="130"/>
      <c r="ARY57" s="130"/>
      <c r="ARZ57" s="130"/>
      <c r="ASA57" s="130"/>
      <c r="ASB57" s="130"/>
      <c r="ASC57" s="130"/>
      <c r="ASD57" s="130"/>
      <c r="ASE57" s="130"/>
      <c r="ASF57" s="130"/>
      <c r="ASG57" s="130"/>
      <c r="ASH57" s="130"/>
      <c r="ASI57" s="130"/>
      <c r="ASJ57" s="130"/>
      <c r="ASK57" s="130"/>
      <c r="ASL57" s="130"/>
      <c r="ASM57" s="130"/>
      <c r="ASN57" s="130"/>
      <c r="ASO57" s="130"/>
      <c r="ASP57" s="130"/>
      <c r="ASQ57" s="130"/>
      <c r="ASR57" s="130"/>
      <c r="ASS57" s="130"/>
      <c r="AST57" s="130"/>
      <c r="ASU57" s="130"/>
      <c r="ASV57" s="130"/>
      <c r="ASW57" s="130"/>
      <c r="AVZ57" s="129">
        <v>38</v>
      </c>
      <c r="AWA57" s="129">
        <v>49</v>
      </c>
      <c r="AWB57" s="129">
        <v>50</v>
      </c>
      <c r="AWC57" s="129">
        <v>53</v>
      </c>
      <c r="AWD57" s="128" t="s">
        <v>3843</v>
      </c>
    </row>
    <row r="58" spans="1:1296" s="129" customFormat="1" ht="38.25" outlineLevel="1">
      <c r="A58" s="137" t="s">
        <v>236</v>
      </c>
      <c r="B58" s="139" t="s">
        <v>325</v>
      </c>
      <c r="C58" s="139" t="s">
        <v>326</v>
      </c>
      <c r="D58" s="139" t="s">
        <v>327</v>
      </c>
      <c r="E58" s="137">
        <v>79</v>
      </c>
      <c r="F58" s="138" t="s">
        <v>148</v>
      </c>
      <c r="G58" s="136" t="s">
        <v>173</v>
      </c>
      <c r="H58" s="136" t="s">
        <v>366</v>
      </c>
      <c r="I58" s="136" t="s">
        <v>13</v>
      </c>
      <c r="J58" s="136" t="s">
        <v>13</v>
      </c>
      <c r="K58" s="136" t="s">
        <v>13</v>
      </c>
      <c r="L58" s="136" t="s">
        <v>366</v>
      </c>
      <c r="M58" s="136"/>
      <c r="N58" s="136" t="s">
        <v>13</v>
      </c>
      <c r="O58" s="138"/>
      <c r="HT58" s="128">
        <v>-1</v>
      </c>
      <c r="HU58" s="128">
        <v>-1</v>
      </c>
      <c r="HV58" s="129">
        <v>-1</v>
      </c>
      <c r="IE58" s="129" t="s">
        <v>3843</v>
      </c>
      <c r="IM58" s="129">
        <v>-1</v>
      </c>
      <c r="IN58" s="129">
        <v>-1</v>
      </c>
      <c r="IU58" s="129">
        <v>-1</v>
      </c>
      <c r="IV58" s="128">
        <v>-1</v>
      </c>
      <c r="IW58" s="129">
        <v>-1</v>
      </c>
      <c r="JF58" s="129" t="s">
        <v>3843</v>
      </c>
      <c r="JH58" s="128">
        <v>-1</v>
      </c>
      <c r="JI58" s="128">
        <v>-1</v>
      </c>
      <c r="JJ58" s="128">
        <v>-1</v>
      </c>
      <c r="JK58" s="128">
        <v>-1</v>
      </c>
      <c r="JL58" s="128">
        <v>-1</v>
      </c>
      <c r="JM58" s="129" t="s">
        <v>3843</v>
      </c>
      <c r="JS58" s="128">
        <v>-1</v>
      </c>
      <c r="JT58" s="128">
        <v>-1</v>
      </c>
      <c r="JU58" s="129" t="s">
        <v>3843</v>
      </c>
      <c r="KC58" s="128">
        <v>-1</v>
      </c>
      <c r="KH58" s="129">
        <v>-1</v>
      </c>
      <c r="KI58" s="129">
        <v>-1</v>
      </c>
      <c r="KJ58" s="156" t="s">
        <v>3843</v>
      </c>
      <c r="KN58" s="129">
        <v>-1</v>
      </c>
      <c r="KO58" s="129">
        <v>-1</v>
      </c>
      <c r="KP58" s="156" t="s">
        <v>3843</v>
      </c>
      <c r="LK58" s="135"/>
      <c r="LL58" s="135"/>
      <c r="LM58" s="135"/>
      <c r="LN58" s="135"/>
      <c r="LO58" s="135"/>
      <c r="LU58" s="135"/>
      <c r="LV58" s="135"/>
      <c r="LW58" s="135"/>
      <c r="LX58" s="135"/>
      <c r="LY58" s="135"/>
      <c r="LZ58" s="135"/>
      <c r="MA58" s="135"/>
      <c r="MB58" s="135"/>
      <c r="MC58" s="135"/>
      <c r="MD58" s="135"/>
      <c r="ME58" s="135"/>
      <c r="MF58" s="135"/>
      <c r="MG58" s="135"/>
      <c r="MH58" s="129">
        <v>-1</v>
      </c>
      <c r="MK58" s="129">
        <v>-1</v>
      </c>
      <c r="ML58" s="129">
        <v>-2</v>
      </c>
      <c r="MM58" s="129">
        <v>-1</v>
      </c>
      <c r="MN58" s="129" t="s">
        <v>3843</v>
      </c>
      <c r="MQ58" s="132"/>
      <c r="MR58" s="132"/>
      <c r="MS58" s="132"/>
      <c r="MT58" s="132"/>
      <c r="MU58" s="132"/>
      <c r="MV58" s="132"/>
      <c r="MW58" s="132"/>
      <c r="MX58" s="132"/>
      <c r="MY58" s="132"/>
      <c r="NB58" s="135"/>
      <c r="NC58" s="135"/>
      <c r="ND58" s="135"/>
      <c r="NE58" s="135"/>
      <c r="NF58" s="135"/>
      <c r="NL58" s="132"/>
      <c r="NM58" s="132"/>
      <c r="NN58" s="132"/>
      <c r="NO58" s="132"/>
      <c r="NP58" s="132"/>
      <c r="PC58" s="129">
        <v>-1</v>
      </c>
      <c r="PD58" s="129">
        <v>-4</v>
      </c>
      <c r="PE58" s="129">
        <v>0</v>
      </c>
      <c r="PF58" s="129" t="s">
        <v>3843</v>
      </c>
      <c r="PN58" s="129">
        <v>-1</v>
      </c>
      <c r="PO58" s="129">
        <v>-4</v>
      </c>
      <c r="PP58" s="129">
        <v>0</v>
      </c>
      <c r="PQ58" s="129" t="s">
        <v>3843</v>
      </c>
      <c r="QI58" s="129">
        <v>-1</v>
      </c>
      <c r="QJ58" s="129">
        <v>-1</v>
      </c>
      <c r="QK58" s="156" t="s">
        <v>3843</v>
      </c>
      <c r="QN58" s="129">
        <v>-2</v>
      </c>
      <c r="QO58" s="129">
        <v>0</v>
      </c>
      <c r="QR58" s="129" t="s">
        <v>3843</v>
      </c>
      <c r="QS58" s="129">
        <v>-2</v>
      </c>
      <c r="QT58" s="129">
        <v>0</v>
      </c>
      <c r="QV58" s="129" t="s">
        <v>3843</v>
      </c>
      <c r="RQ58" s="134"/>
      <c r="RR58" s="134"/>
      <c r="RS58" s="134"/>
      <c r="RT58" s="134"/>
      <c r="TD58" s="133"/>
      <c r="TE58" s="132"/>
      <c r="TF58" s="132"/>
      <c r="TT58" s="129">
        <v>-1</v>
      </c>
      <c r="TU58" s="129">
        <v>-1</v>
      </c>
      <c r="TV58" s="129">
        <v>-1</v>
      </c>
      <c r="TW58" s="156" t="s">
        <v>3843</v>
      </c>
      <c r="TX58" s="132"/>
      <c r="TY58" s="132"/>
      <c r="TZ58" s="132"/>
      <c r="UP58" s="129">
        <v>-1</v>
      </c>
      <c r="US58" s="129" t="s">
        <v>3843</v>
      </c>
      <c r="VE58" s="129">
        <v>-1</v>
      </c>
      <c r="VF58" s="129">
        <v>-2</v>
      </c>
      <c r="VJ58" s="129">
        <v>-1</v>
      </c>
      <c r="VL58" s="132"/>
      <c r="VM58" s="132"/>
      <c r="VN58" s="132"/>
      <c r="VO58" s="132"/>
      <c r="VR58" s="131"/>
      <c r="VS58" s="131"/>
      <c r="VT58" s="131"/>
      <c r="VU58" s="131"/>
      <c r="VV58" s="131"/>
      <c r="VW58" s="131"/>
      <c r="VX58" s="131"/>
      <c r="VY58" s="131"/>
      <c r="VZ58" s="131"/>
      <c r="WA58" s="131"/>
      <c r="WB58" s="131"/>
      <c r="WC58" s="131"/>
      <c r="WD58" s="131"/>
      <c r="WE58" s="131"/>
      <c r="WF58" s="131"/>
      <c r="WG58" s="131"/>
      <c r="WH58" s="131"/>
      <c r="WI58" s="131"/>
      <c r="WJ58" s="131"/>
      <c r="WK58" s="131"/>
      <c r="WL58" s="131"/>
      <c r="WM58" s="131"/>
      <c r="WN58" s="131"/>
      <c r="WO58" s="131"/>
      <c r="WP58" s="131"/>
      <c r="WQ58" s="131"/>
      <c r="WR58" s="131"/>
      <c r="WS58" s="131"/>
      <c r="WT58" s="131"/>
      <c r="WU58" s="131"/>
      <c r="WV58" s="131"/>
      <c r="WW58" s="131"/>
      <c r="WX58" s="131"/>
      <c r="WY58" s="131"/>
      <c r="WZ58" s="131"/>
      <c r="XA58" s="131"/>
      <c r="XB58" s="131"/>
      <c r="XC58" s="131"/>
      <c r="XD58" s="131"/>
      <c r="XE58" s="131"/>
      <c r="XF58" s="131"/>
      <c r="XG58" s="131"/>
      <c r="XH58" s="131"/>
      <c r="XI58" s="131"/>
      <c r="XJ58" s="131"/>
      <c r="XK58" s="131"/>
      <c r="XL58" s="131"/>
      <c r="XM58" s="131"/>
      <c r="XN58" s="131"/>
      <c r="XO58" s="131"/>
      <c r="XP58" s="131"/>
      <c r="XQ58" s="131"/>
      <c r="XR58" s="131"/>
      <c r="XS58" s="131"/>
      <c r="XT58" s="131"/>
      <c r="XU58" s="131"/>
      <c r="XV58" s="131"/>
      <c r="XW58" s="131"/>
      <c r="XX58" s="131"/>
      <c r="XY58" s="131"/>
      <c r="XZ58" s="131"/>
      <c r="YA58" s="131"/>
      <c r="YB58" s="131"/>
      <c r="YC58" s="131"/>
      <c r="YD58" s="131"/>
      <c r="YE58" s="131"/>
      <c r="YF58" s="131"/>
      <c r="YG58" s="131"/>
      <c r="YH58" s="131"/>
      <c r="YI58" s="131"/>
      <c r="YJ58" s="131"/>
      <c r="YK58" s="131"/>
      <c r="YL58" s="131"/>
      <c r="YM58" s="131"/>
      <c r="YN58" s="131"/>
      <c r="YO58" s="131"/>
      <c r="YP58" s="131"/>
      <c r="YQ58" s="131"/>
      <c r="YR58" s="131"/>
      <c r="YS58" s="131"/>
      <c r="YT58" s="131"/>
      <c r="YU58" s="131"/>
      <c r="YV58" s="131"/>
      <c r="YW58" s="131"/>
      <c r="YX58" s="131"/>
      <c r="YY58" s="131"/>
      <c r="YZ58" s="131"/>
      <c r="ZA58" s="131"/>
      <c r="ZB58" s="131"/>
      <c r="ZC58" s="131"/>
      <c r="ZD58" s="131"/>
      <c r="ZE58" s="131"/>
      <c r="ZF58" s="131"/>
      <c r="ZG58" s="131"/>
      <c r="ZH58" s="131"/>
      <c r="ZI58" s="131"/>
      <c r="ZJ58" s="131"/>
      <c r="ZK58" s="131"/>
      <c r="ZL58" s="131"/>
      <c r="ZM58" s="131"/>
      <c r="ZN58" s="131"/>
      <c r="ZO58" s="131"/>
      <c r="ZP58" s="131"/>
      <c r="ZQ58" s="131"/>
      <c r="ZR58" s="131"/>
      <c r="ZS58" s="131"/>
      <c r="ZT58" s="131"/>
      <c r="ZU58" s="131"/>
      <c r="ZV58" s="131"/>
      <c r="ZW58" s="131"/>
      <c r="ZX58" s="131"/>
      <c r="ZY58" s="131"/>
      <c r="ZZ58" s="131"/>
      <c r="AAA58" s="131"/>
      <c r="AAB58" s="131"/>
      <c r="AAC58" s="131"/>
      <c r="AAD58" s="131"/>
      <c r="AAE58" s="131"/>
      <c r="AAF58" s="131"/>
      <c r="AAG58" s="131"/>
      <c r="AAH58" s="131"/>
      <c r="AAJ58" s="131"/>
      <c r="AAK58" s="131"/>
      <c r="AAL58" s="131"/>
      <c r="AAM58" s="131"/>
      <c r="AAN58" s="131"/>
      <c r="AAO58" s="131"/>
      <c r="AAP58" s="131"/>
      <c r="AAQ58" s="131"/>
      <c r="AAR58" s="131"/>
      <c r="AAS58" s="131"/>
      <c r="AAT58" s="131"/>
      <c r="AAU58" s="131"/>
      <c r="AAV58" s="131"/>
      <c r="AAW58" s="131"/>
      <c r="AAX58" s="131"/>
      <c r="AAY58" s="131"/>
      <c r="AAZ58" s="131"/>
      <c r="ABA58" s="131"/>
      <c r="ABB58" s="131"/>
      <c r="ABC58" s="131"/>
      <c r="ABD58" s="131"/>
      <c r="ABE58" s="131"/>
      <c r="ABF58" s="131"/>
      <c r="ABG58" s="131"/>
      <c r="ABH58" s="131"/>
      <c r="ABI58" s="131"/>
      <c r="ABJ58" s="131"/>
      <c r="ABK58" s="131"/>
      <c r="ABL58" s="131"/>
      <c r="ABM58" s="131"/>
      <c r="ABN58" s="131"/>
      <c r="ABO58" s="131"/>
      <c r="ABP58" s="131"/>
      <c r="ABQ58" s="131"/>
      <c r="ABR58" s="131"/>
      <c r="ABS58" s="131"/>
      <c r="ABT58" s="131"/>
      <c r="ABU58" s="131"/>
      <c r="ABV58" s="131"/>
      <c r="ABW58" s="131"/>
      <c r="ABX58" s="131"/>
      <c r="ABY58" s="131"/>
      <c r="ABZ58" s="131"/>
      <c r="ACA58" s="131"/>
      <c r="ACB58" s="131"/>
      <c r="ACC58" s="131"/>
      <c r="ACD58" s="131"/>
      <c r="ACE58" s="131"/>
      <c r="ACF58" s="131"/>
      <c r="ACG58" s="131"/>
      <c r="ACH58" s="131"/>
      <c r="ACI58" s="131"/>
      <c r="ACJ58" s="131"/>
      <c r="ACK58" s="131"/>
      <c r="ACL58" s="131"/>
      <c r="ACM58" s="131"/>
      <c r="ACN58" s="131"/>
      <c r="ACO58" s="131"/>
      <c r="ACP58" s="131"/>
      <c r="ACQ58" s="131"/>
      <c r="ACR58" s="131"/>
      <c r="ACS58" s="131"/>
      <c r="ACT58" s="131"/>
      <c r="ACU58" s="131"/>
      <c r="ACV58" s="131"/>
      <c r="ACW58" s="131"/>
      <c r="ACX58" s="131"/>
      <c r="ACY58" s="131"/>
      <c r="ACZ58" s="131"/>
      <c r="ADA58" s="131"/>
      <c r="ADB58" s="131"/>
      <c r="ADC58" s="131"/>
      <c r="ADD58" s="131"/>
      <c r="ADE58" s="131"/>
      <c r="ADF58" s="131"/>
      <c r="ADG58" s="131"/>
      <c r="ADH58" s="131"/>
      <c r="ADI58" s="131"/>
      <c r="ADJ58" s="131"/>
      <c r="ADK58" s="131"/>
      <c r="ADL58" s="131"/>
      <c r="ADM58" s="131"/>
      <c r="ADN58" s="131"/>
      <c r="ADO58" s="131"/>
      <c r="ADP58" s="131"/>
      <c r="ADQ58" s="131"/>
      <c r="ADR58" s="131"/>
      <c r="ADS58" s="131"/>
      <c r="ADT58" s="131"/>
      <c r="ADU58" s="131"/>
      <c r="ADV58" s="131"/>
      <c r="ADW58" s="131"/>
      <c r="ADX58" s="131"/>
      <c r="ADY58" s="131"/>
      <c r="ADZ58" s="131"/>
      <c r="AEA58" s="131"/>
      <c r="AEB58" s="131"/>
      <c r="AEC58" s="131"/>
      <c r="AED58" s="131"/>
      <c r="AEE58" s="131"/>
      <c r="AEF58" s="131"/>
      <c r="AEG58" s="131"/>
      <c r="AEH58" s="131"/>
      <c r="AEI58" s="131"/>
      <c r="AEJ58" s="131"/>
      <c r="AEK58" s="131"/>
      <c r="AEL58" s="131"/>
      <c r="AEM58" s="131"/>
      <c r="AEN58" s="131"/>
      <c r="AEO58" s="131"/>
      <c r="AEP58" s="131"/>
      <c r="AEQ58" s="131"/>
      <c r="AER58" s="131"/>
      <c r="AES58" s="131"/>
      <c r="AET58" s="131"/>
      <c r="AEU58" s="131"/>
      <c r="AEV58" s="131"/>
      <c r="AEW58" s="131"/>
      <c r="AEX58" s="131"/>
      <c r="AEY58" s="131"/>
      <c r="AEZ58" s="131"/>
      <c r="AFA58" s="131"/>
      <c r="AFB58" s="131"/>
      <c r="AFC58" s="131"/>
      <c r="AFD58" s="131"/>
      <c r="AFE58" s="131"/>
      <c r="AFF58" s="131"/>
      <c r="AFG58" s="131"/>
      <c r="AFH58" s="131"/>
      <c r="AFI58" s="131"/>
      <c r="AFJ58" s="131"/>
      <c r="AFK58" s="131"/>
      <c r="APO58" s="130"/>
      <c r="APP58" s="130"/>
      <c r="APQ58" s="130"/>
      <c r="APR58" s="130"/>
      <c r="APS58" s="130"/>
      <c r="APT58" s="130"/>
      <c r="APU58" s="130"/>
      <c r="APV58" s="130"/>
      <c r="APW58" s="130"/>
      <c r="APX58" s="130"/>
      <c r="APY58" s="130"/>
      <c r="APZ58" s="130"/>
      <c r="AQA58" s="130"/>
      <c r="AQB58" s="130"/>
      <c r="AQC58" s="130"/>
      <c r="AQD58" s="130"/>
      <c r="AQE58" s="130"/>
      <c r="AQF58" s="130"/>
      <c r="AQG58" s="130"/>
      <c r="AQH58" s="130"/>
      <c r="AQI58" s="130"/>
      <c r="AQJ58" s="130"/>
      <c r="AQK58" s="130"/>
      <c r="AQL58" s="130"/>
      <c r="AQM58" s="130"/>
      <c r="AQN58" s="130"/>
      <c r="AQO58" s="130"/>
      <c r="AQP58" s="130"/>
      <c r="AQQ58" s="130"/>
      <c r="AQR58" s="130"/>
      <c r="AQS58" s="130"/>
      <c r="AQT58" s="130"/>
      <c r="AQU58" s="130"/>
      <c r="AQV58" s="130"/>
      <c r="AQW58" s="130"/>
      <c r="AQX58" s="130"/>
      <c r="AQY58" s="130"/>
      <c r="AQZ58" s="130"/>
      <c r="ARA58" s="130"/>
      <c r="ARB58" s="130"/>
      <c r="ARC58" s="130"/>
      <c r="ARD58" s="130"/>
      <c r="ARE58" s="130"/>
      <c r="ARF58" s="130"/>
      <c r="ARG58" s="130"/>
      <c r="ARH58" s="130"/>
      <c r="ARI58" s="130"/>
      <c r="ARJ58" s="130"/>
      <c r="ARK58" s="130"/>
      <c r="ARL58" s="130"/>
      <c r="ARM58" s="130"/>
      <c r="ARN58" s="130"/>
      <c r="ARO58" s="130"/>
      <c r="ARP58" s="130"/>
      <c r="ARQ58" s="130"/>
      <c r="ARR58" s="130"/>
      <c r="ARS58" s="130"/>
      <c r="ART58" s="130"/>
      <c r="ARU58" s="130"/>
      <c r="ARV58" s="130"/>
      <c r="ARW58" s="130"/>
      <c r="ARX58" s="130"/>
      <c r="ARY58" s="130"/>
      <c r="ARZ58" s="130"/>
      <c r="ASA58" s="130"/>
      <c r="ASB58" s="130"/>
      <c r="ASC58" s="130"/>
      <c r="ASD58" s="130"/>
      <c r="ASE58" s="130"/>
      <c r="ASF58" s="130"/>
      <c r="ASG58" s="130"/>
      <c r="ASH58" s="130"/>
      <c r="ASI58" s="130"/>
      <c r="ASJ58" s="130"/>
      <c r="ASK58" s="130"/>
      <c r="ASL58" s="130"/>
      <c r="ASM58" s="130"/>
      <c r="ASN58" s="130"/>
      <c r="ASO58" s="130"/>
      <c r="ASP58" s="130"/>
      <c r="ASQ58" s="130"/>
      <c r="ASR58" s="130"/>
      <c r="ASS58" s="130"/>
      <c r="AST58" s="130"/>
      <c r="ASU58" s="130"/>
      <c r="ASV58" s="130"/>
      <c r="ASW58" s="130"/>
      <c r="AVZ58" s="129">
        <v>-3</v>
      </c>
      <c r="AWA58" s="129">
        <v>-3</v>
      </c>
      <c r="AWB58" s="129">
        <v>-3</v>
      </c>
      <c r="AWC58" s="129">
        <v>-2</v>
      </c>
      <c r="AWD58" s="128" t="s">
        <v>3843</v>
      </c>
    </row>
    <row r="59" spans="1:1296" s="129" customFormat="1" ht="41.25" outlineLevel="1">
      <c r="A59" s="137" t="s">
        <v>236</v>
      </c>
      <c r="B59" s="139" t="s">
        <v>328</v>
      </c>
      <c r="C59" s="139" t="s">
        <v>3937</v>
      </c>
      <c r="D59" s="139" t="s">
        <v>3936</v>
      </c>
      <c r="E59" s="137">
        <v>80</v>
      </c>
      <c r="F59" s="138" t="s">
        <v>148</v>
      </c>
      <c r="G59" s="136" t="s">
        <v>173</v>
      </c>
      <c r="H59" s="136" t="s">
        <v>366</v>
      </c>
      <c r="I59" s="136" t="s">
        <v>13</v>
      </c>
      <c r="J59" s="136" t="s">
        <v>13</v>
      </c>
      <c r="K59" s="136" t="s">
        <v>13</v>
      </c>
      <c r="L59" s="136" t="s">
        <v>366</v>
      </c>
      <c r="M59" s="136"/>
      <c r="N59" s="136" t="s">
        <v>13</v>
      </c>
      <c r="O59" s="138"/>
      <c r="HT59" s="128">
        <v>-5</v>
      </c>
      <c r="HU59" s="128">
        <v>-5</v>
      </c>
      <c r="HV59" s="129">
        <v>-5</v>
      </c>
      <c r="IE59" s="129" t="s">
        <v>3843</v>
      </c>
      <c r="IM59" s="129">
        <v>-5</v>
      </c>
      <c r="IN59" s="129">
        <v>-3</v>
      </c>
      <c r="IU59" s="129">
        <v>-5</v>
      </c>
      <c r="IV59" s="128">
        <v>-5</v>
      </c>
      <c r="IW59" s="129">
        <v>-5</v>
      </c>
      <c r="JF59" s="129" t="s">
        <v>3843</v>
      </c>
      <c r="JH59" s="128">
        <v>-5</v>
      </c>
      <c r="JI59" s="128">
        <v>-5</v>
      </c>
      <c r="JJ59" s="128">
        <v>-5</v>
      </c>
      <c r="JK59" s="128">
        <v>-5</v>
      </c>
      <c r="JL59" s="128">
        <v>-5</v>
      </c>
      <c r="JM59" s="129" t="s">
        <v>3843</v>
      </c>
      <c r="JS59" s="128">
        <v>-5</v>
      </c>
      <c r="JT59" s="128">
        <v>-5</v>
      </c>
      <c r="JU59" s="129" t="s">
        <v>3843</v>
      </c>
      <c r="KC59" s="128">
        <v>-5</v>
      </c>
      <c r="KH59" s="129">
        <v>-3</v>
      </c>
      <c r="KI59" s="129">
        <v>-4</v>
      </c>
      <c r="KJ59" s="156" t="s">
        <v>3843</v>
      </c>
      <c r="KN59" s="129">
        <v>-3</v>
      </c>
      <c r="KO59" s="129">
        <v>-4</v>
      </c>
      <c r="KP59" s="156" t="s">
        <v>3843</v>
      </c>
      <c r="LK59" s="135"/>
      <c r="LL59" s="135"/>
      <c r="LM59" s="135"/>
      <c r="LN59" s="135"/>
      <c r="LO59" s="135"/>
      <c r="LU59" s="135"/>
      <c r="LV59" s="135"/>
      <c r="LW59" s="135"/>
      <c r="LX59" s="135"/>
      <c r="LY59" s="135"/>
      <c r="LZ59" s="135"/>
      <c r="MA59" s="135"/>
      <c r="MB59" s="135"/>
      <c r="MC59" s="135"/>
      <c r="MD59" s="135"/>
      <c r="ME59" s="135"/>
      <c r="MF59" s="135"/>
      <c r="MG59" s="135"/>
      <c r="MH59" s="129">
        <v>-2</v>
      </c>
      <c r="MK59" s="129">
        <v>-4</v>
      </c>
      <c r="ML59" s="129">
        <v>-4</v>
      </c>
      <c r="MM59" s="129">
        <v>-3</v>
      </c>
      <c r="MN59" s="129" t="s">
        <v>3843</v>
      </c>
      <c r="MQ59" s="132"/>
      <c r="MR59" s="132"/>
      <c r="MS59" s="132"/>
      <c r="MT59" s="132"/>
      <c r="MU59" s="132"/>
      <c r="MV59" s="132"/>
      <c r="MW59" s="132"/>
      <c r="MX59" s="132"/>
      <c r="MY59" s="132"/>
      <c r="NB59" s="135"/>
      <c r="NC59" s="135"/>
      <c r="ND59" s="135"/>
      <c r="NE59" s="135"/>
      <c r="NF59" s="135"/>
      <c r="NL59" s="132"/>
      <c r="NM59" s="132"/>
      <c r="NN59" s="132"/>
      <c r="NO59" s="132"/>
      <c r="NP59" s="132"/>
      <c r="PC59" s="129">
        <v>-2</v>
      </c>
      <c r="PD59" s="129">
        <v>-11</v>
      </c>
      <c r="PE59" s="129">
        <v>-2</v>
      </c>
      <c r="PF59" s="129" t="s">
        <v>3843</v>
      </c>
      <c r="PN59" s="129">
        <v>-2</v>
      </c>
      <c r="PO59" s="129">
        <v>-11</v>
      </c>
      <c r="PP59" s="129">
        <v>-2</v>
      </c>
      <c r="PQ59" s="129" t="s">
        <v>3843</v>
      </c>
      <c r="QI59" s="129">
        <v>-2</v>
      </c>
      <c r="QJ59" s="129">
        <v>-2</v>
      </c>
      <c r="QK59" s="156" t="s">
        <v>3843</v>
      </c>
      <c r="QN59" s="129">
        <v>-7</v>
      </c>
      <c r="QO59" s="129">
        <v>-2</v>
      </c>
      <c r="QR59" s="129" t="s">
        <v>3843</v>
      </c>
      <c r="QS59" s="129">
        <v>-7</v>
      </c>
      <c r="QT59" s="129">
        <v>-2</v>
      </c>
      <c r="QV59" s="129" t="s">
        <v>3843</v>
      </c>
      <c r="RQ59" s="134"/>
      <c r="RR59" s="134"/>
      <c r="RS59" s="134"/>
      <c r="RT59" s="134"/>
      <c r="TD59" s="133"/>
      <c r="TE59" s="132"/>
      <c r="TF59" s="132"/>
      <c r="TT59" s="129">
        <v>-2</v>
      </c>
      <c r="TU59" s="129">
        <v>-2</v>
      </c>
      <c r="TV59" s="129">
        <v>-2</v>
      </c>
      <c r="TW59" s="156" t="s">
        <v>3843</v>
      </c>
      <c r="TX59" s="132"/>
      <c r="TY59" s="132"/>
      <c r="TZ59" s="132"/>
      <c r="UP59" s="129">
        <v>-2</v>
      </c>
      <c r="US59" s="129" t="s">
        <v>3843</v>
      </c>
      <c r="VE59" s="129">
        <v>-2</v>
      </c>
      <c r="VF59" s="129">
        <v>-7</v>
      </c>
      <c r="VJ59" s="129">
        <v>-2</v>
      </c>
      <c r="VL59" s="132"/>
      <c r="VM59" s="132"/>
      <c r="VN59" s="132"/>
      <c r="VO59" s="132"/>
      <c r="VR59" s="131"/>
      <c r="VS59" s="131"/>
      <c r="VT59" s="131"/>
      <c r="VU59" s="131"/>
      <c r="VV59" s="131"/>
      <c r="VW59" s="131"/>
      <c r="VX59" s="131"/>
      <c r="VY59" s="131"/>
      <c r="VZ59" s="131"/>
      <c r="WA59" s="131"/>
      <c r="WB59" s="131"/>
      <c r="WC59" s="131"/>
      <c r="WD59" s="131"/>
      <c r="WE59" s="131"/>
      <c r="WF59" s="131"/>
      <c r="WG59" s="131"/>
      <c r="WH59" s="131"/>
      <c r="WI59" s="131"/>
      <c r="WJ59" s="131"/>
      <c r="WK59" s="131"/>
      <c r="WL59" s="131"/>
      <c r="WM59" s="131"/>
      <c r="WN59" s="131"/>
      <c r="WO59" s="131"/>
      <c r="WP59" s="131"/>
      <c r="WQ59" s="131"/>
      <c r="WR59" s="131"/>
      <c r="WS59" s="131"/>
      <c r="WT59" s="131"/>
      <c r="WU59" s="131"/>
      <c r="WV59" s="131"/>
      <c r="WW59" s="131"/>
      <c r="WX59" s="131"/>
      <c r="WY59" s="131"/>
      <c r="WZ59" s="131"/>
      <c r="XA59" s="131"/>
      <c r="XB59" s="131"/>
      <c r="XC59" s="131"/>
      <c r="XD59" s="131"/>
      <c r="XE59" s="131"/>
      <c r="XF59" s="131"/>
      <c r="XG59" s="131"/>
      <c r="XH59" s="131"/>
      <c r="XI59" s="131"/>
      <c r="XJ59" s="131"/>
      <c r="XK59" s="131"/>
      <c r="XL59" s="131"/>
      <c r="XM59" s="131"/>
      <c r="XN59" s="131"/>
      <c r="XO59" s="131"/>
      <c r="XP59" s="131"/>
      <c r="XQ59" s="131"/>
      <c r="XR59" s="131"/>
      <c r="XS59" s="131"/>
      <c r="XT59" s="131"/>
      <c r="XU59" s="131"/>
      <c r="XV59" s="131"/>
      <c r="XW59" s="131"/>
      <c r="XX59" s="131"/>
      <c r="XY59" s="131"/>
      <c r="XZ59" s="131"/>
      <c r="YA59" s="131"/>
      <c r="YB59" s="131"/>
      <c r="YC59" s="131"/>
      <c r="YD59" s="131"/>
      <c r="YE59" s="131"/>
      <c r="YF59" s="131"/>
      <c r="YG59" s="131"/>
      <c r="YH59" s="131"/>
      <c r="YI59" s="131"/>
      <c r="YJ59" s="131"/>
      <c r="YK59" s="131"/>
      <c r="YL59" s="131"/>
      <c r="YM59" s="131"/>
      <c r="YN59" s="131"/>
      <c r="YO59" s="131"/>
      <c r="YP59" s="131"/>
      <c r="YQ59" s="131"/>
      <c r="YR59" s="131"/>
      <c r="YS59" s="131"/>
      <c r="YT59" s="131"/>
      <c r="YU59" s="131"/>
      <c r="YV59" s="131"/>
      <c r="YW59" s="131"/>
      <c r="YX59" s="131"/>
      <c r="YY59" s="131"/>
      <c r="YZ59" s="131"/>
      <c r="ZA59" s="131"/>
      <c r="ZB59" s="131"/>
      <c r="ZC59" s="131"/>
      <c r="ZD59" s="131"/>
      <c r="ZE59" s="131"/>
      <c r="ZF59" s="131"/>
      <c r="ZG59" s="131"/>
      <c r="ZH59" s="131"/>
      <c r="ZI59" s="131"/>
      <c r="ZJ59" s="131"/>
      <c r="ZK59" s="131"/>
      <c r="ZL59" s="131"/>
      <c r="ZM59" s="131"/>
      <c r="ZN59" s="131"/>
      <c r="ZO59" s="131"/>
      <c r="ZP59" s="131"/>
      <c r="ZQ59" s="131"/>
      <c r="ZR59" s="131"/>
      <c r="ZS59" s="131"/>
      <c r="ZT59" s="131"/>
      <c r="ZU59" s="131"/>
      <c r="ZV59" s="131"/>
      <c r="ZW59" s="131"/>
      <c r="ZX59" s="131"/>
      <c r="ZY59" s="131"/>
      <c r="ZZ59" s="131"/>
      <c r="AAA59" s="131"/>
      <c r="AAB59" s="131"/>
      <c r="AAC59" s="131"/>
      <c r="AAD59" s="131"/>
      <c r="AAE59" s="131"/>
      <c r="AAF59" s="131"/>
      <c r="AAG59" s="131"/>
      <c r="AAH59" s="131"/>
      <c r="AAJ59" s="131"/>
      <c r="AAK59" s="131"/>
      <c r="AAL59" s="131"/>
      <c r="AAM59" s="131"/>
      <c r="AAN59" s="131"/>
      <c r="AAO59" s="131"/>
      <c r="AAP59" s="131"/>
      <c r="AAQ59" s="131"/>
      <c r="AAR59" s="131"/>
      <c r="AAS59" s="131"/>
      <c r="AAT59" s="131"/>
      <c r="AAU59" s="131"/>
      <c r="AAV59" s="131"/>
      <c r="AAW59" s="131"/>
      <c r="AAX59" s="131"/>
      <c r="AAY59" s="131"/>
      <c r="AAZ59" s="131"/>
      <c r="ABA59" s="131"/>
      <c r="ABB59" s="131"/>
      <c r="ABC59" s="131"/>
      <c r="ABD59" s="131"/>
      <c r="ABE59" s="131"/>
      <c r="ABF59" s="131"/>
      <c r="ABG59" s="131"/>
      <c r="ABH59" s="131"/>
      <c r="ABI59" s="131"/>
      <c r="ABJ59" s="131"/>
      <c r="ABK59" s="131"/>
      <c r="ABL59" s="131"/>
      <c r="ABM59" s="131"/>
      <c r="ABN59" s="131"/>
      <c r="ABO59" s="131"/>
      <c r="ABP59" s="131"/>
      <c r="ABQ59" s="131"/>
      <c r="ABR59" s="131"/>
      <c r="ABS59" s="131"/>
      <c r="ABT59" s="131"/>
      <c r="ABU59" s="131"/>
      <c r="ABV59" s="131"/>
      <c r="ABW59" s="131"/>
      <c r="ABX59" s="131"/>
      <c r="ABY59" s="131"/>
      <c r="ABZ59" s="131"/>
      <c r="ACA59" s="131"/>
      <c r="ACB59" s="131"/>
      <c r="ACC59" s="131"/>
      <c r="ACD59" s="131"/>
      <c r="ACE59" s="131"/>
      <c r="ACF59" s="131"/>
      <c r="ACG59" s="131"/>
      <c r="ACH59" s="131"/>
      <c r="ACI59" s="131"/>
      <c r="ACJ59" s="131"/>
      <c r="ACK59" s="131"/>
      <c r="ACL59" s="131"/>
      <c r="ACM59" s="131"/>
      <c r="ACN59" s="131"/>
      <c r="ACO59" s="131"/>
      <c r="ACP59" s="131"/>
      <c r="ACQ59" s="131"/>
      <c r="ACR59" s="131"/>
      <c r="ACS59" s="131"/>
      <c r="ACT59" s="131"/>
      <c r="ACU59" s="131"/>
      <c r="ACV59" s="131"/>
      <c r="ACW59" s="131"/>
      <c r="ACX59" s="131"/>
      <c r="ACY59" s="131"/>
      <c r="ACZ59" s="131"/>
      <c r="ADA59" s="131"/>
      <c r="ADB59" s="131"/>
      <c r="ADC59" s="131"/>
      <c r="ADD59" s="131"/>
      <c r="ADE59" s="131"/>
      <c r="ADF59" s="131"/>
      <c r="ADG59" s="131"/>
      <c r="ADH59" s="131"/>
      <c r="ADI59" s="131"/>
      <c r="ADJ59" s="131"/>
      <c r="ADK59" s="131"/>
      <c r="ADL59" s="131"/>
      <c r="ADM59" s="131"/>
      <c r="ADN59" s="131"/>
      <c r="ADO59" s="131"/>
      <c r="ADP59" s="131"/>
      <c r="ADQ59" s="131"/>
      <c r="ADR59" s="131"/>
      <c r="ADS59" s="131"/>
      <c r="ADT59" s="131"/>
      <c r="ADU59" s="131"/>
      <c r="ADV59" s="131"/>
      <c r="ADW59" s="131"/>
      <c r="ADX59" s="131"/>
      <c r="ADY59" s="131"/>
      <c r="ADZ59" s="131"/>
      <c r="AEA59" s="131"/>
      <c r="AEB59" s="131"/>
      <c r="AEC59" s="131"/>
      <c r="AED59" s="131"/>
      <c r="AEE59" s="131"/>
      <c r="AEF59" s="131"/>
      <c r="AEG59" s="131"/>
      <c r="AEH59" s="131"/>
      <c r="AEI59" s="131"/>
      <c r="AEJ59" s="131"/>
      <c r="AEK59" s="131"/>
      <c r="AEL59" s="131"/>
      <c r="AEM59" s="131"/>
      <c r="AEN59" s="131"/>
      <c r="AEO59" s="131"/>
      <c r="AEP59" s="131"/>
      <c r="AEQ59" s="131"/>
      <c r="AER59" s="131"/>
      <c r="AES59" s="131"/>
      <c r="AET59" s="131"/>
      <c r="AEU59" s="131"/>
      <c r="AEV59" s="131"/>
      <c r="AEW59" s="131"/>
      <c r="AEX59" s="131"/>
      <c r="AEY59" s="131"/>
      <c r="AEZ59" s="131"/>
      <c r="AFA59" s="131"/>
      <c r="AFB59" s="131"/>
      <c r="AFC59" s="131"/>
      <c r="AFD59" s="131"/>
      <c r="AFE59" s="131"/>
      <c r="AFF59" s="131"/>
      <c r="AFG59" s="131"/>
      <c r="AFH59" s="131"/>
      <c r="AFI59" s="131"/>
      <c r="AFJ59" s="131"/>
      <c r="AFK59" s="131"/>
      <c r="APO59" s="130"/>
      <c r="APP59" s="130"/>
      <c r="APQ59" s="130"/>
      <c r="APR59" s="130"/>
      <c r="APS59" s="130"/>
      <c r="APT59" s="130"/>
      <c r="APU59" s="130"/>
      <c r="APV59" s="130"/>
      <c r="APW59" s="130"/>
      <c r="APX59" s="130"/>
      <c r="APY59" s="130"/>
      <c r="APZ59" s="130"/>
      <c r="AQA59" s="130"/>
      <c r="AQB59" s="130"/>
      <c r="AQC59" s="130"/>
      <c r="AQD59" s="130"/>
      <c r="AQE59" s="130"/>
      <c r="AQF59" s="130"/>
      <c r="AQG59" s="130"/>
      <c r="AQH59" s="130"/>
      <c r="AQI59" s="130"/>
      <c r="AQJ59" s="130"/>
      <c r="AQK59" s="130"/>
      <c r="AQL59" s="130"/>
      <c r="AQM59" s="130"/>
      <c r="AQN59" s="130"/>
      <c r="AQO59" s="130"/>
      <c r="AQP59" s="130"/>
      <c r="AQQ59" s="130"/>
      <c r="AQR59" s="130"/>
      <c r="AQS59" s="130"/>
      <c r="AQT59" s="130"/>
      <c r="AQU59" s="130"/>
      <c r="AQV59" s="130"/>
      <c r="AQW59" s="130"/>
      <c r="AQX59" s="130"/>
      <c r="AQY59" s="130"/>
      <c r="AQZ59" s="130"/>
      <c r="ARA59" s="130"/>
      <c r="ARB59" s="130"/>
      <c r="ARC59" s="130"/>
      <c r="ARD59" s="130"/>
      <c r="ARE59" s="130"/>
      <c r="ARF59" s="130"/>
      <c r="ARG59" s="130"/>
      <c r="ARH59" s="130"/>
      <c r="ARI59" s="130"/>
      <c r="ARJ59" s="130"/>
      <c r="ARK59" s="130"/>
      <c r="ARL59" s="130"/>
      <c r="ARM59" s="130"/>
      <c r="ARN59" s="130"/>
      <c r="ARO59" s="130"/>
      <c r="ARP59" s="130"/>
      <c r="ARQ59" s="130"/>
      <c r="ARR59" s="130"/>
      <c r="ARS59" s="130"/>
      <c r="ART59" s="130"/>
      <c r="ARU59" s="130"/>
      <c r="ARV59" s="130"/>
      <c r="ARW59" s="130"/>
      <c r="ARX59" s="130"/>
      <c r="ARY59" s="130"/>
      <c r="ARZ59" s="130"/>
      <c r="ASA59" s="130"/>
      <c r="ASB59" s="130"/>
      <c r="ASC59" s="130"/>
      <c r="ASD59" s="130"/>
      <c r="ASE59" s="130"/>
      <c r="ASF59" s="130"/>
      <c r="ASG59" s="130"/>
      <c r="ASH59" s="130"/>
      <c r="ASI59" s="130"/>
      <c r="ASJ59" s="130"/>
      <c r="ASK59" s="130"/>
      <c r="ASL59" s="130"/>
      <c r="ASM59" s="130"/>
      <c r="ASN59" s="130"/>
      <c r="ASO59" s="130"/>
      <c r="ASP59" s="130"/>
      <c r="ASQ59" s="130"/>
      <c r="ASR59" s="130"/>
      <c r="ASS59" s="130"/>
      <c r="AST59" s="130"/>
      <c r="ASU59" s="130"/>
      <c r="ASV59" s="130"/>
      <c r="ASW59" s="130"/>
      <c r="AVZ59" s="129">
        <v>-9</v>
      </c>
      <c r="AWA59" s="129">
        <v>-9</v>
      </c>
      <c r="AWB59" s="129">
        <v>-9</v>
      </c>
      <c r="AWC59" s="129">
        <v>-8</v>
      </c>
      <c r="AWD59" s="128" t="s">
        <v>3843</v>
      </c>
    </row>
    <row r="60" spans="1:1296" s="129" customFormat="1" ht="28.5" outlineLevel="1">
      <c r="A60" s="137" t="s">
        <v>236</v>
      </c>
      <c r="B60" s="139" t="s">
        <v>329</v>
      </c>
      <c r="C60" s="139" t="s">
        <v>3935</v>
      </c>
      <c r="D60" s="139" t="s">
        <v>3934</v>
      </c>
      <c r="E60" s="137">
        <v>81</v>
      </c>
      <c r="F60" s="138" t="s">
        <v>148</v>
      </c>
      <c r="G60" s="136" t="s">
        <v>173</v>
      </c>
      <c r="H60" s="136" t="s">
        <v>366</v>
      </c>
      <c r="I60" s="136" t="s">
        <v>366</v>
      </c>
      <c r="J60" s="136" t="s">
        <v>366</v>
      </c>
      <c r="K60" s="136" t="s">
        <v>13</v>
      </c>
      <c r="L60" s="136" t="s">
        <v>366</v>
      </c>
      <c r="M60" s="136"/>
      <c r="N60" s="136" t="s">
        <v>13</v>
      </c>
      <c r="O60" s="138"/>
      <c r="LK60" s="135"/>
      <c r="LL60" s="135"/>
      <c r="LM60" s="135"/>
      <c r="LN60" s="135"/>
      <c r="LO60" s="135"/>
      <c r="LU60" s="135"/>
      <c r="LV60" s="135"/>
      <c r="LW60" s="135"/>
      <c r="LX60" s="135"/>
      <c r="LY60" s="135"/>
      <c r="LZ60" s="135"/>
      <c r="MA60" s="135"/>
      <c r="MB60" s="135"/>
      <c r="MC60" s="135"/>
      <c r="MD60" s="135"/>
      <c r="ME60" s="135"/>
      <c r="MF60" s="135"/>
      <c r="MG60" s="135"/>
      <c r="MQ60" s="132"/>
      <c r="MR60" s="132"/>
      <c r="MS60" s="132"/>
      <c r="MT60" s="132"/>
      <c r="MU60" s="132"/>
      <c r="MV60" s="132"/>
      <c r="MW60" s="132"/>
      <c r="MX60" s="132"/>
      <c r="MY60" s="132"/>
      <c r="NB60" s="135"/>
      <c r="NC60" s="135"/>
      <c r="ND60" s="135"/>
      <c r="NE60" s="135"/>
      <c r="NF60" s="135"/>
      <c r="NL60" s="132"/>
      <c r="NM60" s="132"/>
      <c r="NN60" s="132"/>
      <c r="NO60" s="132"/>
      <c r="NP60" s="132"/>
      <c r="PC60" s="129">
        <v>91</v>
      </c>
      <c r="PD60" s="129">
        <v>75</v>
      </c>
      <c r="PE60" s="129">
        <v>82</v>
      </c>
      <c r="PF60" s="129" t="s">
        <v>3843</v>
      </c>
      <c r="PN60" s="129">
        <v>91</v>
      </c>
      <c r="PO60" s="129">
        <v>75</v>
      </c>
      <c r="PP60" s="129">
        <v>82</v>
      </c>
      <c r="PQ60" s="129" t="s">
        <v>3843</v>
      </c>
      <c r="QK60" s="156" t="s">
        <v>3843</v>
      </c>
      <c r="QO60" s="129">
        <v>82</v>
      </c>
      <c r="QR60" s="129" t="s">
        <v>3843</v>
      </c>
      <c r="QT60" s="129">
        <v>82</v>
      </c>
      <c r="QV60" s="129" t="s">
        <v>3843</v>
      </c>
      <c r="RQ60" s="134"/>
      <c r="RR60" s="134"/>
      <c r="RS60" s="134"/>
      <c r="RT60" s="134"/>
      <c r="TD60" s="133"/>
      <c r="TE60" s="132"/>
      <c r="TF60" s="132"/>
      <c r="TW60" s="156" t="s">
        <v>3843</v>
      </c>
      <c r="TX60" s="132"/>
      <c r="TY60" s="132"/>
      <c r="TZ60" s="132"/>
      <c r="UP60" s="129">
        <v>91</v>
      </c>
      <c r="US60" s="129" t="s">
        <v>3843</v>
      </c>
      <c r="VE60" s="129">
        <v>91</v>
      </c>
      <c r="VJ60" s="129">
        <v>91</v>
      </c>
      <c r="VL60" s="132"/>
      <c r="VM60" s="132"/>
      <c r="VN60" s="132"/>
      <c r="VO60" s="132"/>
      <c r="VR60" s="131"/>
      <c r="VS60" s="131"/>
      <c r="VT60" s="131"/>
      <c r="VU60" s="131"/>
      <c r="VV60" s="131"/>
      <c r="VW60" s="131"/>
      <c r="VX60" s="131"/>
      <c r="VY60" s="131"/>
      <c r="VZ60" s="131"/>
      <c r="WA60" s="131"/>
      <c r="WB60" s="131"/>
      <c r="WC60" s="131"/>
      <c r="WD60" s="131"/>
      <c r="WE60" s="131"/>
      <c r="WF60" s="131"/>
      <c r="WG60" s="131"/>
      <c r="WH60" s="131"/>
      <c r="WI60" s="131"/>
      <c r="WJ60" s="131"/>
      <c r="WK60" s="131"/>
      <c r="WL60" s="131"/>
      <c r="WM60" s="131"/>
      <c r="WN60" s="131"/>
      <c r="WO60" s="131"/>
      <c r="WP60" s="131"/>
      <c r="WQ60" s="131"/>
      <c r="WR60" s="131"/>
      <c r="WS60" s="131"/>
      <c r="WT60" s="131"/>
      <c r="WU60" s="131"/>
      <c r="WV60" s="131"/>
      <c r="WW60" s="131"/>
      <c r="WX60" s="131"/>
      <c r="WY60" s="131"/>
      <c r="WZ60" s="131"/>
      <c r="XA60" s="131"/>
      <c r="XB60" s="131"/>
      <c r="XC60" s="131"/>
      <c r="XD60" s="131"/>
      <c r="XE60" s="131"/>
      <c r="XF60" s="131"/>
      <c r="XG60" s="131"/>
      <c r="XH60" s="131"/>
      <c r="XI60" s="131"/>
      <c r="XJ60" s="131"/>
      <c r="XK60" s="131"/>
      <c r="XL60" s="131"/>
      <c r="XM60" s="131"/>
      <c r="XN60" s="131"/>
      <c r="XO60" s="131"/>
      <c r="XP60" s="131"/>
      <c r="XQ60" s="131"/>
      <c r="XR60" s="131"/>
      <c r="XS60" s="131"/>
      <c r="XT60" s="131"/>
      <c r="XU60" s="131"/>
      <c r="XV60" s="131"/>
      <c r="XW60" s="131"/>
      <c r="XX60" s="131"/>
      <c r="XY60" s="131"/>
      <c r="XZ60" s="131"/>
      <c r="YA60" s="131"/>
      <c r="YB60" s="131"/>
      <c r="YC60" s="131"/>
      <c r="YD60" s="131"/>
      <c r="YE60" s="131"/>
      <c r="YF60" s="131"/>
      <c r="YG60" s="131"/>
      <c r="YH60" s="131"/>
      <c r="YI60" s="131"/>
      <c r="YJ60" s="131"/>
      <c r="YK60" s="131"/>
      <c r="YL60" s="131"/>
      <c r="YM60" s="131"/>
      <c r="YN60" s="131"/>
      <c r="YO60" s="131"/>
      <c r="YP60" s="131"/>
      <c r="YQ60" s="131"/>
      <c r="YR60" s="131"/>
      <c r="YS60" s="131"/>
      <c r="YT60" s="131"/>
      <c r="YU60" s="131"/>
      <c r="YV60" s="131"/>
      <c r="YW60" s="131"/>
      <c r="YX60" s="131"/>
      <c r="YY60" s="131"/>
      <c r="YZ60" s="131"/>
      <c r="ZA60" s="131"/>
      <c r="ZB60" s="131"/>
      <c r="ZC60" s="131"/>
      <c r="ZD60" s="131"/>
      <c r="ZE60" s="131"/>
      <c r="ZF60" s="131"/>
      <c r="ZG60" s="131"/>
      <c r="ZH60" s="131"/>
      <c r="ZI60" s="131"/>
      <c r="ZJ60" s="131"/>
      <c r="ZK60" s="131"/>
      <c r="ZL60" s="131"/>
      <c r="ZM60" s="131"/>
      <c r="ZN60" s="131"/>
      <c r="ZO60" s="131"/>
      <c r="ZP60" s="131"/>
      <c r="ZQ60" s="131"/>
      <c r="ZR60" s="131"/>
      <c r="ZS60" s="131"/>
      <c r="ZT60" s="131"/>
      <c r="ZU60" s="131"/>
      <c r="ZV60" s="131"/>
      <c r="ZW60" s="131"/>
      <c r="ZX60" s="131"/>
      <c r="ZY60" s="131"/>
      <c r="ZZ60" s="131"/>
      <c r="AAA60" s="131"/>
      <c r="AAB60" s="131"/>
      <c r="AAC60" s="131"/>
      <c r="AAD60" s="131"/>
      <c r="AAE60" s="131"/>
      <c r="AAF60" s="131"/>
      <c r="AAG60" s="131"/>
      <c r="AAH60" s="131"/>
      <c r="AAJ60" s="131"/>
      <c r="AAK60" s="131"/>
      <c r="AAL60" s="131"/>
      <c r="AAM60" s="131"/>
      <c r="AAN60" s="131"/>
      <c r="AAO60" s="131"/>
      <c r="AAP60" s="131"/>
      <c r="AAQ60" s="131"/>
      <c r="AAR60" s="131"/>
      <c r="AAS60" s="131"/>
      <c r="AAT60" s="131"/>
      <c r="AAU60" s="131"/>
      <c r="AAV60" s="131"/>
      <c r="AAW60" s="131"/>
      <c r="AAX60" s="131"/>
      <c r="AAY60" s="131"/>
      <c r="AAZ60" s="131"/>
      <c r="ABA60" s="131"/>
      <c r="ABB60" s="131"/>
      <c r="ABC60" s="131"/>
      <c r="ABD60" s="131"/>
      <c r="ABE60" s="131"/>
      <c r="ABF60" s="131"/>
      <c r="ABG60" s="131"/>
      <c r="ABH60" s="131"/>
      <c r="ABI60" s="131"/>
      <c r="ABJ60" s="131"/>
      <c r="ABK60" s="131"/>
      <c r="ABL60" s="131"/>
      <c r="ABM60" s="131"/>
      <c r="ABN60" s="131"/>
      <c r="ABO60" s="131"/>
      <c r="ABP60" s="131"/>
      <c r="ABQ60" s="131"/>
      <c r="ABR60" s="131"/>
      <c r="ABS60" s="131"/>
      <c r="ABT60" s="131"/>
      <c r="ABU60" s="131"/>
      <c r="ABV60" s="131"/>
      <c r="ABW60" s="131"/>
      <c r="ABX60" s="131"/>
      <c r="ABY60" s="131"/>
      <c r="ABZ60" s="131"/>
      <c r="ACA60" s="131"/>
      <c r="ACB60" s="131"/>
      <c r="ACC60" s="131"/>
      <c r="ACD60" s="131"/>
      <c r="ACE60" s="131"/>
      <c r="ACF60" s="131"/>
      <c r="ACG60" s="131"/>
      <c r="ACH60" s="131"/>
      <c r="ACI60" s="131"/>
      <c r="ACJ60" s="131"/>
      <c r="ACK60" s="131"/>
      <c r="ACL60" s="131"/>
      <c r="ACM60" s="131"/>
      <c r="ACN60" s="131"/>
      <c r="ACO60" s="131"/>
      <c r="ACP60" s="131"/>
      <c r="ACQ60" s="131"/>
      <c r="ACR60" s="131"/>
      <c r="ACS60" s="131"/>
      <c r="ACT60" s="131"/>
      <c r="ACU60" s="131"/>
      <c r="ACV60" s="131"/>
      <c r="ACW60" s="131"/>
      <c r="ACX60" s="131"/>
      <c r="ACY60" s="131"/>
      <c r="ACZ60" s="131"/>
      <c r="ADA60" s="131"/>
      <c r="ADB60" s="131"/>
      <c r="ADC60" s="131"/>
      <c r="ADD60" s="131"/>
      <c r="ADE60" s="131"/>
      <c r="ADF60" s="131"/>
      <c r="ADG60" s="131"/>
      <c r="ADH60" s="131"/>
      <c r="ADI60" s="131"/>
      <c r="ADJ60" s="131"/>
      <c r="ADK60" s="131"/>
      <c r="ADL60" s="131"/>
      <c r="ADM60" s="131"/>
      <c r="ADN60" s="131"/>
      <c r="ADO60" s="131"/>
      <c r="ADP60" s="131"/>
      <c r="ADQ60" s="131"/>
      <c r="ADR60" s="131"/>
      <c r="ADS60" s="131"/>
      <c r="ADT60" s="131"/>
      <c r="ADU60" s="131"/>
      <c r="ADV60" s="131"/>
      <c r="ADW60" s="131"/>
      <c r="ADX60" s="131"/>
      <c r="ADY60" s="131"/>
      <c r="ADZ60" s="131"/>
      <c r="AEA60" s="131"/>
      <c r="AEB60" s="131"/>
      <c r="AEC60" s="131"/>
      <c r="AED60" s="131"/>
      <c r="AEE60" s="131"/>
      <c r="AEF60" s="131"/>
      <c r="AEG60" s="131"/>
      <c r="AEH60" s="131"/>
      <c r="AEI60" s="131"/>
      <c r="AEJ60" s="131"/>
      <c r="AEK60" s="131"/>
      <c r="AEL60" s="131"/>
      <c r="AEM60" s="131"/>
      <c r="AEN60" s="131"/>
      <c r="AEO60" s="131"/>
      <c r="AEP60" s="131"/>
      <c r="AEQ60" s="131"/>
      <c r="AER60" s="131"/>
      <c r="AES60" s="131"/>
      <c r="AET60" s="131"/>
      <c r="AEU60" s="131"/>
      <c r="AEV60" s="131"/>
      <c r="AEW60" s="131"/>
      <c r="AEX60" s="131"/>
      <c r="AEY60" s="131"/>
      <c r="AEZ60" s="131"/>
      <c r="AFA60" s="131"/>
      <c r="AFB60" s="131"/>
      <c r="AFC60" s="131"/>
      <c r="AFD60" s="131"/>
      <c r="AFE60" s="131"/>
      <c r="AFF60" s="131"/>
      <c r="AFG60" s="131"/>
      <c r="AFH60" s="131"/>
      <c r="AFI60" s="131"/>
      <c r="AFJ60" s="131"/>
      <c r="AFK60" s="131"/>
      <c r="APO60" s="130"/>
      <c r="APP60" s="130"/>
      <c r="APQ60" s="130"/>
      <c r="APR60" s="130"/>
      <c r="APS60" s="130"/>
      <c r="APT60" s="130"/>
      <c r="APU60" s="130"/>
      <c r="APV60" s="130"/>
      <c r="APW60" s="130"/>
      <c r="APX60" s="130"/>
      <c r="APY60" s="130"/>
      <c r="APZ60" s="130"/>
      <c r="AQA60" s="130"/>
      <c r="AQB60" s="130"/>
      <c r="AQC60" s="130"/>
      <c r="AQD60" s="130"/>
      <c r="AQE60" s="130"/>
      <c r="AQF60" s="130"/>
      <c r="AQG60" s="130"/>
      <c r="AQH60" s="130"/>
      <c r="AQI60" s="130"/>
      <c r="AQJ60" s="130"/>
      <c r="AQK60" s="130"/>
      <c r="AQL60" s="130"/>
      <c r="AQM60" s="130"/>
      <c r="AQN60" s="130"/>
      <c r="AQO60" s="130"/>
      <c r="AQP60" s="130"/>
      <c r="AQQ60" s="130"/>
      <c r="AQR60" s="130"/>
      <c r="AQS60" s="130"/>
      <c r="AQT60" s="130"/>
      <c r="AQU60" s="130"/>
      <c r="AQV60" s="130"/>
      <c r="AQW60" s="130"/>
      <c r="AQX60" s="130"/>
      <c r="AQY60" s="130"/>
      <c r="AQZ60" s="130"/>
      <c r="ARA60" s="130"/>
      <c r="ARB60" s="130"/>
      <c r="ARC60" s="130"/>
      <c r="ARD60" s="130"/>
      <c r="ARE60" s="130"/>
      <c r="ARF60" s="130"/>
      <c r="ARG60" s="130"/>
      <c r="ARH60" s="130"/>
      <c r="ARI60" s="130"/>
      <c r="ARJ60" s="130"/>
      <c r="ARK60" s="130"/>
      <c r="ARL60" s="130"/>
      <c r="ARM60" s="130"/>
      <c r="ARN60" s="130"/>
      <c r="ARO60" s="130"/>
      <c r="ARP60" s="130"/>
      <c r="ARQ60" s="130"/>
      <c r="ARR60" s="130"/>
      <c r="ARS60" s="130"/>
      <c r="ART60" s="130"/>
      <c r="ARU60" s="130"/>
      <c r="ARV60" s="130"/>
      <c r="ARW60" s="130"/>
      <c r="ARX60" s="130"/>
      <c r="ARY60" s="130"/>
      <c r="ARZ60" s="130"/>
      <c r="ASA60" s="130"/>
      <c r="ASB60" s="130"/>
      <c r="ASC60" s="130"/>
      <c r="ASD60" s="130"/>
      <c r="ASE60" s="130"/>
      <c r="ASF60" s="130"/>
      <c r="ASG60" s="130"/>
      <c r="ASH60" s="130"/>
      <c r="ASI60" s="130"/>
      <c r="ASJ60" s="130"/>
      <c r="ASK60" s="130"/>
      <c r="ASL60" s="130"/>
      <c r="ASM60" s="130"/>
      <c r="ASN60" s="130"/>
      <c r="ASO60" s="130"/>
      <c r="ASP60" s="130"/>
      <c r="ASQ60" s="130"/>
      <c r="ASR60" s="130"/>
      <c r="ASS60" s="130"/>
      <c r="AST60" s="130"/>
      <c r="ASU60" s="130"/>
      <c r="ASV60" s="130"/>
      <c r="ASW60" s="130"/>
      <c r="AVY60" s="129">
        <v>83</v>
      </c>
      <c r="AVZ60" s="129">
        <v>79</v>
      </c>
      <c r="AWA60" s="129">
        <v>67</v>
      </c>
      <c r="AWB60" s="129">
        <v>66</v>
      </c>
      <c r="AWC60" s="129">
        <v>64</v>
      </c>
      <c r="AWD60" s="128" t="s">
        <v>3843</v>
      </c>
    </row>
    <row r="61" spans="1:1296" s="129" customFormat="1" ht="41.25" outlineLevel="1">
      <c r="A61" s="137" t="s">
        <v>236</v>
      </c>
      <c r="B61" s="139" t="s">
        <v>330</v>
      </c>
      <c r="C61" s="139" t="s">
        <v>3933</v>
      </c>
      <c r="D61" s="139" t="s">
        <v>3932</v>
      </c>
      <c r="E61" s="137">
        <v>82</v>
      </c>
      <c r="F61" s="138" t="s">
        <v>148</v>
      </c>
      <c r="G61" s="136" t="s">
        <v>173</v>
      </c>
      <c r="H61" s="136" t="s">
        <v>366</v>
      </c>
      <c r="I61" s="136" t="s">
        <v>366</v>
      </c>
      <c r="J61" s="136" t="s">
        <v>366</v>
      </c>
      <c r="K61" s="136" t="s">
        <v>13</v>
      </c>
      <c r="L61" s="136" t="s">
        <v>366</v>
      </c>
      <c r="M61" s="136"/>
      <c r="N61" s="136" t="s">
        <v>13</v>
      </c>
      <c r="O61" s="138"/>
      <c r="LK61" s="135"/>
      <c r="LL61" s="135"/>
      <c r="LM61" s="135"/>
      <c r="LN61" s="135"/>
      <c r="LO61" s="135"/>
      <c r="LU61" s="135"/>
      <c r="LV61" s="135"/>
      <c r="LW61" s="135"/>
      <c r="LX61" s="135"/>
      <c r="LY61" s="135"/>
      <c r="LZ61" s="135"/>
      <c r="MA61" s="135"/>
      <c r="MB61" s="135"/>
      <c r="MC61" s="135"/>
      <c r="MD61" s="135"/>
      <c r="ME61" s="135"/>
      <c r="MF61" s="135"/>
      <c r="MG61" s="135"/>
      <c r="MQ61" s="132"/>
      <c r="MR61" s="132"/>
      <c r="MS61" s="132"/>
      <c r="MT61" s="132"/>
      <c r="MU61" s="132"/>
      <c r="MV61" s="132"/>
      <c r="MW61" s="132"/>
      <c r="MX61" s="132"/>
      <c r="MY61" s="132"/>
      <c r="NB61" s="135"/>
      <c r="NC61" s="135"/>
      <c r="ND61" s="135"/>
      <c r="NE61" s="135"/>
      <c r="NF61" s="135"/>
      <c r="NL61" s="132"/>
      <c r="NM61" s="132"/>
      <c r="NN61" s="132"/>
      <c r="NO61" s="132"/>
      <c r="NP61" s="132"/>
      <c r="PC61" s="129">
        <v>-3</v>
      </c>
      <c r="PD61" s="129">
        <v>1</v>
      </c>
      <c r="PE61" s="129">
        <v>-2</v>
      </c>
      <c r="PF61" s="129" t="s">
        <v>3843</v>
      </c>
      <c r="PN61" s="129">
        <v>-3</v>
      </c>
      <c r="PO61" s="129">
        <v>1</v>
      </c>
      <c r="PP61" s="129">
        <v>-2</v>
      </c>
      <c r="PQ61" s="129" t="s">
        <v>3843</v>
      </c>
      <c r="QK61" s="156" t="s">
        <v>3843</v>
      </c>
      <c r="QO61" s="129">
        <v>-2</v>
      </c>
      <c r="QR61" s="129" t="s">
        <v>3843</v>
      </c>
      <c r="QT61" s="129">
        <v>-2</v>
      </c>
      <c r="QV61" s="129" t="s">
        <v>3843</v>
      </c>
      <c r="RQ61" s="134"/>
      <c r="RR61" s="134"/>
      <c r="RS61" s="134"/>
      <c r="RT61" s="134"/>
      <c r="TD61" s="133"/>
      <c r="TE61" s="132"/>
      <c r="TF61" s="132"/>
      <c r="TW61" s="156" t="s">
        <v>3843</v>
      </c>
      <c r="TX61" s="132"/>
      <c r="TY61" s="132"/>
      <c r="TZ61" s="132"/>
      <c r="UP61" s="129">
        <v>-3</v>
      </c>
      <c r="US61" s="129" t="s">
        <v>3843</v>
      </c>
      <c r="VE61" s="129">
        <v>-3</v>
      </c>
      <c r="VJ61" s="129">
        <v>-3</v>
      </c>
      <c r="VL61" s="132"/>
      <c r="VM61" s="132"/>
      <c r="VN61" s="132"/>
      <c r="VO61" s="132"/>
      <c r="VR61" s="131"/>
      <c r="VS61" s="131"/>
      <c r="VT61" s="131"/>
      <c r="VU61" s="131"/>
      <c r="VV61" s="131"/>
      <c r="VW61" s="131"/>
      <c r="VX61" s="131"/>
      <c r="VY61" s="131"/>
      <c r="VZ61" s="131"/>
      <c r="WA61" s="131"/>
      <c r="WB61" s="131"/>
      <c r="WC61" s="131"/>
      <c r="WD61" s="131"/>
      <c r="WE61" s="131"/>
      <c r="WF61" s="131"/>
      <c r="WG61" s="131"/>
      <c r="WH61" s="131"/>
      <c r="WI61" s="131"/>
      <c r="WJ61" s="131"/>
      <c r="WK61" s="131"/>
      <c r="WL61" s="131"/>
      <c r="WM61" s="131"/>
      <c r="WN61" s="131"/>
      <c r="WO61" s="131"/>
      <c r="WP61" s="131"/>
      <c r="WQ61" s="131"/>
      <c r="WR61" s="131"/>
      <c r="WS61" s="131"/>
      <c r="WT61" s="131"/>
      <c r="WU61" s="131"/>
      <c r="WV61" s="131"/>
      <c r="WW61" s="131"/>
      <c r="WX61" s="131"/>
      <c r="WY61" s="131"/>
      <c r="WZ61" s="131"/>
      <c r="XA61" s="131"/>
      <c r="XB61" s="131"/>
      <c r="XC61" s="131"/>
      <c r="XD61" s="131"/>
      <c r="XE61" s="131"/>
      <c r="XF61" s="131"/>
      <c r="XG61" s="131"/>
      <c r="XH61" s="131"/>
      <c r="XI61" s="131"/>
      <c r="XJ61" s="131"/>
      <c r="XK61" s="131"/>
      <c r="XL61" s="131"/>
      <c r="XM61" s="131"/>
      <c r="XN61" s="131"/>
      <c r="XO61" s="131"/>
      <c r="XP61" s="131"/>
      <c r="XQ61" s="131"/>
      <c r="XR61" s="131"/>
      <c r="XS61" s="131"/>
      <c r="XT61" s="131"/>
      <c r="XU61" s="131"/>
      <c r="XV61" s="131"/>
      <c r="XW61" s="131"/>
      <c r="XX61" s="131"/>
      <c r="XY61" s="131"/>
      <c r="XZ61" s="131"/>
      <c r="YA61" s="131"/>
      <c r="YB61" s="131"/>
      <c r="YC61" s="131"/>
      <c r="YD61" s="131"/>
      <c r="YE61" s="131"/>
      <c r="YF61" s="131"/>
      <c r="YG61" s="131"/>
      <c r="YH61" s="131"/>
      <c r="YI61" s="131"/>
      <c r="YJ61" s="131"/>
      <c r="YK61" s="131"/>
      <c r="YL61" s="131"/>
      <c r="YM61" s="131"/>
      <c r="YN61" s="131"/>
      <c r="YO61" s="131"/>
      <c r="YP61" s="131"/>
      <c r="YQ61" s="131"/>
      <c r="YR61" s="131"/>
      <c r="YS61" s="131"/>
      <c r="YT61" s="131"/>
      <c r="YU61" s="131"/>
      <c r="YV61" s="131"/>
      <c r="YW61" s="131"/>
      <c r="YX61" s="131"/>
      <c r="YY61" s="131"/>
      <c r="YZ61" s="131"/>
      <c r="ZA61" s="131"/>
      <c r="ZB61" s="131"/>
      <c r="ZC61" s="131"/>
      <c r="ZD61" s="131"/>
      <c r="ZE61" s="131"/>
      <c r="ZF61" s="131"/>
      <c r="ZG61" s="131"/>
      <c r="ZH61" s="131"/>
      <c r="ZI61" s="131"/>
      <c r="ZJ61" s="131"/>
      <c r="ZK61" s="131"/>
      <c r="ZL61" s="131"/>
      <c r="ZM61" s="131"/>
      <c r="ZN61" s="131"/>
      <c r="ZO61" s="131"/>
      <c r="ZP61" s="131"/>
      <c r="ZQ61" s="131"/>
      <c r="ZR61" s="131"/>
      <c r="ZS61" s="131"/>
      <c r="ZT61" s="131"/>
      <c r="ZU61" s="131"/>
      <c r="ZV61" s="131"/>
      <c r="ZW61" s="131"/>
      <c r="ZX61" s="131"/>
      <c r="ZY61" s="131"/>
      <c r="ZZ61" s="131"/>
      <c r="AAA61" s="131"/>
      <c r="AAB61" s="131"/>
      <c r="AAC61" s="131"/>
      <c r="AAD61" s="131"/>
      <c r="AAE61" s="131"/>
      <c r="AAF61" s="131"/>
      <c r="AAG61" s="131"/>
      <c r="AAH61" s="131"/>
      <c r="AAJ61" s="131"/>
      <c r="AAK61" s="131"/>
      <c r="AAL61" s="131"/>
      <c r="AAM61" s="131"/>
      <c r="AAN61" s="131"/>
      <c r="AAO61" s="131"/>
      <c r="AAP61" s="131"/>
      <c r="AAQ61" s="131"/>
      <c r="AAR61" s="131"/>
      <c r="AAS61" s="131"/>
      <c r="AAT61" s="131"/>
      <c r="AAU61" s="131"/>
      <c r="AAV61" s="131"/>
      <c r="AAW61" s="131"/>
      <c r="AAX61" s="131"/>
      <c r="AAY61" s="131"/>
      <c r="AAZ61" s="131"/>
      <c r="ABA61" s="131"/>
      <c r="ABB61" s="131"/>
      <c r="ABC61" s="131"/>
      <c r="ABD61" s="131"/>
      <c r="ABE61" s="131"/>
      <c r="ABF61" s="131"/>
      <c r="ABG61" s="131"/>
      <c r="ABH61" s="131"/>
      <c r="ABI61" s="131"/>
      <c r="ABJ61" s="131"/>
      <c r="ABK61" s="131"/>
      <c r="ABL61" s="131"/>
      <c r="ABM61" s="131"/>
      <c r="ABN61" s="131"/>
      <c r="ABO61" s="131"/>
      <c r="ABP61" s="131"/>
      <c r="ABQ61" s="131"/>
      <c r="ABR61" s="131"/>
      <c r="ABS61" s="131"/>
      <c r="ABT61" s="131"/>
      <c r="ABU61" s="131"/>
      <c r="ABV61" s="131"/>
      <c r="ABW61" s="131"/>
      <c r="ABX61" s="131"/>
      <c r="ABY61" s="131"/>
      <c r="ABZ61" s="131"/>
      <c r="ACA61" s="131"/>
      <c r="ACB61" s="131"/>
      <c r="ACC61" s="131"/>
      <c r="ACD61" s="131"/>
      <c r="ACE61" s="131"/>
      <c r="ACF61" s="131"/>
      <c r="ACG61" s="131"/>
      <c r="ACH61" s="131"/>
      <c r="ACI61" s="131"/>
      <c r="ACJ61" s="131"/>
      <c r="ACK61" s="131"/>
      <c r="ACL61" s="131"/>
      <c r="ACM61" s="131"/>
      <c r="ACN61" s="131"/>
      <c r="ACO61" s="131"/>
      <c r="ACP61" s="131"/>
      <c r="ACQ61" s="131"/>
      <c r="ACR61" s="131"/>
      <c r="ACS61" s="131"/>
      <c r="ACT61" s="131"/>
      <c r="ACU61" s="131"/>
      <c r="ACV61" s="131"/>
      <c r="ACW61" s="131"/>
      <c r="ACX61" s="131"/>
      <c r="ACY61" s="131"/>
      <c r="ACZ61" s="131"/>
      <c r="ADA61" s="131"/>
      <c r="ADB61" s="131"/>
      <c r="ADC61" s="131"/>
      <c r="ADD61" s="131"/>
      <c r="ADE61" s="131"/>
      <c r="ADF61" s="131"/>
      <c r="ADG61" s="131"/>
      <c r="ADH61" s="131"/>
      <c r="ADI61" s="131"/>
      <c r="ADJ61" s="131"/>
      <c r="ADK61" s="131"/>
      <c r="ADL61" s="131"/>
      <c r="ADM61" s="131"/>
      <c r="ADN61" s="131"/>
      <c r="ADO61" s="131"/>
      <c r="ADP61" s="131"/>
      <c r="ADQ61" s="131"/>
      <c r="ADR61" s="131"/>
      <c r="ADS61" s="131"/>
      <c r="ADT61" s="131"/>
      <c r="ADU61" s="131"/>
      <c r="ADV61" s="131"/>
      <c r="ADW61" s="131"/>
      <c r="ADX61" s="131"/>
      <c r="ADY61" s="131"/>
      <c r="ADZ61" s="131"/>
      <c r="AEA61" s="131"/>
      <c r="AEB61" s="131"/>
      <c r="AEC61" s="131"/>
      <c r="AED61" s="131"/>
      <c r="AEE61" s="131"/>
      <c r="AEF61" s="131"/>
      <c r="AEG61" s="131"/>
      <c r="AEH61" s="131"/>
      <c r="AEI61" s="131"/>
      <c r="AEJ61" s="131"/>
      <c r="AEK61" s="131"/>
      <c r="AEL61" s="131"/>
      <c r="AEM61" s="131"/>
      <c r="AEN61" s="131"/>
      <c r="AEO61" s="131"/>
      <c r="AEP61" s="131"/>
      <c r="AEQ61" s="131"/>
      <c r="AER61" s="131"/>
      <c r="AES61" s="131"/>
      <c r="AET61" s="131"/>
      <c r="AEU61" s="131"/>
      <c r="AEV61" s="131"/>
      <c r="AEW61" s="131"/>
      <c r="AEX61" s="131"/>
      <c r="AEY61" s="131"/>
      <c r="AEZ61" s="131"/>
      <c r="AFA61" s="131"/>
      <c r="AFB61" s="131"/>
      <c r="AFC61" s="131"/>
      <c r="AFD61" s="131"/>
      <c r="AFE61" s="131"/>
      <c r="AFF61" s="131"/>
      <c r="AFG61" s="131"/>
      <c r="AFH61" s="131"/>
      <c r="AFI61" s="131"/>
      <c r="AFJ61" s="131"/>
      <c r="AFK61" s="131"/>
      <c r="APO61" s="130"/>
      <c r="APP61" s="130"/>
      <c r="APQ61" s="130"/>
      <c r="APR61" s="130"/>
      <c r="APS61" s="130"/>
      <c r="APT61" s="130"/>
      <c r="APU61" s="130"/>
      <c r="APV61" s="130"/>
      <c r="APW61" s="130"/>
      <c r="APX61" s="130"/>
      <c r="APY61" s="130"/>
      <c r="APZ61" s="130"/>
      <c r="AQA61" s="130"/>
      <c r="AQB61" s="130"/>
      <c r="AQC61" s="130"/>
      <c r="AQD61" s="130"/>
      <c r="AQE61" s="130"/>
      <c r="AQF61" s="130"/>
      <c r="AQG61" s="130"/>
      <c r="AQH61" s="130"/>
      <c r="AQI61" s="130"/>
      <c r="AQJ61" s="130"/>
      <c r="AQK61" s="130"/>
      <c r="AQL61" s="130"/>
      <c r="AQM61" s="130"/>
      <c r="AQN61" s="130"/>
      <c r="AQO61" s="130"/>
      <c r="AQP61" s="130"/>
      <c r="AQQ61" s="130"/>
      <c r="AQR61" s="130"/>
      <c r="AQS61" s="130"/>
      <c r="AQT61" s="130"/>
      <c r="AQU61" s="130"/>
      <c r="AQV61" s="130"/>
      <c r="AQW61" s="130"/>
      <c r="AQX61" s="130"/>
      <c r="AQY61" s="130"/>
      <c r="AQZ61" s="130"/>
      <c r="ARA61" s="130"/>
      <c r="ARB61" s="130"/>
      <c r="ARC61" s="130"/>
      <c r="ARD61" s="130"/>
      <c r="ARE61" s="130"/>
      <c r="ARF61" s="130"/>
      <c r="ARG61" s="130"/>
      <c r="ARH61" s="130"/>
      <c r="ARI61" s="130"/>
      <c r="ARJ61" s="130"/>
      <c r="ARK61" s="130"/>
      <c r="ARL61" s="130"/>
      <c r="ARM61" s="130"/>
      <c r="ARN61" s="130"/>
      <c r="ARO61" s="130"/>
      <c r="ARP61" s="130"/>
      <c r="ARQ61" s="130"/>
      <c r="ARR61" s="130"/>
      <c r="ARS61" s="130"/>
      <c r="ART61" s="130"/>
      <c r="ARU61" s="130"/>
      <c r="ARV61" s="130"/>
      <c r="ARW61" s="130"/>
      <c r="ARX61" s="130"/>
      <c r="ARY61" s="130"/>
      <c r="ARZ61" s="130"/>
      <c r="ASA61" s="130"/>
      <c r="ASB61" s="130"/>
      <c r="ASC61" s="130"/>
      <c r="ASD61" s="130"/>
      <c r="ASE61" s="130"/>
      <c r="ASF61" s="130"/>
      <c r="ASG61" s="130"/>
      <c r="ASH61" s="130"/>
      <c r="ASI61" s="130"/>
      <c r="ASJ61" s="130"/>
      <c r="ASK61" s="130"/>
      <c r="ASL61" s="130"/>
      <c r="ASM61" s="130"/>
      <c r="ASN61" s="130"/>
      <c r="ASO61" s="130"/>
      <c r="ASP61" s="130"/>
      <c r="ASQ61" s="130"/>
      <c r="ASR61" s="130"/>
      <c r="ASS61" s="130"/>
      <c r="AST61" s="130"/>
      <c r="ASU61" s="130"/>
      <c r="ASV61" s="130"/>
      <c r="ASW61" s="130"/>
      <c r="AVY61" s="129">
        <v>-12</v>
      </c>
      <c r="AVZ61" s="129">
        <v>-1</v>
      </c>
      <c r="AWA61" s="129">
        <v>0</v>
      </c>
      <c r="AWB61" s="129">
        <v>0</v>
      </c>
      <c r="AWC61" s="129">
        <v>-1</v>
      </c>
      <c r="AWD61" s="128" t="s">
        <v>3843</v>
      </c>
    </row>
    <row r="62" spans="1:1296" outlineLevel="1">
      <c r="A62" s="137" t="s">
        <v>236</v>
      </c>
      <c r="B62" s="139" t="s">
        <v>331</v>
      </c>
      <c r="C62" s="139" t="s">
        <v>332</v>
      </c>
      <c r="D62" s="139" t="s">
        <v>333</v>
      </c>
      <c r="E62" s="137">
        <v>83</v>
      </c>
      <c r="F62" s="136" t="s">
        <v>85</v>
      </c>
      <c r="G62" s="136" t="s">
        <v>173</v>
      </c>
      <c r="H62" s="136" t="s">
        <v>13</v>
      </c>
      <c r="I62" s="136" t="s">
        <v>13</v>
      </c>
      <c r="J62" s="136" t="s">
        <v>13</v>
      </c>
      <c r="K62" s="136" t="s">
        <v>13</v>
      </c>
      <c r="L62" s="136" t="s">
        <v>13</v>
      </c>
      <c r="M62" s="136" t="s">
        <v>13</v>
      </c>
      <c r="N62" s="136" t="s">
        <v>13</v>
      </c>
      <c r="P62" s="129">
        <v>75</v>
      </c>
      <c r="Q62" s="129">
        <v>50</v>
      </c>
      <c r="R62" s="129">
        <v>75</v>
      </c>
      <c r="S62" s="129">
        <v>100</v>
      </c>
      <c r="T62" s="129">
        <v>100</v>
      </c>
      <c r="U62" s="128">
        <v>155</v>
      </c>
      <c r="W62" s="128">
        <v>75</v>
      </c>
      <c r="X62" s="128">
        <v>50</v>
      </c>
      <c r="Y62" s="128">
        <v>75</v>
      </c>
      <c r="Z62" s="142">
        <v>100</v>
      </c>
      <c r="AA62" s="128">
        <v>75</v>
      </c>
      <c r="AB62" s="128">
        <v>75</v>
      </c>
      <c r="AC62" s="128">
        <v>75</v>
      </c>
      <c r="AD62" s="128">
        <v>75</v>
      </c>
      <c r="AE62" s="128">
        <v>160</v>
      </c>
      <c r="AF62" s="128">
        <v>75</v>
      </c>
      <c r="AG62" s="128">
        <v>100</v>
      </c>
      <c r="AM62" s="128" t="s">
        <v>3931</v>
      </c>
      <c r="AN62" s="128">
        <v>100</v>
      </c>
      <c r="AO62" s="128">
        <v>100</v>
      </c>
      <c r="AP62" s="129">
        <v>100</v>
      </c>
      <c r="AQ62" s="129">
        <v>100</v>
      </c>
      <c r="AR62" s="129">
        <v>75</v>
      </c>
      <c r="AS62" s="129">
        <v>75</v>
      </c>
      <c r="AT62" s="129">
        <v>75</v>
      </c>
      <c r="AU62" s="129">
        <v>75</v>
      </c>
      <c r="AV62" s="129">
        <v>75</v>
      </c>
      <c r="AW62" s="129">
        <v>75</v>
      </c>
      <c r="AY62" s="129">
        <v>50</v>
      </c>
      <c r="AZ62" s="129">
        <v>50</v>
      </c>
      <c r="BA62" s="129">
        <v>75</v>
      </c>
      <c r="BB62" s="129">
        <v>100</v>
      </c>
      <c r="BC62" s="129">
        <v>100</v>
      </c>
      <c r="BD62" s="129">
        <v>50</v>
      </c>
      <c r="BE62" s="129">
        <v>75</v>
      </c>
      <c r="BF62" s="129">
        <v>100</v>
      </c>
      <c r="BG62" s="129">
        <v>50</v>
      </c>
      <c r="BH62" s="129">
        <v>50</v>
      </c>
      <c r="BI62" s="129">
        <v>75</v>
      </c>
      <c r="BJ62" s="129">
        <v>75</v>
      </c>
      <c r="BK62" s="129">
        <v>100</v>
      </c>
      <c r="BL62" s="129">
        <v>50</v>
      </c>
      <c r="BM62" s="129">
        <v>50</v>
      </c>
      <c r="BN62" s="129">
        <v>75</v>
      </c>
      <c r="BO62" s="129">
        <v>75</v>
      </c>
      <c r="BP62" s="129">
        <v>100</v>
      </c>
      <c r="BQ62" s="129">
        <v>100</v>
      </c>
      <c r="BR62" s="128">
        <v>50</v>
      </c>
      <c r="BS62" s="128">
        <v>50</v>
      </c>
      <c r="BT62" s="128">
        <v>100</v>
      </c>
      <c r="BU62" s="128">
        <v>100</v>
      </c>
      <c r="BY62" s="128">
        <v>105</v>
      </c>
      <c r="BZ62" s="128">
        <v>105</v>
      </c>
      <c r="CA62" s="128">
        <v>155</v>
      </c>
      <c r="CB62" s="128">
        <v>205</v>
      </c>
      <c r="CC62" s="128">
        <v>205</v>
      </c>
      <c r="CD62" s="128">
        <v>205</v>
      </c>
      <c r="CE62" s="128">
        <v>205</v>
      </c>
      <c r="CF62" s="128">
        <v>205</v>
      </c>
      <c r="CG62" s="128">
        <v>205</v>
      </c>
      <c r="CH62" s="128">
        <v>105</v>
      </c>
      <c r="CI62" s="128">
        <v>105</v>
      </c>
      <c r="CJ62" s="128">
        <v>155</v>
      </c>
      <c r="CK62" s="128">
        <v>155</v>
      </c>
      <c r="CL62" s="128">
        <v>205</v>
      </c>
      <c r="CM62" s="128">
        <v>205</v>
      </c>
      <c r="CN62" s="128">
        <v>205</v>
      </c>
      <c r="CO62" s="128">
        <v>205</v>
      </c>
      <c r="CP62" s="128">
        <v>205</v>
      </c>
      <c r="CQ62" s="128">
        <v>205</v>
      </c>
      <c r="CR62" s="128">
        <v>300</v>
      </c>
      <c r="CS62" s="128">
        <v>205</v>
      </c>
      <c r="CT62" s="128">
        <v>205</v>
      </c>
      <c r="CU62" s="128">
        <v>597</v>
      </c>
      <c r="CX62" s="128">
        <v>50</v>
      </c>
      <c r="DC62" s="128">
        <v>50</v>
      </c>
      <c r="DF62" s="128">
        <v>160</v>
      </c>
      <c r="DH62" s="128">
        <v>110</v>
      </c>
      <c r="DK62" s="128">
        <v>110</v>
      </c>
      <c r="DM62" s="128">
        <v>160</v>
      </c>
      <c r="DO62" s="128">
        <v>110</v>
      </c>
      <c r="DQ62" s="128">
        <v>160</v>
      </c>
      <c r="DS62" s="128">
        <v>110</v>
      </c>
      <c r="DU62" s="128">
        <v>75</v>
      </c>
      <c r="DV62" s="128">
        <v>75</v>
      </c>
      <c r="DW62" s="128">
        <v>75</v>
      </c>
      <c r="DX62" s="128">
        <v>75</v>
      </c>
      <c r="DY62" s="128">
        <v>75</v>
      </c>
      <c r="DZ62" s="128">
        <v>75</v>
      </c>
      <c r="EA62" s="128">
        <v>75</v>
      </c>
      <c r="EB62" s="128">
        <v>75</v>
      </c>
      <c r="EC62" s="128">
        <v>155</v>
      </c>
      <c r="ED62" s="128">
        <v>100</v>
      </c>
      <c r="EE62" s="128">
        <v>100</v>
      </c>
      <c r="EF62" s="128">
        <v>75</v>
      </c>
      <c r="EG62" s="128">
        <v>100</v>
      </c>
      <c r="FR62" s="128">
        <v>125</v>
      </c>
      <c r="FS62" s="128">
        <v>125</v>
      </c>
      <c r="FT62" s="128">
        <v>125</v>
      </c>
      <c r="FU62" s="128">
        <v>125</v>
      </c>
      <c r="FW62" s="128">
        <v>150</v>
      </c>
      <c r="FX62" s="128">
        <v>150</v>
      </c>
      <c r="FY62" s="128">
        <v>175</v>
      </c>
      <c r="FZ62" s="128">
        <v>175</v>
      </c>
      <c r="GA62" s="128">
        <v>200</v>
      </c>
      <c r="GB62" s="128">
        <v>200</v>
      </c>
      <c r="GC62" s="128">
        <v>225</v>
      </c>
      <c r="GD62" s="128">
        <v>225</v>
      </c>
      <c r="GE62" s="128">
        <v>250</v>
      </c>
      <c r="GF62" s="128">
        <v>250</v>
      </c>
      <c r="GG62" s="128">
        <v>275</v>
      </c>
      <c r="GH62" s="128">
        <v>275</v>
      </c>
      <c r="GI62" s="128">
        <v>300</v>
      </c>
      <c r="GJ62" s="128">
        <v>300</v>
      </c>
      <c r="GL62" s="128" t="s">
        <v>3928</v>
      </c>
      <c r="GM62" s="128" t="s">
        <v>3930</v>
      </c>
      <c r="GN62" s="128" t="s">
        <v>3929</v>
      </c>
      <c r="GO62" s="128" t="s">
        <v>3928</v>
      </c>
      <c r="GP62" s="128" t="s">
        <v>3927</v>
      </c>
      <c r="HT62" s="128">
        <v>70</v>
      </c>
      <c r="HU62" s="129">
        <v>70</v>
      </c>
      <c r="HV62" s="129">
        <v>150</v>
      </c>
      <c r="HW62" s="129">
        <v>150</v>
      </c>
      <c r="HX62" s="129">
        <v>150</v>
      </c>
      <c r="HY62" s="129">
        <v>150</v>
      </c>
      <c r="HZ62" s="129">
        <v>150</v>
      </c>
      <c r="IA62" s="129">
        <v>150</v>
      </c>
      <c r="IB62" s="129">
        <v>150</v>
      </c>
      <c r="IC62" s="129">
        <v>150</v>
      </c>
      <c r="ID62" s="129">
        <v>150</v>
      </c>
      <c r="IE62" s="129" t="s">
        <v>3843</v>
      </c>
      <c r="IM62" s="129">
        <v>60</v>
      </c>
      <c r="IN62" s="129">
        <v>40</v>
      </c>
      <c r="IU62" s="129">
        <v>60</v>
      </c>
      <c r="IV62" s="128">
        <v>70</v>
      </c>
      <c r="IW62" s="129">
        <v>60</v>
      </c>
      <c r="IX62" s="129">
        <v>60</v>
      </c>
      <c r="IY62" s="129">
        <v>60</v>
      </c>
      <c r="IZ62" s="129">
        <v>60</v>
      </c>
      <c r="JA62" s="129">
        <v>60</v>
      </c>
      <c r="JB62" s="129">
        <v>60</v>
      </c>
      <c r="JC62" s="129">
        <v>60</v>
      </c>
      <c r="JD62" s="129">
        <v>60</v>
      </c>
      <c r="JE62" s="129">
        <v>60</v>
      </c>
      <c r="JF62" s="129" t="s">
        <v>3843</v>
      </c>
      <c r="JH62" s="128">
        <v>170</v>
      </c>
      <c r="JI62" s="128">
        <v>170</v>
      </c>
      <c r="JJ62" s="128">
        <v>170</v>
      </c>
      <c r="JK62" s="128">
        <v>170</v>
      </c>
      <c r="JL62" s="128">
        <v>170</v>
      </c>
      <c r="JM62" s="129" t="s">
        <v>3843</v>
      </c>
      <c r="JS62" s="129">
        <v>170</v>
      </c>
      <c r="JT62" s="129">
        <v>170</v>
      </c>
      <c r="JU62" s="129" t="s">
        <v>3843</v>
      </c>
      <c r="KC62" s="129">
        <v>170</v>
      </c>
      <c r="KH62" s="129">
        <v>40</v>
      </c>
      <c r="KI62" s="129">
        <v>40</v>
      </c>
      <c r="KJ62" s="156" t="s">
        <v>3843</v>
      </c>
      <c r="KN62" s="129">
        <v>40</v>
      </c>
      <c r="KO62" s="129">
        <v>40</v>
      </c>
      <c r="KP62" s="156" t="s">
        <v>3843</v>
      </c>
      <c r="OZ62" s="129">
        <v>340</v>
      </c>
      <c r="PA62" s="129">
        <v>340</v>
      </c>
      <c r="PB62" s="129" t="s">
        <v>3843</v>
      </c>
      <c r="PC62" s="129">
        <v>230</v>
      </c>
      <c r="PD62" s="129">
        <v>130</v>
      </c>
      <c r="PE62" s="129">
        <v>230</v>
      </c>
      <c r="PF62" s="129" t="s">
        <v>3843</v>
      </c>
      <c r="PM62" s="129">
        <v>340</v>
      </c>
      <c r="PN62" s="129">
        <v>230</v>
      </c>
      <c r="PO62" s="129">
        <v>130</v>
      </c>
      <c r="PP62" s="129">
        <v>230</v>
      </c>
      <c r="PQ62" s="129" t="s">
        <v>3843</v>
      </c>
      <c r="QI62" s="129">
        <v>280</v>
      </c>
      <c r="QJ62" s="129">
        <v>280</v>
      </c>
      <c r="QK62" s="156" t="s">
        <v>3843</v>
      </c>
      <c r="QN62" s="129">
        <v>250</v>
      </c>
      <c r="QO62" s="129">
        <v>230</v>
      </c>
      <c r="QP62" s="129">
        <v>340</v>
      </c>
      <c r="QQ62" s="129">
        <v>340</v>
      </c>
      <c r="QR62" s="129" t="s">
        <v>3843</v>
      </c>
      <c r="QS62" s="129">
        <v>250</v>
      </c>
      <c r="QT62" s="129">
        <v>230</v>
      </c>
      <c r="QU62" s="129">
        <v>340</v>
      </c>
      <c r="QV62" s="129" t="s">
        <v>3843</v>
      </c>
      <c r="TT62" s="129">
        <v>280</v>
      </c>
      <c r="TU62" s="129">
        <v>280</v>
      </c>
      <c r="TV62" s="129">
        <v>280</v>
      </c>
      <c r="TW62" s="156" t="s">
        <v>3843</v>
      </c>
      <c r="UP62" s="129">
        <v>200</v>
      </c>
      <c r="UQ62" s="129">
        <v>190</v>
      </c>
      <c r="UR62" s="129">
        <v>190</v>
      </c>
      <c r="US62" s="129" t="s">
        <v>3843</v>
      </c>
      <c r="UU62" s="129">
        <v>190</v>
      </c>
      <c r="UV62" s="129">
        <v>190</v>
      </c>
      <c r="UW62" s="129" t="s">
        <v>3843</v>
      </c>
      <c r="VE62" s="129">
        <v>200</v>
      </c>
      <c r="VF62" s="129">
        <v>107</v>
      </c>
      <c r="VJ62" s="129">
        <v>200</v>
      </c>
      <c r="VR62" s="131">
        <v>60</v>
      </c>
      <c r="VS62" s="131">
        <v>200</v>
      </c>
      <c r="VT62" s="131">
        <v>400</v>
      </c>
      <c r="VU62" s="131" t="s">
        <v>3843</v>
      </c>
      <c r="VV62" s="131">
        <v>60</v>
      </c>
      <c r="VW62" s="131">
        <v>60</v>
      </c>
      <c r="VX62" s="131">
        <v>200</v>
      </c>
      <c r="VY62" s="131">
        <v>200</v>
      </c>
      <c r="VZ62" s="131">
        <v>400</v>
      </c>
      <c r="WA62" s="131">
        <v>400</v>
      </c>
      <c r="WB62" s="131" t="s">
        <v>3843</v>
      </c>
      <c r="WC62" s="131">
        <v>60</v>
      </c>
      <c r="WD62" s="131">
        <v>200</v>
      </c>
      <c r="WE62" s="131">
        <v>400</v>
      </c>
      <c r="WF62" s="131" t="s">
        <v>3843</v>
      </c>
      <c r="WG62" s="131">
        <v>60</v>
      </c>
      <c r="WH62" s="131">
        <v>60</v>
      </c>
      <c r="WI62" s="131">
        <v>200</v>
      </c>
      <c r="WJ62" s="131">
        <v>200</v>
      </c>
      <c r="WK62" s="131">
        <v>400</v>
      </c>
      <c r="WL62" s="131">
        <v>400</v>
      </c>
      <c r="WM62" s="131" t="s">
        <v>3843</v>
      </c>
      <c r="WN62" s="131">
        <v>60</v>
      </c>
      <c r="WO62" s="131">
        <v>200</v>
      </c>
      <c r="WP62" s="131">
        <v>400</v>
      </c>
      <c r="WQ62" s="131" t="s">
        <v>3843</v>
      </c>
      <c r="WR62" s="131">
        <v>60</v>
      </c>
      <c r="WS62" s="131">
        <v>60</v>
      </c>
      <c r="WT62" s="131">
        <v>200</v>
      </c>
      <c r="WU62" s="131">
        <v>200</v>
      </c>
      <c r="WV62" s="131">
        <v>400</v>
      </c>
      <c r="WW62" s="131">
        <v>400</v>
      </c>
      <c r="WX62" s="131" t="s">
        <v>3843</v>
      </c>
      <c r="WY62" s="131">
        <v>60</v>
      </c>
      <c r="WZ62" s="131">
        <v>200</v>
      </c>
      <c r="XA62" s="131">
        <v>400</v>
      </c>
      <c r="XB62" s="131" t="s">
        <v>3843</v>
      </c>
      <c r="XC62" s="131">
        <v>60</v>
      </c>
      <c r="XD62" s="131">
        <v>60</v>
      </c>
      <c r="XE62" s="131">
        <v>200</v>
      </c>
      <c r="XF62" s="131">
        <v>200</v>
      </c>
      <c r="XG62" s="131">
        <v>400</v>
      </c>
      <c r="XH62" s="131">
        <v>400</v>
      </c>
      <c r="XI62" s="131" t="s">
        <v>3843</v>
      </c>
      <c r="XJ62" s="131">
        <v>60</v>
      </c>
      <c r="XK62" s="131">
        <v>200</v>
      </c>
      <c r="XL62" s="131">
        <v>400</v>
      </c>
      <c r="XM62" s="131" t="s">
        <v>3843</v>
      </c>
      <c r="XN62" s="131">
        <v>60</v>
      </c>
      <c r="XO62" s="131">
        <v>60</v>
      </c>
      <c r="XP62" s="131">
        <v>200</v>
      </c>
      <c r="XQ62" s="131">
        <v>200</v>
      </c>
      <c r="XR62" s="131">
        <v>400</v>
      </c>
      <c r="XS62" s="131">
        <v>400</v>
      </c>
      <c r="XT62" s="131" t="s">
        <v>3843</v>
      </c>
      <c r="XU62" s="131">
        <v>60</v>
      </c>
      <c r="XV62" s="131">
        <v>200</v>
      </c>
      <c r="XW62" s="131">
        <v>400</v>
      </c>
      <c r="XX62" s="131" t="s">
        <v>3843</v>
      </c>
      <c r="XY62" s="131">
        <v>60</v>
      </c>
      <c r="XZ62" s="131">
        <v>60</v>
      </c>
      <c r="YA62" s="131">
        <v>200</v>
      </c>
      <c r="YB62" s="131">
        <v>200</v>
      </c>
      <c r="YC62" s="131">
        <v>400</v>
      </c>
      <c r="YD62" s="131">
        <v>400</v>
      </c>
      <c r="YE62" s="131" t="s">
        <v>3843</v>
      </c>
      <c r="YF62" s="131">
        <v>60</v>
      </c>
      <c r="YG62" s="131">
        <v>200</v>
      </c>
      <c r="YH62" s="131">
        <v>400</v>
      </c>
      <c r="YI62" s="131" t="s">
        <v>3843</v>
      </c>
      <c r="YJ62" s="131">
        <v>60</v>
      </c>
      <c r="YK62" s="131">
        <v>60</v>
      </c>
      <c r="YL62" s="131">
        <v>200</v>
      </c>
      <c r="YM62" s="131">
        <v>200</v>
      </c>
      <c r="YN62" s="131">
        <v>400</v>
      </c>
      <c r="YO62" s="131">
        <v>400</v>
      </c>
      <c r="YP62" s="131" t="s">
        <v>3843</v>
      </c>
      <c r="YQ62" s="131">
        <v>60</v>
      </c>
      <c r="YR62" s="131">
        <v>200</v>
      </c>
      <c r="YS62" s="131">
        <v>400</v>
      </c>
      <c r="YT62" s="131" t="s">
        <v>3843</v>
      </c>
      <c r="YU62" s="131">
        <v>60</v>
      </c>
      <c r="YV62" s="131">
        <v>60</v>
      </c>
      <c r="YW62" s="131">
        <v>200</v>
      </c>
      <c r="YX62" s="131">
        <v>200</v>
      </c>
      <c r="YY62" s="131">
        <v>400</v>
      </c>
      <c r="YZ62" s="131">
        <v>400</v>
      </c>
      <c r="ZA62" s="131" t="s">
        <v>3843</v>
      </c>
      <c r="ZB62" s="131">
        <v>60</v>
      </c>
      <c r="ZC62" s="131">
        <v>200</v>
      </c>
      <c r="ZD62" s="131">
        <v>400</v>
      </c>
      <c r="ZE62" s="131" t="s">
        <v>3843</v>
      </c>
      <c r="ZF62" s="131">
        <v>60</v>
      </c>
      <c r="ZG62" s="131">
        <v>60</v>
      </c>
      <c r="ZH62" s="131">
        <v>200</v>
      </c>
      <c r="ZI62" s="131">
        <v>200</v>
      </c>
      <c r="ZJ62" s="131">
        <v>400</v>
      </c>
      <c r="ZK62" s="131">
        <v>400</v>
      </c>
      <c r="ZL62" s="131" t="s">
        <v>3843</v>
      </c>
      <c r="ZM62" s="131">
        <v>60</v>
      </c>
      <c r="ZN62" s="131">
        <v>200</v>
      </c>
      <c r="ZO62" s="131">
        <v>400</v>
      </c>
      <c r="ZP62" s="131" t="s">
        <v>3843</v>
      </c>
      <c r="ZQ62" s="131">
        <v>60</v>
      </c>
      <c r="ZR62" s="131">
        <v>60</v>
      </c>
      <c r="ZS62" s="131">
        <v>200</v>
      </c>
      <c r="ZT62" s="131">
        <v>200</v>
      </c>
      <c r="ZU62" s="131">
        <v>400</v>
      </c>
      <c r="ZV62" s="131">
        <v>400</v>
      </c>
      <c r="ZW62" s="131" t="s">
        <v>3843</v>
      </c>
      <c r="ZX62" s="131">
        <v>60</v>
      </c>
      <c r="ZY62" s="131">
        <v>200</v>
      </c>
      <c r="ZZ62" s="131">
        <v>400</v>
      </c>
      <c r="AAA62" s="131" t="s">
        <v>3843</v>
      </c>
      <c r="AAB62" s="131">
        <v>60</v>
      </c>
      <c r="AAC62" s="131">
        <v>60</v>
      </c>
      <c r="AAD62" s="131">
        <v>200</v>
      </c>
      <c r="AAE62" s="131">
        <v>200</v>
      </c>
      <c r="AAF62" s="131">
        <v>400</v>
      </c>
      <c r="AAG62" s="131">
        <v>400</v>
      </c>
      <c r="AAH62" s="131" t="s">
        <v>3843</v>
      </c>
      <c r="AAJ62" s="131">
        <v>60</v>
      </c>
      <c r="AAK62" s="131">
        <v>200</v>
      </c>
      <c r="AAL62" s="131">
        <v>400</v>
      </c>
      <c r="AAM62" s="131" t="s">
        <v>3843</v>
      </c>
      <c r="AAN62" s="131">
        <v>60</v>
      </c>
      <c r="AAO62" s="131">
        <v>60</v>
      </c>
      <c r="AAP62" s="131">
        <v>200</v>
      </c>
      <c r="AAQ62" s="131">
        <v>200</v>
      </c>
      <c r="AAR62" s="131">
        <v>400</v>
      </c>
      <c r="AAS62" s="131">
        <v>400</v>
      </c>
      <c r="AAT62" s="131" t="s">
        <v>3843</v>
      </c>
      <c r="AAU62" s="131">
        <v>60</v>
      </c>
      <c r="AAV62" s="131">
        <v>200</v>
      </c>
      <c r="AAW62" s="131">
        <v>400</v>
      </c>
      <c r="AAX62" s="131" t="s">
        <v>3843</v>
      </c>
      <c r="AAY62" s="131">
        <v>60</v>
      </c>
      <c r="AAZ62" s="131">
        <v>60</v>
      </c>
      <c r="ABA62" s="131">
        <v>200</v>
      </c>
      <c r="ABB62" s="131">
        <v>200</v>
      </c>
      <c r="ABC62" s="131">
        <v>400</v>
      </c>
      <c r="ABD62" s="131">
        <v>400</v>
      </c>
      <c r="ABE62" s="131" t="s">
        <v>3843</v>
      </c>
      <c r="ABF62" s="131">
        <v>60</v>
      </c>
      <c r="ABG62" s="131">
        <v>200</v>
      </c>
      <c r="ABH62" s="131">
        <v>400</v>
      </c>
      <c r="ABI62" s="131" t="s">
        <v>3843</v>
      </c>
      <c r="ABJ62" s="131">
        <v>60</v>
      </c>
      <c r="ABK62" s="131">
        <v>60</v>
      </c>
      <c r="ABL62" s="131">
        <v>200</v>
      </c>
      <c r="ABM62" s="131">
        <v>200</v>
      </c>
      <c r="ABN62" s="131">
        <v>400</v>
      </c>
      <c r="ABO62" s="131">
        <v>400</v>
      </c>
      <c r="ABP62" s="131" t="s">
        <v>3843</v>
      </c>
      <c r="ABQ62" s="131">
        <v>60</v>
      </c>
      <c r="ABR62" s="131">
        <v>200</v>
      </c>
      <c r="ABS62" s="131">
        <v>400</v>
      </c>
      <c r="ABT62" s="131" t="s">
        <v>3843</v>
      </c>
      <c r="ABU62" s="131">
        <v>60</v>
      </c>
      <c r="ABV62" s="131">
        <v>60</v>
      </c>
      <c r="ABW62" s="131">
        <v>200</v>
      </c>
      <c r="ABX62" s="131">
        <v>200</v>
      </c>
      <c r="ABY62" s="131">
        <v>400</v>
      </c>
      <c r="ABZ62" s="131">
        <v>400</v>
      </c>
      <c r="ACA62" s="131" t="s">
        <v>3843</v>
      </c>
      <c r="ACB62" s="131">
        <v>60</v>
      </c>
      <c r="ACC62" s="131">
        <v>200</v>
      </c>
      <c r="ACD62" s="131">
        <v>400</v>
      </c>
      <c r="ACE62" s="131" t="s">
        <v>3843</v>
      </c>
      <c r="ACF62" s="131">
        <v>60</v>
      </c>
      <c r="ACG62" s="131">
        <v>60</v>
      </c>
      <c r="ACH62" s="131">
        <v>200</v>
      </c>
      <c r="ACI62" s="131">
        <v>200</v>
      </c>
      <c r="ACJ62" s="131">
        <v>400</v>
      </c>
      <c r="ACK62" s="131">
        <v>400</v>
      </c>
      <c r="ACL62" s="131" t="s">
        <v>3843</v>
      </c>
      <c r="ACM62" s="131">
        <v>60</v>
      </c>
      <c r="ACN62" s="131">
        <v>200</v>
      </c>
      <c r="ACO62" s="131">
        <v>400</v>
      </c>
      <c r="ACP62" s="131" t="s">
        <v>3843</v>
      </c>
      <c r="ACQ62" s="131">
        <v>60</v>
      </c>
      <c r="ACR62" s="131">
        <v>60</v>
      </c>
      <c r="ACS62" s="131">
        <v>200</v>
      </c>
      <c r="ACT62" s="131">
        <v>200</v>
      </c>
      <c r="ACU62" s="131">
        <v>400</v>
      </c>
      <c r="ACV62" s="131">
        <v>400</v>
      </c>
      <c r="ACW62" s="131" t="s">
        <v>3843</v>
      </c>
      <c r="ACX62" s="131">
        <v>60</v>
      </c>
      <c r="ACY62" s="131">
        <v>200</v>
      </c>
      <c r="ACZ62" s="131">
        <v>400</v>
      </c>
      <c r="ADA62" s="131" t="s">
        <v>3843</v>
      </c>
      <c r="ADB62" s="131">
        <v>60</v>
      </c>
      <c r="ADC62" s="131">
        <v>60</v>
      </c>
      <c r="ADD62" s="131">
        <v>200</v>
      </c>
      <c r="ADE62" s="131">
        <v>200</v>
      </c>
      <c r="ADF62" s="131">
        <v>400</v>
      </c>
      <c r="ADG62" s="131">
        <v>400</v>
      </c>
      <c r="ADH62" s="131" t="s">
        <v>3843</v>
      </c>
      <c r="ADI62" s="131">
        <v>60</v>
      </c>
      <c r="ADJ62" s="131">
        <v>200</v>
      </c>
      <c r="ADK62" s="131">
        <v>400</v>
      </c>
      <c r="ADL62" s="131" t="s">
        <v>3843</v>
      </c>
      <c r="ADM62" s="131">
        <v>60</v>
      </c>
      <c r="ADN62" s="131">
        <v>60</v>
      </c>
      <c r="ADO62" s="131">
        <v>200</v>
      </c>
      <c r="ADP62" s="131">
        <v>200</v>
      </c>
      <c r="ADQ62" s="131">
        <v>400</v>
      </c>
      <c r="ADR62" s="131">
        <v>400</v>
      </c>
      <c r="ADS62" s="131" t="s">
        <v>3843</v>
      </c>
      <c r="ADT62" s="131">
        <v>60</v>
      </c>
      <c r="ADU62" s="131">
        <v>200</v>
      </c>
      <c r="ADV62" s="131">
        <v>400</v>
      </c>
      <c r="ADW62" s="131" t="s">
        <v>3843</v>
      </c>
      <c r="ADX62" s="131">
        <v>60</v>
      </c>
      <c r="ADY62" s="131">
        <v>60</v>
      </c>
      <c r="ADZ62" s="131">
        <v>200</v>
      </c>
      <c r="AEA62" s="131">
        <v>200</v>
      </c>
      <c r="AEB62" s="131">
        <v>400</v>
      </c>
      <c r="AEC62" s="131">
        <v>400</v>
      </c>
      <c r="AED62" s="131" t="s">
        <v>3843</v>
      </c>
      <c r="AEE62" s="131">
        <v>60</v>
      </c>
      <c r="AEF62" s="131">
        <v>200</v>
      </c>
      <c r="AEG62" s="131">
        <v>400</v>
      </c>
      <c r="AEH62" s="131" t="s">
        <v>3843</v>
      </c>
      <c r="AEI62" s="131">
        <v>60</v>
      </c>
      <c r="AEJ62" s="131">
        <v>60</v>
      </c>
      <c r="AEK62" s="131">
        <v>200</v>
      </c>
      <c r="AEL62" s="131">
        <v>200</v>
      </c>
      <c r="AEM62" s="131">
        <v>400</v>
      </c>
      <c r="AEN62" s="131">
        <v>400</v>
      </c>
      <c r="AEO62" s="131" t="s">
        <v>3843</v>
      </c>
      <c r="AEP62" s="131">
        <v>60</v>
      </c>
      <c r="AEQ62" s="131">
        <v>200</v>
      </c>
      <c r="AER62" s="131">
        <v>400</v>
      </c>
      <c r="AES62" s="131" t="s">
        <v>3843</v>
      </c>
      <c r="AET62" s="131">
        <v>60</v>
      </c>
      <c r="AEU62" s="131">
        <v>60</v>
      </c>
      <c r="AEV62" s="131">
        <v>200</v>
      </c>
      <c r="AEW62" s="131">
        <v>200</v>
      </c>
      <c r="AEX62" s="131">
        <v>400</v>
      </c>
      <c r="AEY62" s="131">
        <v>400</v>
      </c>
      <c r="AEZ62" s="131" t="s">
        <v>3843</v>
      </c>
      <c r="AFA62" s="131">
        <v>60</v>
      </c>
      <c r="AFB62" s="131">
        <v>200</v>
      </c>
      <c r="AFC62" s="131">
        <v>400</v>
      </c>
      <c r="AFD62" s="131" t="s">
        <v>3843</v>
      </c>
      <c r="AFE62" s="131">
        <v>60</v>
      </c>
      <c r="AFF62" s="131">
        <v>60</v>
      </c>
      <c r="AFG62" s="131">
        <v>200</v>
      </c>
      <c r="AFH62" s="131">
        <v>200</v>
      </c>
      <c r="AFI62" s="131">
        <v>400</v>
      </c>
      <c r="AFJ62" s="131">
        <v>400</v>
      </c>
      <c r="AFK62" s="131" t="s">
        <v>3843</v>
      </c>
      <c r="AFN62" s="129">
        <v>185</v>
      </c>
      <c r="AFO62" s="129">
        <v>160</v>
      </c>
      <c r="AFP62" s="129">
        <v>730</v>
      </c>
      <c r="AFQ62" s="129">
        <v>710</v>
      </c>
      <c r="AFR62" s="129" t="s">
        <v>3843</v>
      </c>
      <c r="AFS62" s="129">
        <v>100</v>
      </c>
      <c r="AFT62" s="129">
        <v>300</v>
      </c>
      <c r="AFU62" s="129">
        <v>160</v>
      </c>
      <c r="AFV62" s="129">
        <v>730</v>
      </c>
      <c r="AFW62" s="129" t="s">
        <v>3843</v>
      </c>
      <c r="AFX62" s="129">
        <v>185</v>
      </c>
      <c r="AFY62" s="129">
        <v>160</v>
      </c>
      <c r="AFZ62" s="129">
        <v>730</v>
      </c>
      <c r="AGA62" s="129">
        <v>710</v>
      </c>
      <c r="AGB62" s="149" t="s">
        <v>3843</v>
      </c>
      <c r="AGC62" s="129">
        <v>100</v>
      </c>
      <c r="AGD62" s="129">
        <v>300</v>
      </c>
      <c r="AGE62" s="129">
        <v>160</v>
      </c>
      <c r="AGF62" s="129">
        <v>730</v>
      </c>
      <c r="AGG62" s="149" t="s">
        <v>3843</v>
      </c>
      <c r="AGH62" s="129">
        <v>185</v>
      </c>
      <c r="AGI62" s="129">
        <v>160</v>
      </c>
      <c r="AGJ62" s="129">
        <v>730</v>
      </c>
      <c r="AGK62" s="129">
        <v>710</v>
      </c>
      <c r="AGL62" s="149" t="s">
        <v>3843</v>
      </c>
      <c r="AGM62" s="129">
        <v>100</v>
      </c>
      <c r="AGN62" s="129">
        <v>300</v>
      </c>
      <c r="AGO62" s="129">
        <v>160</v>
      </c>
      <c r="AGP62" s="129">
        <v>730</v>
      </c>
      <c r="AGQ62" s="149" t="s">
        <v>3843</v>
      </c>
      <c r="AGR62" s="129">
        <v>60</v>
      </c>
      <c r="AGS62" s="129">
        <v>200</v>
      </c>
      <c r="AGT62" s="129">
        <v>400</v>
      </c>
      <c r="AGU62" s="129" t="s">
        <v>3843</v>
      </c>
      <c r="AGV62" s="129">
        <v>60</v>
      </c>
      <c r="AGW62" s="129">
        <v>60</v>
      </c>
      <c r="AGX62" s="129">
        <v>200</v>
      </c>
      <c r="AGY62" s="129">
        <v>200</v>
      </c>
      <c r="AGZ62" s="129">
        <v>400</v>
      </c>
      <c r="AHA62" s="129">
        <v>400</v>
      </c>
      <c r="AHB62" s="129" t="s">
        <v>3843</v>
      </c>
      <c r="AHC62" s="129">
        <v>60</v>
      </c>
      <c r="AHD62" s="129">
        <v>200</v>
      </c>
      <c r="AHE62" s="129">
        <v>400</v>
      </c>
      <c r="AHF62" s="149" t="s">
        <v>3843</v>
      </c>
      <c r="AHG62" s="129">
        <v>60</v>
      </c>
      <c r="AHH62" s="129">
        <v>60</v>
      </c>
      <c r="AHI62" s="129">
        <v>200</v>
      </c>
      <c r="AHJ62" s="129">
        <v>200</v>
      </c>
      <c r="AHK62" s="129">
        <v>400</v>
      </c>
      <c r="AHL62" s="129">
        <v>400</v>
      </c>
      <c r="AHM62" s="149" t="s">
        <v>3843</v>
      </c>
      <c r="AHN62" s="129">
        <v>60</v>
      </c>
      <c r="AHO62" s="129">
        <v>200</v>
      </c>
      <c r="AHP62" s="129">
        <v>400</v>
      </c>
      <c r="AHQ62" s="149" t="s">
        <v>3843</v>
      </c>
      <c r="AHR62" s="129">
        <v>60</v>
      </c>
      <c r="AHS62" s="129">
        <v>60</v>
      </c>
      <c r="AHT62" s="129">
        <v>200</v>
      </c>
      <c r="AHU62" s="129">
        <v>200</v>
      </c>
      <c r="AHV62" s="129">
        <v>400</v>
      </c>
      <c r="AHW62" s="129">
        <v>400</v>
      </c>
      <c r="AHX62" s="149" t="s">
        <v>3843</v>
      </c>
      <c r="AHY62" s="129">
        <v>60</v>
      </c>
      <c r="AHZ62" s="129">
        <v>200</v>
      </c>
      <c r="AIA62" s="129">
        <v>400</v>
      </c>
      <c r="AIB62" s="129" t="s">
        <v>3843</v>
      </c>
      <c r="AIC62" s="129">
        <v>60</v>
      </c>
      <c r="AID62" s="129">
        <v>60</v>
      </c>
      <c r="AIE62" s="129">
        <v>200</v>
      </c>
      <c r="AIF62" s="129">
        <v>200</v>
      </c>
      <c r="AIG62" s="129">
        <v>400</v>
      </c>
      <c r="AIH62" s="129">
        <v>400</v>
      </c>
      <c r="AII62" s="129" t="s">
        <v>3843</v>
      </c>
      <c r="AIJ62" s="129">
        <v>60</v>
      </c>
      <c r="AIK62" s="129">
        <v>200</v>
      </c>
      <c r="AIL62" s="129">
        <v>400</v>
      </c>
      <c r="AIM62" s="149" t="s">
        <v>3843</v>
      </c>
      <c r="AIN62" s="129">
        <v>60</v>
      </c>
      <c r="AIO62" s="129">
        <v>60</v>
      </c>
      <c r="AIP62" s="129">
        <v>200</v>
      </c>
      <c r="AIQ62" s="129">
        <v>200</v>
      </c>
      <c r="AIR62" s="129">
        <v>400</v>
      </c>
      <c r="AIS62" s="129">
        <v>400</v>
      </c>
      <c r="AIT62" s="149" t="s">
        <v>3843</v>
      </c>
      <c r="AIU62" s="129">
        <v>60</v>
      </c>
      <c r="AIV62" s="129">
        <v>200</v>
      </c>
      <c r="AIW62" s="129">
        <v>400</v>
      </c>
      <c r="AIX62" s="149" t="s">
        <v>3843</v>
      </c>
      <c r="AIY62" s="129">
        <v>60</v>
      </c>
      <c r="AIZ62" s="129">
        <v>60</v>
      </c>
      <c r="AJA62" s="129">
        <v>200</v>
      </c>
      <c r="AJB62" s="129">
        <v>200</v>
      </c>
      <c r="AJC62" s="129">
        <v>400</v>
      </c>
      <c r="AJD62" s="129">
        <v>400</v>
      </c>
      <c r="AJE62" s="149" t="s">
        <v>3843</v>
      </c>
      <c r="AJF62" s="129">
        <v>60</v>
      </c>
      <c r="AJG62" s="129">
        <v>200</v>
      </c>
      <c r="AJH62" s="129">
        <v>400</v>
      </c>
      <c r="AJI62" s="129" t="s">
        <v>3843</v>
      </c>
      <c r="AJJ62" s="129">
        <v>60</v>
      </c>
      <c r="AJK62" s="129">
        <v>60</v>
      </c>
      <c r="AJL62" s="129">
        <v>200</v>
      </c>
      <c r="AJM62" s="129">
        <v>200</v>
      </c>
      <c r="AJN62" s="129">
        <v>400</v>
      </c>
      <c r="AJO62" s="129">
        <v>400</v>
      </c>
      <c r="AJP62" s="129" t="s">
        <v>3843</v>
      </c>
      <c r="AJQ62" s="129">
        <v>60</v>
      </c>
      <c r="AJR62" s="129">
        <v>200</v>
      </c>
      <c r="AJS62" s="129">
        <v>400</v>
      </c>
      <c r="AJT62" s="149" t="s">
        <v>3843</v>
      </c>
      <c r="AJU62" s="129">
        <v>60</v>
      </c>
      <c r="AJV62" s="129">
        <v>60</v>
      </c>
      <c r="AJW62" s="129">
        <v>200</v>
      </c>
      <c r="AJX62" s="129">
        <v>200</v>
      </c>
      <c r="AJY62" s="129">
        <v>400</v>
      </c>
      <c r="AJZ62" s="129">
        <v>400</v>
      </c>
      <c r="AKA62" s="149" t="s">
        <v>3843</v>
      </c>
      <c r="AKB62" s="129">
        <v>60</v>
      </c>
      <c r="AKC62" s="129">
        <v>200</v>
      </c>
      <c r="AKD62" s="129">
        <v>400</v>
      </c>
      <c r="AKE62" s="149" t="s">
        <v>3843</v>
      </c>
      <c r="AKF62" s="129">
        <v>60</v>
      </c>
      <c r="AKG62" s="129">
        <v>60</v>
      </c>
      <c r="AKH62" s="129">
        <v>200</v>
      </c>
      <c r="AKI62" s="129">
        <v>200</v>
      </c>
      <c r="AKJ62" s="129">
        <v>400</v>
      </c>
      <c r="AKK62" s="129">
        <v>400</v>
      </c>
      <c r="AKL62" s="149" t="s">
        <v>3843</v>
      </c>
      <c r="AKM62" s="129">
        <v>60</v>
      </c>
      <c r="AKN62" s="129">
        <v>200</v>
      </c>
      <c r="AKO62" s="129">
        <v>400</v>
      </c>
      <c r="AKP62" s="129" t="s">
        <v>3843</v>
      </c>
      <c r="AKQ62" s="129">
        <v>60</v>
      </c>
      <c r="AKR62" s="129">
        <v>60</v>
      </c>
      <c r="AKS62" s="129">
        <v>200</v>
      </c>
      <c r="AKT62" s="129">
        <v>200</v>
      </c>
      <c r="AKU62" s="129">
        <v>400</v>
      </c>
      <c r="AKV62" s="129">
        <v>400</v>
      </c>
      <c r="AKW62" s="129" t="s">
        <v>3843</v>
      </c>
      <c r="AKX62" s="129">
        <v>60</v>
      </c>
      <c r="AKY62" s="129">
        <v>200</v>
      </c>
      <c r="AKZ62" s="129">
        <v>400</v>
      </c>
      <c r="ALA62" s="149" t="s">
        <v>3843</v>
      </c>
      <c r="ALB62" s="129">
        <v>60</v>
      </c>
      <c r="ALC62" s="129">
        <v>60</v>
      </c>
      <c r="ALD62" s="129">
        <v>200</v>
      </c>
      <c r="ALE62" s="129">
        <v>200</v>
      </c>
      <c r="ALF62" s="129">
        <v>400</v>
      </c>
      <c r="ALG62" s="129">
        <v>400</v>
      </c>
      <c r="ALH62" s="149" t="s">
        <v>3843</v>
      </c>
      <c r="ALI62" s="129">
        <v>60</v>
      </c>
      <c r="ALJ62" s="129">
        <v>200</v>
      </c>
      <c r="ALK62" s="129">
        <v>400</v>
      </c>
      <c r="ALL62" s="149" t="s">
        <v>3843</v>
      </c>
      <c r="ALM62" s="129">
        <v>60</v>
      </c>
      <c r="ALN62" s="129">
        <v>60</v>
      </c>
      <c r="ALO62" s="129">
        <v>200</v>
      </c>
      <c r="ALP62" s="129">
        <v>200</v>
      </c>
      <c r="ALQ62" s="129">
        <v>400</v>
      </c>
      <c r="ALR62" s="129">
        <v>400</v>
      </c>
      <c r="ALS62" s="149" t="s">
        <v>3843</v>
      </c>
      <c r="ALT62" s="129">
        <v>60</v>
      </c>
      <c r="ALU62" s="129">
        <v>200</v>
      </c>
      <c r="ALV62" s="129">
        <v>400</v>
      </c>
      <c r="ALW62" s="129" t="s">
        <v>3843</v>
      </c>
      <c r="ALX62" s="129">
        <v>60</v>
      </c>
      <c r="ALY62" s="129">
        <v>60</v>
      </c>
      <c r="ALZ62" s="129">
        <v>200</v>
      </c>
      <c r="AMA62" s="129">
        <v>200</v>
      </c>
      <c r="AMB62" s="129">
        <v>400</v>
      </c>
      <c r="AMC62" s="129">
        <v>400</v>
      </c>
      <c r="AMD62" s="129" t="s">
        <v>3843</v>
      </c>
      <c r="AME62" s="129">
        <v>60</v>
      </c>
      <c r="AMF62" s="129">
        <v>200</v>
      </c>
      <c r="AMG62" s="129">
        <v>400</v>
      </c>
      <c r="AMH62" s="149" t="s">
        <v>3843</v>
      </c>
      <c r="AMI62" s="129">
        <v>60</v>
      </c>
      <c r="AMJ62" s="129">
        <v>60</v>
      </c>
      <c r="AMK62" s="129">
        <v>200</v>
      </c>
      <c r="AML62" s="129">
        <v>200</v>
      </c>
      <c r="AMM62" s="129">
        <v>400</v>
      </c>
      <c r="AMN62" s="129">
        <v>400</v>
      </c>
      <c r="AMO62" s="149" t="s">
        <v>3843</v>
      </c>
      <c r="AMP62" s="129">
        <v>60</v>
      </c>
      <c r="AMQ62" s="129">
        <v>200</v>
      </c>
      <c r="AMR62" s="129">
        <v>400</v>
      </c>
      <c r="AMS62" s="149" t="s">
        <v>3843</v>
      </c>
      <c r="AMT62" s="129">
        <v>60</v>
      </c>
      <c r="AMU62" s="129">
        <v>60</v>
      </c>
      <c r="AMV62" s="129">
        <v>200</v>
      </c>
      <c r="AMW62" s="129">
        <v>200</v>
      </c>
      <c r="AMX62" s="129">
        <v>400</v>
      </c>
      <c r="AMY62" s="129">
        <v>400</v>
      </c>
      <c r="AMZ62" s="149" t="s">
        <v>3843</v>
      </c>
      <c r="ANA62" s="129">
        <v>60</v>
      </c>
      <c r="ANB62" s="129">
        <v>200</v>
      </c>
      <c r="ANC62" s="129">
        <v>400</v>
      </c>
      <c r="AND62" s="129" t="s">
        <v>3843</v>
      </c>
      <c r="ANE62" s="129">
        <v>60</v>
      </c>
      <c r="ANF62" s="129">
        <v>60</v>
      </c>
      <c r="ANG62" s="129">
        <v>200</v>
      </c>
      <c r="ANH62" s="129">
        <v>200</v>
      </c>
      <c r="ANI62" s="129">
        <v>400</v>
      </c>
      <c r="ANJ62" s="129">
        <v>400</v>
      </c>
      <c r="ANK62" s="129" t="s">
        <v>3843</v>
      </c>
      <c r="ANL62" s="129">
        <v>60</v>
      </c>
      <c r="ANM62" s="129">
        <v>200</v>
      </c>
      <c r="ANN62" s="129">
        <v>400</v>
      </c>
      <c r="ANO62" s="149" t="s">
        <v>3843</v>
      </c>
      <c r="ANP62" s="129">
        <v>60</v>
      </c>
      <c r="ANQ62" s="129">
        <v>60</v>
      </c>
      <c r="ANR62" s="129">
        <v>200</v>
      </c>
      <c r="ANS62" s="129">
        <v>200</v>
      </c>
      <c r="ANT62" s="129">
        <v>400</v>
      </c>
      <c r="ANU62" s="129">
        <v>400</v>
      </c>
      <c r="ANV62" s="149" t="s">
        <v>3843</v>
      </c>
      <c r="ANW62" s="129">
        <v>60</v>
      </c>
      <c r="ANX62" s="129">
        <v>200</v>
      </c>
      <c r="ANY62" s="129">
        <v>400</v>
      </c>
      <c r="ANZ62" s="149" t="s">
        <v>3843</v>
      </c>
      <c r="AOA62" s="129">
        <v>60</v>
      </c>
      <c r="AOB62" s="129">
        <v>60</v>
      </c>
      <c r="AOC62" s="129">
        <v>200</v>
      </c>
      <c r="AOD62" s="129">
        <v>200</v>
      </c>
      <c r="AOE62" s="129">
        <v>400</v>
      </c>
      <c r="AOF62" s="129">
        <v>400</v>
      </c>
      <c r="AOG62" s="149" t="s">
        <v>3843</v>
      </c>
      <c r="AOH62" s="129">
        <v>60</v>
      </c>
      <c r="AOI62" s="129">
        <v>200</v>
      </c>
      <c r="AOJ62" s="129">
        <v>400</v>
      </c>
      <c r="AOK62" s="129" t="s">
        <v>3843</v>
      </c>
      <c r="AOL62" s="129">
        <v>60</v>
      </c>
      <c r="AOM62" s="129">
        <v>60</v>
      </c>
      <c r="AON62" s="129">
        <v>200</v>
      </c>
      <c r="AOO62" s="129">
        <v>200</v>
      </c>
      <c r="AOP62" s="129">
        <v>400</v>
      </c>
      <c r="AOQ62" s="129">
        <v>400</v>
      </c>
      <c r="AOR62" s="129" t="s">
        <v>3843</v>
      </c>
      <c r="AOS62" s="129">
        <v>60</v>
      </c>
      <c r="AOT62" s="129">
        <v>200</v>
      </c>
      <c r="AOU62" s="129">
        <v>400</v>
      </c>
      <c r="AOV62" s="129" t="s">
        <v>3843</v>
      </c>
      <c r="AOW62" s="129">
        <v>60</v>
      </c>
      <c r="AOX62" s="129">
        <v>60</v>
      </c>
      <c r="AOY62" s="129">
        <v>200</v>
      </c>
      <c r="AOZ62" s="129">
        <v>200</v>
      </c>
      <c r="APA62" s="129">
        <v>400</v>
      </c>
      <c r="APB62" s="129">
        <v>400</v>
      </c>
      <c r="APC62" s="129" t="s">
        <v>3843</v>
      </c>
      <c r="APD62" s="129">
        <v>60</v>
      </c>
      <c r="APE62" s="129">
        <v>200</v>
      </c>
      <c r="APF62" s="129">
        <v>400</v>
      </c>
      <c r="APG62" s="129" t="s">
        <v>3843</v>
      </c>
      <c r="APH62" s="129">
        <v>60</v>
      </c>
      <c r="API62" s="129">
        <v>60</v>
      </c>
      <c r="APJ62" s="129">
        <v>200</v>
      </c>
      <c r="APK62" s="129">
        <v>200</v>
      </c>
      <c r="APL62" s="129">
        <v>400</v>
      </c>
      <c r="APM62" s="129">
        <v>400</v>
      </c>
      <c r="APN62" s="129" t="s">
        <v>3843</v>
      </c>
      <c r="ASX62" s="129">
        <v>185</v>
      </c>
      <c r="ASY62" s="129">
        <v>160</v>
      </c>
      <c r="ASZ62" s="129">
        <v>730</v>
      </c>
      <c r="ATA62" s="129">
        <v>710</v>
      </c>
      <c r="ATC62" s="129">
        <v>100</v>
      </c>
      <c r="ATD62" s="129">
        <v>300</v>
      </c>
      <c r="ATE62" s="129">
        <v>160</v>
      </c>
      <c r="ATF62" s="129">
        <v>730</v>
      </c>
      <c r="ATG62" s="129" t="s">
        <v>3843</v>
      </c>
      <c r="ATH62" s="129">
        <v>60</v>
      </c>
      <c r="ATI62" s="129">
        <v>200</v>
      </c>
      <c r="ATJ62" s="129">
        <v>400</v>
      </c>
      <c r="ATK62" s="129" t="s">
        <v>3843</v>
      </c>
      <c r="ATL62" s="129">
        <v>60</v>
      </c>
      <c r="ATM62" s="129">
        <v>60</v>
      </c>
      <c r="ATN62" s="129">
        <v>200</v>
      </c>
      <c r="ATO62" s="129">
        <v>200</v>
      </c>
      <c r="ATP62" s="129">
        <v>400</v>
      </c>
      <c r="ATQ62" s="129">
        <v>400</v>
      </c>
      <c r="ATR62" s="129" t="s">
        <v>3843</v>
      </c>
      <c r="ATS62" s="129">
        <v>60</v>
      </c>
      <c r="ATT62" s="129">
        <v>200</v>
      </c>
      <c r="ATU62" s="129">
        <v>400</v>
      </c>
      <c r="ATV62" s="129" t="s">
        <v>3843</v>
      </c>
      <c r="ATW62" s="129">
        <v>60</v>
      </c>
      <c r="ATX62" s="129">
        <v>60</v>
      </c>
      <c r="ATY62" s="129">
        <v>200</v>
      </c>
      <c r="ATZ62" s="129">
        <v>200</v>
      </c>
      <c r="AUA62" s="129">
        <v>400</v>
      </c>
      <c r="AUB62" s="129">
        <v>400</v>
      </c>
      <c r="AUC62" s="129" t="s">
        <v>3843</v>
      </c>
      <c r="AUD62" s="129">
        <v>60</v>
      </c>
      <c r="AUE62" s="129">
        <v>200</v>
      </c>
      <c r="AUF62" s="129">
        <v>400</v>
      </c>
      <c r="AUG62" s="129" t="s">
        <v>3843</v>
      </c>
      <c r="AUH62" s="129">
        <v>60</v>
      </c>
      <c r="AUI62" s="129">
        <v>60</v>
      </c>
      <c r="AUJ62" s="129">
        <v>200</v>
      </c>
      <c r="AUK62" s="129">
        <v>200</v>
      </c>
      <c r="AUL62" s="129">
        <v>400</v>
      </c>
      <c r="AUM62" s="129">
        <v>400</v>
      </c>
      <c r="AUN62" s="129" t="s">
        <v>3843</v>
      </c>
      <c r="AUQ62" s="129">
        <v>730</v>
      </c>
      <c r="AUR62" s="129">
        <v>710</v>
      </c>
      <c r="AUS62" s="129" t="s">
        <v>3843</v>
      </c>
      <c r="AUT62" s="129">
        <v>100</v>
      </c>
      <c r="AUU62" s="129">
        <v>300</v>
      </c>
      <c r="AUV62" s="129">
        <v>160</v>
      </c>
      <c r="AUW62" s="129">
        <v>730</v>
      </c>
      <c r="AUX62" s="129" t="s">
        <v>3843</v>
      </c>
      <c r="AUY62" s="129">
        <v>730</v>
      </c>
      <c r="AUZ62" s="129">
        <v>710</v>
      </c>
      <c r="AVA62" s="129" t="s">
        <v>3843</v>
      </c>
      <c r="AVB62" s="129">
        <v>100</v>
      </c>
      <c r="AVC62" s="129">
        <v>300</v>
      </c>
      <c r="AVD62" s="129">
        <v>160</v>
      </c>
      <c r="AVE62" s="129">
        <v>730</v>
      </c>
      <c r="AVF62" s="129" t="s">
        <v>3843</v>
      </c>
      <c r="AVZ62" s="129">
        <v>200</v>
      </c>
      <c r="AWA62" s="129">
        <v>200</v>
      </c>
      <c r="AWB62" s="129">
        <v>230</v>
      </c>
      <c r="AWC62" s="129">
        <v>230</v>
      </c>
      <c r="AWD62" s="128" t="s">
        <v>3843</v>
      </c>
    </row>
    <row r="63" spans="1:1296" ht="25.5" outlineLevel="1">
      <c r="A63" s="137" t="s">
        <v>236</v>
      </c>
      <c r="B63" s="139" t="s">
        <v>334</v>
      </c>
      <c r="C63" s="139" t="s">
        <v>3926</v>
      </c>
      <c r="D63" s="139" t="s">
        <v>3925</v>
      </c>
      <c r="E63" s="137">
        <v>84</v>
      </c>
      <c r="F63" s="136" t="s">
        <v>148</v>
      </c>
      <c r="G63" s="136" t="s">
        <v>173</v>
      </c>
      <c r="H63" s="136" t="s">
        <v>13</v>
      </c>
      <c r="I63" s="136" t="s">
        <v>13</v>
      </c>
      <c r="J63" s="136" t="s">
        <v>13</v>
      </c>
      <c r="K63" s="136" t="s">
        <v>13</v>
      </c>
      <c r="L63" s="136" t="s">
        <v>366</v>
      </c>
      <c r="N63" s="136" t="s">
        <v>13</v>
      </c>
      <c r="P63" s="129">
        <v>43</v>
      </c>
      <c r="Q63" s="129">
        <v>50</v>
      </c>
      <c r="R63" s="129">
        <v>51</v>
      </c>
      <c r="S63" s="129">
        <v>52</v>
      </c>
      <c r="T63" s="129">
        <v>52</v>
      </c>
      <c r="U63" s="128">
        <v>63</v>
      </c>
      <c r="W63" s="128">
        <v>50</v>
      </c>
      <c r="X63" s="128">
        <v>58</v>
      </c>
      <c r="Y63" s="128">
        <v>61</v>
      </c>
      <c r="Z63" s="142">
        <v>62</v>
      </c>
      <c r="AA63" s="128">
        <v>61</v>
      </c>
      <c r="AB63" s="164">
        <v>62</v>
      </c>
      <c r="AC63" s="128">
        <v>65</v>
      </c>
      <c r="AD63" s="142">
        <v>64</v>
      </c>
      <c r="AE63" s="128">
        <v>67</v>
      </c>
      <c r="AF63" s="128">
        <v>54</v>
      </c>
      <c r="AG63" s="128">
        <v>56</v>
      </c>
      <c r="AM63" s="128">
        <v>66</v>
      </c>
      <c r="AN63" s="128">
        <v>56</v>
      </c>
      <c r="AO63" s="128">
        <v>56</v>
      </c>
      <c r="AP63" s="129">
        <v>52</v>
      </c>
      <c r="AQ63" s="129">
        <v>52</v>
      </c>
      <c r="AR63" s="129">
        <v>51</v>
      </c>
      <c r="AS63" s="129">
        <v>51</v>
      </c>
      <c r="AT63" s="129">
        <v>51</v>
      </c>
      <c r="AU63" s="129">
        <v>51</v>
      </c>
      <c r="AV63" s="129">
        <v>51</v>
      </c>
      <c r="AW63" s="129">
        <v>51</v>
      </c>
      <c r="AY63" s="129">
        <v>34</v>
      </c>
      <c r="AZ63" s="129">
        <v>42</v>
      </c>
      <c r="BA63" s="129">
        <v>36</v>
      </c>
      <c r="BB63" s="129">
        <v>38</v>
      </c>
      <c r="BC63" s="129">
        <v>46</v>
      </c>
      <c r="BD63" s="129">
        <v>42</v>
      </c>
      <c r="BE63" s="129">
        <v>45</v>
      </c>
      <c r="BF63" s="129">
        <v>47</v>
      </c>
      <c r="BG63" s="129">
        <v>42</v>
      </c>
      <c r="BH63" s="129">
        <v>50</v>
      </c>
      <c r="BI63" s="129">
        <v>45</v>
      </c>
      <c r="BJ63" s="129">
        <v>51</v>
      </c>
      <c r="BK63" s="129">
        <v>47</v>
      </c>
      <c r="BL63" s="129">
        <v>45</v>
      </c>
      <c r="BM63" s="129">
        <v>56</v>
      </c>
      <c r="BN63" s="129">
        <v>47</v>
      </c>
      <c r="BO63" s="129">
        <v>57</v>
      </c>
      <c r="BP63" s="129">
        <v>49</v>
      </c>
      <c r="BQ63" s="129">
        <v>58</v>
      </c>
      <c r="BR63" s="129">
        <v>42</v>
      </c>
      <c r="BS63" s="129">
        <v>50</v>
      </c>
      <c r="BT63" s="129">
        <v>47</v>
      </c>
      <c r="BU63" s="129">
        <v>52</v>
      </c>
      <c r="BV63" s="129"/>
      <c r="BW63" s="129"/>
      <c r="BY63" s="128">
        <v>57</v>
      </c>
      <c r="BZ63" s="128">
        <v>61</v>
      </c>
      <c r="CA63" s="128">
        <v>61</v>
      </c>
      <c r="CB63" s="128">
        <v>52</v>
      </c>
      <c r="CC63" s="128">
        <v>62</v>
      </c>
      <c r="CD63" s="128">
        <v>63</v>
      </c>
      <c r="CE63" s="128">
        <v>58</v>
      </c>
      <c r="CF63" s="128">
        <v>65</v>
      </c>
      <c r="CG63" s="128">
        <v>66</v>
      </c>
      <c r="CH63" s="128">
        <v>53</v>
      </c>
      <c r="CI63" s="128">
        <v>55</v>
      </c>
      <c r="CJ63" s="128">
        <v>54</v>
      </c>
      <c r="CK63" s="128">
        <v>57</v>
      </c>
      <c r="CL63" s="128">
        <v>52</v>
      </c>
      <c r="CM63" s="128">
        <v>55</v>
      </c>
      <c r="CN63" s="128">
        <v>57</v>
      </c>
      <c r="CO63" s="128">
        <v>57</v>
      </c>
      <c r="CP63" s="128">
        <v>59</v>
      </c>
      <c r="CQ63" s="128">
        <v>60</v>
      </c>
      <c r="CR63" s="128">
        <v>69</v>
      </c>
      <c r="CS63" s="128">
        <v>66</v>
      </c>
      <c r="CT63" s="128">
        <v>64</v>
      </c>
      <c r="CU63" s="128">
        <v>74</v>
      </c>
      <c r="CX63" s="128">
        <v>45</v>
      </c>
      <c r="DC63" s="128">
        <v>62</v>
      </c>
      <c r="DF63" s="128">
        <v>69</v>
      </c>
      <c r="DH63" s="128">
        <v>66</v>
      </c>
      <c r="DK63" s="128">
        <v>68</v>
      </c>
      <c r="DM63" s="128">
        <v>69</v>
      </c>
      <c r="DO63" s="128">
        <v>66</v>
      </c>
      <c r="DQ63" s="128">
        <v>67</v>
      </c>
      <c r="DS63" s="128">
        <v>68</v>
      </c>
      <c r="DU63" s="128">
        <v>40</v>
      </c>
      <c r="DV63" s="128">
        <v>49</v>
      </c>
      <c r="DW63" s="128">
        <v>51</v>
      </c>
      <c r="DX63" s="128">
        <v>56</v>
      </c>
      <c r="DY63" s="128">
        <v>49</v>
      </c>
      <c r="DZ63" s="128">
        <v>57</v>
      </c>
      <c r="EA63" s="128">
        <v>60</v>
      </c>
      <c r="EB63" s="128">
        <v>58</v>
      </c>
      <c r="EC63" s="128">
        <v>64</v>
      </c>
      <c r="ED63" s="128">
        <v>51</v>
      </c>
      <c r="EE63" s="128">
        <v>58</v>
      </c>
      <c r="EF63" s="128">
        <v>58</v>
      </c>
      <c r="EG63" s="128">
        <v>61</v>
      </c>
      <c r="FR63" s="163">
        <v>48</v>
      </c>
      <c r="FS63" s="163">
        <v>53</v>
      </c>
      <c r="FT63" s="163">
        <v>50</v>
      </c>
      <c r="FU63" s="163">
        <v>59</v>
      </c>
      <c r="FW63" s="163">
        <v>53</v>
      </c>
      <c r="FX63" s="163">
        <v>55</v>
      </c>
      <c r="FY63" s="163">
        <v>53</v>
      </c>
      <c r="FZ63" s="163">
        <v>55</v>
      </c>
      <c r="GA63" s="163">
        <v>54</v>
      </c>
      <c r="GB63" s="163">
        <v>57</v>
      </c>
      <c r="GC63" s="163">
        <v>54</v>
      </c>
      <c r="GD63" s="163">
        <v>57</v>
      </c>
      <c r="GE63" s="163">
        <v>55</v>
      </c>
      <c r="GF63" s="163">
        <v>57</v>
      </c>
      <c r="GG63" s="163">
        <v>55</v>
      </c>
      <c r="GH63" s="163">
        <v>57</v>
      </c>
      <c r="GI63" s="163">
        <v>55</v>
      </c>
      <c r="GJ63" s="163">
        <v>57</v>
      </c>
      <c r="GL63" s="128">
        <v>69</v>
      </c>
      <c r="GM63" s="128">
        <v>74</v>
      </c>
      <c r="GN63" s="128">
        <v>73</v>
      </c>
      <c r="GO63" s="128">
        <v>68</v>
      </c>
      <c r="GP63" s="128">
        <v>69</v>
      </c>
      <c r="HT63" s="128">
        <v>72</v>
      </c>
      <c r="HU63" s="129">
        <v>60</v>
      </c>
      <c r="HV63" s="128">
        <v>63</v>
      </c>
      <c r="HW63" s="128"/>
      <c r="HX63" s="128"/>
      <c r="HY63" s="128"/>
      <c r="HZ63" s="128"/>
      <c r="IA63" s="128"/>
      <c r="IB63" s="128"/>
      <c r="IC63" s="128"/>
      <c r="ID63" s="128"/>
      <c r="IE63" s="129" t="s">
        <v>3843</v>
      </c>
      <c r="IM63" s="129">
        <v>51</v>
      </c>
      <c r="IN63" s="129">
        <v>67</v>
      </c>
      <c r="IU63" s="129">
        <v>51</v>
      </c>
      <c r="IV63" s="128">
        <v>66</v>
      </c>
      <c r="IW63" s="128">
        <v>57</v>
      </c>
      <c r="IX63" s="128"/>
      <c r="IY63" s="128"/>
      <c r="IZ63" s="128"/>
      <c r="JA63" s="128"/>
      <c r="JB63" s="128"/>
      <c r="JC63" s="128"/>
      <c r="JD63" s="128"/>
      <c r="JE63" s="128"/>
      <c r="JF63" s="129" t="s">
        <v>3843</v>
      </c>
      <c r="JH63" s="128">
        <v>62</v>
      </c>
      <c r="JI63" s="128">
        <v>72</v>
      </c>
      <c r="JJ63" s="128">
        <v>75</v>
      </c>
      <c r="JK63" s="128">
        <v>69</v>
      </c>
      <c r="JL63" s="128">
        <v>68</v>
      </c>
      <c r="JM63" s="129" t="s">
        <v>3843</v>
      </c>
      <c r="JS63" s="129">
        <v>76</v>
      </c>
      <c r="JT63" s="129">
        <v>74</v>
      </c>
      <c r="JU63" s="129" t="s">
        <v>3843</v>
      </c>
      <c r="KC63" s="129">
        <v>78</v>
      </c>
      <c r="KH63" s="129">
        <v>67</v>
      </c>
      <c r="KI63" s="129">
        <v>74</v>
      </c>
      <c r="KJ63" s="156" t="s">
        <v>3843</v>
      </c>
      <c r="KN63" s="129">
        <v>71</v>
      </c>
      <c r="KO63" s="129">
        <v>75</v>
      </c>
      <c r="KP63" s="156" t="s">
        <v>3843</v>
      </c>
      <c r="LV63" s="135">
        <v>51</v>
      </c>
      <c r="LW63" s="135">
        <v>51</v>
      </c>
      <c r="LX63" s="135">
        <v>52</v>
      </c>
      <c r="LY63" s="135">
        <v>54</v>
      </c>
      <c r="LZ63" s="135">
        <v>55</v>
      </c>
      <c r="MA63" s="135">
        <v>56</v>
      </c>
      <c r="MB63" s="135">
        <v>57</v>
      </c>
      <c r="MC63" s="135">
        <v>58</v>
      </c>
      <c r="MD63" s="135">
        <v>59</v>
      </c>
      <c r="ME63" s="135">
        <v>60</v>
      </c>
      <c r="MF63" s="151" t="s">
        <v>3843</v>
      </c>
      <c r="MH63" s="129">
        <v>58</v>
      </c>
      <c r="MK63" s="129">
        <v>71</v>
      </c>
      <c r="ML63" s="129">
        <v>74</v>
      </c>
      <c r="MM63" s="129">
        <v>59</v>
      </c>
      <c r="MN63" s="129" t="s">
        <v>3843</v>
      </c>
      <c r="OZ63" s="129">
        <v>57</v>
      </c>
      <c r="PA63" s="129">
        <v>57</v>
      </c>
      <c r="PB63" s="129" t="s">
        <v>3843</v>
      </c>
      <c r="PC63" s="129">
        <v>50</v>
      </c>
      <c r="PD63" s="129">
        <v>54</v>
      </c>
      <c r="PE63" s="129">
        <v>58</v>
      </c>
      <c r="PF63" s="129" t="s">
        <v>3843</v>
      </c>
      <c r="PM63" s="129">
        <v>58</v>
      </c>
      <c r="PN63" s="129">
        <v>53</v>
      </c>
      <c r="PO63" s="129">
        <v>56</v>
      </c>
      <c r="PP63" s="129">
        <v>59</v>
      </c>
      <c r="PQ63" s="129" t="s">
        <v>3843</v>
      </c>
      <c r="QI63" s="129">
        <v>61</v>
      </c>
      <c r="QJ63" s="129">
        <v>64</v>
      </c>
      <c r="QK63" s="156" t="s">
        <v>3843</v>
      </c>
      <c r="QN63" s="129">
        <v>52</v>
      </c>
      <c r="QO63" s="129">
        <v>57</v>
      </c>
      <c r="QP63" s="129">
        <v>55</v>
      </c>
      <c r="QQ63" s="129">
        <v>56</v>
      </c>
      <c r="QR63" s="129" t="s">
        <v>3843</v>
      </c>
      <c r="QS63" s="129">
        <v>56</v>
      </c>
      <c r="QT63" s="129">
        <v>60</v>
      </c>
      <c r="QU63" s="129">
        <v>57</v>
      </c>
      <c r="QV63" s="129" t="s">
        <v>3843</v>
      </c>
      <c r="TT63" s="129">
        <v>58</v>
      </c>
      <c r="TU63" s="129">
        <v>60</v>
      </c>
      <c r="TV63" s="129">
        <v>65</v>
      </c>
      <c r="TW63" s="156" t="s">
        <v>3843</v>
      </c>
      <c r="UP63" s="129">
        <v>49</v>
      </c>
      <c r="UQ63" s="129">
        <v>50</v>
      </c>
      <c r="UR63" s="129">
        <v>50</v>
      </c>
      <c r="US63" s="129" t="s">
        <v>3843</v>
      </c>
      <c r="UU63" s="129">
        <v>53</v>
      </c>
      <c r="UV63" s="129">
        <v>54</v>
      </c>
      <c r="UW63" s="129" t="s">
        <v>3843</v>
      </c>
      <c r="VE63" s="129">
        <v>38</v>
      </c>
      <c r="VF63" s="129">
        <v>41</v>
      </c>
      <c r="VJ63" s="129">
        <v>41</v>
      </c>
      <c r="APO63" s="130" t="s">
        <v>3924</v>
      </c>
      <c r="APP63" s="130" t="s">
        <v>3920</v>
      </c>
      <c r="APQ63" s="130" t="s">
        <v>3919</v>
      </c>
      <c r="APR63" s="130" t="s">
        <v>3923</v>
      </c>
      <c r="APT63" s="130" t="s">
        <v>3922</v>
      </c>
      <c r="APU63" s="130" t="s">
        <v>3921</v>
      </c>
      <c r="APV63" s="130" t="s">
        <v>3920</v>
      </c>
      <c r="APW63" s="130" t="s">
        <v>3919</v>
      </c>
      <c r="APY63" s="130" t="s">
        <v>3918</v>
      </c>
      <c r="APZ63" s="130" t="s">
        <v>3917</v>
      </c>
      <c r="AQA63" s="130" t="s">
        <v>3916</v>
      </c>
      <c r="AQC63" s="130" t="s">
        <v>3918</v>
      </c>
      <c r="AQD63" s="130" t="s">
        <v>3918</v>
      </c>
      <c r="AQE63" s="130" t="s">
        <v>3917</v>
      </c>
      <c r="AQF63" s="130" t="s">
        <v>3917</v>
      </c>
      <c r="AQG63" s="130" t="s">
        <v>3916</v>
      </c>
      <c r="AQH63" s="130" t="s">
        <v>3916</v>
      </c>
      <c r="AQJ63" s="130" t="s">
        <v>3918</v>
      </c>
      <c r="AQK63" s="130" t="s">
        <v>3917</v>
      </c>
      <c r="AQL63" s="130" t="s">
        <v>3916</v>
      </c>
      <c r="AQN63" s="130" t="s">
        <v>3918</v>
      </c>
      <c r="AQO63" s="130" t="s">
        <v>3918</v>
      </c>
      <c r="AQP63" s="130" t="s">
        <v>3917</v>
      </c>
      <c r="AQQ63" s="130" t="s">
        <v>3917</v>
      </c>
      <c r="AQR63" s="130" t="s">
        <v>3916</v>
      </c>
      <c r="AQS63" s="130" t="s">
        <v>3916</v>
      </c>
      <c r="AQU63" s="130" t="s">
        <v>3918</v>
      </c>
      <c r="AQV63" s="130" t="s">
        <v>3917</v>
      </c>
      <c r="AQW63" s="130" t="s">
        <v>3916</v>
      </c>
      <c r="AQY63" s="130" t="s">
        <v>3918</v>
      </c>
      <c r="AQZ63" s="130" t="s">
        <v>3918</v>
      </c>
      <c r="ARA63" s="130" t="s">
        <v>3917</v>
      </c>
      <c r="ARB63" s="130" t="s">
        <v>3917</v>
      </c>
      <c r="ARC63" s="130" t="s">
        <v>3916</v>
      </c>
      <c r="ARD63" s="130" t="s">
        <v>3916</v>
      </c>
      <c r="ARF63" s="130" t="s">
        <v>3918</v>
      </c>
      <c r="ARG63" s="130" t="s">
        <v>3917</v>
      </c>
      <c r="ARH63" s="130" t="s">
        <v>3916</v>
      </c>
      <c r="ARJ63" s="130" t="s">
        <v>3918</v>
      </c>
      <c r="ARK63" s="130" t="s">
        <v>3918</v>
      </c>
      <c r="ARL63" s="130" t="s">
        <v>3917</v>
      </c>
      <c r="ARM63" s="130" t="s">
        <v>3917</v>
      </c>
      <c r="ARN63" s="130" t="s">
        <v>3916</v>
      </c>
      <c r="ARO63" s="130" t="s">
        <v>3916</v>
      </c>
      <c r="ARQ63" s="130" t="s">
        <v>3918</v>
      </c>
      <c r="ARR63" s="130" t="s">
        <v>3917</v>
      </c>
      <c r="ARS63" s="130" t="s">
        <v>3916</v>
      </c>
      <c r="ARU63" s="130" t="s">
        <v>3918</v>
      </c>
      <c r="ARV63" s="130" t="s">
        <v>3918</v>
      </c>
      <c r="ARW63" s="130" t="s">
        <v>3917</v>
      </c>
      <c r="ARX63" s="130" t="s">
        <v>3917</v>
      </c>
      <c r="ARY63" s="130" t="s">
        <v>3916</v>
      </c>
      <c r="ARZ63" s="130" t="s">
        <v>3916</v>
      </c>
      <c r="ASB63" s="130" t="s">
        <v>3918</v>
      </c>
      <c r="ASC63" s="130" t="s">
        <v>3917</v>
      </c>
      <c r="ASD63" s="130" t="s">
        <v>3916</v>
      </c>
      <c r="ASF63" s="130" t="s">
        <v>3918</v>
      </c>
      <c r="ASG63" s="130" t="s">
        <v>3918</v>
      </c>
      <c r="ASH63" s="130" t="s">
        <v>3917</v>
      </c>
      <c r="ASI63" s="130" t="s">
        <v>3917</v>
      </c>
      <c r="ASJ63" s="130" t="s">
        <v>3916</v>
      </c>
      <c r="ASK63" s="130" t="s">
        <v>3916</v>
      </c>
      <c r="ASM63" s="130" t="s">
        <v>3918</v>
      </c>
      <c r="ASN63" s="130" t="s">
        <v>3917</v>
      </c>
      <c r="ASO63" s="130" t="s">
        <v>3916</v>
      </c>
      <c r="ASQ63" s="130" t="s">
        <v>3918</v>
      </c>
      <c r="ASR63" s="130" t="s">
        <v>3918</v>
      </c>
      <c r="ASS63" s="130" t="s">
        <v>3917</v>
      </c>
      <c r="AST63" s="130" t="s">
        <v>3917</v>
      </c>
      <c r="ASU63" s="130" t="s">
        <v>3916</v>
      </c>
      <c r="ASV63" s="130" t="s">
        <v>3916</v>
      </c>
      <c r="AVZ63" s="129">
        <v>49</v>
      </c>
      <c r="AWA63" s="129">
        <v>55</v>
      </c>
      <c r="AWB63" s="129">
        <v>56</v>
      </c>
      <c r="AWC63" s="129">
        <v>57</v>
      </c>
      <c r="AWD63" s="128" t="s">
        <v>3843</v>
      </c>
    </row>
    <row r="64" spans="1:1296" ht="25.5" outlineLevel="1">
      <c r="A64" s="137" t="s">
        <v>236</v>
      </c>
      <c r="B64" s="139" t="s">
        <v>335</v>
      </c>
      <c r="C64" s="139" t="s">
        <v>336</v>
      </c>
      <c r="D64" s="139" t="s">
        <v>337</v>
      </c>
      <c r="E64" s="137">
        <v>85</v>
      </c>
      <c r="F64" s="136" t="s">
        <v>148</v>
      </c>
      <c r="G64" s="136" t="s">
        <v>173</v>
      </c>
      <c r="H64" s="136" t="s">
        <v>13</v>
      </c>
      <c r="I64" s="136" t="s">
        <v>13</v>
      </c>
      <c r="J64" s="136" t="s">
        <v>13</v>
      </c>
      <c r="K64" s="136" t="s">
        <v>13</v>
      </c>
      <c r="L64" s="136" t="s">
        <v>366</v>
      </c>
      <c r="N64" s="136" t="s">
        <v>13</v>
      </c>
      <c r="P64" s="129">
        <v>-4</v>
      </c>
      <c r="Q64" s="129">
        <v>-2</v>
      </c>
      <c r="R64" s="129">
        <v>-2</v>
      </c>
      <c r="S64" s="129">
        <v>-3</v>
      </c>
      <c r="T64" s="129">
        <v>-3</v>
      </c>
      <c r="U64" s="128">
        <v>-4</v>
      </c>
      <c r="W64" s="128">
        <v>-6</v>
      </c>
      <c r="X64" s="128">
        <v>-6</v>
      </c>
      <c r="Y64" s="128">
        <v>-4</v>
      </c>
      <c r="Z64" s="142">
        <v>-2</v>
      </c>
      <c r="AA64" s="128">
        <v>-4</v>
      </c>
      <c r="AC64" s="128">
        <v>-2</v>
      </c>
      <c r="AD64" s="128">
        <v>-2</v>
      </c>
      <c r="AE64" s="128">
        <v>-2</v>
      </c>
      <c r="AF64" s="128">
        <v>-3</v>
      </c>
      <c r="AG64" s="128">
        <v>-3</v>
      </c>
      <c r="AM64" s="128">
        <v>-5</v>
      </c>
      <c r="AN64" s="128">
        <v>-3</v>
      </c>
      <c r="AO64" s="128">
        <v>-3</v>
      </c>
      <c r="AP64" s="129">
        <v>-3</v>
      </c>
      <c r="AQ64" s="129">
        <v>-3</v>
      </c>
      <c r="AR64" s="129">
        <v>-2</v>
      </c>
      <c r="AS64" s="129">
        <v>-2</v>
      </c>
      <c r="AT64" s="129">
        <v>-2</v>
      </c>
      <c r="AU64" s="129">
        <v>-2</v>
      </c>
      <c r="AV64" s="129">
        <v>-2</v>
      </c>
      <c r="AW64" s="129">
        <v>-2</v>
      </c>
      <c r="AY64" s="129">
        <v>-2</v>
      </c>
      <c r="AZ64" s="129">
        <v>-3</v>
      </c>
      <c r="BA64" s="129">
        <v>-1</v>
      </c>
      <c r="BB64" s="129">
        <v>-1</v>
      </c>
      <c r="BC64" s="129">
        <v>-3</v>
      </c>
      <c r="BD64" s="129">
        <v>-2</v>
      </c>
      <c r="BE64" s="129">
        <v>-2</v>
      </c>
      <c r="BF64" s="129">
        <v>-2</v>
      </c>
      <c r="BG64" s="129">
        <v>-2</v>
      </c>
      <c r="BH64" s="129">
        <v>-2</v>
      </c>
      <c r="BI64" s="129">
        <v>-2</v>
      </c>
      <c r="BJ64" s="129">
        <v>-2</v>
      </c>
      <c r="BK64" s="129">
        <v>-2</v>
      </c>
      <c r="BL64" s="129">
        <v>-2</v>
      </c>
      <c r="BM64" s="129">
        <v>-2</v>
      </c>
      <c r="BN64" s="129">
        <v>-2</v>
      </c>
      <c r="BO64" s="129">
        <v>-2</v>
      </c>
      <c r="BP64" s="129">
        <v>-2</v>
      </c>
      <c r="BQ64" s="129">
        <v>-3</v>
      </c>
      <c r="BR64" s="129">
        <v>-2</v>
      </c>
      <c r="BS64" s="129">
        <v>-2</v>
      </c>
      <c r="BT64" s="129">
        <v>-2</v>
      </c>
      <c r="BU64" s="129">
        <v>-3</v>
      </c>
      <c r="BV64" s="129"/>
      <c r="BW64" s="129"/>
      <c r="BY64" s="128">
        <v>-5</v>
      </c>
      <c r="BZ64" s="128">
        <v>-4</v>
      </c>
      <c r="CA64" s="128">
        <v>-4</v>
      </c>
      <c r="CB64" s="128">
        <v>-2</v>
      </c>
      <c r="CC64" s="128">
        <v>-4</v>
      </c>
      <c r="CD64" s="128">
        <v>-3</v>
      </c>
      <c r="CE64" s="128">
        <v>-2</v>
      </c>
      <c r="CF64" s="128">
        <v>-3</v>
      </c>
      <c r="CG64" s="128">
        <v>-4</v>
      </c>
      <c r="CH64" s="128">
        <v>-6</v>
      </c>
      <c r="CI64" s="128">
        <v>-4</v>
      </c>
      <c r="CJ64" s="128">
        <v>-3</v>
      </c>
      <c r="CK64" s="128">
        <v>-4</v>
      </c>
      <c r="CL64" s="128">
        <v>-3</v>
      </c>
      <c r="CM64" s="128">
        <v>-3</v>
      </c>
      <c r="CN64" s="128">
        <v>-3</v>
      </c>
      <c r="CO64" s="128">
        <v>-2</v>
      </c>
      <c r="CP64" s="128">
        <v>-3</v>
      </c>
      <c r="CQ64" s="128">
        <v>-3</v>
      </c>
      <c r="CR64" s="128">
        <v>-2</v>
      </c>
      <c r="CS64" s="128">
        <v>-2</v>
      </c>
      <c r="CT64" s="128">
        <v>-3</v>
      </c>
      <c r="CU64" s="128">
        <v>-3</v>
      </c>
      <c r="CX64" s="128">
        <v>-5</v>
      </c>
      <c r="DC64" s="128">
        <v>-3</v>
      </c>
      <c r="DM64" s="128">
        <v>-2</v>
      </c>
      <c r="DQ64" s="128">
        <v>-2</v>
      </c>
      <c r="DU64" s="128">
        <v>-2</v>
      </c>
      <c r="DV64" s="128">
        <v>-4</v>
      </c>
      <c r="DW64" s="128">
        <v>-3</v>
      </c>
      <c r="DX64" s="128">
        <v>-2</v>
      </c>
      <c r="DY64" s="128">
        <v>-2</v>
      </c>
      <c r="DZ64" s="128">
        <v>-2</v>
      </c>
      <c r="EA64" s="128">
        <v>-2</v>
      </c>
      <c r="EB64" s="128">
        <v>-2</v>
      </c>
      <c r="EC64" s="128">
        <v>-2</v>
      </c>
      <c r="ED64" s="128">
        <v>-3</v>
      </c>
      <c r="EE64" s="128">
        <v>-3</v>
      </c>
      <c r="EF64" s="128">
        <v>-2</v>
      </c>
      <c r="EG64" s="128">
        <v>-2</v>
      </c>
      <c r="GL64" s="128">
        <v>-4</v>
      </c>
      <c r="GM64" s="128">
        <v>-4</v>
      </c>
      <c r="GN64" s="128">
        <v>-4</v>
      </c>
      <c r="GO64" s="128">
        <v>-3</v>
      </c>
      <c r="GP64" s="128">
        <v>-2</v>
      </c>
      <c r="HT64" s="128">
        <v>-3</v>
      </c>
      <c r="HU64" s="129">
        <v>-1</v>
      </c>
      <c r="HV64" s="128">
        <v>-5</v>
      </c>
      <c r="HW64" s="128"/>
      <c r="HX64" s="128"/>
      <c r="HY64" s="128"/>
      <c r="HZ64" s="128"/>
      <c r="IA64" s="128"/>
      <c r="IB64" s="128"/>
      <c r="IC64" s="128"/>
      <c r="ID64" s="128"/>
      <c r="IE64" s="129" t="s">
        <v>3843</v>
      </c>
      <c r="IM64" s="129">
        <v>-2</v>
      </c>
      <c r="IN64" s="129">
        <v>-3</v>
      </c>
      <c r="IU64" s="129">
        <v>-2</v>
      </c>
      <c r="IV64" s="128">
        <v>-5</v>
      </c>
      <c r="IW64" s="128">
        <v>-2</v>
      </c>
      <c r="IX64" s="128"/>
      <c r="IY64" s="128"/>
      <c r="IZ64" s="128"/>
      <c r="JA64" s="128"/>
      <c r="JB64" s="128"/>
      <c r="JC64" s="128"/>
      <c r="JD64" s="128"/>
      <c r="JE64" s="128"/>
      <c r="JF64" s="129" t="s">
        <v>3843</v>
      </c>
      <c r="JH64" s="128">
        <v>-2</v>
      </c>
      <c r="JI64" s="128">
        <v>-3</v>
      </c>
      <c r="JJ64" s="128">
        <v>-3</v>
      </c>
      <c r="JK64" s="128">
        <v>-3</v>
      </c>
      <c r="JL64" s="128">
        <v>-3</v>
      </c>
      <c r="JM64" s="129" t="s">
        <v>3843</v>
      </c>
      <c r="JS64" s="129">
        <v>-3</v>
      </c>
      <c r="JT64" s="129">
        <v>-2</v>
      </c>
      <c r="JU64" s="129" t="s">
        <v>3843</v>
      </c>
      <c r="KC64" s="129">
        <v>-3</v>
      </c>
      <c r="KH64" s="129">
        <v>-3</v>
      </c>
      <c r="KI64" s="129">
        <v>-3</v>
      </c>
      <c r="KJ64" s="156" t="s">
        <v>3843</v>
      </c>
      <c r="KN64" s="129">
        <v>-3</v>
      </c>
      <c r="KO64" s="129">
        <v>-3</v>
      </c>
      <c r="KP64" s="156" t="s">
        <v>3843</v>
      </c>
      <c r="MH64" s="129">
        <v>-2</v>
      </c>
      <c r="MK64" s="129">
        <v>-3</v>
      </c>
      <c r="ML64" s="129">
        <v>-3</v>
      </c>
      <c r="MM64" s="129">
        <v>-1</v>
      </c>
      <c r="MN64" s="129" t="s">
        <v>3843</v>
      </c>
      <c r="OZ64" s="129">
        <v>-2</v>
      </c>
      <c r="PA64" s="129">
        <v>-2</v>
      </c>
      <c r="PB64" s="129" t="s">
        <v>3843</v>
      </c>
      <c r="PC64" s="129">
        <v>-3</v>
      </c>
      <c r="PD64" s="129">
        <v>-4</v>
      </c>
      <c r="PE64" s="129">
        <v>-2</v>
      </c>
      <c r="PF64" s="129" t="s">
        <v>3843</v>
      </c>
      <c r="PN64" s="129">
        <v>-2</v>
      </c>
      <c r="PO64" s="129">
        <v>-2</v>
      </c>
      <c r="PP64" s="129">
        <v>-2</v>
      </c>
      <c r="PQ64" s="129" t="s">
        <v>3843</v>
      </c>
      <c r="QI64" s="129">
        <v>-3</v>
      </c>
      <c r="QJ64" s="129">
        <v>-3</v>
      </c>
      <c r="QK64" s="156" t="s">
        <v>3843</v>
      </c>
      <c r="QN64" s="129">
        <v>-5</v>
      </c>
      <c r="QO64" s="129">
        <v>-2</v>
      </c>
      <c r="QQ64" s="129">
        <v>-2</v>
      </c>
      <c r="QR64" s="129" t="s">
        <v>3843</v>
      </c>
      <c r="QS64" s="129">
        <v>-4</v>
      </c>
      <c r="QT64" s="129">
        <v>-2</v>
      </c>
      <c r="QU64" s="129">
        <v>-2</v>
      </c>
      <c r="QV64" s="129" t="s">
        <v>3843</v>
      </c>
      <c r="TT64" s="129">
        <v>-2</v>
      </c>
      <c r="TU64" s="129">
        <v>-3</v>
      </c>
      <c r="TV64" s="129">
        <v>-3</v>
      </c>
      <c r="TW64" s="156" t="s">
        <v>3843</v>
      </c>
      <c r="UP64" s="129">
        <v>-3</v>
      </c>
      <c r="UQ64" s="129">
        <v>-3</v>
      </c>
      <c r="UR64" s="129">
        <v>-3</v>
      </c>
      <c r="US64" s="129" t="s">
        <v>3843</v>
      </c>
      <c r="UU64" s="129">
        <v>-3</v>
      </c>
      <c r="UV64" s="129">
        <v>-2</v>
      </c>
      <c r="UW64" s="129" t="s">
        <v>3843</v>
      </c>
      <c r="VE64" s="129">
        <v>-3</v>
      </c>
      <c r="VF64" s="129">
        <v>-5</v>
      </c>
      <c r="VJ64" s="129">
        <v>-4</v>
      </c>
      <c r="AVZ64" s="129">
        <v>-4</v>
      </c>
      <c r="AWA64" s="129">
        <v>-2</v>
      </c>
      <c r="AWB64" s="129">
        <v>-1</v>
      </c>
      <c r="AWC64" s="129">
        <v>-2</v>
      </c>
      <c r="AWD64" s="128" t="s">
        <v>3843</v>
      </c>
    </row>
    <row r="65" spans="1:1296" ht="28.5" outlineLevel="1">
      <c r="A65" s="137" t="s">
        <v>236</v>
      </c>
      <c r="B65" s="139" t="s">
        <v>338</v>
      </c>
      <c r="C65" s="139" t="s">
        <v>3915</v>
      </c>
      <c r="D65" s="139" t="s">
        <v>3914</v>
      </c>
      <c r="E65" s="137">
        <v>86</v>
      </c>
      <c r="F65" s="136" t="s">
        <v>148</v>
      </c>
      <c r="G65" s="136" t="s">
        <v>173</v>
      </c>
      <c r="H65" s="136" t="s">
        <v>13</v>
      </c>
      <c r="I65" s="136" t="s">
        <v>13</v>
      </c>
      <c r="J65" s="136" t="s">
        <v>13</v>
      </c>
      <c r="K65" s="136" t="s">
        <v>13</v>
      </c>
      <c r="L65" s="136" t="s">
        <v>366</v>
      </c>
      <c r="N65" s="136" t="s">
        <v>13</v>
      </c>
      <c r="P65" s="129">
        <v>-10</v>
      </c>
      <c r="Q65" s="129">
        <v>-8</v>
      </c>
      <c r="R65" s="129">
        <v>-8</v>
      </c>
      <c r="S65" s="129">
        <v>-8</v>
      </c>
      <c r="T65" s="129">
        <v>-8</v>
      </c>
      <c r="U65" s="128">
        <v>-11</v>
      </c>
      <c r="W65" s="128">
        <v>-14</v>
      </c>
      <c r="X65" s="128">
        <v>-13</v>
      </c>
      <c r="Y65" s="128">
        <v>-11</v>
      </c>
      <c r="Z65" s="142">
        <v>-8</v>
      </c>
      <c r="AA65" s="128">
        <v>-11</v>
      </c>
      <c r="AC65" s="128">
        <v>-7</v>
      </c>
      <c r="AD65" s="128">
        <v>-7</v>
      </c>
      <c r="AE65" s="128">
        <v>-8</v>
      </c>
      <c r="AF65" s="128">
        <v>-9</v>
      </c>
      <c r="AG65" s="128">
        <v>-9</v>
      </c>
      <c r="AM65" s="128">
        <v>-12</v>
      </c>
      <c r="AN65" s="128">
        <v>-9</v>
      </c>
      <c r="AO65" s="128">
        <v>-9</v>
      </c>
      <c r="AP65" s="129">
        <v>-8</v>
      </c>
      <c r="AQ65" s="129">
        <v>-8</v>
      </c>
      <c r="AR65" s="129">
        <v>-8</v>
      </c>
      <c r="AS65" s="129">
        <v>-8</v>
      </c>
      <c r="AT65" s="129">
        <v>-8</v>
      </c>
      <c r="AU65" s="129">
        <v>-8</v>
      </c>
      <c r="AV65" s="129">
        <v>-8</v>
      </c>
      <c r="AW65" s="129">
        <v>-8</v>
      </c>
      <c r="AY65" s="129">
        <v>-6</v>
      </c>
      <c r="AZ65" s="129">
        <v>-10</v>
      </c>
      <c r="BA65" s="129">
        <v>-6</v>
      </c>
      <c r="BB65" s="129">
        <v>-6</v>
      </c>
      <c r="BC65" s="129">
        <v>-9</v>
      </c>
      <c r="BD65" s="129">
        <v>-7</v>
      </c>
      <c r="BE65" s="129">
        <v>-7</v>
      </c>
      <c r="BF65" s="129">
        <v>-6</v>
      </c>
      <c r="BG65" s="129">
        <v>-7</v>
      </c>
      <c r="BH65" s="129">
        <v>-8</v>
      </c>
      <c r="BI65" s="129">
        <v>-7</v>
      </c>
      <c r="BJ65" s="129">
        <v>-8</v>
      </c>
      <c r="BK65" s="129">
        <v>-6</v>
      </c>
      <c r="BL65" s="129">
        <v>-7</v>
      </c>
      <c r="BM65" s="129">
        <v>-7</v>
      </c>
      <c r="BN65" s="129">
        <v>-7</v>
      </c>
      <c r="BO65" s="129">
        <v>-7</v>
      </c>
      <c r="BP65" s="129">
        <v>-7</v>
      </c>
      <c r="BQ65" s="129">
        <v>-8</v>
      </c>
      <c r="BR65" s="129">
        <v>-7</v>
      </c>
      <c r="BS65" s="129">
        <v>-8</v>
      </c>
      <c r="BT65" s="129">
        <v>-6</v>
      </c>
      <c r="BU65" s="129">
        <v>-8</v>
      </c>
      <c r="BV65" s="129"/>
      <c r="BW65" s="129"/>
      <c r="BY65" s="128">
        <v>-13</v>
      </c>
      <c r="BZ65" s="128">
        <v>-10</v>
      </c>
      <c r="CA65" s="128">
        <v>-10</v>
      </c>
      <c r="CB65" s="128">
        <v>-7</v>
      </c>
      <c r="CC65" s="128">
        <v>-10</v>
      </c>
      <c r="CD65" s="128">
        <v>-10</v>
      </c>
      <c r="CE65" s="128">
        <v>-7</v>
      </c>
      <c r="CF65" s="128">
        <v>-9</v>
      </c>
      <c r="CG65" s="128">
        <v>-10</v>
      </c>
      <c r="CH65" s="128">
        <v>-13</v>
      </c>
      <c r="CI65" s="128">
        <v>-11</v>
      </c>
      <c r="CJ65" s="128">
        <v>-10</v>
      </c>
      <c r="CK65" s="128">
        <v>-11</v>
      </c>
      <c r="CL65" s="128">
        <v>-8</v>
      </c>
      <c r="CM65" s="128">
        <v>-9</v>
      </c>
      <c r="CN65" s="128">
        <v>-9</v>
      </c>
      <c r="CO65" s="128">
        <v>-7</v>
      </c>
      <c r="CP65" s="128">
        <v>-8</v>
      </c>
      <c r="CQ65" s="128">
        <v>-8</v>
      </c>
      <c r="CR65" s="128">
        <v>-7</v>
      </c>
      <c r="CS65" s="128">
        <v>-7</v>
      </c>
      <c r="CT65" s="128">
        <v>-10</v>
      </c>
      <c r="CU65" s="128">
        <v>-9</v>
      </c>
      <c r="CX65" s="128">
        <v>-13</v>
      </c>
      <c r="DC65" s="128">
        <v>-9</v>
      </c>
      <c r="DM65" s="128">
        <v>-7</v>
      </c>
      <c r="DQ65" s="128">
        <v>-8</v>
      </c>
      <c r="DU65" s="128">
        <v>-7</v>
      </c>
      <c r="DV65" s="128">
        <v>-10</v>
      </c>
      <c r="DW65" s="128">
        <v>-8</v>
      </c>
      <c r="DX65" s="128">
        <v>-7</v>
      </c>
      <c r="DY65" s="128">
        <v>-8</v>
      </c>
      <c r="DZ65" s="128">
        <v>-6</v>
      </c>
      <c r="EA65" s="128">
        <v>-5</v>
      </c>
      <c r="EB65" s="128">
        <v>-7</v>
      </c>
      <c r="EC65" s="128">
        <v>-7</v>
      </c>
      <c r="ED65" s="128">
        <v>-9</v>
      </c>
      <c r="EE65" s="128">
        <v>-8</v>
      </c>
      <c r="EF65" s="128">
        <v>-5</v>
      </c>
      <c r="EG65" s="128">
        <v>-6</v>
      </c>
      <c r="GL65" s="128">
        <v>-10</v>
      </c>
      <c r="GM65" s="128">
        <v>-12</v>
      </c>
      <c r="GN65" s="128">
        <v>-10</v>
      </c>
      <c r="GO65" s="128">
        <v>-9</v>
      </c>
      <c r="GP65" s="128">
        <v>-8</v>
      </c>
      <c r="HT65" s="128">
        <v>-10</v>
      </c>
      <c r="HU65" s="129">
        <v>-5</v>
      </c>
      <c r="HV65" s="128">
        <v>-13</v>
      </c>
      <c r="HW65" s="128"/>
      <c r="HX65" s="128"/>
      <c r="HY65" s="128"/>
      <c r="HZ65" s="128"/>
      <c r="IA65" s="128"/>
      <c r="IB65" s="128"/>
      <c r="IC65" s="128"/>
      <c r="ID65" s="128"/>
      <c r="IE65" s="129" t="s">
        <v>3843</v>
      </c>
      <c r="IM65" s="129">
        <v>-7</v>
      </c>
      <c r="IN65" s="129">
        <v>-9</v>
      </c>
      <c r="IU65" s="129">
        <v>-7</v>
      </c>
      <c r="IV65" s="128">
        <v>-11</v>
      </c>
      <c r="IW65" s="128">
        <v>-6</v>
      </c>
      <c r="IX65" s="128"/>
      <c r="IY65" s="128"/>
      <c r="IZ65" s="128"/>
      <c r="JA65" s="128"/>
      <c r="JB65" s="128"/>
      <c r="JC65" s="128"/>
      <c r="JD65" s="128"/>
      <c r="JE65" s="128"/>
      <c r="JF65" s="129" t="s">
        <v>3843</v>
      </c>
      <c r="JH65" s="128">
        <v>-8</v>
      </c>
      <c r="JI65" s="128">
        <v>-10</v>
      </c>
      <c r="JJ65" s="128">
        <v>-10</v>
      </c>
      <c r="JK65" s="128">
        <v>-10</v>
      </c>
      <c r="JL65" s="128">
        <v>-10</v>
      </c>
      <c r="JM65" s="129" t="s">
        <v>3843</v>
      </c>
      <c r="JS65" s="129">
        <v>-9</v>
      </c>
      <c r="JT65" s="129">
        <v>-9</v>
      </c>
      <c r="JU65" s="129" t="s">
        <v>3843</v>
      </c>
      <c r="KC65" s="129">
        <v>-9</v>
      </c>
      <c r="KH65" s="129">
        <v>-9</v>
      </c>
      <c r="KI65" s="129">
        <v>-10</v>
      </c>
      <c r="KJ65" s="156" t="s">
        <v>3843</v>
      </c>
      <c r="KN65" s="129">
        <v>-9</v>
      </c>
      <c r="KO65" s="129">
        <v>-10</v>
      </c>
      <c r="KP65" s="156" t="s">
        <v>3843</v>
      </c>
      <c r="MH65" s="129">
        <v>-7</v>
      </c>
      <c r="MK65" s="129">
        <v>-8</v>
      </c>
      <c r="ML65" s="129">
        <v>-10</v>
      </c>
      <c r="MM65" s="129">
        <v>-7</v>
      </c>
      <c r="MN65" s="129" t="s">
        <v>3843</v>
      </c>
      <c r="OZ65" s="129">
        <v>-5</v>
      </c>
      <c r="PA65" s="129">
        <v>-7</v>
      </c>
      <c r="PB65" s="129" t="s">
        <v>3843</v>
      </c>
      <c r="PC65" s="129">
        <v>-9</v>
      </c>
      <c r="PD65" s="129">
        <v>-11</v>
      </c>
      <c r="PE65" s="129">
        <v>-9</v>
      </c>
      <c r="PF65" s="129" t="s">
        <v>3843</v>
      </c>
      <c r="PN65" s="129">
        <v>-8</v>
      </c>
      <c r="PO65" s="129">
        <v>-8</v>
      </c>
      <c r="PP65" s="129">
        <v>-8</v>
      </c>
      <c r="PQ65" s="129" t="s">
        <v>3843</v>
      </c>
      <c r="QI65" s="129">
        <v>-9</v>
      </c>
      <c r="QJ65" s="129">
        <v>-8</v>
      </c>
      <c r="QK65" s="156" t="s">
        <v>3843</v>
      </c>
      <c r="QN65" s="129">
        <v>-13</v>
      </c>
      <c r="QO65" s="129">
        <v>-8</v>
      </c>
      <c r="QQ65" s="129">
        <v>-7</v>
      </c>
      <c r="QR65" s="129" t="s">
        <v>3843</v>
      </c>
      <c r="QS65" s="129">
        <v>-12</v>
      </c>
      <c r="QT65" s="129">
        <v>-7</v>
      </c>
      <c r="QU65" s="129">
        <v>-7</v>
      </c>
      <c r="QV65" s="129" t="s">
        <v>3843</v>
      </c>
      <c r="TT65" s="129">
        <v>-8</v>
      </c>
      <c r="TU65" s="129">
        <v>-9</v>
      </c>
      <c r="TV65" s="129">
        <v>-9</v>
      </c>
      <c r="TW65" s="156" t="s">
        <v>3843</v>
      </c>
      <c r="UP65" s="129">
        <v>-9</v>
      </c>
      <c r="UQ65" s="129">
        <v>-8</v>
      </c>
      <c r="UR65" s="129">
        <v>-7</v>
      </c>
      <c r="US65" s="129" t="s">
        <v>3843</v>
      </c>
      <c r="UU65" s="129">
        <v>-10</v>
      </c>
      <c r="UV65" s="129">
        <v>-7</v>
      </c>
      <c r="UW65" s="129" t="s">
        <v>3843</v>
      </c>
      <c r="VE65" s="129">
        <v>-9</v>
      </c>
      <c r="VF65" s="129">
        <v>-13</v>
      </c>
      <c r="VJ65" s="129">
        <v>-11</v>
      </c>
      <c r="AVZ65" s="129">
        <v>-11</v>
      </c>
      <c r="AWA65" s="129">
        <v>-7</v>
      </c>
      <c r="AWB65" s="129">
        <v>-6</v>
      </c>
      <c r="AWC65" s="129">
        <v>-6</v>
      </c>
      <c r="AWD65" s="128" t="s">
        <v>3843</v>
      </c>
    </row>
    <row r="66" spans="1:1296" s="129" customFormat="1" ht="15.75" outlineLevel="1">
      <c r="A66" s="137" t="s">
        <v>236</v>
      </c>
      <c r="B66" s="139" t="s">
        <v>339</v>
      </c>
      <c r="C66" s="139" t="s">
        <v>3913</v>
      </c>
      <c r="D66" s="139" t="s">
        <v>3912</v>
      </c>
      <c r="E66" s="137">
        <v>87</v>
      </c>
      <c r="F66" s="138" t="s">
        <v>148</v>
      </c>
      <c r="G66" s="136" t="s">
        <v>173</v>
      </c>
      <c r="H66" s="136" t="s">
        <v>366</v>
      </c>
      <c r="I66" s="136" t="s">
        <v>13</v>
      </c>
      <c r="J66" s="136" t="s">
        <v>13</v>
      </c>
      <c r="K66" s="136" t="s">
        <v>13</v>
      </c>
      <c r="L66" s="136" t="s">
        <v>366</v>
      </c>
      <c r="M66" s="136"/>
      <c r="N66" s="136" t="s">
        <v>13</v>
      </c>
      <c r="O66" s="138"/>
      <c r="HT66" s="128">
        <v>21</v>
      </c>
      <c r="HU66" s="129">
        <v>9</v>
      </c>
      <c r="HV66" s="128">
        <v>18</v>
      </c>
      <c r="HW66" s="128">
        <v>17</v>
      </c>
      <c r="HX66" s="128">
        <v>7</v>
      </c>
      <c r="HY66" s="128">
        <v>8</v>
      </c>
      <c r="HZ66" s="128">
        <v>8</v>
      </c>
      <c r="IA66" s="128">
        <v>3</v>
      </c>
      <c r="IB66" s="128">
        <v>4</v>
      </c>
      <c r="IC66" s="128">
        <v>3</v>
      </c>
      <c r="ID66" s="128">
        <v>3</v>
      </c>
      <c r="IE66" s="129" t="s">
        <v>3843</v>
      </c>
      <c r="IM66" s="129">
        <v>6</v>
      </c>
      <c r="IN66" s="129">
        <f>IN63-IN57</f>
        <v>25</v>
      </c>
      <c r="IU66" s="129">
        <v>6</v>
      </c>
      <c r="IV66" s="128">
        <v>15</v>
      </c>
      <c r="IW66" s="128">
        <v>12</v>
      </c>
      <c r="IX66" s="128">
        <v>13</v>
      </c>
      <c r="IY66" s="128">
        <v>6</v>
      </c>
      <c r="IZ66" s="128">
        <v>6</v>
      </c>
      <c r="JA66" s="128">
        <v>6</v>
      </c>
      <c r="JB66" s="128">
        <v>3</v>
      </c>
      <c r="JC66" s="128">
        <v>4</v>
      </c>
      <c r="JD66" s="128">
        <v>2</v>
      </c>
      <c r="JE66" s="128">
        <v>2</v>
      </c>
      <c r="JF66" s="129" t="s">
        <v>3843</v>
      </c>
      <c r="JH66" s="128">
        <v>11</v>
      </c>
      <c r="JI66" s="128">
        <v>21</v>
      </c>
      <c r="JJ66" s="128">
        <v>24</v>
      </c>
      <c r="JK66" s="128">
        <v>18</v>
      </c>
      <c r="JL66" s="128">
        <v>17</v>
      </c>
      <c r="JM66" s="129" t="s">
        <v>3843</v>
      </c>
      <c r="JS66" s="129">
        <v>25</v>
      </c>
      <c r="JT66" s="129">
        <v>23</v>
      </c>
      <c r="JU66" s="129" t="s">
        <v>3843</v>
      </c>
      <c r="KC66" s="129">
        <v>27</v>
      </c>
      <c r="KH66" s="129">
        <f>KH63-KH57</f>
        <v>25</v>
      </c>
      <c r="KI66" s="129">
        <f>KI63-KI57</f>
        <v>21</v>
      </c>
      <c r="KJ66" s="156" t="s">
        <v>3843</v>
      </c>
      <c r="KN66" s="129">
        <f>KN63-KN57</f>
        <v>29</v>
      </c>
      <c r="KO66" s="129">
        <f>KO63-KO57</f>
        <v>22</v>
      </c>
      <c r="KP66" s="156" t="s">
        <v>3843</v>
      </c>
      <c r="LK66" s="135"/>
      <c r="LL66" s="135"/>
      <c r="LM66" s="135"/>
      <c r="LN66" s="135"/>
      <c r="LO66" s="135"/>
      <c r="LU66" s="135" t="s">
        <v>3911</v>
      </c>
      <c r="LV66" s="135">
        <v>13</v>
      </c>
      <c r="LW66" s="135">
        <v>8</v>
      </c>
      <c r="LX66" s="135">
        <v>6</v>
      </c>
      <c r="LY66" s="135">
        <v>5</v>
      </c>
      <c r="LZ66" s="135">
        <v>5</v>
      </c>
      <c r="MA66" s="135">
        <v>5</v>
      </c>
      <c r="MB66" s="135">
        <v>5</v>
      </c>
      <c r="MC66" s="135">
        <v>4</v>
      </c>
      <c r="MD66" s="135">
        <v>3</v>
      </c>
      <c r="ME66" s="135">
        <v>3</v>
      </c>
      <c r="MF66" s="151" t="s">
        <v>3843</v>
      </c>
      <c r="MG66" s="135" t="s">
        <v>3910</v>
      </c>
      <c r="MH66" s="129">
        <v>16</v>
      </c>
      <c r="MK66" s="129">
        <v>14</v>
      </c>
      <c r="ML66" s="129">
        <v>18</v>
      </c>
      <c r="MM66" s="129">
        <v>18</v>
      </c>
      <c r="MN66" s="129" t="s">
        <v>3843</v>
      </c>
      <c r="MQ66" s="132"/>
      <c r="MR66" s="132"/>
      <c r="MS66" s="132"/>
      <c r="MT66" s="132"/>
      <c r="MU66" s="132"/>
      <c r="MV66" s="132"/>
      <c r="MW66" s="132"/>
      <c r="MX66" s="132"/>
      <c r="MY66" s="132"/>
      <c r="NB66" s="135"/>
      <c r="NC66" s="135"/>
      <c r="ND66" s="135"/>
      <c r="NE66" s="135"/>
      <c r="NF66" s="135"/>
      <c r="NL66" s="132"/>
      <c r="NM66" s="132"/>
      <c r="NN66" s="132"/>
      <c r="NO66" s="132"/>
      <c r="NP66" s="132"/>
      <c r="PC66" s="129">
        <v>26</v>
      </c>
      <c r="PD66" s="129">
        <v>13</v>
      </c>
      <c r="PE66" s="129">
        <v>25</v>
      </c>
      <c r="PF66" s="129" t="s">
        <v>3843</v>
      </c>
      <c r="PN66" s="129">
        <v>29</v>
      </c>
      <c r="PO66" s="129">
        <v>15</v>
      </c>
      <c r="PP66" s="129">
        <v>26</v>
      </c>
      <c r="PQ66" s="129" t="s">
        <v>3843</v>
      </c>
      <c r="QI66" s="129">
        <v>34</v>
      </c>
      <c r="QJ66" s="129">
        <v>37</v>
      </c>
      <c r="QK66" s="156" t="s">
        <v>3843</v>
      </c>
      <c r="QN66" s="129">
        <v>20</v>
      </c>
      <c r="QO66" s="129">
        <v>26</v>
      </c>
      <c r="QR66" s="129" t="s">
        <v>3843</v>
      </c>
      <c r="QS66" s="129">
        <v>24</v>
      </c>
      <c r="QT66" s="129">
        <v>27</v>
      </c>
      <c r="QV66" s="129" t="s">
        <v>3843</v>
      </c>
      <c r="RQ66" s="134"/>
      <c r="RR66" s="134"/>
      <c r="RS66" s="134"/>
      <c r="RT66" s="134"/>
      <c r="TD66" s="133"/>
      <c r="TE66" s="132"/>
      <c r="TF66" s="132"/>
      <c r="TT66" s="129">
        <v>31</v>
      </c>
      <c r="TU66" s="129">
        <v>33</v>
      </c>
      <c r="TV66" s="129">
        <v>38</v>
      </c>
      <c r="TW66" s="156" t="s">
        <v>3843</v>
      </c>
      <c r="TX66" s="132"/>
      <c r="TY66" s="132"/>
      <c r="TZ66" s="132"/>
      <c r="UP66" s="129">
        <v>25</v>
      </c>
      <c r="US66" s="129" t="s">
        <v>3843</v>
      </c>
      <c r="VE66" s="129">
        <v>14</v>
      </c>
      <c r="VF66" s="129">
        <v>9</v>
      </c>
      <c r="VJ66" s="129">
        <v>17</v>
      </c>
      <c r="VL66" s="132"/>
      <c r="VM66" s="132"/>
      <c r="VN66" s="132"/>
      <c r="VO66" s="132"/>
      <c r="VR66" s="131"/>
      <c r="VS66" s="131"/>
      <c r="VT66" s="131"/>
      <c r="VU66" s="131"/>
      <c r="VV66" s="131"/>
      <c r="VW66" s="131"/>
      <c r="VX66" s="131"/>
      <c r="VY66" s="131"/>
      <c r="VZ66" s="131"/>
      <c r="WA66" s="131"/>
      <c r="WB66" s="131"/>
      <c r="WC66" s="131"/>
      <c r="WD66" s="131"/>
      <c r="WE66" s="131"/>
      <c r="WF66" s="131"/>
      <c r="WG66" s="131"/>
      <c r="WH66" s="131"/>
      <c r="WI66" s="131"/>
      <c r="WJ66" s="131"/>
      <c r="WK66" s="131"/>
      <c r="WL66" s="131"/>
      <c r="WM66" s="131"/>
      <c r="WN66" s="131"/>
      <c r="WO66" s="131"/>
      <c r="WP66" s="131"/>
      <c r="WQ66" s="131"/>
      <c r="WR66" s="131"/>
      <c r="WS66" s="131"/>
      <c r="WT66" s="131"/>
      <c r="WU66" s="131"/>
      <c r="WV66" s="131"/>
      <c r="WW66" s="131"/>
      <c r="WX66" s="131"/>
      <c r="WY66" s="131"/>
      <c r="WZ66" s="131"/>
      <c r="XA66" s="131"/>
      <c r="XB66" s="131"/>
      <c r="XC66" s="131"/>
      <c r="XD66" s="131"/>
      <c r="XE66" s="131"/>
      <c r="XF66" s="131"/>
      <c r="XG66" s="131"/>
      <c r="XH66" s="131"/>
      <c r="XI66" s="131"/>
      <c r="XJ66" s="131"/>
      <c r="XK66" s="131"/>
      <c r="XL66" s="131"/>
      <c r="XM66" s="131"/>
      <c r="XN66" s="131"/>
      <c r="XO66" s="131"/>
      <c r="XP66" s="131"/>
      <c r="XQ66" s="131"/>
      <c r="XR66" s="131"/>
      <c r="XS66" s="131"/>
      <c r="XT66" s="131"/>
      <c r="XU66" s="131"/>
      <c r="XV66" s="131"/>
      <c r="XW66" s="131"/>
      <c r="XX66" s="131"/>
      <c r="XY66" s="131"/>
      <c r="XZ66" s="131"/>
      <c r="YA66" s="131"/>
      <c r="YB66" s="131"/>
      <c r="YC66" s="131"/>
      <c r="YD66" s="131"/>
      <c r="YE66" s="131"/>
      <c r="YF66" s="131"/>
      <c r="YG66" s="131"/>
      <c r="YH66" s="131"/>
      <c r="YI66" s="131"/>
      <c r="YJ66" s="131"/>
      <c r="YK66" s="131"/>
      <c r="YL66" s="131"/>
      <c r="YM66" s="131"/>
      <c r="YN66" s="131"/>
      <c r="YO66" s="131"/>
      <c r="YP66" s="131"/>
      <c r="YQ66" s="131"/>
      <c r="YR66" s="131"/>
      <c r="YS66" s="131"/>
      <c r="YT66" s="131"/>
      <c r="YU66" s="131"/>
      <c r="YV66" s="131"/>
      <c r="YW66" s="131"/>
      <c r="YX66" s="131"/>
      <c r="YY66" s="131"/>
      <c r="YZ66" s="131"/>
      <c r="ZA66" s="131"/>
      <c r="ZB66" s="131"/>
      <c r="ZC66" s="131"/>
      <c r="ZD66" s="131"/>
      <c r="ZE66" s="131"/>
      <c r="ZF66" s="131"/>
      <c r="ZG66" s="131"/>
      <c r="ZH66" s="131"/>
      <c r="ZI66" s="131"/>
      <c r="ZJ66" s="131"/>
      <c r="ZK66" s="131"/>
      <c r="ZL66" s="131"/>
      <c r="ZM66" s="131"/>
      <c r="ZN66" s="131"/>
      <c r="ZO66" s="131"/>
      <c r="ZP66" s="131"/>
      <c r="ZQ66" s="131"/>
      <c r="ZR66" s="131"/>
      <c r="ZS66" s="131"/>
      <c r="ZT66" s="131"/>
      <c r="ZU66" s="131"/>
      <c r="ZV66" s="131"/>
      <c r="ZW66" s="131"/>
      <c r="ZX66" s="131"/>
      <c r="ZY66" s="131"/>
      <c r="ZZ66" s="131"/>
      <c r="AAA66" s="131"/>
      <c r="AAB66" s="131"/>
      <c r="AAC66" s="131"/>
      <c r="AAD66" s="131"/>
      <c r="AAE66" s="131"/>
      <c r="AAF66" s="131"/>
      <c r="AAG66" s="131"/>
      <c r="AAH66" s="131"/>
      <c r="AAJ66" s="131"/>
      <c r="AAK66" s="131"/>
      <c r="AAL66" s="131"/>
      <c r="AAM66" s="131"/>
      <c r="AAN66" s="131"/>
      <c r="AAO66" s="131"/>
      <c r="AAP66" s="131"/>
      <c r="AAQ66" s="131"/>
      <c r="AAR66" s="131"/>
      <c r="AAS66" s="131"/>
      <c r="AAT66" s="131"/>
      <c r="AAU66" s="131"/>
      <c r="AAV66" s="131"/>
      <c r="AAW66" s="131"/>
      <c r="AAX66" s="131"/>
      <c r="AAY66" s="131"/>
      <c r="AAZ66" s="131"/>
      <c r="ABA66" s="131"/>
      <c r="ABB66" s="131"/>
      <c r="ABC66" s="131"/>
      <c r="ABD66" s="131"/>
      <c r="ABE66" s="131"/>
      <c r="ABF66" s="131"/>
      <c r="ABG66" s="131"/>
      <c r="ABH66" s="131"/>
      <c r="ABI66" s="131"/>
      <c r="ABJ66" s="131"/>
      <c r="ABK66" s="131"/>
      <c r="ABL66" s="131"/>
      <c r="ABM66" s="131"/>
      <c r="ABN66" s="131"/>
      <c r="ABO66" s="131"/>
      <c r="ABP66" s="131"/>
      <c r="ABQ66" s="131"/>
      <c r="ABR66" s="131"/>
      <c r="ABS66" s="131"/>
      <c r="ABT66" s="131"/>
      <c r="ABU66" s="131"/>
      <c r="ABV66" s="131"/>
      <c r="ABW66" s="131"/>
      <c r="ABX66" s="131"/>
      <c r="ABY66" s="131"/>
      <c r="ABZ66" s="131"/>
      <c r="ACA66" s="131"/>
      <c r="ACB66" s="131"/>
      <c r="ACC66" s="131"/>
      <c r="ACD66" s="131"/>
      <c r="ACE66" s="131"/>
      <c r="ACF66" s="131"/>
      <c r="ACG66" s="131"/>
      <c r="ACH66" s="131"/>
      <c r="ACI66" s="131"/>
      <c r="ACJ66" s="131"/>
      <c r="ACK66" s="131"/>
      <c r="ACL66" s="131"/>
      <c r="ACM66" s="131"/>
      <c r="ACN66" s="131"/>
      <c r="ACO66" s="131"/>
      <c r="ACP66" s="131"/>
      <c r="ACQ66" s="131"/>
      <c r="ACR66" s="131"/>
      <c r="ACS66" s="131"/>
      <c r="ACT66" s="131"/>
      <c r="ACU66" s="131"/>
      <c r="ACV66" s="131"/>
      <c r="ACW66" s="131"/>
      <c r="ACX66" s="131"/>
      <c r="ACY66" s="131"/>
      <c r="ACZ66" s="131"/>
      <c r="ADA66" s="131"/>
      <c r="ADB66" s="131"/>
      <c r="ADC66" s="131"/>
      <c r="ADD66" s="131"/>
      <c r="ADE66" s="131"/>
      <c r="ADF66" s="131"/>
      <c r="ADG66" s="131"/>
      <c r="ADH66" s="131"/>
      <c r="ADI66" s="131"/>
      <c r="ADJ66" s="131"/>
      <c r="ADK66" s="131"/>
      <c r="ADL66" s="131"/>
      <c r="ADM66" s="131"/>
      <c r="ADN66" s="131"/>
      <c r="ADO66" s="131"/>
      <c r="ADP66" s="131"/>
      <c r="ADQ66" s="131"/>
      <c r="ADR66" s="131"/>
      <c r="ADS66" s="131"/>
      <c r="ADT66" s="131"/>
      <c r="ADU66" s="131"/>
      <c r="ADV66" s="131"/>
      <c r="ADW66" s="131"/>
      <c r="ADX66" s="131"/>
      <c r="ADY66" s="131"/>
      <c r="ADZ66" s="131"/>
      <c r="AEA66" s="131"/>
      <c r="AEB66" s="131"/>
      <c r="AEC66" s="131"/>
      <c r="AED66" s="131"/>
      <c r="AEE66" s="131"/>
      <c r="AEF66" s="131"/>
      <c r="AEG66" s="131"/>
      <c r="AEH66" s="131"/>
      <c r="AEI66" s="131"/>
      <c r="AEJ66" s="131"/>
      <c r="AEK66" s="131"/>
      <c r="AEL66" s="131"/>
      <c r="AEM66" s="131"/>
      <c r="AEN66" s="131"/>
      <c r="AEO66" s="131"/>
      <c r="AEP66" s="131"/>
      <c r="AEQ66" s="131"/>
      <c r="AER66" s="131"/>
      <c r="AES66" s="131"/>
      <c r="AET66" s="131"/>
      <c r="AEU66" s="131"/>
      <c r="AEV66" s="131"/>
      <c r="AEW66" s="131"/>
      <c r="AEX66" s="131"/>
      <c r="AEY66" s="131"/>
      <c r="AEZ66" s="131"/>
      <c r="AFA66" s="131"/>
      <c r="AFB66" s="131"/>
      <c r="AFC66" s="131"/>
      <c r="AFD66" s="131"/>
      <c r="AFE66" s="131"/>
      <c r="AFF66" s="131"/>
      <c r="AFG66" s="131"/>
      <c r="AFH66" s="131"/>
      <c r="AFI66" s="131"/>
      <c r="AFJ66" s="131"/>
      <c r="AFK66" s="131"/>
      <c r="APO66" s="130"/>
      <c r="APP66" s="130"/>
      <c r="APQ66" s="130"/>
      <c r="APR66" s="130"/>
      <c r="APS66" s="130"/>
      <c r="APT66" s="130"/>
      <c r="APU66" s="130"/>
      <c r="APV66" s="130"/>
      <c r="APW66" s="130"/>
      <c r="APX66" s="130"/>
      <c r="APY66" s="130"/>
      <c r="APZ66" s="130"/>
      <c r="AQA66" s="130"/>
      <c r="AQB66" s="130"/>
      <c r="AQC66" s="130"/>
      <c r="AQD66" s="130"/>
      <c r="AQE66" s="130"/>
      <c r="AQF66" s="130"/>
      <c r="AQG66" s="130"/>
      <c r="AQH66" s="130"/>
      <c r="AQI66" s="130"/>
      <c r="AQJ66" s="130"/>
      <c r="AQK66" s="130"/>
      <c r="AQL66" s="130"/>
      <c r="AQM66" s="130"/>
      <c r="AQN66" s="130"/>
      <c r="AQO66" s="130"/>
      <c r="AQP66" s="130"/>
      <c r="AQQ66" s="130"/>
      <c r="AQR66" s="130"/>
      <c r="AQS66" s="130"/>
      <c r="AQT66" s="130"/>
      <c r="AQU66" s="130"/>
      <c r="AQV66" s="130"/>
      <c r="AQW66" s="130"/>
      <c r="AQX66" s="130"/>
      <c r="AQY66" s="130"/>
      <c r="AQZ66" s="130"/>
      <c r="ARA66" s="130"/>
      <c r="ARB66" s="130"/>
      <c r="ARC66" s="130"/>
      <c r="ARD66" s="130"/>
      <c r="ARE66" s="130"/>
      <c r="ARF66" s="130"/>
      <c r="ARG66" s="130"/>
      <c r="ARH66" s="130"/>
      <c r="ARI66" s="130"/>
      <c r="ARJ66" s="130"/>
      <c r="ARK66" s="130"/>
      <c r="ARL66" s="130"/>
      <c r="ARM66" s="130"/>
      <c r="ARN66" s="130"/>
      <c r="ARO66" s="130"/>
      <c r="ARP66" s="130"/>
      <c r="ARQ66" s="130"/>
      <c r="ARR66" s="130"/>
      <c r="ARS66" s="130"/>
      <c r="ART66" s="130"/>
      <c r="ARU66" s="130"/>
      <c r="ARV66" s="130"/>
      <c r="ARW66" s="130"/>
      <c r="ARX66" s="130"/>
      <c r="ARY66" s="130"/>
      <c r="ARZ66" s="130"/>
      <c r="ASA66" s="130"/>
      <c r="ASB66" s="130"/>
      <c r="ASC66" s="130"/>
      <c r="ASD66" s="130"/>
      <c r="ASE66" s="130"/>
      <c r="ASF66" s="130"/>
      <c r="ASG66" s="130"/>
      <c r="ASH66" s="130"/>
      <c r="ASI66" s="130"/>
      <c r="ASJ66" s="130"/>
      <c r="ASK66" s="130"/>
      <c r="ASL66" s="130"/>
      <c r="ASM66" s="130"/>
      <c r="ASN66" s="130"/>
      <c r="ASO66" s="130"/>
      <c r="ASP66" s="130"/>
      <c r="ASQ66" s="130"/>
      <c r="ASR66" s="130"/>
      <c r="ASS66" s="130"/>
      <c r="AST66" s="130"/>
      <c r="ASU66" s="130"/>
      <c r="ASV66" s="130"/>
      <c r="ASW66" s="130"/>
      <c r="AVZ66" s="129">
        <v>11</v>
      </c>
      <c r="AWA66" s="129">
        <v>6</v>
      </c>
      <c r="AWB66" s="129">
        <v>6</v>
      </c>
      <c r="AWC66" s="129">
        <v>4</v>
      </c>
      <c r="AWD66" s="128" t="s">
        <v>3843</v>
      </c>
    </row>
    <row r="67" spans="1:1296" ht="38.25" outlineLevel="1">
      <c r="A67" s="137" t="s">
        <v>236</v>
      </c>
      <c r="B67" s="139" t="s">
        <v>221</v>
      </c>
      <c r="C67" s="139" t="s">
        <v>222</v>
      </c>
      <c r="D67" s="139" t="s">
        <v>223</v>
      </c>
      <c r="E67" s="137">
        <v>88</v>
      </c>
      <c r="G67" s="136" t="s">
        <v>11</v>
      </c>
      <c r="H67" s="136" t="s">
        <v>13</v>
      </c>
      <c r="I67" s="136" t="s">
        <v>13</v>
      </c>
      <c r="J67" s="136" t="s">
        <v>13</v>
      </c>
      <c r="K67" s="136" t="s">
        <v>13</v>
      </c>
      <c r="L67" s="136" t="s">
        <v>13</v>
      </c>
      <c r="M67" s="136" t="s">
        <v>13</v>
      </c>
      <c r="N67" s="136" t="s">
        <v>13</v>
      </c>
      <c r="P67" s="128" t="s">
        <v>3909</v>
      </c>
      <c r="Q67" s="128" t="s">
        <v>3909</v>
      </c>
      <c r="R67" s="128" t="s">
        <v>3909</v>
      </c>
      <c r="S67" s="128" t="s">
        <v>3909</v>
      </c>
      <c r="T67" s="128" t="s">
        <v>3909</v>
      </c>
      <c r="U67" s="128" t="s">
        <v>3909</v>
      </c>
      <c r="W67" s="128" t="s">
        <v>3908</v>
      </c>
      <c r="X67" s="128" t="s">
        <v>3908</v>
      </c>
      <c r="Y67" s="128" t="s">
        <v>3908</v>
      </c>
      <c r="Z67" s="128" t="s">
        <v>3908</v>
      </c>
      <c r="AA67" s="128" t="s">
        <v>3908</v>
      </c>
      <c r="AB67" s="128" t="s">
        <v>3908</v>
      </c>
      <c r="AC67" s="128" t="s">
        <v>3908</v>
      </c>
      <c r="AD67" s="128" t="s">
        <v>3908</v>
      </c>
      <c r="AE67" s="128" t="s">
        <v>3908</v>
      </c>
      <c r="AF67" s="128" t="s">
        <v>3909</v>
      </c>
      <c r="AG67" s="128" t="s">
        <v>3909</v>
      </c>
      <c r="AM67" s="128" t="s">
        <v>3908</v>
      </c>
      <c r="AN67" s="128" t="s">
        <v>3909</v>
      </c>
      <c r="AO67" s="128" t="s">
        <v>3909</v>
      </c>
      <c r="AP67" s="128" t="s">
        <v>3909</v>
      </c>
      <c r="AQ67" s="128" t="s">
        <v>3909</v>
      </c>
      <c r="AR67" s="128" t="s">
        <v>3909</v>
      </c>
      <c r="AS67" s="128" t="s">
        <v>3909</v>
      </c>
      <c r="AT67" s="128" t="s">
        <v>3909</v>
      </c>
      <c r="AU67" s="128" t="s">
        <v>3909</v>
      </c>
      <c r="AV67" s="128" t="s">
        <v>3909</v>
      </c>
      <c r="AW67" s="128" t="s">
        <v>3909</v>
      </c>
      <c r="AY67" s="128" t="s">
        <v>3909</v>
      </c>
      <c r="AZ67" s="128" t="s">
        <v>3909</v>
      </c>
      <c r="BA67" s="128" t="s">
        <v>3909</v>
      </c>
      <c r="BB67" s="128" t="s">
        <v>3909</v>
      </c>
      <c r="BC67" s="128" t="s">
        <v>3909</v>
      </c>
      <c r="BD67" s="128" t="s">
        <v>3909</v>
      </c>
      <c r="BE67" s="128" t="s">
        <v>3909</v>
      </c>
      <c r="BF67" s="128" t="s">
        <v>3909</v>
      </c>
      <c r="BG67" s="128" t="s">
        <v>3909</v>
      </c>
      <c r="BH67" s="128" t="s">
        <v>3909</v>
      </c>
      <c r="BI67" s="128" t="s">
        <v>3909</v>
      </c>
      <c r="BJ67" s="128" t="s">
        <v>3909</v>
      </c>
      <c r="BK67" s="128" t="s">
        <v>3909</v>
      </c>
      <c r="BL67" s="128" t="s">
        <v>3909</v>
      </c>
      <c r="BM67" s="128" t="s">
        <v>3909</v>
      </c>
      <c r="BN67" s="128" t="s">
        <v>3909</v>
      </c>
      <c r="BO67" s="128" t="s">
        <v>3909</v>
      </c>
      <c r="BP67" s="128" t="s">
        <v>3909</v>
      </c>
      <c r="BQ67" s="128" t="s">
        <v>3909</v>
      </c>
      <c r="BR67" s="128" t="s">
        <v>3909</v>
      </c>
      <c r="BS67" s="128" t="s">
        <v>3909</v>
      </c>
      <c r="BT67" s="128" t="s">
        <v>3909</v>
      </c>
      <c r="BU67" s="128" t="s">
        <v>3909</v>
      </c>
      <c r="BY67" s="128" t="s">
        <v>3909</v>
      </c>
      <c r="BZ67" s="128" t="s">
        <v>3909</v>
      </c>
      <c r="CA67" s="128" t="s">
        <v>3909</v>
      </c>
      <c r="CB67" s="128" t="s">
        <v>3909</v>
      </c>
      <c r="CC67" s="128" t="s">
        <v>3909</v>
      </c>
      <c r="CD67" s="128" t="s">
        <v>3909</v>
      </c>
      <c r="CE67" s="128" t="s">
        <v>3909</v>
      </c>
      <c r="CF67" s="128" t="s">
        <v>3909</v>
      </c>
      <c r="CG67" s="128" t="s">
        <v>3909</v>
      </c>
      <c r="CH67" s="128" t="s">
        <v>3909</v>
      </c>
      <c r="CI67" s="128" t="s">
        <v>3909</v>
      </c>
      <c r="CJ67" s="128" t="s">
        <v>3909</v>
      </c>
      <c r="CK67" s="128" t="s">
        <v>3909</v>
      </c>
      <c r="CL67" s="128" t="s">
        <v>3909</v>
      </c>
      <c r="CM67" s="128" t="s">
        <v>3909</v>
      </c>
      <c r="CN67" s="128" t="s">
        <v>3909</v>
      </c>
      <c r="CO67" s="128" t="s">
        <v>3909</v>
      </c>
      <c r="CP67" s="128" t="s">
        <v>3909</v>
      </c>
      <c r="CQ67" s="128" t="s">
        <v>3909</v>
      </c>
      <c r="CR67" s="128" t="s">
        <v>3908</v>
      </c>
      <c r="CS67" s="128" t="s">
        <v>3908</v>
      </c>
      <c r="CT67" s="128" t="s">
        <v>3908</v>
      </c>
      <c r="CU67" s="128" t="s">
        <v>3908</v>
      </c>
      <c r="CX67" s="128" t="s">
        <v>3908</v>
      </c>
      <c r="DC67" s="128" t="s">
        <v>3908</v>
      </c>
      <c r="DM67" s="128" t="s">
        <v>3908</v>
      </c>
      <c r="DQ67" s="128" t="s">
        <v>3908</v>
      </c>
      <c r="DU67" s="128" t="s">
        <v>3909</v>
      </c>
      <c r="DV67" s="128" t="s">
        <v>3909</v>
      </c>
      <c r="DW67" s="128" t="s">
        <v>3909</v>
      </c>
      <c r="DX67" s="128" t="s">
        <v>3909</v>
      </c>
      <c r="DY67" s="128" t="s">
        <v>3909</v>
      </c>
      <c r="DZ67" s="128" t="s">
        <v>3909</v>
      </c>
      <c r="EA67" s="128" t="s">
        <v>3909</v>
      </c>
      <c r="EB67" s="128" t="s">
        <v>3909</v>
      </c>
      <c r="EC67" s="128" t="s">
        <v>3909</v>
      </c>
      <c r="ED67" s="128" t="s">
        <v>3909</v>
      </c>
      <c r="EE67" s="128" t="s">
        <v>3909</v>
      </c>
      <c r="EF67" s="128" t="s">
        <v>3909</v>
      </c>
      <c r="EG67" s="128" t="s">
        <v>3909</v>
      </c>
      <c r="GL67" s="128" t="s">
        <v>3908</v>
      </c>
      <c r="GM67" s="128" t="s">
        <v>3908</v>
      </c>
      <c r="GN67" s="128" t="s">
        <v>3908</v>
      </c>
      <c r="GO67" s="128" t="s">
        <v>3908</v>
      </c>
      <c r="GP67" s="128" t="s">
        <v>3908</v>
      </c>
      <c r="GR67" s="128"/>
      <c r="GS67" s="128"/>
      <c r="GT67" s="128"/>
      <c r="GU67" s="128"/>
      <c r="GV67" s="128"/>
      <c r="GW67" s="128"/>
      <c r="GX67" s="128"/>
      <c r="GY67" s="128"/>
      <c r="GZ67" s="128"/>
      <c r="HA67" s="128"/>
      <c r="HB67" s="128"/>
      <c r="HC67" s="128"/>
      <c r="HD67" s="128"/>
      <c r="HE67" s="128"/>
      <c r="HF67" s="128"/>
      <c r="HH67" s="128"/>
      <c r="HI67" s="128"/>
      <c r="HJ67" s="128"/>
      <c r="HK67" s="128"/>
      <c r="HL67" s="128"/>
      <c r="HM67" s="128"/>
      <c r="HN67" s="128"/>
      <c r="HO67" s="128"/>
      <c r="HP67" s="128"/>
      <c r="HT67" s="128" t="s">
        <v>3906</v>
      </c>
      <c r="HU67" s="128" t="s">
        <v>3906</v>
      </c>
      <c r="HV67" s="128" t="s">
        <v>3906</v>
      </c>
      <c r="HW67" s="128" t="s">
        <v>3906</v>
      </c>
      <c r="HX67" s="128" t="s">
        <v>3906</v>
      </c>
      <c r="HY67" s="128" t="s">
        <v>3906</v>
      </c>
      <c r="HZ67" s="128" t="s">
        <v>3906</v>
      </c>
      <c r="IA67" s="128" t="s">
        <v>3906</v>
      </c>
      <c r="IB67" s="128" t="s">
        <v>3906</v>
      </c>
      <c r="IC67" s="128" t="s">
        <v>3906</v>
      </c>
      <c r="ID67" s="128" t="s">
        <v>3906</v>
      </c>
      <c r="IE67" s="129" t="s">
        <v>3843</v>
      </c>
      <c r="IG67" s="128"/>
      <c r="IM67" s="128" t="s">
        <v>3906</v>
      </c>
      <c r="IN67" s="128" t="s">
        <v>3906</v>
      </c>
      <c r="IU67" s="128" t="s">
        <v>3906</v>
      </c>
      <c r="IV67" s="128" t="s">
        <v>3906</v>
      </c>
      <c r="IW67" s="128" t="s">
        <v>3906</v>
      </c>
      <c r="IX67" s="128" t="s">
        <v>3906</v>
      </c>
      <c r="IY67" s="128" t="s">
        <v>3906</v>
      </c>
      <c r="IZ67" s="128" t="s">
        <v>3906</v>
      </c>
      <c r="JA67" s="128" t="s">
        <v>3906</v>
      </c>
      <c r="JB67" s="128" t="s">
        <v>3906</v>
      </c>
      <c r="JC67" s="128" t="s">
        <v>3906</v>
      </c>
      <c r="JD67" s="128" t="s">
        <v>3906</v>
      </c>
      <c r="JE67" s="128" t="s">
        <v>3906</v>
      </c>
      <c r="JF67" s="129" t="s">
        <v>3843</v>
      </c>
      <c r="JH67" s="128" t="s">
        <v>3906</v>
      </c>
      <c r="JI67" s="128" t="s">
        <v>3906</v>
      </c>
      <c r="JJ67" s="128" t="s">
        <v>3906</v>
      </c>
      <c r="JK67" s="128" t="s">
        <v>3906</v>
      </c>
      <c r="JL67" s="128" t="s">
        <v>3906</v>
      </c>
      <c r="JM67" s="129" t="s">
        <v>3843</v>
      </c>
      <c r="JS67" s="128" t="s">
        <v>3906</v>
      </c>
      <c r="JT67" s="128" t="s">
        <v>3906</v>
      </c>
      <c r="JU67" s="129" t="s">
        <v>3843</v>
      </c>
      <c r="KC67" s="128" t="s">
        <v>3906</v>
      </c>
      <c r="KH67" s="128" t="s">
        <v>3906</v>
      </c>
      <c r="KI67" s="128" t="s">
        <v>3906</v>
      </c>
      <c r="KJ67" s="156" t="s">
        <v>3843</v>
      </c>
      <c r="KN67" s="128" t="s">
        <v>3906</v>
      </c>
      <c r="KO67" s="128" t="s">
        <v>3906</v>
      </c>
      <c r="KP67" s="156" t="s">
        <v>3843</v>
      </c>
      <c r="LV67" s="143" t="s">
        <v>3907</v>
      </c>
      <c r="LW67" s="143" t="s">
        <v>3907</v>
      </c>
      <c r="LX67" s="143" t="s">
        <v>3907</v>
      </c>
      <c r="LY67" s="143" t="s">
        <v>3907</v>
      </c>
      <c r="LZ67" s="143" t="s">
        <v>3907</v>
      </c>
      <c r="MA67" s="143" t="s">
        <v>3907</v>
      </c>
      <c r="MB67" s="143" t="s">
        <v>3907</v>
      </c>
      <c r="MC67" s="143" t="s">
        <v>3907</v>
      </c>
      <c r="MD67" s="143" t="s">
        <v>3907</v>
      </c>
      <c r="ME67" s="143" t="s">
        <v>3907</v>
      </c>
      <c r="MF67" s="151" t="s">
        <v>3843</v>
      </c>
      <c r="OZ67" s="128" t="s">
        <v>3906</v>
      </c>
      <c r="PA67" s="128" t="s">
        <v>3906</v>
      </c>
      <c r="PB67" s="129" t="s">
        <v>3843</v>
      </c>
      <c r="PC67" s="128" t="s">
        <v>3906</v>
      </c>
      <c r="PD67" s="128" t="s">
        <v>3906</v>
      </c>
      <c r="PE67" s="128" t="s">
        <v>3906</v>
      </c>
      <c r="PF67" s="129" t="s">
        <v>3843</v>
      </c>
      <c r="PM67" s="128" t="s">
        <v>3906</v>
      </c>
      <c r="PN67" s="128" t="s">
        <v>3906</v>
      </c>
      <c r="PO67" s="128" t="s">
        <v>3906</v>
      </c>
      <c r="PP67" s="128" t="s">
        <v>3906</v>
      </c>
      <c r="PQ67" s="129" t="s">
        <v>3843</v>
      </c>
      <c r="QI67" s="128" t="s">
        <v>3906</v>
      </c>
      <c r="QJ67" s="128" t="s">
        <v>3906</v>
      </c>
      <c r="QK67" s="156" t="s">
        <v>3843</v>
      </c>
      <c r="QL67" s="128"/>
      <c r="QN67" s="128" t="s">
        <v>3906</v>
      </c>
      <c r="QO67" s="128" t="s">
        <v>3906</v>
      </c>
      <c r="QP67" s="128" t="s">
        <v>3906</v>
      </c>
      <c r="QQ67" s="128" t="s">
        <v>3906</v>
      </c>
      <c r="QR67" s="129" t="s">
        <v>3843</v>
      </c>
      <c r="QS67" s="128" t="s">
        <v>3906</v>
      </c>
      <c r="QT67" s="128" t="s">
        <v>3906</v>
      </c>
      <c r="QU67" s="128" t="s">
        <v>3906</v>
      </c>
      <c r="QV67" s="129" t="s">
        <v>3843</v>
      </c>
      <c r="TT67" s="128" t="s">
        <v>3906</v>
      </c>
      <c r="TU67" s="128" t="s">
        <v>3906</v>
      </c>
      <c r="TV67" s="128" t="s">
        <v>3906</v>
      </c>
      <c r="TW67" s="156" t="s">
        <v>3843</v>
      </c>
      <c r="UP67" s="128" t="s">
        <v>3906</v>
      </c>
      <c r="UQ67" s="128" t="s">
        <v>3906</v>
      </c>
      <c r="UR67" s="128" t="s">
        <v>3906</v>
      </c>
      <c r="US67" s="129" t="s">
        <v>3843</v>
      </c>
      <c r="UU67" s="128" t="s">
        <v>3906</v>
      </c>
      <c r="UV67" s="128" t="s">
        <v>3906</v>
      </c>
      <c r="UW67" s="129" t="s">
        <v>3843</v>
      </c>
      <c r="VE67" s="128" t="s">
        <v>3906</v>
      </c>
      <c r="VF67" s="128" t="s">
        <v>3906</v>
      </c>
      <c r="VJ67" s="128" t="s">
        <v>3906</v>
      </c>
      <c r="VR67" s="162" t="s">
        <v>3904</v>
      </c>
      <c r="VS67" s="162" t="s">
        <v>3904</v>
      </c>
      <c r="VT67" s="162" t="s">
        <v>3904</v>
      </c>
      <c r="VU67" s="162" t="s">
        <v>3904</v>
      </c>
      <c r="VV67" s="162" t="s">
        <v>3904</v>
      </c>
      <c r="VW67" s="162" t="s">
        <v>3904</v>
      </c>
      <c r="VX67" s="162" t="s">
        <v>3904</v>
      </c>
      <c r="VY67" s="162" t="s">
        <v>3904</v>
      </c>
      <c r="VZ67" s="162" t="s">
        <v>3904</v>
      </c>
      <c r="WA67" s="162" t="s">
        <v>3904</v>
      </c>
      <c r="WB67" s="162" t="s">
        <v>3904</v>
      </c>
      <c r="WC67" s="162" t="s">
        <v>3904</v>
      </c>
      <c r="WD67" s="162" t="s">
        <v>3904</v>
      </c>
      <c r="WE67" s="162" t="s">
        <v>3904</v>
      </c>
      <c r="WF67" s="162" t="s">
        <v>3904</v>
      </c>
      <c r="WG67" s="162" t="s">
        <v>3904</v>
      </c>
      <c r="WH67" s="162" t="s">
        <v>3904</v>
      </c>
      <c r="WI67" s="162" t="s">
        <v>3904</v>
      </c>
      <c r="WJ67" s="162" t="s">
        <v>3904</v>
      </c>
      <c r="WK67" s="162" t="s">
        <v>3904</v>
      </c>
      <c r="WL67" s="162" t="s">
        <v>3904</v>
      </c>
      <c r="WM67" s="162" t="s">
        <v>3904</v>
      </c>
      <c r="WN67" s="162" t="s">
        <v>3904</v>
      </c>
      <c r="WO67" s="162" t="s">
        <v>3904</v>
      </c>
      <c r="WP67" s="162" t="s">
        <v>3904</v>
      </c>
      <c r="WQ67" s="162" t="s">
        <v>3904</v>
      </c>
      <c r="WR67" s="162" t="s">
        <v>3904</v>
      </c>
      <c r="WS67" s="162" t="s">
        <v>3904</v>
      </c>
      <c r="WT67" s="162" t="s">
        <v>3904</v>
      </c>
      <c r="WU67" s="162" t="s">
        <v>3904</v>
      </c>
      <c r="WV67" s="162" t="s">
        <v>3904</v>
      </c>
      <c r="WW67" s="162" t="s">
        <v>3904</v>
      </c>
      <c r="WX67" s="162" t="s">
        <v>3904</v>
      </c>
      <c r="WY67" s="162" t="s">
        <v>3904</v>
      </c>
      <c r="WZ67" s="162" t="s">
        <v>3904</v>
      </c>
      <c r="XA67" s="162" t="s">
        <v>3904</v>
      </c>
      <c r="XB67" s="162" t="s">
        <v>3904</v>
      </c>
      <c r="XC67" s="162" t="s">
        <v>3904</v>
      </c>
      <c r="XD67" s="162" t="s">
        <v>3904</v>
      </c>
      <c r="XE67" s="162" t="s">
        <v>3904</v>
      </c>
      <c r="XF67" s="162" t="s">
        <v>3904</v>
      </c>
      <c r="XG67" s="162" t="s">
        <v>3904</v>
      </c>
      <c r="XH67" s="162" t="s">
        <v>3904</v>
      </c>
      <c r="XI67" s="162" t="s">
        <v>3904</v>
      </c>
      <c r="XJ67" s="162" t="s">
        <v>3904</v>
      </c>
      <c r="XK67" s="162" t="s">
        <v>3904</v>
      </c>
      <c r="XL67" s="162" t="s">
        <v>3904</v>
      </c>
      <c r="XM67" s="162" t="s">
        <v>3904</v>
      </c>
      <c r="XN67" s="162" t="s">
        <v>3904</v>
      </c>
      <c r="XO67" s="162" t="s">
        <v>3904</v>
      </c>
      <c r="XP67" s="162" t="s">
        <v>3904</v>
      </c>
      <c r="XQ67" s="162" t="s">
        <v>3904</v>
      </c>
      <c r="XR67" s="162" t="s">
        <v>3904</v>
      </c>
      <c r="XS67" s="162" t="s">
        <v>3904</v>
      </c>
      <c r="XT67" s="162" t="s">
        <v>3904</v>
      </c>
      <c r="XU67" s="162" t="s">
        <v>3904</v>
      </c>
      <c r="XV67" s="162" t="s">
        <v>3904</v>
      </c>
      <c r="XW67" s="162" t="s">
        <v>3904</v>
      </c>
      <c r="XX67" s="162" t="s">
        <v>3904</v>
      </c>
      <c r="XY67" s="162" t="s">
        <v>3904</v>
      </c>
      <c r="XZ67" s="162" t="s">
        <v>3904</v>
      </c>
      <c r="YA67" s="162" t="s">
        <v>3904</v>
      </c>
      <c r="YB67" s="162" t="s">
        <v>3904</v>
      </c>
      <c r="YC67" s="162" t="s">
        <v>3904</v>
      </c>
      <c r="YD67" s="162" t="s">
        <v>3904</v>
      </c>
      <c r="YE67" s="162" t="s">
        <v>3904</v>
      </c>
      <c r="YF67" s="162" t="s">
        <v>3904</v>
      </c>
      <c r="YG67" s="162" t="s">
        <v>3904</v>
      </c>
      <c r="YH67" s="162" t="s">
        <v>3904</v>
      </c>
      <c r="YI67" s="162" t="s">
        <v>3904</v>
      </c>
      <c r="YJ67" s="162" t="s">
        <v>3904</v>
      </c>
      <c r="YK67" s="162" t="s">
        <v>3904</v>
      </c>
      <c r="YL67" s="162" t="s">
        <v>3904</v>
      </c>
      <c r="YM67" s="162" t="s">
        <v>3904</v>
      </c>
      <c r="YN67" s="162" t="s">
        <v>3904</v>
      </c>
      <c r="YO67" s="162" t="s">
        <v>3904</v>
      </c>
      <c r="YP67" s="162" t="s">
        <v>3904</v>
      </c>
      <c r="YQ67" s="162" t="s">
        <v>3904</v>
      </c>
      <c r="YR67" s="162" t="s">
        <v>3904</v>
      </c>
      <c r="YS67" s="162" t="s">
        <v>3904</v>
      </c>
      <c r="YT67" s="162" t="s">
        <v>3904</v>
      </c>
      <c r="YU67" s="162" t="s">
        <v>3904</v>
      </c>
      <c r="YV67" s="162" t="s">
        <v>3904</v>
      </c>
      <c r="YW67" s="162" t="s">
        <v>3904</v>
      </c>
      <c r="YX67" s="162" t="s">
        <v>3904</v>
      </c>
      <c r="YY67" s="162" t="s">
        <v>3904</v>
      </c>
      <c r="YZ67" s="162" t="s">
        <v>3904</v>
      </c>
      <c r="ZA67" s="162" t="s">
        <v>3904</v>
      </c>
      <c r="ZB67" s="162" t="s">
        <v>3904</v>
      </c>
      <c r="ZC67" s="162" t="s">
        <v>3904</v>
      </c>
      <c r="ZD67" s="162" t="s">
        <v>3904</v>
      </c>
      <c r="ZE67" s="162" t="s">
        <v>3904</v>
      </c>
      <c r="ZF67" s="162" t="s">
        <v>3904</v>
      </c>
      <c r="ZG67" s="162" t="s">
        <v>3904</v>
      </c>
      <c r="ZH67" s="162" t="s">
        <v>3904</v>
      </c>
      <c r="ZI67" s="162" t="s">
        <v>3904</v>
      </c>
      <c r="ZJ67" s="162" t="s">
        <v>3904</v>
      </c>
      <c r="ZK67" s="162" t="s">
        <v>3904</v>
      </c>
      <c r="ZL67" s="162" t="s">
        <v>3904</v>
      </c>
      <c r="ZM67" s="162" t="s">
        <v>3904</v>
      </c>
      <c r="ZN67" s="162" t="s">
        <v>3904</v>
      </c>
      <c r="ZO67" s="162" t="s">
        <v>3904</v>
      </c>
      <c r="ZP67" s="162" t="s">
        <v>3904</v>
      </c>
      <c r="ZQ67" s="162" t="s">
        <v>3904</v>
      </c>
      <c r="ZR67" s="162" t="s">
        <v>3904</v>
      </c>
      <c r="ZS67" s="162" t="s">
        <v>3904</v>
      </c>
      <c r="ZT67" s="162" t="s">
        <v>3904</v>
      </c>
      <c r="ZU67" s="162" t="s">
        <v>3904</v>
      </c>
      <c r="ZV67" s="162" t="s">
        <v>3904</v>
      </c>
      <c r="ZW67" s="162" t="s">
        <v>3904</v>
      </c>
      <c r="ZX67" s="162" t="s">
        <v>3904</v>
      </c>
      <c r="ZY67" s="162" t="s">
        <v>3904</v>
      </c>
      <c r="ZZ67" s="162" t="s">
        <v>3904</v>
      </c>
      <c r="AAA67" s="162" t="s">
        <v>3904</v>
      </c>
      <c r="AAB67" s="162" t="s">
        <v>3904</v>
      </c>
      <c r="AAC67" s="162" t="s">
        <v>3904</v>
      </c>
      <c r="AAD67" s="162" t="s">
        <v>3904</v>
      </c>
      <c r="AAE67" s="162" t="s">
        <v>3904</v>
      </c>
      <c r="AAF67" s="162" t="s">
        <v>3904</v>
      </c>
      <c r="AAG67" s="162" t="s">
        <v>3904</v>
      </c>
      <c r="AAH67" s="162" t="s">
        <v>3904</v>
      </c>
      <c r="AAJ67" s="162" t="s">
        <v>3904</v>
      </c>
      <c r="AAK67" s="162" t="s">
        <v>3904</v>
      </c>
      <c r="AAL67" s="162" t="s">
        <v>3904</v>
      </c>
      <c r="AAM67" s="162" t="s">
        <v>3904</v>
      </c>
      <c r="AAN67" s="162" t="s">
        <v>3904</v>
      </c>
      <c r="AAO67" s="162" t="s">
        <v>3904</v>
      </c>
      <c r="AAP67" s="162" t="s">
        <v>3904</v>
      </c>
      <c r="AAQ67" s="162" t="s">
        <v>3904</v>
      </c>
      <c r="AAR67" s="162" t="s">
        <v>3904</v>
      </c>
      <c r="AAS67" s="162" t="s">
        <v>3904</v>
      </c>
      <c r="AAT67" s="162" t="s">
        <v>3904</v>
      </c>
      <c r="AAU67" s="162" t="s">
        <v>3904</v>
      </c>
      <c r="AAV67" s="162" t="s">
        <v>3904</v>
      </c>
      <c r="AAW67" s="162" t="s">
        <v>3904</v>
      </c>
      <c r="AAX67" s="162" t="s">
        <v>3904</v>
      </c>
      <c r="AAY67" s="162" t="s">
        <v>3904</v>
      </c>
      <c r="AAZ67" s="162" t="s">
        <v>3904</v>
      </c>
      <c r="ABA67" s="162" t="s">
        <v>3904</v>
      </c>
      <c r="ABB67" s="162" t="s">
        <v>3904</v>
      </c>
      <c r="ABC67" s="162" t="s">
        <v>3904</v>
      </c>
      <c r="ABD67" s="162" t="s">
        <v>3904</v>
      </c>
      <c r="ABE67" s="162" t="s">
        <v>3904</v>
      </c>
      <c r="ABF67" s="162" t="s">
        <v>3904</v>
      </c>
      <c r="ABG67" s="162" t="s">
        <v>3904</v>
      </c>
      <c r="ABH67" s="162" t="s">
        <v>3904</v>
      </c>
      <c r="ABI67" s="162" t="s">
        <v>3904</v>
      </c>
      <c r="ABJ67" s="162" t="s">
        <v>3904</v>
      </c>
      <c r="ABK67" s="162" t="s">
        <v>3904</v>
      </c>
      <c r="ABL67" s="162" t="s">
        <v>3904</v>
      </c>
      <c r="ABM67" s="162" t="s">
        <v>3904</v>
      </c>
      <c r="ABN67" s="162" t="s">
        <v>3904</v>
      </c>
      <c r="ABO67" s="162" t="s">
        <v>3904</v>
      </c>
      <c r="ABP67" s="162" t="s">
        <v>3904</v>
      </c>
      <c r="ABQ67" s="162" t="s">
        <v>3904</v>
      </c>
      <c r="ABR67" s="162" t="s">
        <v>3904</v>
      </c>
      <c r="ABS67" s="162" t="s">
        <v>3904</v>
      </c>
      <c r="ABT67" s="162" t="s">
        <v>3904</v>
      </c>
      <c r="ABU67" s="162" t="s">
        <v>3904</v>
      </c>
      <c r="ABV67" s="162" t="s">
        <v>3904</v>
      </c>
      <c r="ABW67" s="162" t="s">
        <v>3904</v>
      </c>
      <c r="ABX67" s="162" t="s">
        <v>3904</v>
      </c>
      <c r="ABY67" s="162" t="s">
        <v>3904</v>
      </c>
      <c r="ABZ67" s="162" t="s">
        <v>3904</v>
      </c>
      <c r="ACA67" s="162" t="s">
        <v>3904</v>
      </c>
      <c r="ACB67" s="162" t="s">
        <v>3904</v>
      </c>
      <c r="ACC67" s="162" t="s">
        <v>3904</v>
      </c>
      <c r="ACD67" s="162" t="s">
        <v>3904</v>
      </c>
      <c r="ACE67" s="162" t="s">
        <v>3904</v>
      </c>
      <c r="ACF67" s="162" t="s">
        <v>3904</v>
      </c>
      <c r="ACG67" s="162" t="s">
        <v>3904</v>
      </c>
      <c r="ACH67" s="162" t="s">
        <v>3904</v>
      </c>
      <c r="ACI67" s="162" t="s">
        <v>3904</v>
      </c>
      <c r="ACJ67" s="162" t="s">
        <v>3904</v>
      </c>
      <c r="ACK67" s="162" t="s">
        <v>3904</v>
      </c>
      <c r="ACL67" s="162" t="s">
        <v>3904</v>
      </c>
      <c r="ACM67" s="162" t="s">
        <v>3904</v>
      </c>
      <c r="ACN67" s="162" t="s">
        <v>3904</v>
      </c>
      <c r="ACO67" s="162" t="s">
        <v>3904</v>
      </c>
      <c r="ACP67" s="162" t="s">
        <v>3904</v>
      </c>
      <c r="ACQ67" s="162" t="s">
        <v>3904</v>
      </c>
      <c r="ACR67" s="162" t="s">
        <v>3904</v>
      </c>
      <c r="ACS67" s="162" t="s">
        <v>3904</v>
      </c>
      <c r="ACT67" s="162" t="s">
        <v>3904</v>
      </c>
      <c r="ACU67" s="162" t="s">
        <v>3904</v>
      </c>
      <c r="ACV67" s="162" t="s">
        <v>3904</v>
      </c>
      <c r="ACW67" s="162" t="s">
        <v>3904</v>
      </c>
      <c r="ACX67" s="162" t="s">
        <v>3904</v>
      </c>
      <c r="ACY67" s="162" t="s">
        <v>3904</v>
      </c>
      <c r="ACZ67" s="162" t="s">
        <v>3904</v>
      </c>
      <c r="ADA67" s="162" t="s">
        <v>3904</v>
      </c>
      <c r="ADB67" s="162" t="s">
        <v>3904</v>
      </c>
      <c r="ADC67" s="162" t="s">
        <v>3904</v>
      </c>
      <c r="ADD67" s="162" t="s">
        <v>3904</v>
      </c>
      <c r="ADE67" s="162" t="s">
        <v>3904</v>
      </c>
      <c r="ADF67" s="162" t="s">
        <v>3904</v>
      </c>
      <c r="ADG67" s="162" t="s">
        <v>3904</v>
      </c>
      <c r="ADH67" s="162" t="s">
        <v>3904</v>
      </c>
      <c r="ADI67" s="162" t="s">
        <v>3904</v>
      </c>
      <c r="ADJ67" s="162" t="s">
        <v>3904</v>
      </c>
      <c r="ADK67" s="162" t="s">
        <v>3904</v>
      </c>
      <c r="ADL67" s="162" t="s">
        <v>3904</v>
      </c>
      <c r="ADM67" s="162" t="s">
        <v>3904</v>
      </c>
      <c r="ADN67" s="162" t="s">
        <v>3904</v>
      </c>
      <c r="ADO67" s="162" t="s">
        <v>3904</v>
      </c>
      <c r="ADP67" s="162" t="s">
        <v>3904</v>
      </c>
      <c r="ADQ67" s="162" t="s">
        <v>3904</v>
      </c>
      <c r="ADR67" s="162" t="s">
        <v>3904</v>
      </c>
      <c r="ADS67" s="162" t="s">
        <v>3904</v>
      </c>
      <c r="ADT67" s="162" t="s">
        <v>3904</v>
      </c>
      <c r="ADU67" s="162" t="s">
        <v>3904</v>
      </c>
      <c r="ADV67" s="162" t="s">
        <v>3904</v>
      </c>
      <c r="ADW67" s="162" t="s">
        <v>3904</v>
      </c>
      <c r="ADX67" s="162" t="s">
        <v>3904</v>
      </c>
      <c r="ADY67" s="162" t="s">
        <v>3904</v>
      </c>
      <c r="ADZ67" s="162" t="s">
        <v>3904</v>
      </c>
      <c r="AEA67" s="162" t="s">
        <v>3904</v>
      </c>
      <c r="AEB67" s="162" t="s">
        <v>3904</v>
      </c>
      <c r="AEC67" s="162" t="s">
        <v>3904</v>
      </c>
      <c r="AED67" s="162" t="s">
        <v>3904</v>
      </c>
      <c r="AEE67" s="162" t="s">
        <v>3904</v>
      </c>
      <c r="AEF67" s="162" t="s">
        <v>3904</v>
      </c>
      <c r="AEG67" s="162" t="s">
        <v>3904</v>
      </c>
      <c r="AEH67" s="162" t="s">
        <v>3904</v>
      </c>
      <c r="AEI67" s="162" t="s">
        <v>3904</v>
      </c>
      <c r="AEJ67" s="162" t="s">
        <v>3904</v>
      </c>
      <c r="AEK67" s="162" t="s">
        <v>3904</v>
      </c>
      <c r="AEL67" s="162" t="s">
        <v>3904</v>
      </c>
      <c r="AEM67" s="162" t="s">
        <v>3904</v>
      </c>
      <c r="AEN67" s="162" t="s">
        <v>3904</v>
      </c>
      <c r="AEO67" s="162" t="s">
        <v>3904</v>
      </c>
      <c r="AEP67" s="162" t="s">
        <v>3904</v>
      </c>
      <c r="AEQ67" s="162" t="s">
        <v>3904</v>
      </c>
      <c r="AER67" s="162" t="s">
        <v>3904</v>
      </c>
      <c r="AES67" s="162" t="s">
        <v>3904</v>
      </c>
      <c r="AET67" s="162" t="s">
        <v>3904</v>
      </c>
      <c r="AEU67" s="162" t="s">
        <v>3904</v>
      </c>
      <c r="AEV67" s="162" t="s">
        <v>3904</v>
      </c>
      <c r="AEW67" s="162" t="s">
        <v>3904</v>
      </c>
      <c r="AEX67" s="162" t="s">
        <v>3904</v>
      </c>
      <c r="AEY67" s="162" t="s">
        <v>3904</v>
      </c>
      <c r="AEZ67" s="162" t="s">
        <v>3904</v>
      </c>
      <c r="AFA67" s="162" t="s">
        <v>3904</v>
      </c>
      <c r="AFB67" s="162" t="s">
        <v>3904</v>
      </c>
      <c r="AFC67" s="162" t="s">
        <v>3904</v>
      </c>
      <c r="AFD67" s="162" t="s">
        <v>3904</v>
      </c>
      <c r="AFE67" s="162" t="s">
        <v>3904</v>
      </c>
      <c r="AFF67" s="162" t="s">
        <v>3904</v>
      </c>
      <c r="AFG67" s="162" t="s">
        <v>3904</v>
      </c>
      <c r="AFH67" s="162" t="s">
        <v>3904</v>
      </c>
      <c r="AFI67" s="162" t="s">
        <v>3904</v>
      </c>
      <c r="AFJ67" s="162" t="s">
        <v>3904</v>
      </c>
      <c r="AFK67" s="162" t="s">
        <v>3904</v>
      </c>
      <c r="AFN67" s="129" t="s">
        <v>3903</v>
      </c>
      <c r="AFO67" s="129" t="s">
        <v>3905</v>
      </c>
      <c r="AFP67" s="129" t="s">
        <v>3905</v>
      </c>
      <c r="AFQ67" s="129" t="s">
        <v>3905</v>
      </c>
      <c r="AFR67" s="129" t="s">
        <v>3843</v>
      </c>
      <c r="AFS67" s="129" t="s">
        <v>3903</v>
      </c>
      <c r="AFT67" s="129" t="s">
        <v>3903</v>
      </c>
      <c r="AFU67" s="129" t="s">
        <v>3905</v>
      </c>
      <c r="AFV67" s="129" t="s">
        <v>3905</v>
      </c>
      <c r="AFW67" s="129" t="s">
        <v>3843</v>
      </c>
      <c r="AFX67" s="129" t="s">
        <v>3903</v>
      </c>
      <c r="AFY67" s="129" t="s">
        <v>3905</v>
      </c>
      <c r="AFZ67" s="129" t="s">
        <v>3905</v>
      </c>
      <c r="AGA67" s="129" t="s">
        <v>3905</v>
      </c>
      <c r="AGB67" s="149" t="s">
        <v>3843</v>
      </c>
      <c r="AGC67" s="129" t="s">
        <v>3903</v>
      </c>
      <c r="AGD67" s="129" t="s">
        <v>3903</v>
      </c>
      <c r="AGE67" s="129" t="s">
        <v>3905</v>
      </c>
      <c r="AGF67" s="129" t="s">
        <v>3905</v>
      </c>
      <c r="AGG67" s="149" t="s">
        <v>3843</v>
      </c>
      <c r="AGH67" s="129" t="s">
        <v>3903</v>
      </c>
      <c r="AGI67" s="129" t="s">
        <v>3905</v>
      </c>
      <c r="AGJ67" s="129" t="s">
        <v>3905</v>
      </c>
      <c r="AGK67" s="129" t="s">
        <v>3905</v>
      </c>
      <c r="AGL67" s="149" t="s">
        <v>3843</v>
      </c>
      <c r="AGM67" s="129" t="s">
        <v>3903</v>
      </c>
      <c r="AGN67" s="129" t="s">
        <v>3903</v>
      </c>
      <c r="AGO67" s="129" t="s">
        <v>3905</v>
      </c>
      <c r="AGP67" s="129" t="s">
        <v>3905</v>
      </c>
      <c r="AGQ67" s="149" t="s">
        <v>3843</v>
      </c>
      <c r="AGR67" s="131" t="s">
        <v>3904</v>
      </c>
      <c r="AGS67" s="131" t="s">
        <v>3904</v>
      </c>
      <c r="AGT67" s="131" t="s">
        <v>3904</v>
      </c>
      <c r="AGU67" s="129" t="s">
        <v>3843</v>
      </c>
      <c r="AGV67" s="131" t="s">
        <v>3904</v>
      </c>
      <c r="AGW67" s="131" t="s">
        <v>3904</v>
      </c>
      <c r="AGX67" s="131" t="s">
        <v>3904</v>
      </c>
      <c r="AGY67" s="131" t="s">
        <v>3904</v>
      </c>
      <c r="AGZ67" s="131" t="s">
        <v>3904</v>
      </c>
      <c r="AHA67" s="131" t="s">
        <v>3904</v>
      </c>
      <c r="AHB67" s="129" t="s">
        <v>3843</v>
      </c>
      <c r="AHC67" s="131" t="s">
        <v>3904</v>
      </c>
      <c r="AHD67" s="131" t="s">
        <v>3904</v>
      </c>
      <c r="AHE67" s="131" t="s">
        <v>3904</v>
      </c>
      <c r="AHF67" s="149" t="s">
        <v>3843</v>
      </c>
      <c r="AHG67" s="131" t="s">
        <v>3904</v>
      </c>
      <c r="AHH67" s="131" t="s">
        <v>3904</v>
      </c>
      <c r="AHI67" s="131" t="s">
        <v>3904</v>
      </c>
      <c r="AHJ67" s="131" t="s">
        <v>3904</v>
      </c>
      <c r="AHK67" s="131" t="s">
        <v>3904</v>
      </c>
      <c r="AHL67" s="131" t="s">
        <v>3904</v>
      </c>
      <c r="AHM67" s="149" t="s">
        <v>3843</v>
      </c>
      <c r="AHN67" s="131" t="s">
        <v>3904</v>
      </c>
      <c r="AHO67" s="131" t="s">
        <v>3904</v>
      </c>
      <c r="AHP67" s="131" t="s">
        <v>3904</v>
      </c>
      <c r="AHQ67" s="149" t="s">
        <v>3843</v>
      </c>
      <c r="AHR67" s="131" t="s">
        <v>3904</v>
      </c>
      <c r="AHS67" s="131" t="s">
        <v>3904</v>
      </c>
      <c r="AHT67" s="131" t="s">
        <v>3904</v>
      </c>
      <c r="AHU67" s="131" t="s">
        <v>3904</v>
      </c>
      <c r="AHV67" s="131" t="s">
        <v>3904</v>
      </c>
      <c r="AHW67" s="131" t="s">
        <v>3904</v>
      </c>
      <c r="AHX67" s="149" t="s">
        <v>3843</v>
      </c>
      <c r="AHY67" s="131" t="s">
        <v>3904</v>
      </c>
      <c r="AHZ67" s="131" t="s">
        <v>3904</v>
      </c>
      <c r="AIA67" s="131" t="s">
        <v>3904</v>
      </c>
      <c r="AIB67" s="129" t="s">
        <v>3843</v>
      </c>
      <c r="AIC67" s="131" t="s">
        <v>3904</v>
      </c>
      <c r="AID67" s="131" t="s">
        <v>3904</v>
      </c>
      <c r="AIE67" s="131" t="s">
        <v>3904</v>
      </c>
      <c r="AIF67" s="131" t="s">
        <v>3904</v>
      </c>
      <c r="AIG67" s="131" t="s">
        <v>3904</v>
      </c>
      <c r="AIH67" s="131" t="s">
        <v>3904</v>
      </c>
      <c r="AII67" s="129" t="s">
        <v>3843</v>
      </c>
      <c r="AIJ67" s="131" t="s">
        <v>3904</v>
      </c>
      <c r="AIK67" s="131" t="s">
        <v>3904</v>
      </c>
      <c r="AIL67" s="131" t="s">
        <v>3904</v>
      </c>
      <c r="AIM67" s="149" t="s">
        <v>3843</v>
      </c>
      <c r="AIN67" s="131" t="s">
        <v>3904</v>
      </c>
      <c r="AIO67" s="131" t="s">
        <v>3904</v>
      </c>
      <c r="AIP67" s="131" t="s">
        <v>3904</v>
      </c>
      <c r="AIQ67" s="131" t="s">
        <v>3904</v>
      </c>
      <c r="AIR67" s="131" t="s">
        <v>3904</v>
      </c>
      <c r="AIS67" s="131" t="s">
        <v>3904</v>
      </c>
      <c r="AIT67" s="149" t="s">
        <v>3843</v>
      </c>
      <c r="AIU67" s="131" t="s">
        <v>3904</v>
      </c>
      <c r="AIV67" s="131" t="s">
        <v>3904</v>
      </c>
      <c r="AIW67" s="131" t="s">
        <v>3904</v>
      </c>
      <c r="AIX67" s="149" t="s">
        <v>3843</v>
      </c>
      <c r="AIY67" s="131" t="s">
        <v>3904</v>
      </c>
      <c r="AIZ67" s="131" t="s">
        <v>3904</v>
      </c>
      <c r="AJA67" s="131" t="s">
        <v>3904</v>
      </c>
      <c r="AJB67" s="131" t="s">
        <v>3904</v>
      </c>
      <c r="AJC67" s="131" t="s">
        <v>3904</v>
      </c>
      <c r="AJD67" s="131" t="s">
        <v>3904</v>
      </c>
      <c r="AJE67" s="149" t="s">
        <v>3843</v>
      </c>
      <c r="AJF67" s="131" t="s">
        <v>3904</v>
      </c>
      <c r="AJG67" s="131" t="s">
        <v>3904</v>
      </c>
      <c r="AJH67" s="131" t="s">
        <v>3904</v>
      </c>
      <c r="AJI67" s="129" t="s">
        <v>3843</v>
      </c>
      <c r="AJJ67" s="131" t="s">
        <v>3904</v>
      </c>
      <c r="AJK67" s="131" t="s">
        <v>3904</v>
      </c>
      <c r="AJL67" s="131" t="s">
        <v>3904</v>
      </c>
      <c r="AJM67" s="131" t="s">
        <v>3904</v>
      </c>
      <c r="AJN67" s="131" t="s">
        <v>3904</v>
      </c>
      <c r="AJO67" s="131" t="s">
        <v>3904</v>
      </c>
      <c r="AJP67" s="129" t="s">
        <v>3843</v>
      </c>
      <c r="AJQ67" s="131" t="s">
        <v>3904</v>
      </c>
      <c r="AJR67" s="131" t="s">
        <v>3904</v>
      </c>
      <c r="AJS67" s="131" t="s">
        <v>3904</v>
      </c>
      <c r="AJT67" s="149" t="s">
        <v>3843</v>
      </c>
      <c r="AJU67" s="131" t="s">
        <v>3904</v>
      </c>
      <c r="AJV67" s="131" t="s">
        <v>3904</v>
      </c>
      <c r="AJW67" s="131" t="s">
        <v>3904</v>
      </c>
      <c r="AJX67" s="131" t="s">
        <v>3904</v>
      </c>
      <c r="AJY67" s="131" t="s">
        <v>3904</v>
      </c>
      <c r="AJZ67" s="131" t="s">
        <v>3904</v>
      </c>
      <c r="AKA67" s="149" t="s">
        <v>3843</v>
      </c>
      <c r="AKB67" s="131" t="s">
        <v>3904</v>
      </c>
      <c r="AKC67" s="131" t="s">
        <v>3904</v>
      </c>
      <c r="AKD67" s="131" t="s">
        <v>3904</v>
      </c>
      <c r="AKE67" s="149" t="s">
        <v>3843</v>
      </c>
      <c r="AKF67" s="131" t="s">
        <v>3904</v>
      </c>
      <c r="AKG67" s="131" t="s">
        <v>3904</v>
      </c>
      <c r="AKH67" s="131" t="s">
        <v>3904</v>
      </c>
      <c r="AKI67" s="131" t="s">
        <v>3904</v>
      </c>
      <c r="AKJ67" s="131" t="s">
        <v>3904</v>
      </c>
      <c r="AKK67" s="131" t="s">
        <v>3904</v>
      </c>
      <c r="AKL67" s="149" t="s">
        <v>3843</v>
      </c>
      <c r="AKM67" s="131" t="s">
        <v>3904</v>
      </c>
      <c r="AKN67" s="131" t="s">
        <v>3904</v>
      </c>
      <c r="AKO67" s="131" t="s">
        <v>3904</v>
      </c>
      <c r="AKP67" s="129" t="s">
        <v>3843</v>
      </c>
      <c r="AKQ67" s="131" t="s">
        <v>3904</v>
      </c>
      <c r="AKR67" s="131" t="s">
        <v>3904</v>
      </c>
      <c r="AKS67" s="131" t="s">
        <v>3904</v>
      </c>
      <c r="AKT67" s="131" t="s">
        <v>3904</v>
      </c>
      <c r="AKU67" s="131" t="s">
        <v>3904</v>
      </c>
      <c r="AKV67" s="131" t="s">
        <v>3904</v>
      </c>
      <c r="AKW67" s="129" t="s">
        <v>3843</v>
      </c>
      <c r="AKX67" s="131" t="s">
        <v>3904</v>
      </c>
      <c r="AKY67" s="131" t="s">
        <v>3904</v>
      </c>
      <c r="AKZ67" s="131" t="s">
        <v>3904</v>
      </c>
      <c r="ALA67" s="149" t="s">
        <v>3843</v>
      </c>
      <c r="ALB67" s="131" t="s">
        <v>3904</v>
      </c>
      <c r="ALC67" s="131" t="s">
        <v>3904</v>
      </c>
      <c r="ALD67" s="131" t="s">
        <v>3904</v>
      </c>
      <c r="ALE67" s="131" t="s">
        <v>3904</v>
      </c>
      <c r="ALF67" s="131" t="s">
        <v>3904</v>
      </c>
      <c r="ALG67" s="131" t="s">
        <v>3904</v>
      </c>
      <c r="ALH67" s="149" t="s">
        <v>3843</v>
      </c>
      <c r="ALI67" s="131" t="s">
        <v>3904</v>
      </c>
      <c r="ALJ67" s="131" t="s">
        <v>3904</v>
      </c>
      <c r="ALK67" s="131" t="s">
        <v>3904</v>
      </c>
      <c r="ALL67" s="149" t="s">
        <v>3843</v>
      </c>
      <c r="ALM67" s="131" t="s">
        <v>3904</v>
      </c>
      <c r="ALN67" s="131" t="s">
        <v>3904</v>
      </c>
      <c r="ALO67" s="131" t="s">
        <v>3904</v>
      </c>
      <c r="ALP67" s="131" t="s">
        <v>3904</v>
      </c>
      <c r="ALQ67" s="131" t="s">
        <v>3904</v>
      </c>
      <c r="ALR67" s="131" t="s">
        <v>3904</v>
      </c>
      <c r="ALS67" s="149" t="s">
        <v>3843</v>
      </c>
      <c r="ALT67" s="131" t="s">
        <v>3904</v>
      </c>
      <c r="ALU67" s="131" t="s">
        <v>3904</v>
      </c>
      <c r="ALV67" s="131" t="s">
        <v>3904</v>
      </c>
      <c r="ALW67" s="129" t="s">
        <v>3843</v>
      </c>
      <c r="ALX67" s="131" t="s">
        <v>3904</v>
      </c>
      <c r="ALY67" s="131" t="s">
        <v>3904</v>
      </c>
      <c r="ALZ67" s="131" t="s">
        <v>3904</v>
      </c>
      <c r="AMA67" s="131" t="s">
        <v>3904</v>
      </c>
      <c r="AMB67" s="131" t="s">
        <v>3904</v>
      </c>
      <c r="AMC67" s="131" t="s">
        <v>3904</v>
      </c>
      <c r="AMD67" s="129" t="s">
        <v>3843</v>
      </c>
      <c r="AME67" s="131" t="s">
        <v>3904</v>
      </c>
      <c r="AMF67" s="131" t="s">
        <v>3904</v>
      </c>
      <c r="AMG67" s="131" t="s">
        <v>3904</v>
      </c>
      <c r="AMH67" s="149" t="s">
        <v>3843</v>
      </c>
      <c r="AMI67" s="131" t="s">
        <v>3904</v>
      </c>
      <c r="AMJ67" s="131" t="s">
        <v>3904</v>
      </c>
      <c r="AMK67" s="131" t="s">
        <v>3904</v>
      </c>
      <c r="AML67" s="131" t="s">
        <v>3904</v>
      </c>
      <c r="AMM67" s="131" t="s">
        <v>3904</v>
      </c>
      <c r="AMN67" s="131" t="s">
        <v>3904</v>
      </c>
      <c r="AMO67" s="149" t="s">
        <v>3843</v>
      </c>
      <c r="AMP67" s="131" t="s">
        <v>3904</v>
      </c>
      <c r="AMQ67" s="131" t="s">
        <v>3904</v>
      </c>
      <c r="AMR67" s="131" t="s">
        <v>3904</v>
      </c>
      <c r="AMS67" s="149" t="s">
        <v>3843</v>
      </c>
      <c r="AMT67" s="131" t="s">
        <v>3904</v>
      </c>
      <c r="AMU67" s="131" t="s">
        <v>3904</v>
      </c>
      <c r="AMV67" s="131" t="s">
        <v>3904</v>
      </c>
      <c r="AMW67" s="131" t="s">
        <v>3904</v>
      </c>
      <c r="AMX67" s="131" t="s">
        <v>3904</v>
      </c>
      <c r="AMY67" s="131" t="s">
        <v>3904</v>
      </c>
      <c r="AMZ67" s="149" t="s">
        <v>3843</v>
      </c>
      <c r="ANA67" s="131" t="s">
        <v>3904</v>
      </c>
      <c r="ANB67" s="131" t="s">
        <v>3904</v>
      </c>
      <c r="ANC67" s="131" t="s">
        <v>3904</v>
      </c>
      <c r="AND67" s="129" t="s">
        <v>3843</v>
      </c>
      <c r="ANE67" s="131" t="s">
        <v>3904</v>
      </c>
      <c r="ANF67" s="131" t="s">
        <v>3904</v>
      </c>
      <c r="ANG67" s="131" t="s">
        <v>3904</v>
      </c>
      <c r="ANH67" s="131" t="s">
        <v>3904</v>
      </c>
      <c r="ANI67" s="131" t="s">
        <v>3904</v>
      </c>
      <c r="ANJ67" s="131" t="s">
        <v>3904</v>
      </c>
      <c r="ANK67" s="129" t="s">
        <v>3843</v>
      </c>
      <c r="ANL67" s="131" t="s">
        <v>3904</v>
      </c>
      <c r="ANM67" s="131" t="s">
        <v>3904</v>
      </c>
      <c r="ANN67" s="131" t="s">
        <v>3904</v>
      </c>
      <c r="ANO67" s="149" t="s">
        <v>3843</v>
      </c>
      <c r="ANP67" s="131" t="s">
        <v>3904</v>
      </c>
      <c r="ANQ67" s="131" t="s">
        <v>3904</v>
      </c>
      <c r="ANR67" s="131" t="s">
        <v>3904</v>
      </c>
      <c r="ANS67" s="131" t="s">
        <v>3904</v>
      </c>
      <c r="ANT67" s="131" t="s">
        <v>3904</v>
      </c>
      <c r="ANU67" s="131" t="s">
        <v>3904</v>
      </c>
      <c r="ANV67" s="149" t="s">
        <v>3843</v>
      </c>
      <c r="ANW67" s="131" t="s">
        <v>3904</v>
      </c>
      <c r="ANX67" s="131" t="s">
        <v>3904</v>
      </c>
      <c r="ANY67" s="131" t="s">
        <v>3904</v>
      </c>
      <c r="ANZ67" s="149" t="s">
        <v>3843</v>
      </c>
      <c r="AOA67" s="131" t="s">
        <v>3904</v>
      </c>
      <c r="AOB67" s="131" t="s">
        <v>3904</v>
      </c>
      <c r="AOC67" s="131" t="s">
        <v>3904</v>
      </c>
      <c r="AOD67" s="131" t="s">
        <v>3904</v>
      </c>
      <c r="AOE67" s="131" t="s">
        <v>3904</v>
      </c>
      <c r="AOF67" s="131" t="s">
        <v>3904</v>
      </c>
      <c r="AOG67" s="149" t="s">
        <v>3843</v>
      </c>
      <c r="AOH67" s="131" t="s">
        <v>3904</v>
      </c>
      <c r="AOI67" s="131" t="s">
        <v>3904</v>
      </c>
      <c r="AOJ67" s="131" t="s">
        <v>3904</v>
      </c>
      <c r="AOK67" s="129" t="s">
        <v>3843</v>
      </c>
      <c r="AOL67" s="131" t="s">
        <v>3904</v>
      </c>
      <c r="AOM67" s="131" t="s">
        <v>3904</v>
      </c>
      <c r="AON67" s="131" t="s">
        <v>3904</v>
      </c>
      <c r="AOO67" s="131" t="s">
        <v>3904</v>
      </c>
      <c r="AOP67" s="131" t="s">
        <v>3904</v>
      </c>
      <c r="AOQ67" s="131" t="s">
        <v>3904</v>
      </c>
      <c r="AOR67" s="129" t="s">
        <v>3843</v>
      </c>
      <c r="AOS67" s="131" t="s">
        <v>3904</v>
      </c>
      <c r="AOT67" s="131" t="s">
        <v>3904</v>
      </c>
      <c r="AOU67" s="131" t="s">
        <v>3904</v>
      </c>
      <c r="AOV67" s="129" t="s">
        <v>3843</v>
      </c>
      <c r="AOW67" s="131" t="s">
        <v>3904</v>
      </c>
      <c r="AOX67" s="131" t="s">
        <v>3904</v>
      </c>
      <c r="AOY67" s="131" t="s">
        <v>3904</v>
      </c>
      <c r="AOZ67" s="131" t="s">
        <v>3904</v>
      </c>
      <c r="APA67" s="131" t="s">
        <v>3904</v>
      </c>
      <c r="APB67" s="131" t="s">
        <v>3904</v>
      </c>
      <c r="APC67" s="129" t="s">
        <v>3843</v>
      </c>
      <c r="APD67" s="131" t="s">
        <v>3904</v>
      </c>
      <c r="APE67" s="131" t="s">
        <v>3904</v>
      </c>
      <c r="APF67" s="131" t="s">
        <v>3904</v>
      </c>
      <c r="APG67" s="129" t="s">
        <v>3843</v>
      </c>
      <c r="APH67" s="131" t="s">
        <v>3904</v>
      </c>
      <c r="API67" s="131" t="s">
        <v>3904</v>
      </c>
      <c r="APJ67" s="131" t="s">
        <v>3904</v>
      </c>
      <c r="APK67" s="131" t="s">
        <v>3904</v>
      </c>
      <c r="APL67" s="131" t="s">
        <v>3904</v>
      </c>
      <c r="APM67" s="131" t="s">
        <v>3904</v>
      </c>
      <c r="APN67" s="129" t="s">
        <v>3843</v>
      </c>
      <c r="ASX67" s="129" t="s">
        <v>3903</v>
      </c>
      <c r="ASY67" s="129" t="s">
        <v>3905</v>
      </c>
      <c r="ASZ67" s="129" t="s">
        <v>3905</v>
      </c>
      <c r="ATA67" s="129" t="s">
        <v>3905</v>
      </c>
      <c r="ATB67" s="129" t="s">
        <v>3903</v>
      </c>
      <c r="ATC67" s="129" t="s">
        <v>3903</v>
      </c>
      <c r="ATD67" s="129" t="s">
        <v>3903</v>
      </c>
      <c r="ATE67" s="129" t="s">
        <v>3905</v>
      </c>
      <c r="ATF67" s="129" t="s">
        <v>3905</v>
      </c>
      <c r="ATG67" s="129" t="s">
        <v>3843</v>
      </c>
      <c r="ATH67" s="131" t="s">
        <v>3904</v>
      </c>
      <c r="ATI67" s="131" t="s">
        <v>3904</v>
      </c>
      <c r="ATJ67" s="131" t="s">
        <v>3904</v>
      </c>
      <c r="ATK67" s="129" t="s">
        <v>3843</v>
      </c>
      <c r="ATL67" s="131" t="s">
        <v>3904</v>
      </c>
      <c r="ATM67" s="131" t="s">
        <v>3904</v>
      </c>
      <c r="ATN67" s="131" t="s">
        <v>3904</v>
      </c>
      <c r="ATO67" s="131" t="s">
        <v>3904</v>
      </c>
      <c r="ATP67" s="131" t="s">
        <v>3904</v>
      </c>
      <c r="ATQ67" s="131" t="s">
        <v>3904</v>
      </c>
      <c r="ATR67" s="129" t="s">
        <v>3843</v>
      </c>
      <c r="ATS67" s="131" t="s">
        <v>3904</v>
      </c>
      <c r="ATT67" s="131" t="s">
        <v>3904</v>
      </c>
      <c r="ATU67" s="131" t="s">
        <v>3904</v>
      </c>
      <c r="ATV67" s="129" t="s">
        <v>3843</v>
      </c>
      <c r="ATW67" s="131" t="s">
        <v>3904</v>
      </c>
      <c r="ATX67" s="131" t="s">
        <v>3904</v>
      </c>
      <c r="ATY67" s="131" t="s">
        <v>3904</v>
      </c>
      <c r="ATZ67" s="131" t="s">
        <v>3904</v>
      </c>
      <c r="AUA67" s="131" t="s">
        <v>3904</v>
      </c>
      <c r="AUB67" s="131" t="s">
        <v>3904</v>
      </c>
      <c r="AUC67" s="129" t="s">
        <v>3843</v>
      </c>
      <c r="AUD67" s="131" t="s">
        <v>3904</v>
      </c>
      <c r="AUE67" s="131" t="s">
        <v>3904</v>
      </c>
      <c r="AUF67" s="131" t="s">
        <v>3904</v>
      </c>
      <c r="AUG67" s="129" t="s">
        <v>3843</v>
      </c>
      <c r="AUH67" s="131" t="s">
        <v>3904</v>
      </c>
      <c r="AUI67" s="131" t="s">
        <v>3904</v>
      </c>
      <c r="AUJ67" s="131" t="s">
        <v>3904</v>
      </c>
      <c r="AUK67" s="131" t="s">
        <v>3904</v>
      </c>
      <c r="AUL67" s="131" t="s">
        <v>3904</v>
      </c>
      <c r="AUM67" s="131" t="s">
        <v>3904</v>
      </c>
      <c r="AUN67" s="129" t="s">
        <v>3843</v>
      </c>
      <c r="AUT67" s="129" t="s">
        <v>3903</v>
      </c>
      <c r="AUU67" s="129" t="s">
        <v>3903</v>
      </c>
      <c r="AUX67" s="129" t="s">
        <v>3843</v>
      </c>
      <c r="AVB67" s="129" t="s">
        <v>3903</v>
      </c>
      <c r="AVC67" s="129" t="s">
        <v>3903</v>
      </c>
      <c r="AVF67" s="129" t="s">
        <v>3843</v>
      </c>
      <c r="AVY67" s="128" t="s">
        <v>3902</v>
      </c>
      <c r="AVZ67" s="128" t="s">
        <v>3902</v>
      </c>
      <c r="AWA67" s="128" t="s">
        <v>3902</v>
      </c>
      <c r="AWB67" s="128" t="s">
        <v>3902</v>
      </c>
      <c r="AWC67" s="128" t="s">
        <v>3902</v>
      </c>
      <c r="AWD67" s="128" t="s">
        <v>3843</v>
      </c>
    </row>
    <row r="68" spans="1:1296" ht="15.75" outlineLevel="1">
      <c r="A68" s="137" t="s">
        <v>236</v>
      </c>
      <c r="B68" s="139" t="s">
        <v>340</v>
      </c>
      <c r="C68" s="139" t="s">
        <v>3901</v>
      </c>
      <c r="D68" s="139" t="s">
        <v>3900</v>
      </c>
      <c r="E68" s="137">
        <v>91</v>
      </c>
      <c r="F68" s="136" t="s">
        <v>148</v>
      </c>
      <c r="G68" s="136" t="s">
        <v>173</v>
      </c>
      <c r="H68" s="136" t="s">
        <v>366</v>
      </c>
      <c r="I68" s="136" t="s">
        <v>366</v>
      </c>
      <c r="J68" s="136" t="s">
        <v>366</v>
      </c>
      <c r="K68" s="136" t="s">
        <v>13</v>
      </c>
      <c r="L68" s="136" t="s">
        <v>366</v>
      </c>
      <c r="N68" s="136" t="s">
        <v>13</v>
      </c>
      <c r="AP68" s="129"/>
      <c r="AQ68" s="129"/>
      <c r="AR68" s="129"/>
      <c r="AS68" s="129"/>
      <c r="AT68" s="129"/>
      <c r="AU68" s="129"/>
      <c r="AV68" s="129"/>
      <c r="AW68" s="129"/>
      <c r="PC68" s="129">
        <v>66</v>
      </c>
      <c r="PD68" s="129">
        <v>61</v>
      </c>
      <c r="PE68" s="129">
        <v>56</v>
      </c>
      <c r="PF68" s="129" t="s">
        <v>3843</v>
      </c>
      <c r="PN68" s="129">
        <v>64</v>
      </c>
      <c r="PO68" s="129">
        <v>59</v>
      </c>
      <c r="PP68" s="129">
        <v>53</v>
      </c>
      <c r="PQ68" s="129" t="s">
        <v>3843</v>
      </c>
      <c r="QI68" s="129">
        <v>53</v>
      </c>
      <c r="QJ68" s="129">
        <v>45</v>
      </c>
      <c r="QK68" s="156" t="s">
        <v>3843</v>
      </c>
      <c r="QO68" s="129">
        <v>59</v>
      </c>
      <c r="QR68" s="129" t="s">
        <v>3843</v>
      </c>
      <c r="QT68" s="129">
        <v>57</v>
      </c>
      <c r="QV68" s="129" t="s">
        <v>3843</v>
      </c>
      <c r="TT68" s="129">
        <v>60</v>
      </c>
      <c r="TU68" s="129">
        <v>55</v>
      </c>
      <c r="TV68" s="129">
        <v>45</v>
      </c>
      <c r="TW68" s="156" t="s">
        <v>3843</v>
      </c>
      <c r="UP68" s="129">
        <v>67</v>
      </c>
      <c r="US68" s="129" t="s">
        <v>3843</v>
      </c>
      <c r="VE68" s="129">
        <v>79</v>
      </c>
      <c r="VJ68" s="129">
        <v>75</v>
      </c>
      <c r="APP68" s="130" t="s">
        <v>3898</v>
      </c>
      <c r="APQ68" s="130" t="s">
        <v>3898</v>
      </c>
      <c r="APR68" s="130" t="s">
        <v>3898</v>
      </c>
      <c r="APT68" s="130" t="s">
        <v>3899</v>
      </c>
      <c r="APU68" s="130" t="s">
        <v>3899</v>
      </c>
      <c r="APV68" s="130" t="s">
        <v>3898</v>
      </c>
      <c r="APW68" s="130" t="s">
        <v>3898</v>
      </c>
      <c r="APY68" s="130" t="s">
        <v>3897</v>
      </c>
      <c r="APZ68" s="130" t="s">
        <v>3897</v>
      </c>
      <c r="AQA68" s="130" t="s">
        <v>3897</v>
      </c>
      <c r="AQC68" s="130" t="s">
        <v>3897</v>
      </c>
      <c r="AQD68" s="130" t="s">
        <v>3897</v>
      </c>
      <c r="AQE68" s="130" t="s">
        <v>3897</v>
      </c>
      <c r="AQF68" s="130" t="s">
        <v>3897</v>
      </c>
      <c r="AQG68" s="130" t="s">
        <v>3897</v>
      </c>
      <c r="AQH68" s="130" t="s">
        <v>3897</v>
      </c>
      <c r="AQJ68" s="130" t="s">
        <v>3896</v>
      </c>
      <c r="AQK68" s="130" t="s">
        <v>3896</v>
      </c>
      <c r="AQL68" s="130" t="s">
        <v>3896</v>
      </c>
      <c r="AQN68" s="130" t="s">
        <v>3896</v>
      </c>
      <c r="AQO68" s="130" t="s">
        <v>3896</v>
      </c>
      <c r="AQP68" s="130" t="s">
        <v>3896</v>
      </c>
      <c r="AQQ68" s="130" t="s">
        <v>3896</v>
      </c>
      <c r="AQR68" s="130" t="s">
        <v>3896</v>
      </c>
      <c r="AQS68" s="130" t="s">
        <v>3896</v>
      </c>
      <c r="AQU68" s="130" t="s">
        <v>3895</v>
      </c>
      <c r="AQV68" s="130" t="s">
        <v>3895</v>
      </c>
      <c r="AQW68" s="130" t="s">
        <v>3895</v>
      </c>
      <c r="AQY68" s="130" t="s">
        <v>3895</v>
      </c>
      <c r="AQZ68" s="130" t="s">
        <v>3895</v>
      </c>
      <c r="ARA68" s="130" t="s">
        <v>3895</v>
      </c>
      <c r="ARB68" s="130" t="s">
        <v>3895</v>
      </c>
      <c r="ARC68" s="130" t="s">
        <v>3895</v>
      </c>
      <c r="ARD68" s="130" t="s">
        <v>3895</v>
      </c>
      <c r="ARF68" s="130" t="s">
        <v>3894</v>
      </c>
      <c r="ARG68" s="130" t="s">
        <v>3894</v>
      </c>
      <c r="ARH68" s="130" t="s">
        <v>3894</v>
      </c>
      <c r="ARJ68" s="130" t="s">
        <v>3894</v>
      </c>
      <c r="ARK68" s="130" t="s">
        <v>3894</v>
      </c>
      <c r="ARL68" s="130" t="s">
        <v>3894</v>
      </c>
      <c r="ARM68" s="130" t="s">
        <v>3894</v>
      </c>
      <c r="ARN68" s="130" t="s">
        <v>3894</v>
      </c>
      <c r="ARO68" s="130" t="s">
        <v>3894</v>
      </c>
      <c r="ARQ68" s="130" t="s">
        <v>3893</v>
      </c>
      <c r="ARR68" s="130" t="s">
        <v>3893</v>
      </c>
      <c r="ARS68" s="130" t="s">
        <v>3893</v>
      </c>
      <c r="ARU68" s="130" t="s">
        <v>3893</v>
      </c>
      <c r="ARV68" s="130" t="s">
        <v>3893</v>
      </c>
      <c r="ARW68" s="130" t="s">
        <v>3893</v>
      </c>
      <c r="ARX68" s="130" t="s">
        <v>3893</v>
      </c>
      <c r="ARY68" s="130" t="s">
        <v>3893</v>
      </c>
      <c r="ARZ68" s="130" t="s">
        <v>3893</v>
      </c>
      <c r="ASB68" s="130" t="s">
        <v>3892</v>
      </c>
      <c r="ASC68" s="130" t="s">
        <v>3892</v>
      </c>
      <c r="ASD68" s="130" t="s">
        <v>3892</v>
      </c>
      <c r="ASF68" s="130" t="s">
        <v>3892</v>
      </c>
      <c r="ASG68" s="130" t="s">
        <v>3892</v>
      </c>
      <c r="ASH68" s="130" t="s">
        <v>3892</v>
      </c>
      <c r="ASI68" s="130" t="s">
        <v>3892</v>
      </c>
      <c r="ASJ68" s="130" t="s">
        <v>3892</v>
      </c>
      <c r="ASK68" s="130" t="s">
        <v>3892</v>
      </c>
      <c r="ASM68" s="130" t="s">
        <v>3891</v>
      </c>
      <c r="ASN68" s="130" t="s">
        <v>3891</v>
      </c>
      <c r="ASO68" s="130" t="s">
        <v>3891</v>
      </c>
      <c r="ASQ68" s="130" t="s">
        <v>3891</v>
      </c>
      <c r="ASR68" s="130" t="s">
        <v>3891</v>
      </c>
      <c r="ASS68" s="130" t="s">
        <v>3891</v>
      </c>
      <c r="AST68" s="130" t="s">
        <v>3891</v>
      </c>
      <c r="ASU68" s="130" t="s">
        <v>3891</v>
      </c>
      <c r="ASV68" s="130" t="s">
        <v>3891</v>
      </c>
      <c r="AVY68" s="128">
        <v>62</v>
      </c>
      <c r="AVZ68" s="129">
        <v>70</v>
      </c>
      <c r="AWA68" s="129">
        <v>58</v>
      </c>
      <c r="AWB68" s="129">
        <v>56</v>
      </c>
      <c r="AWC68" s="129">
        <v>53</v>
      </c>
      <c r="AWD68" s="128" t="s">
        <v>3843</v>
      </c>
    </row>
    <row r="69" spans="1:1296" ht="28.5" outlineLevel="1">
      <c r="A69" s="137" t="s">
        <v>236</v>
      </c>
      <c r="B69" s="139" t="s">
        <v>341</v>
      </c>
      <c r="C69" s="139" t="s">
        <v>3890</v>
      </c>
      <c r="D69" s="139" t="s">
        <v>3889</v>
      </c>
      <c r="E69" s="137">
        <v>92</v>
      </c>
      <c r="F69" s="136" t="s">
        <v>148</v>
      </c>
      <c r="G69" s="136" t="s">
        <v>173</v>
      </c>
      <c r="H69" s="136" t="s">
        <v>366</v>
      </c>
      <c r="I69" s="136" t="s">
        <v>366</v>
      </c>
      <c r="J69" s="136" t="s">
        <v>366</v>
      </c>
      <c r="K69" s="136" t="s">
        <v>13</v>
      </c>
      <c r="L69" s="136" t="s">
        <v>366</v>
      </c>
      <c r="N69" s="136" t="s">
        <v>13</v>
      </c>
      <c r="AP69" s="129"/>
      <c r="AQ69" s="129"/>
      <c r="AR69" s="129"/>
      <c r="AS69" s="129"/>
      <c r="AT69" s="129"/>
      <c r="AU69" s="129"/>
      <c r="AV69" s="129"/>
      <c r="AW69" s="129"/>
      <c r="PC69" s="129">
        <v>0</v>
      </c>
      <c r="PD69" s="129">
        <v>1</v>
      </c>
      <c r="PE69" s="129">
        <v>1</v>
      </c>
      <c r="PF69" s="129" t="s">
        <v>3843</v>
      </c>
      <c r="PN69" s="129">
        <v>-1</v>
      </c>
      <c r="PO69" s="129">
        <v>0</v>
      </c>
      <c r="PP69" s="129">
        <v>1</v>
      </c>
      <c r="PQ69" s="129" t="s">
        <v>3843</v>
      </c>
      <c r="QI69" s="129">
        <v>0</v>
      </c>
      <c r="QJ69" s="129">
        <v>2</v>
      </c>
      <c r="QK69" s="156" t="s">
        <v>3843</v>
      </c>
      <c r="QO69" s="129">
        <v>1</v>
      </c>
      <c r="QR69" s="129" t="s">
        <v>3843</v>
      </c>
      <c r="QT69" s="129">
        <v>0</v>
      </c>
      <c r="QV69" s="129" t="s">
        <v>3843</v>
      </c>
      <c r="TT69" s="129">
        <v>1</v>
      </c>
      <c r="TU69" s="129">
        <v>1</v>
      </c>
      <c r="TV69" s="129">
        <v>2</v>
      </c>
      <c r="TW69" s="156" t="s">
        <v>3843</v>
      </c>
      <c r="UP69" s="129">
        <v>0</v>
      </c>
      <c r="US69" s="129" t="s">
        <v>3843</v>
      </c>
      <c r="VE69" s="129">
        <v>-1</v>
      </c>
      <c r="VJ69" s="129">
        <v>-1</v>
      </c>
      <c r="AVZ69" s="129">
        <v>1</v>
      </c>
      <c r="AWA69" s="129">
        <v>0</v>
      </c>
      <c r="AWB69" s="129">
        <v>-1</v>
      </c>
      <c r="AWC69" s="129">
        <v>-1</v>
      </c>
      <c r="AWD69" s="128" t="s">
        <v>3843</v>
      </c>
    </row>
    <row r="70" spans="1:1296" ht="15.75" outlineLevel="1">
      <c r="A70" s="137" t="s">
        <v>236</v>
      </c>
      <c r="B70" s="139" t="s">
        <v>342</v>
      </c>
      <c r="C70" s="139" t="s">
        <v>3888</v>
      </c>
      <c r="D70" s="139" t="s">
        <v>3887</v>
      </c>
      <c r="E70" s="137">
        <v>93</v>
      </c>
      <c r="F70" s="136" t="s">
        <v>148</v>
      </c>
      <c r="G70" s="136" t="s">
        <v>173</v>
      </c>
      <c r="H70" s="136" t="s">
        <v>366</v>
      </c>
      <c r="I70" s="136" t="s">
        <v>366</v>
      </c>
      <c r="J70" s="136" t="s">
        <v>366</v>
      </c>
      <c r="K70" s="136" t="s">
        <v>13</v>
      </c>
      <c r="L70" s="136" t="s">
        <v>366</v>
      </c>
      <c r="N70" s="136" t="s">
        <v>13</v>
      </c>
      <c r="AP70" s="129"/>
      <c r="AQ70" s="129"/>
      <c r="AR70" s="129"/>
      <c r="AS70" s="129"/>
      <c r="AT70" s="129"/>
      <c r="AU70" s="129"/>
      <c r="AV70" s="129"/>
      <c r="AW70" s="129"/>
      <c r="PC70" s="129">
        <v>25</v>
      </c>
      <c r="PD70" s="129">
        <v>14</v>
      </c>
      <c r="PE70" s="129">
        <v>26</v>
      </c>
      <c r="PF70" s="129" t="s">
        <v>3843</v>
      </c>
      <c r="PN70" s="129">
        <v>27</v>
      </c>
      <c r="PO70" s="129">
        <v>16</v>
      </c>
      <c r="PP70" s="129">
        <v>29</v>
      </c>
      <c r="PQ70" s="129" t="s">
        <v>3843</v>
      </c>
      <c r="QK70" s="156"/>
      <c r="QO70" s="129">
        <v>23</v>
      </c>
      <c r="QR70" s="129" t="s">
        <v>3843</v>
      </c>
      <c r="QT70" s="129">
        <v>25</v>
      </c>
      <c r="QV70" s="129" t="s">
        <v>3843</v>
      </c>
      <c r="TW70" s="156"/>
      <c r="UP70" s="129">
        <v>24</v>
      </c>
      <c r="US70" s="129" t="s">
        <v>3843</v>
      </c>
      <c r="VE70" s="129">
        <v>12</v>
      </c>
      <c r="VJ70" s="129">
        <v>16</v>
      </c>
      <c r="AVM70" s="128">
        <v>5</v>
      </c>
      <c r="AVN70" s="128">
        <v>16</v>
      </c>
      <c r="AVO70" s="128" t="s">
        <v>3843</v>
      </c>
      <c r="AVS70" s="128">
        <v>5</v>
      </c>
      <c r="AVT70" s="128">
        <v>16</v>
      </c>
      <c r="AVU70" s="128" t="s">
        <v>3843</v>
      </c>
      <c r="AVX70" s="128">
        <v>11</v>
      </c>
      <c r="AVY70" s="128">
        <v>21</v>
      </c>
      <c r="AVZ70" s="129">
        <v>9</v>
      </c>
      <c r="AWA70" s="129">
        <v>9</v>
      </c>
      <c r="AWB70" s="129">
        <v>10</v>
      </c>
      <c r="AWC70" s="129">
        <v>11</v>
      </c>
      <c r="AWD70" s="128" t="s">
        <v>3843</v>
      </c>
      <c r="AWH70" s="128">
        <v>11</v>
      </c>
      <c r="AWI70" s="128">
        <v>21</v>
      </c>
      <c r="AWJ70" s="128" t="s">
        <v>3843</v>
      </c>
      <c r="AWN70" s="128">
        <v>7</v>
      </c>
      <c r="AWO70" s="128">
        <v>17</v>
      </c>
      <c r="AWP70" s="128" t="s">
        <v>3843</v>
      </c>
      <c r="AWT70" s="128">
        <v>6</v>
      </c>
      <c r="AWU70" s="128">
        <v>16</v>
      </c>
      <c r="AWV70" s="128" t="s">
        <v>3843</v>
      </c>
    </row>
    <row r="71" spans="1:1296" ht="25.5" outlineLevel="1">
      <c r="A71" s="137" t="s">
        <v>236</v>
      </c>
      <c r="B71" s="140" t="s">
        <v>343</v>
      </c>
      <c r="C71" s="139" t="s">
        <v>3886</v>
      </c>
      <c r="D71" s="139" t="s">
        <v>3885</v>
      </c>
      <c r="E71" s="137">
        <v>156</v>
      </c>
      <c r="F71" s="136" t="s">
        <v>148</v>
      </c>
      <c r="G71" s="136" t="s">
        <v>75</v>
      </c>
      <c r="H71" s="136" t="s">
        <v>13</v>
      </c>
      <c r="I71" s="136" t="s">
        <v>366</v>
      </c>
      <c r="J71" s="136" t="s">
        <v>366</v>
      </c>
      <c r="K71" s="136" t="s">
        <v>13</v>
      </c>
      <c r="L71" s="136" t="s">
        <v>13</v>
      </c>
      <c r="M71" s="136" t="s">
        <v>13</v>
      </c>
      <c r="N71" s="136" t="s">
        <v>13</v>
      </c>
      <c r="P71" s="129">
        <v>35</v>
      </c>
      <c r="Q71" s="129">
        <v>35</v>
      </c>
      <c r="R71" s="129">
        <v>45</v>
      </c>
      <c r="S71" s="129">
        <v>45</v>
      </c>
      <c r="T71" s="129">
        <v>54</v>
      </c>
      <c r="U71" s="128">
        <v>54</v>
      </c>
      <c r="V71" s="128">
        <v>58</v>
      </c>
      <c r="W71" s="128">
        <v>43</v>
      </c>
      <c r="X71" s="128">
        <v>43</v>
      </c>
      <c r="Y71" s="128">
        <v>54</v>
      </c>
      <c r="Z71" s="128">
        <v>54</v>
      </c>
      <c r="AA71" s="142">
        <v>54</v>
      </c>
      <c r="AB71" s="128">
        <v>54</v>
      </c>
      <c r="AC71" s="128">
        <v>58</v>
      </c>
      <c r="AD71" s="128">
        <v>58</v>
      </c>
      <c r="AE71" s="128">
        <v>58</v>
      </c>
      <c r="AF71" s="128">
        <v>45</v>
      </c>
      <c r="AG71" s="128">
        <v>45</v>
      </c>
      <c r="AH71" s="128">
        <v>43</v>
      </c>
      <c r="AI71" s="128">
        <v>62</v>
      </c>
      <c r="AJ71" s="128">
        <v>58</v>
      </c>
      <c r="AK71" s="128">
        <v>54</v>
      </c>
      <c r="AL71" s="128">
        <v>58</v>
      </c>
      <c r="AM71" s="128">
        <v>58</v>
      </c>
      <c r="AN71" s="128">
        <v>45</v>
      </c>
      <c r="AO71" s="128">
        <v>54</v>
      </c>
      <c r="AP71" s="128">
        <v>54</v>
      </c>
      <c r="AQ71" s="128">
        <v>54</v>
      </c>
      <c r="AR71" s="128">
        <v>45</v>
      </c>
      <c r="AS71" s="128">
        <v>45</v>
      </c>
      <c r="AT71" s="128">
        <v>45</v>
      </c>
      <c r="AU71" s="128">
        <v>45</v>
      </c>
      <c r="AV71" s="128">
        <v>45</v>
      </c>
      <c r="AW71" s="128">
        <v>45</v>
      </c>
      <c r="FP71" s="128">
        <v>62</v>
      </c>
      <c r="GR71" s="129">
        <v>45</v>
      </c>
      <c r="GS71" s="129">
        <v>45</v>
      </c>
      <c r="GT71" s="129">
        <v>45</v>
      </c>
      <c r="GU71" s="129">
        <v>45</v>
      </c>
      <c r="GV71" s="129">
        <v>45</v>
      </c>
      <c r="GW71" s="129">
        <v>45</v>
      </c>
      <c r="GX71" s="129">
        <v>45</v>
      </c>
      <c r="GY71" s="129">
        <v>45</v>
      </c>
      <c r="GZ71" s="129">
        <v>45</v>
      </c>
      <c r="HA71" s="129">
        <v>45</v>
      </c>
      <c r="HB71" s="129">
        <v>45</v>
      </c>
      <c r="HC71" s="129">
        <v>45</v>
      </c>
      <c r="HD71" s="129">
        <v>45</v>
      </c>
      <c r="HE71" s="129">
        <v>45</v>
      </c>
      <c r="HF71" s="129">
        <v>45</v>
      </c>
      <c r="HH71" s="129">
        <v>45</v>
      </c>
      <c r="HI71" s="129">
        <v>45</v>
      </c>
      <c r="HJ71" s="129">
        <v>45</v>
      </c>
      <c r="HK71" s="129">
        <v>45</v>
      </c>
      <c r="HL71" s="129">
        <v>45</v>
      </c>
      <c r="HM71" s="129">
        <v>45</v>
      </c>
      <c r="HN71" s="129">
        <v>45</v>
      </c>
      <c r="HO71" s="129">
        <v>45</v>
      </c>
      <c r="HP71" s="129">
        <v>45</v>
      </c>
      <c r="IT71" s="128"/>
      <c r="OQ71" s="129">
        <v>54</v>
      </c>
      <c r="OU71" s="129">
        <v>54</v>
      </c>
      <c r="OY71" s="129">
        <v>54</v>
      </c>
      <c r="PI71" s="129">
        <v>58</v>
      </c>
      <c r="PL71" s="129">
        <v>58</v>
      </c>
      <c r="PM71" s="129">
        <v>58</v>
      </c>
      <c r="PQ71" s="129">
        <v>58</v>
      </c>
      <c r="PR71" s="129">
        <v>58</v>
      </c>
      <c r="PS71" s="129">
        <v>54</v>
      </c>
      <c r="PT71" s="129">
        <v>54</v>
      </c>
      <c r="PU71" s="129">
        <v>54</v>
      </c>
      <c r="PV71" s="129">
        <v>58</v>
      </c>
      <c r="PW71" s="129">
        <v>58</v>
      </c>
      <c r="PX71" s="129">
        <v>58</v>
      </c>
      <c r="PY71" s="129">
        <v>58</v>
      </c>
      <c r="PZ71" s="129">
        <v>58</v>
      </c>
      <c r="QA71" s="129">
        <v>58</v>
      </c>
      <c r="QB71" s="129">
        <v>58</v>
      </c>
      <c r="QC71" s="129">
        <v>58</v>
      </c>
      <c r="QH71" s="129">
        <v>58</v>
      </c>
      <c r="QK71" s="129">
        <v>58</v>
      </c>
      <c r="QL71" s="129">
        <v>58</v>
      </c>
      <c r="QM71" s="129">
        <v>58</v>
      </c>
      <c r="QV71" s="129">
        <v>58</v>
      </c>
      <c r="QZ71" s="129">
        <v>58</v>
      </c>
      <c r="RA71" s="129">
        <v>54</v>
      </c>
      <c r="RC71" s="129">
        <v>58</v>
      </c>
      <c r="RD71" s="129">
        <v>54</v>
      </c>
      <c r="RF71" s="129">
        <v>58</v>
      </c>
      <c r="RG71" s="129">
        <v>54</v>
      </c>
      <c r="RH71" s="129">
        <v>54</v>
      </c>
      <c r="RI71" s="129">
        <v>58</v>
      </c>
      <c r="RL71" s="129">
        <v>58</v>
      </c>
      <c r="RM71" s="129">
        <v>54</v>
      </c>
      <c r="RN71" s="129">
        <v>54</v>
      </c>
      <c r="RO71" s="129">
        <v>54</v>
      </c>
      <c r="RP71" s="129">
        <v>54</v>
      </c>
    </row>
    <row r="72" spans="1:1296" ht="25.5" outlineLevel="1">
      <c r="A72" s="137" t="s">
        <v>236</v>
      </c>
      <c r="B72" s="140" t="s">
        <v>344</v>
      </c>
      <c r="C72" s="139" t="s">
        <v>3884</v>
      </c>
      <c r="D72" s="139" t="s">
        <v>3883</v>
      </c>
      <c r="E72" s="137">
        <v>157</v>
      </c>
      <c r="F72" s="136" t="s">
        <v>148</v>
      </c>
      <c r="G72" s="136" t="s">
        <v>75</v>
      </c>
      <c r="H72" s="136" t="s">
        <v>366</v>
      </c>
      <c r="I72" s="136" t="s">
        <v>366</v>
      </c>
      <c r="J72" s="136" t="s">
        <v>366</v>
      </c>
      <c r="K72" s="136" t="s">
        <v>13</v>
      </c>
      <c r="L72" s="136" t="s">
        <v>13</v>
      </c>
      <c r="M72" s="136" t="s">
        <v>13</v>
      </c>
      <c r="N72" s="136" t="s">
        <v>13</v>
      </c>
      <c r="IT72" s="128"/>
      <c r="OQ72" s="129">
        <v>58</v>
      </c>
      <c r="OT72" s="129">
        <v>54</v>
      </c>
      <c r="OU72" s="129">
        <v>58</v>
      </c>
      <c r="OX72" s="129">
        <v>54</v>
      </c>
      <c r="OY72" s="129">
        <v>58</v>
      </c>
      <c r="PB72" s="129">
        <v>54</v>
      </c>
      <c r="PF72" s="129">
        <v>54</v>
      </c>
      <c r="PI72" s="129">
        <v>50</v>
      </c>
      <c r="PL72" s="129">
        <v>50</v>
      </c>
      <c r="PM72" s="129">
        <v>50</v>
      </c>
      <c r="PQ72" s="129">
        <v>50</v>
      </c>
      <c r="PR72" s="129">
        <v>50</v>
      </c>
      <c r="PS72" s="129">
        <v>58</v>
      </c>
      <c r="PT72" s="129">
        <v>58</v>
      </c>
      <c r="PU72" s="129">
        <v>58</v>
      </c>
      <c r="PV72" s="129">
        <v>50</v>
      </c>
      <c r="PW72" s="129">
        <v>50</v>
      </c>
      <c r="PX72" s="129">
        <v>50</v>
      </c>
      <c r="PY72" s="129">
        <v>50</v>
      </c>
      <c r="PZ72" s="129">
        <v>50</v>
      </c>
      <c r="QA72" s="129">
        <v>50</v>
      </c>
      <c r="QB72" s="129">
        <v>50</v>
      </c>
      <c r="QC72" s="129">
        <v>50</v>
      </c>
      <c r="QD72" s="129">
        <v>54</v>
      </c>
      <c r="QE72" s="129">
        <v>54</v>
      </c>
      <c r="QF72" s="129">
        <v>54</v>
      </c>
      <c r="QG72" s="129">
        <v>54</v>
      </c>
      <c r="QH72" s="129">
        <v>50</v>
      </c>
      <c r="QI72" s="129">
        <v>50</v>
      </c>
      <c r="QJ72" s="129">
        <v>50</v>
      </c>
      <c r="QK72" s="129">
        <v>50</v>
      </c>
      <c r="QL72" s="129">
        <v>50</v>
      </c>
      <c r="QM72" s="129">
        <v>50</v>
      </c>
      <c r="QR72" s="129">
        <v>54</v>
      </c>
      <c r="QV72" s="129">
        <v>50</v>
      </c>
      <c r="QY72" s="129">
        <v>54</v>
      </c>
      <c r="QZ72" s="129">
        <v>50</v>
      </c>
      <c r="RA72" s="129">
        <v>58</v>
      </c>
      <c r="RB72" s="129">
        <v>54</v>
      </c>
      <c r="RC72" s="129">
        <v>50</v>
      </c>
      <c r="RD72" s="129">
        <v>58</v>
      </c>
      <c r="RE72" s="129">
        <v>54</v>
      </c>
      <c r="RF72" s="129">
        <v>50</v>
      </c>
      <c r="RG72" s="129">
        <v>58</v>
      </c>
      <c r="RH72" s="129">
        <v>58</v>
      </c>
      <c r="RI72" s="129">
        <v>50</v>
      </c>
      <c r="RK72" s="129">
        <v>54</v>
      </c>
      <c r="RL72" s="129">
        <v>50</v>
      </c>
      <c r="RM72" s="129">
        <v>58</v>
      </c>
      <c r="RN72" s="129">
        <v>58</v>
      </c>
      <c r="RO72" s="129">
        <v>58</v>
      </c>
      <c r="RP72" s="129">
        <v>58</v>
      </c>
    </row>
    <row r="73" spans="1:1296" ht="25.5" outlineLevel="1">
      <c r="A73" s="158" t="s">
        <v>236</v>
      </c>
      <c r="B73" s="161" t="s">
        <v>344</v>
      </c>
      <c r="C73" s="139" t="s">
        <v>3884</v>
      </c>
      <c r="D73" s="139" t="s">
        <v>3883</v>
      </c>
      <c r="E73" s="158">
        <v>249</v>
      </c>
      <c r="G73" s="136" t="s">
        <v>75</v>
      </c>
      <c r="H73" s="136" t="s">
        <v>366</v>
      </c>
      <c r="I73" s="136" t="s">
        <v>366</v>
      </c>
      <c r="J73" s="136" t="s">
        <v>366</v>
      </c>
      <c r="K73" s="136" t="s">
        <v>13</v>
      </c>
      <c r="L73" s="136" t="s">
        <v>13</v>
      </c>
      <c r="M73" s="136" t="s">
        <v>13</v>
      </c>
      <c r="N73" s="136" t="s">
        <v>13</v>
      </c>
      <c r="IT73" s="128"/>
    </row>
    <row r="74" spans="1:1296" s="129" customFormat="1" ht="25.5" outlineLevel="1">
      <c r="A74" s="137" t="s">
        <v>236</v>
      </c>
      <c r="B74" s="139" t="s">
        <v>147</v>
      </c>
      <c r="C74" s="139" t="s">
        <v>3882</v>
      </c>
      <c r="D74" s="139" t="s">
        <v>3881</v>
      </c>
      <c r="E74" s="137">
        <v>96</v>
      </c>
      <c r="F74" s="138" t="s">
        <v>148</v>
      </c>
      <c r="G74" s="136" t="s">
        <v>173</v>
      </c>
      <c r="H74" s="136" t="s">
        <v>366</v>
      </c>
      <c r="I74" s="136" t="s">
        <v>366</v>
      </c>
      <c r="J74" s="136" t="s">
        <v>366</v>
      </c>
      <c r="K74" s="136" t="s">
        <v>366</v>
      </c>
      <c r="L74" s="136" t="s">
        <v>13</v>
      </c>
      <c r="M74" s="136" t="s">
        <v>13</v>
      </c>
      <c r="N74" s="136" t="s">
        <v>366</v>
      </c>
      <c r="O74" s="138"/>
      <c r="LK74" s="135"/>
      <c r="LL74" s="135"/>
      <c r="LM74" s="135"/>
      <c r="LN74" s="135"/>
      <c r="LO74" s="135"/>
      <c r="LU74" s="135"/>
      <c r="LV74" s="135"/>
      <c r="LW74" s="135"/>
      <c r="LX74" s="135"/>
      <c r="LY74" s="135"/>
      <c r="LZ74" s="135"/>
      <c r="MA74" s="135"/>
      <c r="MB74" s="135"/>
      <c r="MC74" s="135"/>
      <c r="MD74" s="135"/>
      <c r="ME74" s="135"/>
      <c r="MF74" s="135"/>
      <c r="MG74" s="135"/>
      <c r="MQ74" s="132"/>
      <c r="MR74" s="132"/>
      <c r="MS74" s="132"/>
      <c r="MT74" s="132"/>
      <c r="MU74" s="132"/>
      <c r="MV74" s="132"/>
      <c r="MW74" s="132"/>
      <c r="MX74" s="132"/>
      <c r="MY74" s="132"/>
      <c r="NB74" s="135"/>
      <c r="NC74" s="135"/>
      <c r="ND74" s="135"/>
      <c r="NE74" s="135"/>
      <c r="NF74" s="135"/>
      <c r="NL74" s="132"/>
      <c r="NM74" s="132"/>
      <c r="NN74" s="132"/>
      <c r="NO74" s="132"/>
      <c r="NP74" s="132"/>
      <c r="RQ74" s="134"/>
      <c r="RR74" s="134"/>
      <c r="RS74" s="134"/>
      <c r="RT74" s="134"/>
      <c r="TD74" s="133"/>
      <c r="TE74" s="132"/>
      <c r="TF74" s="132"/>
      <c r="TX74" s="132"/>
      <c r="TY74" s="132"/>
      <c r="TZ74" s="132"/>
      <c r="VL74" s="132"/>
      <c r="VM74" s="132"/>
      <c r="VN74" s="132"/>
      <c r="VO74" s="132"/>
      <c r="VR74" s="131"/>
      <c r="VS74" s="131"/>
      <c r="VT74" s="131"/>
      <c r="VU74" s="131">
        <v>16</v>
      </c>
      <c r="VV74" s="131"/>
      <c r="VW74" s="131"/>
      <c r="VX74" s="131"/>
      <c r="VY74" s="131"/>
      <c r="VZ74" s="131"/>
      <c r="WA74" s="131"/>
      <c r="WB74" s="131">
        <v>33</v>
      </c>
      <c r="WC74" s="131"/>
      <c r="WD74" s="131"/>
      <c r="WE74" s="131"/>
      <c r="WF74" s="131">
        <v>16</v>
      </c>
      <c r="WG74" s="131"/>
      <c r="WH74" s="131"/>
      <c r="WI74" s="131"/>
      <c r="WJ74" s="131"/>
      <c r="WK74" s="131"/>
      <c r="WL74" s="131"/>
      <c r="WM74" s="131">
        <v>33</v>
      </c>
      <c r="WN74" s="131"/>
      <c r="WO74" s="131"/>
      <c r="WP74" s="131"/>
      <c r="WQ74" s="131">
        <v>16</v>
      </c>
      <c r="WR74" s="131"/>
      <c r="WS74" s="131"/>
      <c r="WT74" s="131"/>
      <c r="WU74" s="131"/>
      <c r="WV74" s="131"/>
      <c r="WW74" s="131"/>
      <c r="WX74" s="131">
        <v>33</v>
      </c>
      <c r="WY74" s="131"/>
      <c r="WZ74" s="131"/>
      <c r="XA74" s="131"/>
      <c r="XB74" s="131">
        <v>16</v>
      </c>
      <c r="XC74" s="131"/>
      <c r="XD74" s="131"/>
      <c r="XE74" s="131"/>
      <c r="XF74" s="131"/>
      <c r="XG74" s="131"/>
      <c r="XH74" s="131"/>
      <c r="XI74" s="131">
        <v>33</v>
      </c>
      <c r="XJ74" s="131"/>
      <c r="XK74" s="131"/>
      <c r="XL74" s="131"/>
      <c r="XM74" s="131">
        <v>16</v>
      </c>
      <c r="XN74" s="131"/>
      <c r="XO74" s="131"/>
      <c r="XP74" s="131"/>
      <c r="XQ74" s="131"/>
      <c r="XR74" s="131"/>
      <c r="XS74" s="131"/>
      <c r="XT74" s="131">
        <v>33</v>
      </c>
      <c r="XU74" s="131"/>
      <c r="XV74" s="131"/>
      <c r="XW74" s="131"/>
      <c r="XX74" s="131">
        <v>16</v>
      </c>
      <c r="XY74" s="131"/>
      <c r="XZ74" s="131"/>
      <c r="YA74" s="131"/>
      <c r="YB74" s="131"/>
      <c r="YC74" s="131"/>
      <c r="YD74" s="131"/>
      <c r="YE74" s="131">
        <v>33</v>
      </c>
      <c r="YF74" s="131"/>
      <c r="YG74" s="131"/>
      <c r="YH74" s="131"/>
      <c r="YI74" s="131">
        <v>16</v>
      </c>
      <c r="YJ74" s="131"/>
      <c r="YK74" s="131"/>
      <c r="YL74" s="131"/>
      <c r="YM74" s="131"/>
      <c r="YN74" s="131"/>
      <c r="YO74" s="131"/>
      <c r="YP74" s="131">
        <v>33</v>
      </c>
      <c r="YQ74" s="131"/>
      <c r="YR74" s="131"/>
      <c r="YS74" s="131"/>
      <c r="YT74" s="131">
        <v>16</v>
      </c>
      <c r="YU74" s="131"/>
      <c r="YV74" s="131"/>
      <c r="YW74" s="131"/>
      <c r="YX74" s="131"/>
      <c r="YY74" s="131"/>
      <c r="YZ74" s="131"/>
      <c r="ZA74" s="131">
        <v>33</v>
      </c>
      <c r="ZB74" s="131"/>
      <c r="ZC74" s="131"/>
      <c r="ZD74" s="131"/>
      <c r="ZE74" s="131">
        <v>16</v>
      </c>
      <c r="ZF74" s="131"/>
      <c r="ZG74" s="131"/>
      <c r="ZH74" s="131"/>
      <c r="ZI74" s="131"/>
      <c r="ZJ74" s="131"/>
      <c r="ZK74" s="131"/>
      <c r="ZL74" s="131">
        <v>33</v>
      </c>
      <c r="ZM74" s="131"/>
      <c r="ZN74" s="131"/>
      <c r="ZO74" s="131"/>
      <c r="ZP74" s="131">
        <v>16</v>
      </c>
      <c r="ZQ74" s="131"/>
      <c r="ZR74" s="131"/>
      <c r="ZS74" s="131"/>
      <c r="ZT74" s="131"/>
      <c r="ZU74" s="131"/>
      <c r="ZV74" s="131"/>
      <c r="ZW74" s="131">
        <v>33</v>
      </c>
      <c r="ZX74" s="131"/>
      <c r="ZY74" s="131"/>
      <c r="ZZ74" s="131"/>
      <c r="AAA74" s="131">
        <v>16</v>
      </c>
      <c r="AAB74" s="131"/>
      <c r="AAC74" s="131"/>
      <c r="AAD74" s="131"/>
      <c r="AAE74" s="131"/>
      <c r="AAF74" s="131"/>
      <c r="AAG74" s="131"/>
      <c r="AAH74" s="131">
        <v>33</v>
      </c>
      <c r="AAJ74" s="131"/>
      <c r="AAK74" s="131"/>
      <c r="AAL74" s="131"/>
      <c r="AAM74" s="131">
        <v>16</v>
      </c>
      <c r="AAN74" s="131"/>
      <c r="AAO74" s="131"/>
      <c r="AAP74" s="131"/>
      <c r="AAQ74" s="131"/>
      <c r="AAR74" s="131"/>
      <c r="AAS74" s="131"/>
      <c r="AAT74" s="131">
        <v>33</v>
      </c>
      <c r="AAU74" s="131"/>
      <c r="AAV74" s="131"/>
      <c r="AAW74" s="131"/>
      <c r="AAX74" s="131">
        <v>16</v>
      </c>
      <c r="AAY74" s="131"/>
      <c r="AAZ74" s="131"/>
      <c r="ABA74" s="131"/>
      <c r="ABB74" s="131"/>
      <c r="ABC74" s="131"/>
      <c r="ABD74" s="131"/>
      <c r="ABE74" s="131">
        <v>33</v>
      </c>
      <c r="ABF74" s="131"/>
      <c r="ABG74" s="131"/>
      <c r="ABH74" s="131"/>
      <c r="ABI74" s="131">
        <v>16</v>
      </c>
      <c r="ABJ74" s="131"/>
      <c r="ABK74" s="131"/>
      <c r="ABL74" s="131"/>
      <c r="ABM74" s="131"/>
      <c r="ABN74" s="131"/>
      <c r="ABO74" s="131"/>
      <c r="ABP74" s="131">
        <v>33</v>
      </c>
      <c r="ABQ74" s="131"/>
      <c r="ABR74" s="131"/>
      <c r="ABS74" s="131"/>
      <c r="ABT74" s="131">
        <v>16</v>
      </c>
      <c r="ABU74" s="131"/>
      <c r="ABV74" s="131"/>
      <c r="ABW74" s="131"/>
      <c r="ABX74" s="131"/>
      <c r="ABY74" s="131"/>
      <c r="ABZ74" s="131"/>
      <c r="ACA74" s="131">
        <v>33</v>
      </c>
      <c r="ACB74" s="131"/>
      <c r="ACC74" s="131"/>
      <c r="ACD74" s="131"/>
      <c r="ACE74" s="131">
        <v>16</v>
      </c>
      <c r="ACF74" s="131"/>
      <c r="ACG74" s="131"/>
      <c r="ACH74" s="131"/>
      <c r="ACI74" s="131"/>
      <c r="ACJ74" s="131"/>
      <c r="ACK74" s="131"/>
      <c r="ACL74" s="131">
        <v>33</v>
      </c>
      <c r="ACM74" s="131"/>
      <c r="ACN74" s="131"/>
      <c r="ACO74" s="131"/>
      <c r="ACP74" s="131">
        <v>16</v>
      </c>
      <c r="ACQ74" s="131"/>
      <c r="ACR74" s="131"/>
      <c r="ACS74" s="131"/>
      <c r="ACT74" s="131"/>
      <c r="ACU74" s="131"/>
      <c r="ACV74" s="131"/>
      <c r="ACW74" s="131">
        <v>33</v>
      </c>
      <c r="ACX74" s="131"/>
      <c r="ACY74" s="131"/>
      <c r="ACZ74" s="131"/>
      <c r="ADA74" s="131">
        <v>16</v>
      </c>
      <c r="ADB74" s="131"/>
      <c r="ADC74" s="131"/>
      <c r="ADD74" s="131"/>
      <c r="ADE74" s="131"/>
      <c r="ADF74" s="131"/>
      <c r="ADG74" s="131"/>
      <c r="ADH74" s="131">
        <v>33</v>
      </c>
      <c r="ADI74" s="131"/>
      <c r="ADJ74" s="131"/>
      <c r="ADK74" s="131"/>
      <c r="ADL74" s="131">
        <v>16</v>
      </c>
      <c r="ADM74" s="131"/>
      <c r="ADN74" s="131"/>
      <c r="ADO74" s="131"/>
      <c r="ADP74" s="131"/>
      <c r="ADQ74" s="131"/>
      <c r="ADR74" s="131"/>
      <c r="ADS74" s="131">
        <v>33</v>
      </c>
      <c r="ADT74" s="131"/>
      <c r="ADU74" s="131"/>
      <c r="ADV74" s="131"/>
      <c r="ADW74" s="131">
        <v>16</v>
      </c>
      <c r="ADX74" s="131"/>
      <c r="ADY74" s="131"/>
      <c r="ADZ74" s="131"/>
      <c r="AEA74" s="131"/>
      <c r="AEB74" s="131"/>
      <c r="AEC74" s="131"/>
      <c r="AED74" s="131">
        <v>33</v>
      </c>
      <c r="AEE74" s="131"/>
      <c r="AEF74" s="131"/>
      <c r="AEG74" s="131"/>
      <c r="AEH74" s="131">
        <v>16</v>
      </c>
      <c r="AEI74" s="131"/>
      <c r="AEJ74" s="131"/>
      <c r="AEK74" s="131"/>
      <c r="AEL74" s="131"/>
      <c r="AEM74" s="131"/>
      <c r="AEN74" s="131"/>
      <c r="AEO74" s="131">
        <v>33</v>
      </c>
      <c r="AEP74" s="131"/>
      <c r="AEQ74" s="131"/>
      <c r="AER74" s="131"/>
      <c r="AES74" s="131">
        <v>16</v>
      </c>
      <c r="AET74" s="131"/>
      <c r="AEU74" s="131"/>
      <c r="AEV74" s="131"/>
      <c r="AEW74" s="131"/>
      <c r="AEX74" s="131"/>
      <c r="AEY74" s="131"/>
      <c r="AEZ74" s="131">
        <v>33</v>
      </c>
      <c r="AFA74" s="131"/>
      <c r="AFB74" s="131"/>
      <c r="AFC74" s="131"/>
      <c r="AFD74" s="131">
        <v>16</v>
      </c>
      <c r="AFE74" s="131"/>
      <c r="AFF74" s="131"/>
      <c r="AFG74" s="131"/>
      <c r="AFH74" s="131"/>
      <c r="AFI74" s="131"/>
      <c r="AFJ74" s="131"/>
      <c r="AFK74" s="131">
        <v>33</v>
      </c>
      <c r="AFO74" s="129">
        <v>32</v>
      </c>
      <c r="AFP74" s="129">
        <v>35</v>
      </c>
      <c r="AFQ74" s="129">
        <v>37</v>
      </c>
      <c r="AFR74" s="129" t="s">
        <v>3843</v>
      </c>
      <c r="AFU74" s="129">
        <v>41</v>
      </c>
      <c r="AFV74" s="129">
        <v>47</v>
      </c>
      <c r="AFW74" s="129" t="s">
        <v>3843</v>
      </c>
      <c r="AFY74" s="129">
        <v>32</v>
      </c>
      <c r="AFZ74" s="129">
        <v>35</v>
      </c>
      <c r="AGA74" s="129">
        <v>37</v>
      </c>
      <c r="AGB74" s="149" t="s">
        <v>3843</v>
      </c>
      <c r="AGE74" s="129">
        <v>41</v>
      </c>
      <c r="AGF74" s="129">
        <v>47</v>
      </c>
      <c r="AGG74" s="149" t="s">
        <v>3843</v>
      </c>
      <c r="AGI74" s="129">
        <v>32</v>
      </c>
      <c r="AGJ74" s="129">
        <v>35</v>
      </c>
      <c r="AGK74" s="129">
        <v>37</v>
      </c>
      <c r="AGL74" s="149" t="s">
        <v>3843</v>
      </c>
      <c r="AGO74" s="129">
        <v>41</v>
      </c>
      <c r="AGP74" s="129">
        <v>47</v>
      </c>
      <c r="AGQ74" s="149" t="s">
        <v>3843</v>
      </c>
      <c r="AGS74" s="129">
        <v>16</v>
      </c>
      <c r="AGU74" s="129" t="s">
        <v>3843</v>
      </c>
      <c r="AGX74" s="129">
        <v>33</v>
      </c>
      <c r="AGY74" s="129">
        <v>39</v>
      </c>
      <c r="AHB74" s="129" t="s">
        <v>3843</v>
      </c>
      <c r="AHD74" s="129">
        <v>16</v>
      </c>
      <c r="AHF74" s="149" t="s">
        <v>3843</v>
      </c>
      <c r="AHI74" s="129">
        <v>33</v>
      </c>
      <c r="AHJ74" s="129">
        <v>39</v>
      </c>
      <c r="AHM74" s="149" t="s">
        <v>3843</v>
      </c>
      <c r="AHO74" s="129">
        <v>16</v>
      </c>
      <c r="AHQ74" s="149" t="s">
        <v>3843</v>
      </c>
      <c r="AHT74" s="129">
        <v>33</v>
      </c>
      <c r="AHU74" s="129">
        <v>39</v>
      </c>
      <c r="AHX74" s="149" t="s">
        <v>3843</v>
      </c>
      <c r="AIB74" s="149" t="s">
        <v>3843</v>
      </c>
      <c r="AIE74" s="129">
        <v>39</v>
      </c>
      <c r="AII74" s="129" t="s">
        <v>3843</v>
      </c>
      <c r="AIM74" s="149" t="s">
        <v>3843</v>
      </c>
      <c r="AIP74" s="129">
        <v>39</v>
      </c>
      <c r="AIT74" s="149" t="s">
        <v>3843</v>
      </c>
      <c r="AIX74" s="149" t="s">
        <v>3843</v>
      </c>
      <c r="AJA74" s="129">
        <v>39</v>
      </c>
      <c r="AJE74" s="149" t="s">
        <v>3843</v>
      </c>
      <c r="AJG74" s="129">
        <v>30</v>
      </c>
      <c r="AJH74" s="129">
        <v>28</v>
      </c>
      <c r="AJI74" s="129" t="s">
        <v>3843</v>
      </c>
      <c r="AJL74" s="129">
        <v>43</v>
      </c>
      <c r="AJM74" s="129">
        <v>43</v>
      </c>
      <c r="AJO74" s="129">
        <v>39</v>
      </c>
      <c r="AJP74" s="129" t="s">
        <v>3843</v>
      </c>
      <c r="AJR74" s="129">
        <v>30</v>
      </c>
      <c r="AJS74" s="129">
        <v>28</v>
      </c>
      <c r="AJT74" s="149" t="s">
        <v>3843</v>
      </c>
      <c r="AJW74" s="129">
        <v>43</v>
      </c>
      <c r="AJX74" s="129">
        <v>43</v>
      </c>
      <c r="AJZ74" s="129">
        <v>39</v>
      </c>
      <c r="AKA74" s="149" t="s">
        <v>3843</v>
      </c>
      <c r="AKC74" s="129">
        <v>30</v>
      </c>
      <c r="AKD74" s="129">
        <v>28</v>
      </c>
      <c r="AKE74" s="149" t="s">
        <v>3843</v>
      </c>
      <c r="AKH74" s="129">
        <v>43</v>
      </c>
      <c r="AKI74" s="129">
        <v>43</v>
      </c>
      <c r="AKK74" s="129">
        <v>39</v>
      </c>
      <c r="AKL74" s="149" t="s">
        <v>3843</v>
      </c>
      <c r="AKP74" s="149" t="s">
        <v>3843</v>
      </c>
      <c r="AKW74" s="149" t="s">
        <v>3843</v>
      </c>
      <c r="ALA74" s="149" t="s">
        <v>3843</v>
      </c>
      <c r="ALH74" s="149" t="s">
        <v>3843</v>
      </c>
      <c r="ALL74" s="149" t="s">
        <v>3843</v>
      </c>
      <c r="ALS74" s="149" t="s">
        <v>3843</v>
      </c>
      <c r="ALU74" s="129">
        <v>28</v>
      </c>
      <c r="ALV74" s="129">
        <v>23</v>
      </c>
      <c r="ALW74" s="129" t="s">
        <v>3843</v>
      </c>
      <c r="ALZ74" s="129">
        <v>42</v>
      </c>
      <c r="AMA74" s="129">
        <v>39</v>
      </c>
      <c r="AMC74" s="129">
        <v>39</v>
      </c>
      <c r="AMD74" s="129" t="s">
        <v>3843</v>
      </c>
      <c r="AMF74" s="129">
        <v>28</v>
      </c>
      <c r="AMG74" s="129">
        <v>23</v>
      </c>
      <c r="AMH74" s="149" t="s">
        <v>3843</v>
      </c>
      <c r="AMK74" s="129">
        <v>42</v>
      </c>
      <c r="AML74" s="129">
        <v>39</v>
      </c>
      <c r="AMN74" s="129">
        <v>39</v>
      </c>
      <c r="AMO74" s="149" t="s">
        <v>3843</v>
      </c>
      <c r="AMQ74" s="129">
        <v>28</v>
      </c>
      <c r="AMR74" s="129">
        <v>23</v>
      </c>
      <c r="AMS74" s="149" t="s">
        <v>3843</v>
      </c>
      <c r="AMV74" s="129">
        <v>42</v>
      </c>
      <c r="AMW74" s="129">
        <v>39</v>
      </c>
      <c r="AMY74" s="129">
        <v>39</v>
      </c>
      <c r="AMZ74" s="149" t="s">
        <v>3843</v>
      </c>
      <c r="ANB74" s="129">
        <v>16</v>
      </c>
      <c r="AND74" s="129" t="s">
        <v>3843</v>
      </c>
      <c r="ANG74" s="129">
        <v>33</v>
      </c>
      <c r="ANH74" s="129">
        <v>39</v>
      </c>
      <c r="ANK74" s="129" t="s">
        <v>3843</v>
      </c>
      <c r="ANM74" s="129">
        <v>16</v>
      </c>
      <c r="ANO74" s="149" t="s">
        <v>3843</v>
      </c>
      <c r="ANR74" s="129">
        <v>33</v>
      </c>
      <c r="ANS74" s="129">
        <v>39</v>
      </c>
      <c r="ANV74" s="149" t="s">
        <v>3843</v>
      </c>
      <c r="ANX74" s="129">
        <v>16</v>
      </c>
      <c r="ANZ74" s="149" t="s">
        <v>3843</v>
      </c>
      <c r="AOC74" s="129">
        <v>33</v>
      </c>
      <c r="AOD74" s="129">
        <v>39</v>
      </c>
      <c r="AOG74" s="149" t="s">
        <v>3843</v>
      </c>
      <c r="APO74" s="130"/>
      <c r="APP74" s="130"/>
      <c r="APQ74" s="130"/>
      <c r="APR74" s="130"/>
      <c r="APS74" s="130"/>
      <c r="APT74" s="130"/>
      <c r="APU74" s="130"/>
      <c r="APV74" s="130"/>
      <c r="APW74" s="130"/>
      <c r="APX74" s="130"/>
      <c r="APY74" s="130"/>
      <c r="APZ74" s="130"/>
      <c r="AQA74" s="130"/>
      <c r="AQB74" s="130"/>
      <c r="AQC74" s="130"/>
      <c r="AQD74" s="130"/>
      <c r="AQE74" s="130"/>
      <c r="AQF74" s="130"/>
      <c r="AQG74" s="130"/>
      <c r="AQH74" s="130"/>
      <c r="AQI74" s="130"/>
      <c r="AQJ74" s="130"/>
      <c r="AQK74" s="130"/>
      <c r="AQL74" s="130"/>
      <c r="AQM74" s="130"/>
      <c r="AQN74" s="130"/>
      <c r="AQO74" s="130"/>
      <c r="AQP74" s="130"/>
      <c r="AQQ74" s="130"/>
      <c r="AQR74" s="130"/>
      <c r="AQS74" s="130"/>
      <c r="AQT74" s="130"/>
      <c r="AQU74" s="130"/>
      <c r="AQV74" s="130"/>
      <c r="AQW74" s="130"/>
      <c r="AQX74" s="130"/>
      <c r="AQY74" s="130"/>
      <c r="AQZ74" s="130"/>
      <c r="ARA74" s="130"/>
      <c r="ARB74" s="130"/>
      <c r="ARC74" s="130"/>
      <c r="ARD74" s="130"/>
      <c r="ARE74" s="130"/>
      <c r="ARF74" s="130"/>
      <c r="ARG74" s="130"/>
      <c r="ARH74" s="130"/>
      <c r="ARI74" s="130"/>
      <c r="ARJ74" s="130"/>
      <c r="ARK74" s="130"/>
      <c r="ARL74" s="130"/>
      <c r="ARM74" s="130"/>
      <c r="ARN74" s="130"/>
      <c r="ARO74" s="130"/>
      <c r="ARP74" s="130"/>
      <c r="ARQ74" s="130"/>
      <c r="ARR74" s="130"/>
      <c r="ARS74" s="130"/>
      <c r="ART74" s="130"/>
      <c r="ARU74" s="130"/>
      <c r="ARV74" s="130"/>
      <c r="ARW74" s="130"/>
      <c r="ARX74" s="130"/>
      <c r="ARY74" s="130"/>
      <c r="ARZ74" s="130"/>
      <c r="ASA74" s="130"/>
      <c r="ASB74" s="130"/>
      <c r="ASC74" s="130"/>
      <c r="ASD74" s="130"/>
      <c r="ASE74" s="130"/>
      <c r="ASF74" s="130"/>
      <c r="ASG74" s="130"/>
      <c r="ASH74" s="130"/>
      <c r="ASI74" s="130"/>
      <c r="ASJ74" s="130"/>
      <c r="ASK74" s="130"/>
      <c r="ASL74" s="130"/>
      <c r="ASM74" s="130"/>
      <c r="ASN74" s="130"/>
      <c r="ASO74" s="130"/>
      <c r="ASP74" s="130"/>
      <c r="ASQ74" s="130"/>
      <c r="ASR74" s="130"/>
      <c r="ASS74" s="130"/>
      <c r="AST74" s="130"/>
      <c r="ASU74" s="130"/>
      <c r="ASV74" s="130"/>
      <c r="ASW74" s="130"/>
      <c r="ASY74" s="129">
        <v>32</v>
      </c>
      <c r="ASZ74" s="129">
        <v>35</v>
      </c>
      <c r="ATA74" s="129">
        <v>37</v>
      </c>
      <c r="ATE74" s="129">
        <v>41</v>
      </c>
      <c r="ATF74" s="129">
        <v>47</v>
      </c>
      <c r="ATG74" s="129" t="s">
        <v>3843</v>
      </c>
      <c r="ATI74" s="129">
        <v>16</v>
      </c>
      <c r="ATK74" s="129" t="s">
        <v>3843</v>
      </c>
      <c r="ATN74" s="129">
        <v>33</v>
      </c>
      <c r="ATO74" s="129">
        <v>39</v>
      </c>
      <c r="ATR74" s="129" t="s">
        <v>3843</v>
      </c>
      <c r="ATY74" s="129">
        <v>35</v>
      </c>
      <c r="ATZ74" s="129">
        <v>39</v>
      </c>
      <c r="AUC74" s="129" t="s">
        <v>3843</v>
      </c>
      <c r="AUJ74" s="129">
        <v>39</v>
      </c>
      <c r="AUN74" s="129" t="s">
        <v>3843</v>
      </c>
      <c r="AUQ74" s="129">
        <v>38</v>
      </c>
      <c r="AUR74" s="129">
        <v>37</v>
      </c>
      <c r="AUS74" s="129" t="s">
        <v>3843</v>
      </c>
      <c r="AUV74" s="129">
        <v>46</v>
      </c>
      <c r="AUW74" s="129">
        <v>46</v>
      </c>
      <c r="AUX74" s="129" t="s">
        <v>3843</v>
      </c>
      <c r="AUY74" s="129">
        <v>38</v>
      </c>
      <c r="AUZ74" s="129">
        <v>37</v>
      </c>
      <c r="AVA74" s="129" t="s">
        <v>3843</v>
      </c>
      <c r="AVD74" s="129">
        <v>46</v>
      </c>
      <c r="AVE74" s="129">
        <v>46</v>
      </c>
      <c r="AVF74" s="129" t="s">
        <v>3843</v>
      </c>
    </row>
    <row r="75" spans="1:1296" s="129" customFormat="1" ht="28.5" outlineLevel="1">
      <c r="A75" s="137" t="s">
        <v>236</v>
      </c>
      <c r="B75" s="139" t="s">
        <v>345</v>
      </c>
      <c r="C75" s="139" t="s">
        <v>3880</v>
      </c>
      <c r="D75" s="139" t="s">
        <v>3879</v>
      </c>
      <c r="E75" s="137">
        <v>97</v>
      </c>
      <c r="F75" s="138" t="s">
        <v>148</v>
      </c>
      <c r="G75" s="136" t="s">
        <v>173</v>
      </c>
      <c r="H75" s="136" t="s">
        <v>366</v>
      </c>
      <c r="I75" s="136" t="s">
        <v>366</v>
      </c>
      <c r="J75" s="136" t="s">
        <v>366</v>
      </c>
      <c r="K75" s="136" t="s">
        <v>366</v>
      </c>
      <c r="L75" s="136" t="s">
        <v>366</v>
      </c>
      <c r="M75" s="136"/>
      <c r="N75" s="136" t="s">
        <v>366</v>
      </c>
      <c r="O75" s="138"/>
      <c r="LK75" s="135"/>
      <c r="LL75" s="135"/>
      <c r="LM75" s="135"/>
      <c r="LN75" s="135"/>
      <c r="LO75" s="135"/>
      <c r="LU75" s="135"/>
      <c r="LV75" s="135"/>
      <c r="LW75" s="135"/>
      <c r="LX75" s="135"/>
      <c r="LY75" s="135"/>
      <c r="LZ75" s="135"/>
      <c r="MA75" s="135"/>
      <c r="MB75" s="135"/>
      <c r="MC75" s="135"/>
      <c r="MD75" s="135"/>
      <c r="ME75" s="135"/>
      <c r="MF75" s="135"/>
      <c r="MG75" s="135"/>
      <c r="MQ75" s="132"/>
      <c r="MR75" s="132"/>
      <c r="MS75" s="132"/>
      <c r="MT75" s="132"/>
      <c r="MU75" s="132"/>
      <c r="MV75" s="132"/>
      <c r="MW75" s="132"/>
      <c r="MX75" s="132"/>
      <c r="MY75" s="132"/>
      <c r="NB75" s="135"/>
      <c r="NC75" s="135"/>
      <c r="ND75" s="135"/>
      <c r="NE75" s="135"/>
      <c r="NF75" s="135"/>
      <c r="NL75" s="132"/>
      <c r="NM75" s="132"/>
      <c r="NN75" s="132"/>
      <c r="NO75" s="132"/>
      <c r="NP75" s="132"/>
      <c r="RQ75" s="134"/>
      <c r="RR75" s="134"/>
      <c r="RS75" s="134"/>
      <c r="RT75" s="134"/>
      <c r="TD75" s="133"/>
      <c r="TE75" s="132"/>
      <c r="TF75" s="132"/>
      <c r="TX75" s="132"/>
      <c r="TY75" s="132"/>
      <c r="TZ75" s="132"/>
      <c r="VL75" s="132"/>
      <c r="VM75" s="132"/>
      <c r="VN75" s="132"/>
      <c r="VO75" s="132"/>
      <c r="VR75" s="131"/>
      <c r="VS75" s="131"/>
      <c r="VT75" s="131"/>
      <c r="VU75" s="131"/>
      <c r="VV75" s="131"/>
      <c r="VW75" s="131"/>
      <c r="VX75" s="131"/>
      <c r="VY75" s="131"/>
      <c r="VZ75" s="131"/>
      <c r="WA75" s="131"/>
      <c r="WB75" s="131"/>
      <c r="WC75" s="131"/>
      <c r="WD75" s="131"/>
      <c r="WE75" s="131"/>
      <c r="WF75" s="131"/>
      <c r="WG75" s="131"/>
      <c r="WH75" s="131"/>
      <c r="WI75" s="131"/>
      <c r="WJ75" s="131"/>
      <c r="WK75" s="131"/>
      <c r="WL75" s="131"/>
      <c r="WM75" s="131"/>
      <c r="WN75" s="131"/>
      <c r="WO75" s="131"/>
      <c r="WP75" s="131"/>
      <c r="WQ75" s="131"/>
      <c r="WR75" s="131"/>
      <c r="WS75" s="131"/>
      <c r="WT75" s="131"/>
      <c r="WU75" s="131"/>
      <c r="WV75" s="131"/>
      <c r="WW75" s="131"/>
      <c r="WX75" s="131"/>
      <c r="WY75" s="131"/>
      <c r="WZ75" s="131"/>
      <c r="XA75" s="131"/>
      <c r="XB75" s="131"/>
      <c r="XC75" s="131"/>
      <c r="XD75" s="131"/>
      <c r="XE75" s="131"/>
      <c r="XF75" s="131"/>
      <c r="XG75" s="131"/>
      <c r="XH75" s="131"/>
      <c r="XI75" s="131"/>
      <c r="XJ75" s="131"/>
      <c r="XK75" s="131"/>
      <c r="XL75" s="131"/>
      <c r="XM75" s="131"/>
      <c r="XN75" s="131"/>
      <c r="XO75" s="131"/>
      <c r="XP75" s="131"/>
      <c r="XQ75" s="131"/>
      <c r="XR75" s="131"/>
      <c r="XS75" s="131"/>
      <c r="XT75" s="131"/>
      <c r="XU75" s="131"/>
      <c r="XV75" s="131"/>
      <c r="XW75" s="131"/>
      <c r="XX75" s="131"/>
      <c r="XY75" s="131"/>
      <c r="XZ75" s="131"/>
      <c r="YA75" s="131"/>
      <c r="YB75" s="131"/>
      <c r="YC75" s="131"/>
      <c r="YD75" s="131"/>
      <c r="YE75" s="131"/>
      <c r="YF75" s="131"/>
      <c r="YG75" s="131"/>
      <c r="YH75" s="131"/>
      <c r="YI75" s="131"/>
      <c r="YJ75" s="131"/>
      <c r="YK75" s="131"/>
      <c r="YL75" s="131"/>
      <c r="YM75" s="131"/>
      <c r="YN75" s="131"/>
      <c r="YO75" s="131"/>
      <c r="YP75" s="131"/>
      <c r="YQ75" s="131"/>
      <c r="YR75" s="131"/>
      <c r="YS75" s="131"/>
      <c r="YT75" s="131"/>
      <c r="YU75" s="131"/>
      <c r="YV75" s="131"/>
      <c r="YW75" s="131"/>
      <c r="YX75" s="131"/>
      <c r="YY75" s="131"/>
      <c r="YZ75" s="131"/>
      <c r="ZA75" s="131"/>
      <c r="ZB75" s="131"/>
      <c r="ZC75" s="131"/>
      <c r="ZD75" s="131"/>
      <c r="ZE75" s="131"/>
      <c r="ZF75" s="131"/>
      <c r="ZG75" s="131"/>
      <c r="ZH75" s="131"/>
      <c r="ZI75" s="131"/>
      <c r="ZJ75" s="131"/>
      <c r="ZK75" s="131"/>
      <c r="ZL75" s="131"/>
      <c r="ZM75" s="131"/>
      <c r="ZN75" s="131"/>
      <c r="ZO75" s="131"/>
      <c r="ZP75" s="131"/>
      <c r="ZQ75" s="131"/>
      <c r="ZR75" s="131"/>
      <c r="ZS75" s="131"/>
      <c r="ZT75" s="131"/>
      <c r="ZU75" s="131"/>
      <c r="ZV75" s="131"/>
      <c r="ZW75" s="131"/>
      <c r="ZX75" s="131"/>
      <c r="ZY75" s="131"/>
      <c r="ZZ75" s="131"/>
      <c r="AAA75" s="131"/>
      <c r="AAB75" s="131"/>
      <c r="AAC75" s="131"/>
      <c r="AAD75" s="131"/>
      <c r="AAE75" s="131"/>
      <c r="AAF75" s="131"/>
      <c r="AAG75" s="131"/>
      <c r="AAH75" s="131"/>
      <c r="AAJ75" s="131"/>
      <c r="AAK75" s="131"/>
      <c r="AAL75" s="131"/>
      <c r="AAM75" s="131"/>
      <c r="AAN75" s="131"/>
      <c r="AAO75" s="131"/>
      <c r="AAP75" s="131"/>
      <c r="AAQ75" s="131"/>
      <c r="AAR75" s="131"/>
      <c r="AAS75" s="131"/>
      <c r="AAT75" s="131"/>
      <c r="AAU75" s="131"/>
      <c r="AAV75" s="131"/>
      <c r="AAW75" s="131"/>
      <c r="AAX75" s="131"/>
      <c r="AAY75" s="131"/>
      <c r="AAZ75" s="131"/>
      <c r="ABA75" s="131"/>
      <c r="ABB75" s="131"/>
      <c r="ABC75" s="131"/>
      <c r="ABD75" s="131"/>
      <c r="ABE75" s="131"/>
      <c r="ABF75" s="131"/>
      <c r="ABG75" s="131"/>
      <c r="ABH75" s="131"/>
      <c r="ABI75" s="131"/>
      <c r="ABJ75" s="131"/>
      <c r="ABK75" s="131"/>
      <c r="ABL75" s="131"/>
      <c r="ABM75" s="131"/>
      <c r="ABN75" s="131"/>
      <c r="ABO75" s="131"/>
      <c r="ABP75" s="131"/>
      <c r="ABQ75" s="131"/>
      <c r="ABR75" s="131"/>
      <c r="ABS75" s="131"/>
      <c r="ABT75" s="131"/>
      <c r="ABU75" s="131"/>
      <c r="ABV75" s="131"/>
      <c r="ABW75" s="131"/>
      <c r="ABX75" s="131"/>
      <c r="ABY75" s="131"/>
      <c r="ABZ75" s="131"/>
      <c r="ACA75" s="131"/>
      <c r="ACB75" s="131"/>
      <c r="ACC75" s="131"/>
      <c r="ACD75" s="131"/>
      <c r="ACE75" s="131"/>
      <c r="ACF75" s="131"/>
      <c r="ACG75" s="131"/>
      <c r="ACH75" s="131"/>
      <c r="ACI75" s="131"/>
      <c r="ACJ75" s="131"/>
      <c r="ACK75" s="131"/>
      <c r="ACL75" s="131"/>
      <c r="ACM75" s="131"/>
      <c r="ACN75" s="131"/>
      <c r="ACO75" s="131"/>
      <c r="ACP75" s="131"/>
      <c r="ACQ75" s="131"/>
      <c r="ACR75" s="131"/>
      <c r="ACS75" s="131"/>
      <c r="ACT75" s="131"/>
      <c r="ACU75" s="131"/>
      <c r="ACV75" s="131"/>
      <c r="ACW75" s="131"/>
      <c r="ACX75" s="131"/>
      <c r="ACY75" s="131"/>
      <c r="ACZ75" s="131"/>
      <c r="ADA75" s="131"/>
      <c r="ADB75" s="131"/>
      <c r="ADC75" s="131"/>
      <c r="ADD75" s="131"/>
      <c r="ADE75" s="131"/>
      <c r="ADF75" s="131"/>
      <c r="ADG75" s="131"/>
      <c r="ADH75" s="131"/>
      <c r="ADI75" s="131"/>
      <c r="ADJ75" s="131"/>
      <c r="ADK75" s="131"/>
      <c r="ADL75" s="131"/>
      <c r="ADM75" s="131"/>
      <c r="ADN75" s="131"/>
      <c r="ADO75" s="131"/>
      <c r="ADP75" s="131"/>
      <c r="ADQ75" s="131"/>
      <c r="ADR75" s="131"/>
      <c r="ADS75" s="131"/>
      <c r="ADT75" s="131"/>
      <c r="ADU75" s="131"/>
      <c r="ADV75" s="131"/>
      <c r="ADW75" s="131"/>
      <c r="ADX75" s="131"/>
      <c r="ADY75" s="131"/>
      <c r="ADZ75" s="131"/>
      <c r="AEA75" s="131"/>
      <c r="AEB75" s="131"/>
      <c r="AEC75" s="131"/>
      <c r="AED75" s="131"/>
      <c r="AEE75" s="131"/>
      <c r="AEF75" s="131"/>
      <c r="AEG75" s="131"/>
      <c r="AEH75" s="131"/>
      <c r="AEI75" s="131"/>
      <c r="AEJ75" s="131"/>
      <c r="AEK75" s="131"/>
      <c r="AEL75" s="131"/>
      <c r="AEM75" s="131"/>
      <c r="AEN75" s="131"/>
      <c r="AEO75" s="131"/>
      <c r="AEP75" s="131"/>
      <c r="AEQ75" s="131"/>
      <c r="AER75" s="131"/>
      <c r="AES75" s="131"/>
      <c r="AET75" s="131"/>
      <c r="AEU75" s="131"/>
      <c r="AEV75" s="131"/>
      <c r="AEW75" s="131"/>
      <c r="AEX75" s="131"/>
      <c r="AEY75" s="131"/>
      <c r="AEZ75" s="131"/>
      <c r="AFA75" s="131"/>
      <c r="AFB75" s="131"/>
      <c r="AFC75" s="131"/>
      <c r="AFD75" s="131"/>
      <c r="AFE75" s="131"/>
      <c r="AFF75" s="131"/>
      <c r="AFG75" s="131"/>
      <c r="AFH75" s="131"/>
      <c r="AFI75" s="131"/>
      <c r="AFJ75" s="131"/>
      <c r="AFK75" s="131"/>
      <c r="AFQ75" s="129">
        <v>-1</v>
      </c>
      <c r="AFR75" s="129" t="s">
        <v>3843</v>
      </c>
      <c r="AFW75" s="149" t="s">
        <v>3843</v>
      </c>
      <c r="AGA75" s="129">
        <v>-1</v>
      </c>
      <c r="AGB75" s="149" t="s">
        <v>3843</v>
      </c>
      <c r="AGG75" s="149" t="s">
        <v>3843</v>
      </c>
      <c r="AGK75" s="129">
        <v>-1</v>
      </c>
      <c r="AGL75" s="149" t="s">
        <v>3843</v>
      </c>
      <c r="AGQ75" s="149" t="s">
        <v>3843</v>
      </c>
      <c r="AGY75" s="129">
        <v>-2</v>
      </c>
      <c r="AHB75" s="129" t="s">
        <v>3843</v>
      </c>
      <c r="AHF75" s="149" t="s">
        <v>3843</v>
      </c>
      <c r="AHJ75" s="129">
        <v>-2</v>
      </c>
      <c r="AHM75" s="149" t="s">
        <v>3843</v>
      </c>
      <c r="AHQ75" s="149" t="s">
        <v>3843</v>
      </c>
      <c r="AHU75" s="129">
        <v>-2</v>
      </c>
      <c r="AHX75" s="149" t="s">
        <v>3843</v>
      </c>
      <c r="AIB75" s="149" t="s">
        <v>3843</v>
      </c>
      <c r="AIE75" s="129">
        <v>-2</v>
      </c>
      <c r="AII75" s="129" t="s">
        <v>3843</v>
      </c>
      <c r="AIM75" s="149" t="s">
        <v>3843</v>
      </c>
      <c r="AIP75" s="129">
        <v>-2</v>
      </c>
      <c r="AIT75" s="149" t="s">
        <v>3843</v>
      </c>
      <c r="AIX75" s="149" t="s">
        <v>3843</v>
      </c>
      <c r="AJA75" s="129">
        <v>-2</v>
      </c>
      <c r="AJE75" s="149" t="s">
        <v>3843</v>
      </c>
      <c r="AJI75" s="149" t="s">
        <v>3843</v>
      </c>
      <c r="AJO75" s="129">
        <v>-2</v>
      </c>
      <c r="AJP75" s="129" t="s">
        <v>3843</v>
      </c>
      <c r="AJT75" s="149" t="s">
        <v>3843</v>
      </c>
      <c r="AJZ75" s="129">
        <v>-2</v>
      </c>
      <c r="AKA75" s="149" t="s">
        <v>3843</v>
      </c>
      <c r="AKE75" s="149" t="s">
        <v>3843</v>
      </c>
      <c r="AKK75" s="129">
        <v>-2</v>
      </c>
      <c r="AKL75" s="149" t="s">
        <v>3843</v>
      </c>
      <c r="AKP75" s="149" t="s">
        <v>3843</v>
      </c>
      <c r="AKW75" s="149" t="s">
        <v>3843</v>
      </c>
      <c r="ALA75" s="149" t="s">
        <v>3843</v>
      </c>
      <c r="ALH75" s="149" t="s">
        <v>3843</v>
      </c>
      <c r="ALL75" s="149" t="s">
        <v>3843</v>
      </c>
      <c r="ALS75" s="149" t="s">
        <v>3843</v>
      </c>
      <c r="ALW75" s="149" t="s">
        <v>3843</v>
      </c>
      <c r="AMC75" s="129">
        <v>-2</v>
      </c>
      <c r="AMD75" s="129" t="s">
        <v>3843</v>
      </c>
      <c r="AMH75" s="149" t="s">
        <v>3843</v>
      </c>
      <c r="AMN75" s="129">
        <v>-2</v>
      </c>
      <c r="AMO75" s="149" t="s">
        <v>3843</v>
      </c>
      <c r="AMS75" s="149" t="s">
        <v>3843</v>
      </c>
      <c r="AMY75" s="129">
        <v>-2</v>
      </c>
      <c r="AMZ75" s="149" t="s">
        <v>3843</v>
      </c>
      <c r="AND75" s="149" t="s">
        <v>3843</v>
      </c>
      <c r="ANH75" s="129">
        <v>-2</v>
      </c>
      <c r="ANK75" s="129" t="s">
        <v>3843</v>
      </c>
      <c r="ANO75" s="149" t="s">
        <v>3843</v>
      </c>
      <c r="ANS75" s="129">
        <v>-2</v>
      </c>
      <c r="ANV75" s="149" t="s">
        <v>3843</v>
      </c>
      <c r="ANZ75" s="149" t="s">
        <v>3843</v>
      </c>
      <c r="AOD75" s="129">
        <v>-2</v>
      </c>
      <c r="AOG75" s="149" t="s">
        <v>3843</v>
      </c>
      <c r="APO75" s="130" t="s">
        <v>3857</v>
      </c>
      <c r="APP75" s="130" t="s">
        <v>3878</v>
      </c>
      <c r="APQ75" s="130" t="s">
        <v>3877</v>
      </c>
      <c r="APR75" s="130" t="s">
        <v>3876</v>
      </c>
      <c r="APS75" s="130"/>
      <c r="APT75" s="130" t="s">
        <v>3857</v>
      </c>
      <c r="APU75" s="130" t="s">
        <v>3857</v>
      </c>
      <c r="APV75" s="130" t="s">
        <v>3875</v>
      </c>
      <c r="APW75" s="130" t="s">
        <v>3874</v>
      </c>
      <c r="APX75" s="130"/>
      <c r="APY75" s="130" t="s">
        <v>3857</v>
      </c>
      <c r="APZ75" s="130" t="s">
        <v>3868</v>
      </c>
      <c r="AQA75" s="130" t="s">
        <v>3857</v>
      </c>
      <c r="AQB75" s="130"/>
      <c r="AQC75" s="130" t="s">
        <v>3857</v>
      </c>
      <c r="AQD75" s="130" t="s">
        <v>3857</v>
      </c>
      <c r="AQE75" s="130" t="s">
        <v>3867</v>
      </c>
      <c r="AQF75" s="130" t="s">
        <v>3866</v>
      </c>
      <c r="AQG75" s="130" t="s">
        <v>3857</v>
      </c>
      <c r="AQH75" s="130" t="s">
        <v>3857</v>
      </c>
      <c r="AQI75" s="130"/>
      <c r="AQJ75" s="130" t="s">
        <v>3857</v>
      </c>
      <c r="AQK75" s="130" t="s">
        <v>3857</v>
      </c>
      <c r="AQL75" s="130" t="s">
        <v>3857</v>
      </c>
      <c r="AQM75" s="130"/>
      <c r="AQN75" s="130" t="s">
        <v>3857</v>
      </c>
      <c r="AQO75" s="130" t="s">
        <v>3857</v>
      </c>
      <c r="AQP75" s="130" t="s">
        <v>3866</v>
      </c>
      <c r="AQQ75" s="130" t="s">
        <v>3857</v>
      </c>
      <c r="AQR75" s="130" t="s">
        <v>3857</v>
      </c>
      <c r="AQS75" s="130" t="s">
        <v>3857</v>
      </c>
      <c r="AQT75" s="130"/>
      <c r="AQU75" s="130" t="s">
        <v>3857</v>
      </c>
      <c r="AQV75" s="130" t="s">
        <v>3873</v>
      </c>
      <c r="AQW75" s="130" t="s">
        <v>3871</v>
      </c>
      <c r="AQX75" s="130"/>
      <c r="AQY75" s="130" t="s">
        <v>3857</v>
      </c>
      <c r="AQZ75" s="130" t="s">
        <v>3857</v>
      </c>
      <c r="ARA75" s="130" t="s">
        <v>3872</v>
      </c>
      <c r="ARB75" s="130" t="s">
        <v>3872</v>
      </c>
      <c r="ARC75" s="130" t="s">
        <v>3857</v>
      </c>
      <c r="ARD75" s="130" t="s">
        <v>3866</v>
      </c>
      <c r="ARE75" s="130"/>
      <c r="ARF75" s="130" t="s">
        <v>3857</v>
      </c>
      <c r="ARG75" s="130" t="s">
        <v>3857</v>
      </c>
      <c r="ARH75" s="130" t="s">
        <v>3857</v>
      </c>
      <c r="ARI75" s="130"/>
      <c r="ARJ75" s="130" t="s">
        <v>3857</v>
      </c>
      <c r="ARK75" s="130" t="s">
        <v>3857</v>
      </c>
      <c r="ARL75" s="130" t="s">
        <v>3857</v>
      </c>
      <c r="ARM75" s="130" t="s">
        <v>3857</v>
      </c>
      <c r="ARN75" s="130" t="s">
        <v>3857</v>
      </c>
      <c r="ARO75" s="130" t="s">
        <v>3857</v>
      </c>
      <c r="ARP75" s="130"/>
      <c r="ARQ75" s="130" t="s">
        <v>3857</v>
      </c>
      <c r="ARR75" s="130" t="s">
        <v>3871</v>
      </c>
      <c r="ARS75" s="130" t="s">
        <v>3870</v>
      </c>
      <c r="ART75" s="130"/>
      <c r="ARU75" s="130" t="s">
        <v>3857</v>
      </c>
      <c r="ARV75" s="130" t="s">
        <v>3857</v>
      </c>
      <c r="ARW75" s="130" t="s">
        <v>3869</v>
      </c>
      <c r="ARX75" s="130" t="s">
        <v>3866</v>
      </c>
      <c r="ARY75" s="130" t="s">
        <v>3857</v>
      </c>
      <c r="ARZ75" s="130" t="s">
        <v>3866</v>
      </c>
      <c r="ASA75" s="130"/>
      <c r="ASB75" s="130" t="s">
        <v>3857</v>
      </c>
      <c r="ASC75" s="130" t="s">
        <v>3868</v>
      </c>
      <c r="ASD75" s="130" t="s">
        <v>3857</v>
      </c>
      <c r="ASE75" s="130"/>
      <c r="ASF75" s="130" t="s">
        <v>3857</v>
      </c>
      <c r="ASG75" s="130" t="s">
        <v>3857</v>
      </c>
      <c r="ASH75" s="130" t="s">
        <v>3867</v>
      </c>
      <c r="ASI75" s="130" t="s">
        <v>3866</v>
      </c>
      <c r="ASJ75" s="130" t="s">
        <v>3857</v>
      </c>
      <c r="ASK75" s="130" t="s">
        <v>3857</v>
      </c>
      <c r="ASL75" s="130"/>
      <c r="ASM75" s="130"/>
      <c r="ASN75" s="130"/>
      <c r="ASO75" s="130"/>
      <c r="ASP75" s="130"/>
      <c r="ASQ75" s="130"/>
      <c r="ASR75" s="130"/>
      <c r="ASS75" s="130"/>
      <c r="AST75" s="130"/>
      <c r="ASU75" s="130"/>
      <c r="ASV75" s="130"/>
      <c r="ASW75" s="130"/>
      <c r="ATA75" s="129">
        <v>-1</v>
      </c>
      <c r="ATO75" s="129">
        <v>-2</v>
      </c>
      <c r="ATR75" s="129" t="s">
        <v>3843</v>
      </c>
      <c r="ATZ75" s="129">
        <v>-2</v>
      </c>
      <c r="AUC75" s="129" t="s">
        <v>3843</v>
      </c>
      <c r="AUJ75" s="129">
        <v>-2</v>
      </c>
      <c r="AUN75" s="129" t="s">
        <v>3843</v>
      </c>
      <c r="AUR75" s="129">
        <v>-1</v>
      </c>
      <c r="AUS75" s="129" t="s">
        <v>3843</v>
      </c>
      <c r="AUX75" s="129" t="s">
        <v>3843</v>
      </c>
      <c r="AUZ75" s="129">
        <v>-1</v>
      </c>
      <c r="AVA75" s="129" t="s">
        <v>3843</v>
      </c>
      <c r="AVF75" s="129" t="s">
        <v>3843</v>
      </c>
    </row>
    <row r="76" spans="1:1296" s="129" customFormat="1" ht="28.5" outlineLevel="1">
      <c r="A76" s="137" t="s">
        <v>236</v>
      </c>
      <c r="B76" s="139" t="s">
        <v>346</v>
      </c>
      <c r="C76" s="139" t="s">
        <v>3865</v>
      </c>
      <c r="D76" s="139" t="s">
        <v>3864</v>
      </c>
      <c r="E76" s="137">
        <v>98</v>
      </c>
      <c r="F76" s="138" t="s">
        <v>148</v>
      </c>
      <c r="G76" s="136" t="s">
        <v>173</v>
      </c>
      <c r="H76" s="136" t="s">
        <v>366</v>
      </c>
      <c r="I76" s="136" t="s">
        <v>366</v>
      </c>
      <c r="J76" s="136" t="s">
        <v>366</v>
      </c>
      <c r="K76" s="136" t="s">
        <v>366</v>
      </c>
      <c r="L76" s="136" t="s">
        <v>366</v>
      </c>
      <c r="M76" s="136"/>
      <c r="N76" s="136" t="s">
        <v>366</v>
      </c>
      <c r="O76" s="138"/>
      <c r="LK76" s="135"/>
      <c r="LL76" s="135"/>
      <c r="LM76" s="135"/>
      <c r="LN76" s="135"/>
      <c r="LO76" s="135"/>
      <c r="LU76" s="135"/>
      <c r="LV76" s="135"/>
      <c r="LW76" s="135"/>
      <c r="LX76" s="135"/>
      <c r="LY76" s="135"/>
      <c r="LZ76" s="135"/>
      <c r="MA76" s="135"/>
      <c r="MB76" s="135"/>
      <c r="MC76" s="135"/>
      <c r="MD76" s="135"/>
      <c r="ME76" s="135"/>
      <c r="MF76" s="135"/>
      <c r="MG76" s="135"/>
      <c r="MQ76" s="132"/>
      <c r="MR76" s="132"/>
      <c r="MS76" s="132"/>
      <c r="MT76" s="132"/>
      <c r="MU76" s="132"/>
      <c r="MV76" s="132"/>
      <c r="MW76" s="132"/>
      <c r="MX76" s="132"/>
      <c r="MY76" s="132"/>
      <c r="NB76" s="135"/>
      <c r="NC76" s="135"/>
      <c r="ND76" s="135"/>
      <c r="NE76" s="135"/>
      <c r="NF76" s="135"/>
      <c r="NL76" s="132"/>
      <c r="NM76" s="132"/>
      <c r="NN76" s="132"/>
      <c r="NO76" s="132"/>
      <c r="NP76" s="132"/>
      <c r="RQ76" s="134"/>
      <c r="RR76" s="134"/>
      <c r="RS76" s="134"/>
      <c r="RT76" s="134"/>
      <c r="TD76" s="133"/>
      <c r="TE76" s="132"/>
      <c r="TF76" s="132"/>
      <c r="TX76" s="132"/>
      <c r="TY76" s="132"/>
      <c r="TZ76" s="132"/>
      <c r="VL76" s="132"/>
      <c r="VM76" s="132"/>
      <c r="VN76" s="132"/>
      <c r="VO76" s="132"/>
      <c r="VR76" s="131"/>
      <c r="VS76" s="131"/>
      <c r="VT76" s="131"/>
      <c r="VU76" s="131"/>
      <c r="VV76" s="131"/>
      <c r="VW76" s="131"/>
      <c r="VX76" s="131"/>
      <c r="VY76" s="131"/>
      <c r="VZ76" s="131"/>
      <c r="WA76" s="131"/>
      <c r="WB76" s="131"/>
      <c r="WC76" s="131"/>
      <c r="WD76" s="131"/>
      <c r="WE76" s="131"/>
      <c r="WF76" s="131"/>
      <c r="WG76" s="131"/>
      <c r="WH76" s="131"/>
      <c r="WI76" s="131"/>
      <c r="WJ76" s="131"/>
      <c r="WK76" s="131"/>
      <c r="WL76" s="131"/>
      <c r="WM76" s="131"/>
      <c r="WN76" s="131"/>
      <c r="WO76" s="131"/>
      <c r="WP76" s="131"/>
      <c r="WQ76" s="131"/>
      <c r="WR76" s="131"/>
      <c r="WS76" s="131"/>
      <c r="WT76" s="131"/>
      <c r="WU76" s="131"/>
      <c r="WV76" s="131"/>
      <c r="WW76" s="131"/>
      <c r="WX76" s="131"/>
      <c r="WY76" s="131"/>
      <c r="WZ76" s="131"/>
      <c r="XA76" s="131"/>
      <c r="XB76" s="131"/>
      <c r="XC76" s="131"/>
      <c r="XD76" s="131"/>
      <c r="XE76" s="131"/>
      <c r="XF76" s="131"/>
      <c r="XG76" s="131"/>
      <c r="XH76" s="131"/>
      <c r="XI76" s="131"/>
      <c r="XJ76" s="131"/>
      <c r="XK76" s="131"/>
      <c r="XL76" s="131"/>
      <c r="XM76" s="131"/>
      <c r="XN76" s="131"/>
      <c r="XO76" s="131"/>
      <c r="XP76" s="131"/>
      <c r="XQ76" s="131"/>
      <c r="XR76" s="131"/>
      <c r="XS76" s="131"/>
      <c r="XT76" s="131"/>
      <c r="XU76" s="131"/>
      <c r="XV76" s="131"/>
      <c r="XW76" s="131"/>
      <c r="XX76" s="131"/>
      <c r="XY76" s="131"/>
      <c r="XZ76" s="131"/>
      <c r="YA76" s="131"/>
      <c r="YB76" s="131"/>
      <c r="YC76" s="131"/>
      <c r="YD76" s="131"/>
      <c r="YE76" s="131"/>
      <c r="YF76" s="131"/>
      <c r="YG76" s="131"/>
      <c r="YH76" s="131"/>
      <c r="YI76" s="131"/>
      <c r="YJ76" s="131"/>
      <c r="YK76" s="131"/>
      <c r="YL76" s="131"/>
      <c r="YM76" s="131"/>
      <c r="YN76" s="131"/>
      <c r="YO76" s="131"/>
      <c r="YP76" s="131"/>
      <c r="YQ76" s="131"/>
      <c r="YR76" s="131"/>
      <c r="YS76" s="131"/>
      <c r="YT76" s="131"/>
      <c r="YU76" s="131"/>
      <c r="YV76" s="131"/>
      <c r="YW76" s="131"/>
      <c r="YX76" s="131"/>
      <c r="YY76" s="131"/>
      <c r="YZ76" s="131"/>
      <c r="ZA76" s="131"/>
      <c r="ZB76" s="131"/>
      <c r="ZC76" s="131"/>
      <c r="ZD76" s="131"/>
      <c r="ZE76" s="131"/>
      <c r="ZF76" s="131"/>
      <c r="ZG76" s="131"/>
      <c r="ZH76" s="131"/>
      <c r="ZI76" s="131"/>
      <c r="ZJ76" s="131"/>
      <c r="ZK76" s="131"/>
      <c r="ZL76" s="131"/>
      <c r="ZM76" s="131"/>
      <c r="ZN76" s="131"/>
      <c r="ZO76" s="131"/>
      <c r="ZP76" s="131"/>
      <c r="ZQ76" s="131"/>
      <c r="ZR76" s="131"/>
      <c r="ZS76" s="131"/>
      <c r="ZT76" s="131"/>
      <c r="ZU76" s="131"/>
      <c r="ZV76" s="131"/>
      <c r="ZW76" s="131"/>
      <c r="ZX76" s="131"/>
      <c r="ZY76" s="131"/>
      <c r="ZZ76" s="131"/>
      <c r="AAA76" s="131"/>
      <c r="AAB76" s="131"/>
      <c r="AAC76" s="131"/>
      <c r="AAD76" s="131"/>
      <c r="AAE76" s="131"/>
      <c r="AAF76" s="131"/>
      <c r="AAG76" s="131"/>
      <c r="AAH76" s="131"/>
      <c r="AAJ76" s="131"/>
      <c r="AAK76" s="131"/>
      <c r="AAL76" s="131"/>
      <c r="AAM76" s="131"/>
      <c r="AAN76" s="131"/>
      <c r="AAO76" s="131"/>
      <c r="AAP76" s="131"/>
      <c r="AAQ76" s="131"/>
      <c r="AAR76" s="131"/>
      <c r="AAS76" s="131"/>
      <c r="AAT76" s="131"/>
      <c r="AAU76" s="131"/>
      <c r="AAV76" s="131"/>
      <c r="AAW76" s="131"/>
      <c r="AAX76" s="131"/>
      <c r="AAY76" s="131"/>
      <c r="AAZ76" s="131"/>
      <c r="ABA76" s="131"/>
      <c r="ABB76" s="131"/>
      <c r="ABC76" s="131"/>
      <c r="ABD76" s="131"/>
      <c r="ABE76" s="131"/>
      <c r="ABF76" s="131"/>
      <c r="ABG76" s="131"/>
      <c r="ABH76" s="131"/>
      <c r="ABI76" s="131"/>
      <c r="ABJ76" s="131"/>
      <c r="ABK76" s="131"/>
      <c r="ABL76" s="131"/>
      <c r="ABM76" s="131"/>
      <c r="ABN76" s="131"/>
      <c r="ABO76" s="131"/>
      <c r="ABP76" s="131"/>
      <c r="ABQ76" s="131"/>
      <c r="ABR76" s="131"/>
      <c r="ABS76" s="131"/>
      <c r="ABT76" s="131"/>
      <c r="ABU76" s="131"/>
      <c r="ABV76" s="131"/>
      <c r="ABW76" s="131"/>
      <c r="ABX76" s="131"/>
      <c r="ABY76" s="131"/>
      <c r="ABZ76" s="131"/>
      <c r="ACA76" s="131"/>
      <c r="ACB76" s="131"/>
      <c r="ACC76" s="131"/>
      <c r="ACD76" s="131"/>
      <c r="ACE76" s="131"/>
      <c r="ACF76" s="131"/>
      <c r="ACG76" s="131"/>
      <c r="ACH76" s="131"/>
      <c r="ACI76" s="131"/>
      <c r="ACJ76" s="131"/>
      <c r="ACK76" s="131"/>
      <c r="ACL76" s="131"/>
      <c r="ACM76" s="131"/>
      <c r="ACN76" s="131"/>
      <c r="ACO76" s="131"/>
      <c r="ACP76" s="131"/>
      <c r="ACQ76" s="131"/>
      <c r="ACR76" s="131"/>
      <c r="ACS76" s="131"/>
      <c r="ACT76" s="131"/>
      <c r="ACU76" s="131"/>
      <c r="ACV76" s="131"/>
      <c r="ACW76" s="131"/>
      <c r="ACX76" s="131"/>
      <c r="ACY76" s="131"/>
      <c r="ACZ76" s="131"/>
      <c r="ADA76" s="131"/>
      <c r="ADB76" s="131"/>
      <c r="ADC76" s="131"/>
      <c r="ADD76" s="131"/>
      <c r="ADE76" s="131"/>
      <c r="ADF76" s="131"/>
      <c r="ADG76" s="131"/>
      <c r="ADH76" s="131"/>
      <c r="ADI76" s="131"/>
      <c r="ADJ76" s="131"/>
      <c r="ADK76" s="131"/>
      <c r="ADL76" s="131"/>
      <c r="ADM76" s="131"/>
      <c r="ADN76" s="131"/>
      <c r="ADO76" s="131"/>
      <c r="ADP76" s="131"/>
      <c r="ADQ76" s="131"/>
      <c r="ADR76" s="131"/>
      <c r="ADS76" s="131"/>
      <c r="ADT76" s="131"/>
      <c r="ADU76" s="131"/>
      <c r="ADV76" s="131"/>
      <c r="ADW76" s="131"/>
      <c r="ADX76" s="131"/>
      <c r="ADY76" s="131"/>
      <c r="ADZ76" s="131"/>
      <c r="AEA76" s="131"/>
      <c r="AEB76" s="131"/>
      <c r="AEC76" s="131"/>
      <c r="AED76" s="131"/>
      <c r="AEE76" s="131"/>
      <c r="AEF76" s="131"/>
      <c r="AEG76" s="131"/>
      <c r="AEH76" s="131"/>
      <c r="AEI76" s="131"/>
      <c r="AEJ76" s="131"/>
      <c r="AEK76" s="131"/>
      <c r="AEL76" s="131"/>
      <c r="AEM76" s="131"/>
      <c r="AEN76" s="131"/>
      <c r="AEO76" s="131"/>
      <c r="AEP76" s="131"/>
      <c r="AEQ76" s="131"/>
      <c r="AER76" s="131"/>
      <c r="AES76" s="131"/>
      <c r="AET76" s="131"/>
      <c r="AEU76" s="131"/>
      <c r="AEV76" s="131"/>
      <c r="AEW76" s="131"/>
      <c r="AEX76" s="131"/>
      <c r="AEY76" s="131"/>
      <c r="AEZ76" s="131"/>
      <c r="AFA76" s="131"/>
      <c r="AFB76" s="131"/>
      <c r="AFC76" s="131"/>
      <c r="AFD76" s="131"/>
      <c r="AFE76" s="131"/>
      <c r="AFF76" s="131"/>
      <c r="AFG76" s="131"/>
      <c r="AFH76" s="131"/>
      <c r="AFI76" s="131"/>
      <c r="AFJ76" s="131"/>
      <c r="AFK76" s="131"/>
      <c r="AFQ76" s="129">
        <v>-7</v>
      </c>
      <c r="AFR76" s="129" t="s">
        <v>3843</v>
      </c>
      <c r="AFW76" s="149" t="s">
        <v>3843</v>
      </c>
      <c r="AGA76" s="129">
        <v>-7</v>
      </c>
      <c r="AGB76" s="149" t="s">
        <v>3843</v>
      </c>
      <c r="AGG76" s="149" t="s">
        <v>3843</v>
      </c>
      <c r="AGK76" s="129">
        <v>-7</v>
      </c>
      <c r="AGL76" s="149" t="s">
        <v>3843</v>
      </c>
      <c r="AGQ76" s="149" t="s">
        <v>3843</v>
      </c>
      <c r="AGY76" s="129">
        <v>-8</v>
      </c>
      <c r="AHB76" s="129" t="s">
        <v>3843</v>
      </c>
      <c r="AHF76" s="149" t="s">
        <v>3843</v>
      </c>
      <c r="AHJ76" s="129">
        <v>-8</v>
      </c>
      <c r="AHM76" s="149" t="s">
        <v>3843</v>
      </c>
      <c r="AHQ76" s="149" t="s">
        <v>3843</v>
      </c>
      <c r="AHU76" s="129">
        <v>-8</v>
      </c>
      <c r="AHX76" s="149" t="s">
        <v>3843</v>
      </c>
      <c r="AIB76" s="149" t="s">
        <v>3843</v>
      </c>
      <c r="AIE76" s="129">
        <v>-8</v>
      </c>
      <c r="AII76" s="129" t="s">
        <v>3843</v>
      </c>
      <c r="AIM76" s="149" t="s">
        <v>3843</v>
      </c>
      <c r="AIP76" s="129">
        <v>-8</v>
      </c>
      <c r="AIT76" s="149" t="s">
        <v>3843</v>
      </c>
      <c r="AIX76" s="149" t="s">
        <v>3843</v>
      </c>
      <c r="AJA76" s="129">
        <v>-8</v>
      </c>
      <c r="AJE76" s="149" t="s">
        <v>3843</v>
      </c>
      <c r="AJI76" s="149" t="s">
        <v>3843</v>
      </c>
      <c r="AJO76" s="129">
        <v>-8</v>
      </c>
      <c r="AJP76" s="129" t="s">
        <v>3843</v>
      </c>
      <c r="AJT76" s="149" t="s">
        <v>3843</v>
      </c>
      <c r="AJZ76" s="129">
        <v>-8</v>
      </c>
      <c r="AKA76" s="149" t="s">
        <v>3843</v>
      </c>
      <c r="AKE76" s="149" t="s">
        <v>3843</v>
      </c>
      <c r="AKK76" s="129">
        <v>-8</v>
      </c>
      <c r="AKL76" s="149" t="s">
        <v>3843</v>
      </c>
      <c r="AKP76" s="149" t="s">
        <v>3843</v>
      </c>
      <c r="AKW76" s="149" t="s">
        <v>3843</v>
      </c>
      <c r="ALA76" s="149" t="s">
        <v>3843</v>
      </c>
      <c r="ALH76" s="149" t="s">
        <v>3843</v>
      </c>
      <c r="ALL76" s="149" t="s">
        <v>3843</v>
      </c>
      <c r="ALS76" s="149" t="s">
        <v>3843</v>
      </c>
      <c r="ALW76" s="149" t="s">
        <v>3843</v>
      </c>
      <c r="AMC76" s="129">
        <v>-8</v>
      </c>
      <c r="AMD76" s="129" t="s">
        <v>3843</v>
      </c>
      <c r="AMH76" s="149" t="s">
        <v>3843</v>
      </c>
      <c r="AMN76" s="129">
        <v>-8</v>
      </c>
      <c r="AMO76" s="149" t="s">
        <v>3843</v>
      </c>
      <c r="AMS76" s="149" t="s">
        <v>3843</v>
      </c>
      <c r="AMY76" s="129">
        <v>-8</v>
      </c>
      <c r="AMZ76" s="149" t="s">
        <v>3843</v>
      </c>
      <c r="AND76" s="149" t="s">
        <v>3843</v>
      </c>
      <c r="ANH76" s="129">
        <v>-8</v>
      </c>
      <c r="ANK76" s="129" t="s">
        <v>3843</v>
      </c>
      <c r="ANO76" s="149" t="s">
        <v>3843</v>
      </c>
      <c r="ANS76" s="129">
        <v>-8</v>
      </c>
      <c r="ANV76" s="149" t="s">
        <v>3843</v>
      </c>
      <c r="ANZ76" s="149" t="s">
        <v>3843</v>
      </c>
      <c r="AOD76" s="129">
        <v>-8</v>
      </c>
      <c r="AOG76" s="149" t="s">
        <v>3843</v>
      </c>
      <c r="APO76" s="130" t="s">
        <v>3857</v>
      </c>
      <c r="APP76" s="130" t="s">
        <v>3857</v>
      </c>
      <c r="APQ76" s="130" t="s">
        <v>3857</v>
      </c>
      <c r="APR76" s="130" t="s">
        <v>3863</v>
      </c>
      <c r="APS76" s="130"/>
      <c r="APT76" s="130" t="s">
        <v>3857</v>
      </c>
      <c r="APU76" s="130" t="s">
        <v>3857</v>
      </c>
      <c r="APV76" s="130" t="s">
        <v>3857</v>
      </c>
      <c r="APW76" s="130" t="s">
        <v>3857</v>
      </c>
      <c r="APX76" s="130"/>
      <c r="APY76" s="130" t="s">
        <v>3857</v>
      </c>
      <c r="APZ76" s="130" t="s">
        <v>3857</v>
      </c>
      <c r="AQA76" s="130" t="s">
        <v>3857</v>
      </c>
      <c r="AQB76" s="130"/>
      <c r="AQC76" s="130" t="s">
        <v>3857</v>
      </c>
      <c r="AQD76" s="130" t="s">
        <v>3857</v>
      </c>
      <c r="AQE76" s="130" t="s">
        <v>3857</v>
      </c>
      <c r="AQF76" s="130" t="s">
        <v>3862</v>
      </c>
      <c r="AQG76" s="130" t="s">
        <v>3857</v>
      </c>
      <c r="AQH76" s="130" t="s">
        <v>3857</v>
      </c>
      <c r="AQI76" s="130"/>
      <c r="AQJ76" s="130" t="s">
        <v>3857</v>
      </c>
      <c r="AQK76" s="130" t="s">
        <v>3857</v>
      </c>
      <c r="AQL76" s="130" t="s">
        <v>3857</v>
      </c>
      <c r="AQM76" s="130"/>
      <c r="AQN76" s="130" t="s">
        <v>3857</v>
      </c>
      <c r="AQO76" s="130" t="s">
        <v>3857</v>
      </c>
      <c r="AQP76" s="130" t="s">
        <v>3862</v>
      </c>
      <c r="AQQ76" s="130" t="s">
        <v>3857</v>
      </c>
      <c r="AQR76" s="130" t="s">
        <v>3857</v>
      </c>
      <c r="AQS76" s="130" t="s">
        <v>3857</v>
      </c>
      <c r="AQT76" s="130"/>
      <c r="AQU76" s="130" t="s">
        <v>3857</v>
      </c>
      <c r="AQV76" s="130" t="s">
        <v>3857</v>
      </c>
      <c r="AQW76" s="130" t="s">
        <v>3857</v>
      </c>
      <c r="AQX76" s="130"/>
      <c r="AQY76" s="130" t="s">
        <v>3857</v>
      </c>
      <c r="AQZ76" s="130" t="s">
        <v>3857</v>
      </c>
      <c r="ARA76" s="130" t="s">
        <v>3857</v>
      </c>
      <c r="ARB76" s="130" t="s">
        <v>3857</v>
      </c>
      <c r="ARC76" s="130" t="s">
        <v>3857</v>
      </c>
      <c r="ARD76" s="130" t="s">
        <v>3862</v>
      </c>
      <c r="ARE76" s="130"/>
      <c r="ARF76" s="130" t="s">
        <v>3857</v>
      </c>
      <c r="ARG76" s="130" t="s">
        <v>3857</v>
      </c>
      <c r="ARH76" s="130" t="s">
        <v>3857</v>
      </c>
      <c r="ARI76" s="130"/>
      <c r="ARJ76" s="130" t="s">
        <v>3857</v>
      </c>
      <c r="ARK76" s="130" t="s">
        <v>3857</v>
      </c>
      <c r="ARL76" s="130" t="s">
        <v>3857</v>
      </c>
      <c r="ARM76" s="130" t="s">
        <v>3857</v>
      </c>
      <c r="ARN76" s="130" t="s">
        <v>3857</v>
      </c>
      <c r="ARO76" s="130" t="s">
        <v>3857</v>
      </c>
      <c r="ARP76" s="130"/>
      <c r="ARQ76" s="130" t="s">
        <v>3857</v>
      </c>
      <c r="ARR76" s="130" t="s">
        <v>3857</v>
      </c>
      <c r="ARS76" s="130" t="s">
        <v>3857</v>
      </c>
      <c r="ART76" s="130"/>
      <c r="ARU76" s="130" t="s">
        <v>3857</v>
      </c>
      <c r="ARV76" s="130" t="s">
        <v>3857</v>
      </c>
      <c r="ARW76" s="130" t="s">
        <v>3857</v>
      </c>
      <c r="ARX76" s="130" t="s">
        <v>3857</v>
      </c>
      <c r="ARY76" s="130" t="s">
        <v>3857</v>
      </c>
      <c r="ARZ76" s="130" t="s">
        <v>3862</v>
      </c>
      <c r="ASA76" s="130"/>
      <c r="ASB76" s="130" t="s">
        <v>3857</v>
      </c>
      <c r="ASC76" s="130" t="s">
        <v>3857</v>
      </c>
      <c r="ASD76" s="130" t="s">
        <v>3857</v>
      </c>
      <c r="ASE76" s="130"/>
      <c r="ASF76" s="130" t="s">
        <v>3857</v>
      </c>
      <c r="ASG76" s="130" t="s">
        <v>3857</v>
      </c>
      <c r="ASH76" s="130" t="s">
        <v>3857</v>
      </c>
      <c r="ASI76" s="130" t="s">
        <v>3862</v>
      </c>
      <c r="ASJ76" s="130" t="s">
        <v>3857</v>
      </c>
      <c r="ASK76" s="130" t="s">
        <v>3857</v>
      </c>
      <c r="ASL76" s="130"/>
      <c r="ASM76" s="130"/>
      <c r="ASN76" s="130"/>
      <c r="ASO76" s="130"/>
      <c r="ASP76" s="130"/>
      <c r="ASQ76" s="130"/>
      <c r="ASR76" s="130"/>
      <c r="ASS76" s="130"/>
      <c r="AST76" s="130"/>
      <c r="ASU76" s="130"/>
      <c r="ASV76" s="130"/>
      <c r="ASW76" s="130"/>
      <c r="ATA76" s="129">
        <v>-7</v>
      </c>
      <c r="ATO76" s="129">
        <v>-8</v>
      </c>
      <c r="ATR76" s="129" t="s">
        <v>3843</v>
      </c>
      <c r="ATZ76" s="129">
        <v>-8</v>
      </c>
      <c r="AUC76" s="129" t="s">
        <v>3843</v>
      </c>
      <c r="AUJ76" s="129">
        <v>-8</v>
      </c>
      <c r="AUN76" s="129" t="s">
        <v>3843</v>
      </c>
      <c r="AUR76" s="129">
        <v>-7</v>
      </c>
      <c r="AUS76" s="129" t="s">
        <v>3843</v>
      </c>
      <c r="AUX76" s="129" t="s">
        <v>3843</v>
      </c>
      <c r="AUZ76" s="129">
        <v>-7</v>
      </c>
      <c r="AVA76" s="129" t="s">
        <v>3843</v>
      </c>
      <c r="AVF76" s="129" t="s">
        <v>3843</v>
      </c>
    </row>
    <row r="77" spans="1:1296" s="129" customFormat="1" ht="15.75" outlineLevel="1">
      <c r="A77" s="137" t="s">
        <v>236</v>
      </c>
      <c r="B77" s="139" t="s">
        <v>347</v>
      </c>
      <c r="C77" s="139" t="s">
        <v>3861</v>
      </c>
      <c r="D77" s="139" t="s">
        <v>3860</v>
      </c>
      <c r="E77" s="137">
        <v>99</v>
      </c>
      <c r="F77" s="138"/>
      <c r="G77" s="136" t="s">
        <v>348</v>
      </c>
      <c r="H77" s="136" t="s">
        <v>366</v>
      </c>
      <c r="I77" s="136" t="s">
        <v>366</v>
      </c>
      <c r="J77" s="136" t="s">
        <v>366</v>
      </c>
      <c r="K77" s="136" t="s">
        <v>366</v>
      </c>
      <c r="L77" s="136" t="s">
        <v>13</v>
      </c>
      <c r="M77" s="136" t="s">
        <v>13</v>
      </c>
      <c r="N77" s="136" t="s">
        <v>366</v>
      </c>
      <c r="O77" s="138"/>
      <c r="LK77" s="135"/>
      <c r="LL77" s="135"/>
      <c r="LM77" s="135"/>
      <c r="LN77" s="135"/>
      <c r="LO77" s="135"/>
      <c r="LU77" s="135"/>
      <c r="LV77" s="135"/>
      <c r="LW77" s="135"/>
      <c r="LX77" s="135"/>
      <c r="LY77" s="135"/>
      <c r="LZ77" s="135"/>
      <c r="MA77" s="135"/>
      <c r="MB77" s="135"/>
      <c r="MC77" s="135"/>
      <c r="MD77" s="135"/>
      <c r="ME77" s="135"/>
      <c r="MF77" s="135"/>
      <c r="MG77" s="135"/>
      <c r="MQ77" s="132"/>
      <c r="MR77" s="132"/>
      <c r="MS77" s="132"/>
      <c r="MT77" s="132"/>
      <c r="MU77" s="132"/>
      <c r="MV77" s="132"/>
      <c r="MW77" s="132"/>
      <c r="MX77" s="132"/>
      <c r="MY77" s="132"/>
      <c r="NB77" s="135"/>
      <c r="NC77" s="135"/>
      <c r="ND77" s="135"/>
      <c r="NE77" s="135"/>
      <c r="NF77" s="135"/>
      <c r="NL77" s="132"/>
      <c r="NM77" s="132"/>
      <c r="NN77" s="132"/>
      <c r="NO77" s="132"/>
      <c r="NP77" s="132"/>
      <c r="RQ77" s="134"/>
      <c r="RR77" s="134"/>
      <c r="RS77" s="134"/>
      <c r="RT77" s="134"/>
      <c r="TD77" s="133"/>
      <c r="TE77" s="132"/>
      <c r="TF77" s="132"/>
      <c r="TX77" s="132"/>
      <c r="TY77" s="132"/>
      <c r="TZ77" s="132"/>
      <c r="VL77" s="132"/>
      <c r="VM77" s="132"/>
      <c r="VN77" s="132"/>
      <c r="VO77" s="132"/>
      <c r="VR77" s="160">
        <v>0.65</v>
      </c>
      <c r="VS77" s="160">
        <v>0.65</v>
      </c>
      <c r="VT77" s="160">
        <v>0.6</v>
      </c>
      <c r="VU77" s="160" t="s">
        <v>3843</v>
      </c>
      <c r="VV77" s="160">
        <v>0.7</v>
      </c>
      <c r="VW77" s="160">
        <v>0.65</v>
      </c>
      <c r="VX77" s="160">
        <v>0.7</v>
      </c>
      <c r="VY77" s="160">
        <v>0.65</v>
      </c>
      <c r="VZ77" s="160">
        <v>0.65</v>
      </c>
      <c r="WA77" s="160">
        <v>0.7</v>
      </c>
      <c r="WB77" s="160" t="s">
        <v>3843</v>
      </c>
      <c r="WC77" s="160">
        <v>0.55000000000000004</v>
      </c>
      <c r="WD77" s="160">
        <v>0.5</v>
      </c>
      <c r="WE77" s="160">
        <v>0.55000000000000004</v>
      </c>
      <c r="WF77" s="160" t="s">
        <v>3843</v>
      </c>
      <c r="WG77" s="160">
        <v>0.55000000000000004</v>
      </c>
      <c r="WH77" s="160">
        <v>0.55000000000000004</v>
      </c>
      <c r="WI77" s="160">
        <v>0.55000000000000004</v>
      </c>
      <c r="WJ77" s="160">
        <v>0.55000000000000004</v>
      </c>
      <c r="WK77" s="160">
        <v>0.6</v>
      </c>
      <c r="WL77" s="160">
        <v>0.6</v>
      </c>
      <c r="WM77" s="160" t="s">
        <v>3843</v>
      </c>
      <c r="WN77" s="160">
        <v>0.55000000000000004</v>
      </c>
      <c r="WO77" s="160">
        <v>0.5</v>
      </c>
      <c r="WP77" s="160">
        <v>0.55000000000000004</v>
      </c>
      <c r="WQ77" s="160" t="s">
        <v>3843</v>
      </c>
      <c r="WR77" s="160">
        <v>0.6</v>
      </c>
      <c r="WS77" s="160">
        <v>0.55000000000000004</v>
      </c>
      <c r="WT77" s="160">
        <v>0.55000000000000004</v>
      </c>
      <c r="WU77" s="160">
        <v>0.55000000000000004</v>
      </c>
      <c r="WV77" s="160">
        <v>0.55000000000000004</v>
      </c>
      <c r="WW77" s="160">
        <v>0.6</v>
      </c>
      <c r="WX77" s="160" t="s">
        <v>3843</v>
      </c>
      <c r="WY77" s="160">
        <v>0.7</v>
      </c>
      <c r="WZ77" s="160">
        <v>0.7</v>
      </c>
      <c r="XA77" s="160">
        <v>0.7</v>
      </c>
      <c r="XB77" s="160" t="s">
        <v>3843</v>
      </c>
      <c r="XC77" s="160">
        <v>0.8</v>
      </c>
      <c r="XD77" s="160">
        <v>0.85</v>
      </c>
      <c r="XE77" s="160">
        <v>0.8</v>
      </c>
      <c r="XF77" s="160">
        <v>0.8</v>
      </c>
      <c r="XG77" s="160">
        <v>0.8</v>
      </c>
      <c r="XH77" s="160">
        <v>0.8</v>
      </c>
      <c r="XI77" s="131" t="s">
        <v>3843</v>
      </c>
      <c r="XJ77" s="160">
        <v>0.65</v>
      </c>
      <c r="XK77" s="160">
        <v>0.65</v>
      </c>
      <c r="XL77" s="160">
        <v>0.65</v>
      </c>
      <c r="XM77" s="160" t="s">
        <v>3843</v>
      </c>
      <c r="XN77" s="160">
        <v>0.75</v>
      </c>
      <c r="XO77" s="160">
        <v>0.7</v>
      </c>
      <c r="XP77" s="160">
        <v>0.7</v>
      </c>
      <c r="XQ77" s="160">
        <v>0.7</v>
      </c>
      <c r="XR77" s="160">
        <v>0.75</v>
      </c>
      <c r="XS77" s="160">
        <v>0.75</v>
      </c>
      <c r="XT77" s="160" t="s">
        <v>3843</v>
      </c>
      <c r="XU77" s="160">
        <v>0.55000000000000004</v>
      </c>
      <c r="XV77" s="160">
        <v>0.5</v>
      </c>
      <c r="XW77" s="160">
        <v>0.55000000000000004</v>
      </c>
      <c r="XX77" s="160" t="s">
        <v>3843</v>
      </c>
      <c r="XY77" s="160">
        <v>0.55000000000000004</v>
      </c>
      <c r="XZ77" s="160">
        <v>0.55000000000000004</v>
      </c>
      <c r="YA77" s="160">
        <v>0.55000000000000004</v>
      </c>
      <c r="YB77" s="160">
        <v>0.5</v>
      </c>
      <c r="YC77" s="160">
        <v>0.55000000000000004</v>
      </c>
      <c r="YD77" s="160">
        <v>0.55000000000000004</v>
      </c>
      <c r="YE77" s="160" t="s">
        <v>3843</v>
      </c>
      <c r="YF77" s="160">
        <v>0.65</v>
      </c>
      <c r="YG77" s="160">
        <v>0.7</v>
      </c>
      <c r="YH77" s="160">
        <v>0.65</v>
      </c>
      <c r="YI77" s="160" t="s">
        <v>3843</v>
      </c>
      <c r="YJ77" s="160">
        <v>0.75</v>
      </c>
      <c r="YK77" s="160">
        <v>0.75</v>
      </c>
      <c r="YL77" s="160">
        <v>0.75</v>
      </c>
      <c r="YM77" s="160">
        <v>0.75</v>
      </c>
      <c r="YN77" s="160">
        <v>0.75</v>
      </c>
      <c r="YO77" s="160">
        <v>0.75</v>
      </c>
      <c r="YP77" s="131" t="s">
        <v>3843</v>
      </c>
      <c r="YQ77" s="160">
        <v>0.7</v>
      </c>
      <c r="YR77" s="160">
        <v>0.75</v>
      </c>
      <c r="YS77" s="160">
        <v>0.7</v>
      </c>
      <c r="YT77" s="160" t="s">
        <v>3843</v>
      </c>
      <c r="YU77" s="160">
        <v>0.8</v>
      </c>
      <c r="YV77" s="160">
        <v>0.8</v>
      </c>
      <c r="YW77" s="160">
        <v>0.8</v>
      </c>
      <c r="YX77" s="160">
        <v>0.75</v>
      </c>
      <c r="YY77" s="160">
        <v>0.75</v>
      </c>
      <c r="YZ77" s="160">
        <v>0.8</v>
      </c>
      <c r="ZA77" s="131" t="s">
        <v>3843</v>
      </c>
      <c r="ZB77" s="160">
        <v>0.5</v>
      </c>
      <c r="ZC77" s="160">
        <v>0.45</v>
      </c>
      <c r="ZD77" s="160">
        <v>0.5</v>
      </c>
      <c r="ZE77" s="160" t="s">
        <v>3843</v>
      </c>
      <c r="ZF77" s="160">
        <v>0.55000000000000004</v>
      </c>
      <c r="ZG77" s="160">
        <v>0.55000000000000004</v>
      </c>
      <c r="ZH77" s="160">
        <v>0.5</v>
      </c>
      <c r="ZI77" s="160">
        <v>0.5</v>
      </c>
      <c r="ZJ77" s="160">
        <v>0.55000000000000004</v>
      </c>
      <c r="ZK77" s="160">
        <v>0.55000000000000004</v>
      </c>
      <c r="ZL77" s="131" t="s">
        <v>3843</v>
      </c>
      <c r="ZM77" s="160">
        <v>0.35</v>
      </c>
      <c r="ZN77" s="160">
        <v>0.35</v>
      </c>
      <c r="ZO77" s="160">
        <v>0.35</v>
      </c>
      <c r="ZP77" s="160" t="s">
        <v>3843</v>
      </c>
      <c r="ZQ77" s="160">
        <v>0.35</v>
      </c>
      <c r="ZR77" s="160">
        <v>0.35</v>
      </c>
      <c r="ZS77" s="160">
        <v>0.35</v>
      </c>
      <c r="ZT77" s="160">
        <v>0.35</v>
      </c>
      <c r="ZU77" s="160">
        <v>0.4</v>
      </c>
      <c r="ZV77" s="160">
        <v>0.4</v>
      </c>
      <c r="ZW77" s="160" t="s">
        <v>3843</v>
      </c>
      <c r="ZX77" s="160"/>
      <c r="ZY77" s="160"/>
      <c r="ZZ77" s="160"/>
      <c r="AAA77" s="160" t="s">
        <v>3843</v>
      </c>
      <c r="AAB77" s="160"/>
      <c r="AAC77" s="160"/>
      <c r="AAD77" s="160"/>
      <c r="AAE77" s="160"/>
      <c r="AAF77" s="160"/>
      <c r="AAG77" s="160"/>
      <c r="AAH77" s="160" t="s">
        <v>3843</v>
      </c>
      <c r="AAJ77" s="160">
        <v>0.6</v>
      </c>
      <c r="AAK77" s="160">
        <v>0.55000000000000004</v>
      </c>
      <c r="AAL77" s="160">
        <v>0.55000000000000004</v>
      </c>
      <c r="AAM77" s="160" t="s">
        <v>3843</v>
      </c>
      <c r="AAN77" s="160">
        <v>0.6</v>
      </c>
      <c r="AAO77" s="160">
        <v>0.55000000000000004</v>
      </c>
      <c r="AAP77" s="160">
        <v>0.55000000000000004</v>
      </c>
      <c r="AAQ77" s="160">
        <v>0.55000000000000004</v>
      </c>
      <c r="AAR77" s="160">
        <v>0.6</v>
      </c>
      <c r="AAS77" s="160">
        <v>0.55000000000000004</v>
      </c>
      <c r="AAT77" s="131" t="s">
        <v>3843</v>
      </c>
      <c r="AAU77" s="160">
        <v>0.7</v>
      </c>
      <c r="AAV77" s="160">
        <v>0.65</v>
      </c>
      <c r="AAW77" s="160">
        <v>0.65</v>
      </c>
      <c r="AAX77" s="160" t="s">
        <v>3843</v>
      </c>
      <c r="AAY77" s="160">
        <v>0.75</v>
      </c>
      <c r="AAZ77" s="160">
        <v>0.75</v>
      </c>
      <c r="ABA77" s="160">
        <v>0.75</v>
      </c>
      <c r="ABB77" s="160">
        <v>0.75</v>
      </c>
      <c r="ABC77" s="160">
        <v>0.75</v>
      </c>
      <c r="ABD77" s="160">
        <v>0.75</v>
      </c>
      <c r="ABE77" s="160" t="s">
        <v>3843</v>
      </c>
      <c r="ABF77" s="160">
        <v>0.65</v>
      </c>
      <c r="ABG77" s="160">
        <v>0.65</v>
      </c>
      <c r="ABH77" s="160">
        <v>0.65</v>
      </c>
      <c r="ABI77" s="160" t="s">
        <v>3843</v>
      </c>
      <c r="ABJ77" s="160">
        <v>0.75</v>
      </c>
      <c r="ABK77" s="160">
        <v>0.7</v>
      </c>
      <c r="ABL77" s="160">
        <v>0.7</v>
      </c>
      <c r="ABM77" s="160">
        <v>0.75</v>
      </c>
      <c r="ABN77" s="160">
        <v>0.7</v>
      </c>
      <c r="ABO77" s="160">
        <v>0.75</v>
      </c>
      <c r="ABP77" s="131" t="s">
        <v>3843</v>
      </c>
      <c r="ABQ77" s="160">
        <v>0.65</v>
      </c>
      <c r="ABR77" s="160">
        <v>0.7</v>
      </c>
      <c r="ABS77" s="160">
        <v>0.65</v>
      </c>
      <c r="ABT77" s="160" t="s">
        <v>3843</v>
      </c>
      <c r="ABU77" s="160">
        <v>0.75</v>
      </c>
      <c r="ABV77" s="160">
        <v>0.8</v>
      </c>
      <c r="ABW77" s="160">
        <v>0.75</v>
      </c>
      <c r="ABX77" s="160">
        <v>0.8</v>
      </c>
      <c r="ABY77" s="160">
        <v>0.8</v>
      </c>
      <c r="ABZ77" s="160">
        <v>0.8</v>
      </c>
      <c r="ACA77" s="131" t="s">
        <v>3843</v>
      </c>
      <c r="ACB77" s="160">
        <v>0.65</v>
      </c>
      <c r="ACC77" s="160">
        <v>0.65</v>
      </c>
      <c r="ACD77" s="160">
        <v>0.65</v>
      </c>
      <c r="ACE77" s="160" t="s">
        <v>3843</v>
      </c>
      <c r="ACF77" s="160">
        <v>0.75</v>
      </c>
      <c r="ACG77" s="160">
        <v>0.8</v>
      </c>
      <c r="ACH77" s="160">
        <v>0.8</v>
      </c>
      <c r="ACI77" s="160">
        <v>0.8</v>
      </c>
      <c r="ACJ77" s="160">
        <v>0.8</v>
      </c>
      <c r="ACK77" s="160">
        <v>0.8</v>
      </c>
      <c r="ACL77" s="131" t="s">
        <v>3843</v>
      </c>
      <c r="ACM77" s="160">
        <v>0.4</v>
      </c>
      <c r="ACN77" s="160">
        <v>0.4</v>
      </c>
      <c r="ACO77" s="160">
        <v>0.4</v>
      </c>
      <c r="ACP77" s="160" t="s">
        <v>3843</v>
      </c>
      <c r="ACQ77" s="160">
        <v>0.55000000000000004</v>
      </c>
      <c r="ACR77" s="160">
        <v>0.55000000000000004</v>
      </c>
      <c r="ACS77" s="160">
        <v>0.55000000000000004</v>
      </c>
      <c r="ACT77" s="160">
        <v>0.6</v>
      </c>
      <c r="ACU77" s="160">
        <v>0.55000000000000004</v>
      </c>
      <c r="ACV77" s="160">
        <v>0.6</v>
      </c>
      <c r="ACW77" s="131" t="s">
        <v>3843</v>
      </c>
      <c r="ACX77" s="160">
        <v>0.65</v>
      </c>
      <c r="ACY77" s="160">
        <v>0.6</v>
      </c>
      <c r="ACZ77" s="160">
        <v>0.65</v>
      </c>
      <c r="ADA77" s="160" t="s">
        <v>3843</v>
      </c>
      <c r="ADB77" s="160">
        <v>0.75</v>
      </c>
      <c r="ADC77" s="160">
        <v>0.8</v>
      </c>
      <c r="ADD77" s="160">
        <v>0.75</v>
      </c>
      <c r="ADE77" s="160">
        <v>0.8</v>
      </c>
      <c r="ADF77" s="160">
        <v>0.8</v>
      </c>
      <c r="ADG77" s="160">
        <v>0.8</v>
      </c>
      <c r="ADH77" s="131" t="s">
        <v>3843</v>
      </c>
      <c r="ADI77" s="160">
        <v>0.4</v>
      </c>
      <c r="ADJ77" s="160">
        <v>0.4</v>
      </c>
      <c r="ADK77" s="160">
        <v>0.4</v>
      </c>
      <c r="ADL77" s="160" t="s">
        <v>3843</v>
      </c>
      <c r="ADM77" s="160">
        <v>0.4</v>
      </c>
      <c r="ADN77" s="160">
        <v>0.4</v>
      </c>
      <c r="ADO77" s="160">
        <v>0.4</v>
      </c>
      <c r="ADP77" s="160">
        <v>0.45</v>
      </c>
      <c r="ADQ77" s="160">
        <v>0.4</v>
      </c>
      <c r="ADR77" s="160">
        <v>0.45</v>
      </c>
      <c r="ADS77" s="131" t="s">
        <v>3843</v>
      </c>
      <c r="ADT77" s="160">
        <v>0.5</v>
      </c>
      <c r="ADU77" s="160">
        <v>0.5</v>
      </c>
      <c r="ADV77" s="160">
        <v>0.5</v>
      </c>
      <c r="ADW77" s="160" t="s">
        <v>3843</v>
      </c>
      <c r="ADX77" s="160">
        <v>0.55000000000000004</v>
      </c>
      <c r="ADY77" s="160">
        <v>0.55000000000000004</v>
      </c>
      <c r="ADZ77" s="160">
        <v>0.55000000000000004</v>
      </c>
      <c r="AEA77" s="160">
        <v>0.55000000000000004</v>
      </c>
      <c r="AEB77" s="160">
        <v>0.55000000000000004</v>
      </c>
      <c r="AEC77" s="160">
        <v>0.6</v>
      </c>
      <c r="AED77" s="131" t="s">
        <v>3843</v>
      </c>
      <c r="AEE77" s="160">
        <v>0.35</v>
      </c>
      <c r="AEF77" s="160">
        <v>0.3</v>
      </c>
      <c r="AEG77" s="160">
        <v>0.35</v>
      </c>
      <c r="AEH77" s="160" t="s">
        <v>3843</v>
      </c>
      <c r="AEI77" s="160">
        <v>0.4</v>
      </c>
      <c r="AEJ77" s="160">
        <v>0.45</v>
      </c>
      <c r="AEK77" s="160">
        <v>0.45</v>
      </c>
      <c r="AEL77" s="160">
        <v>0.45</v>
      </c>
      <c r="AEM77" s="160">
        <v>0.45</v>
      </c>
      <c r="AEN77" s="160">
        <v>0.5</v>
      </c>
      <c r="AEO77" s="131" t="s">
        <v>3843</v>
      </c>
      <c r="AEP77" s="160">
        <v>0.7</v>
      </c>
      <c r="AEQ77" s="160">
        <v>0.7</v>
      </c>
      <c r="AER77" s="160">
        <v>0.7</v>
      </c>
      <c r="AES77" s="160" t="s">
        <v>3843</v>
      </c>
      <c r="AET77" s="160">
        <v>0.8</v>
      </c>
      <c r="AEU77" s="160">
        <v>0.85</v>
      </c>
      <c r="AEV77" s="160">
        <v>0.8</v>
      </c>
      <c r="AEW77" s="160">
        <v>0.85</v>
      </c>
      <c r="AEX77" s="160">
        <v>0.8</v>
      </c>
      <c r="AEY77" s="160">
        <v>0.85</v>
      </c>
      <c r="AEZ77" s="131" t="s">
        <v>3843</v>
      </c>
      <c r="AFA77" s="160">
        <v>0.7</v>
      </c>
      <c r="AFB77" s="160">
        <v>0.7</v>
      </c>
      <c r="AFC77" s="160">
        <v>0.7</v>
      </c>
      <c r="AFD77" s="160" t="s">
        <v>3843</v>
      </c>
      <c r="AFE77" s="160">
        <v>0.8</v>
      </c>
      <c r="AFF77" s="160">
        <v>0.85</v>
      </c>
      <c r="AFG77" s="160">
        <v>0.85</v>
      </c>
      <c r="AFH77" s="160">
        <v>0.85</v>
      </c>
      <c r="AFI77" s="160">
        <v>0.85</v>
      </c>
      <c r="AFJ77" s="160">
        <v>0.9</v>
      </c>
      <c r="AFK77" s="131" t="s">
        <v>3843</v>
      </c>
      <c r="AFN77" s="149">
        <v>0.1</v>
      </c>
      <c r="AFO77" s="149"/>
      <c r="AFP77" s="149"/>
      <c r="AFQ77" s="149"/>
      <c r="AFR77" s="149" t="s">
        <v>3843</v>
      </c>
      <c r="AFS77" s="149">
        <v>0.1</v>
      </c>
      <c r="AFT77" s="149">
        <v>0.15</v>
      </c>
      <c r="AFU77" s="149"/>
      <c r="AFV77" s="149"/>
      <c r="AFW77" s="149" t="s">
        <v>3843</v>
      </c>
      <c r="AFX77" s="149">
        <v>0.1</v>
      </c>
      <c r="AFY77" s="149"/>
      <c r="AFZ77" s="149"/>
      <c r="AGA77" s="149"/>
      <c r="AGB77" s="149" t="s">
        <v>3843</v>
      </c>
      <c r="AGC77" s="149">
        <v>0.1</v>
      </c>
      <c r="AGD77" s="149">
        <v>0.15</v>
      </c>
      <c r="AGE77" s="149"/>
      <c r="AGF77" s="149"/>
      <c r="AGG77" s="149" t="s">
        <v>3843</v>
      </c>
      <c r="AGH77" s="149">
        <v>0.1</v>
      </c>
      <c r="AGI77" s="149"/>
      <c r="AGJ77" s="149"/>
      <c r="AGK77" s="149"/>
      <c r="AGL77" s="149" t="s">
        <v>3843</v>
      </c>
      <c r="AGM77" s="149">
        <v>0.1</v>
      </c>
      <c r="AGN77" s="149">
        <v>0.15</v>
      </c>
      <c r="AGO77" s="149"/>
      <c r="AGP77" s="149"/>
      <c r="AGQ77" s="149" t="s">
        <v>3843</v>
      </c>
      <c r="AGR77" s="149">
        <v>0.65</v>
      </c>
      <c r="AGS77" s="149">
        <v>0.65</v>
      </c>
      <c r="AGT77" s="149">
        <v>0.65</v>
      </c>
      <c r="AGU77" s="149" t="s">
        <v>3843</v>
      </c>
      <c r="AGV77" s="149">
        <v>0.7</v>
      </c>
      <c r="AGW77" s="149">
        <v>0.7</v>
      </c>
      <c r="AGX77" s="149">
        <v>0.7</v>
      </c>
      <c r="AGY77" s="149">
        <v>0.7</v>
      </c>
      <c r="AGZ77" s="149">
        <v>0.7</v>
      </c>
      <c r="AHA77" s="149">
        <v>0.75</v>
      </c>
      <c r="AHB77" s="149" t="s">
        <v>3843</v>
      </c>
      <c r="AHC77" s="149">
        <v>0.65</v>
      </c>
      <c r="AHD77" s="149">
        <v>0.65</v>
      </c>
      <c r="AHE77" s="149">
        <v>0.65</v>
      </c>
      <c r="AHF77" s="149" t="s">
        <v>3843</v>
      </c>
      <c r="AHG77" s="149">
        <v>0.7</v>
      </c>
      <c r="AHH77" s="149">
        <v>0.7</v>
      </c>
      <c r="AHI77" s="149">
        <v>0.7</v>
      </c>
      <c r="AHJ77" s="149">
        <v>0.7</v>
      </c>
      <c r="AHK77" s="149">
        <v>0.7</v>
      </c>
      <c r="AHL77" s="149">
        <v>0.75</v>
      </c>
      <c r="AHM77" s="149" t="s">
        <v>3843</v>
      </c>
      <c r="AHN77" s="149">
        <v>0.65</v>
      </c>
      <c r="AHO77" s="149">
        <v>0.65</v>
      </c>
      <c r="AHP77" s="149">
        <v>0.65</v>
      </c>
      <c r="AHQ77" s="149" t="s">
        <v>3843</v>
      </c>
      <c r="AHR77" s="149">
        <v>0.7</v>
      </c>
      <c r="AHS77" s="149">
        <v>0.7</v>
      </c>
      <c r="AHT77" s="149">
        <v>0.7</v>
      </c>
      <c r="AHU77" s="149">
        <v>0.7</v>
      </c>
      <c r="AHV77" s="149">
        <v>0.7</v>
      </c>
      <c r="AHW77" s="149">
        <v>0.75</v>
      </c>
      <c r="AHX77" s="149" t="s">
        <v>3843</v>
      </c>
      <c r="AHY77" s="149">
        <v>0.65</v>
      </c>
      <c r="AHZ77" s="149">
        <v>0.65</v>
      </c>
      <c r="AIA77" s="149">
        <v>0.65</v>
      </c>
      <c r="AIB77" s="129" t="s">
        <v>3843</v>
      </c>
      <c r="AIC77" s="149">
        <v>0.7</v>
      </c>
      <c r="AID77" s="149">
        <v>0.7</v>
      </c>
      <c r="AIE77" s="149">
        <v>0.7</v>
      </c>
      <c r="AIF77" s="149">
        <v>0.7</v>
      </c>
      <c r="AIG77" s="149">
        <v>0.7</v>
      </c>
      <c r="AIH77" s="149">
        <v>0.75</v>
      </c>
      <c r="AII77" s="149" t="s">
        <v>3843</v>
      </c>
      <c r="AIJ77" s="149">
        <v>0.65</v>
      </c>
      <c r="AIK77" s="149">
        <v>0.65</v>
      </c>
      <c r="AIL77" s="149">
        <v>0.65</v>
      </c>
      <c r="AIM77" s="149" t="s">
        <v>3843</v>
      </c>
      <c r="AIN77" s="149">
        <v>0.7</v>
      </c>
      <c r="AIO77" s="149">
        <v>0.7</v>
      </c>
      <c r="AIP77" s="149">
        <v>0.7</v>
      </c>
      <c r="AIQ77" s="149">
        <v>0.7</v>
      </c>
      <c r="AIR77" s="149">
        <v>0.7</v>
      </c>
      <c r="AIS77" s="149">
        <v>0.75</v>
      </c>
      <c r="AIT77" s="149" t="s">
        <v>3843</v>
      </c>
      <c r="AIU77" s="149">
        <v>0.65</v>
      </c>
      <c r="AIV77" s="149">
        <v>0.65</v>
      </c>
      <c r="AIW77" s="149">
        <v>0.65</v>
      </c>
      <c r="AIX77" s="149" t="s">
        <v>3843</v>
      </c>
      <c r="AIY77" s="149">
        <v>0.7</v>
      </c>
      <c r="AIZ77" s="149">
        <v>0.7</v>
      </c>
      <c r="AJA77" s="149">
        <v>0.7</v>
      </c>
      <c r="AJB77" s="149">
        <v>0.7</v>
      </c>
      <c r="AJC77" s="149">
        <v>0.7</v>
      </c>
      <c r="AJD77" s="149">
        <v>0.75</v>
      </c>
      <c r="AJE77" s="149" t="s">
        <v>3843</v>
      </c>
      <c r="AJF77" s="149">
        <v>0.4</v>
      </c>
      <c r="AJG77" s="149">
        <v>0.4</v>
      </c>
      <c r="AJH77" s="149">
        <v>0.4</v>
      </c>
      <c r="AJI77" s="149" t="s">
        <v>3843</v>
      </c>
      <c r="AJJ77" s="149">
        <v>0.4</v>
      </c>
      <c r="AJK77" s="149">
        <v>0.4</v>
      </c>
      <c r="AJL77" s="149">
        <v>0.4</v>
      </c>
      <c r="AJM77" s="149">
        <v>0.4</v>
      </c>
      <c r="AJN77" s="149">
        <v>0.4</v>
      </c>
      <c r="AJO77" s="149">
        <v>0.4</v>
      </c>
      <c r="AJP77" s="149" t="s">
        <v>3843</v>
      </c>
      <c r="AJQ77" s="149">
        <v>0.4</v>
      </c>
      <c r="AJR77" s="149">
        <v>0.4</v>
      </c>
      <c r="AJS77" s="149">
        <v>0.4</v>
      </c>
      <c r="AJT77" s="149" t="s">
        <v>3843</v>
      </c>
      <c r="AJU77" s="149">
        <v>0.4</v>
      </c>
      <c r="AJV77" s="149">
        <v>0.4</v>
      </c>
      <c r="AJW77" s="149">
        <v>0.4</v>
      </c>
      <c r="AJX77" s="149">
        <v>0.4</v>
      </c>
      <c r="AJY77" s="149">
        <v>0.4</v>
      </c>
      <c r="AJZ77" s="149">
        <v>0.4</v>
      </c>
      <c r="AKA77" s="149" t="s">
        <v>3843</v>
      </c>
      <c r="AKB77" s="149">
        <v>0.4</v>
      </c>
      <c r="AKC77" s="149">
        <v>0.4</v>
      </c>
      <c r="AKD77" s="149">
        <v>0.4</v>
      </c>
      <c r="AKE77" s="149" t="s">
        <v>3843</v>
      </c>
      <c r="AKF77" s="149">
        <v>0.4</v>
      </c>
      <c r="AKG77" s="149">
        <v>0.4</v>
      </c>
      <c r="AKH77" s="149">
        <v>0.4</v>
      </c>
      <c r="AKI77" s="149">
        <v>0.4</v>
      </c>
      <c r="AKJ77" s="149">
        <v>0.4</v>
      </c>
      <c r="AKK77" s="149">
        <v>0.4</v>
      </c>
      <c r="AKL77" s="149" t="s">
        <v>3843</v>
      </c>
      <c r="AKM77" s="129">
        <v>0.7</v>
      </c>
      <c r="AKN77" s="129">
        <v>0.75</v>
      </c>
      <c r="AKO77" s="129">
        <v>0.7</v>
      </c>
      <c r="AKP77" s="129" t="s">
        <v>3843</v>
      </c>
      <c r="AKQ77" s="149">
        <v>0.8</v>
      </c>
      <c r="AKR77" s="149">
        <v>0.8</v>
      </c>
      <c r="AKS77" s="149">
        <v>0.8</v>
      </c>
      <c r="AKT77" s="149">
        <v>0.8</v>
      </c>
      <c r="AKU77" s="149">
        <v>0.75</v>
      </c>
      <c r="AKV77" s="149">
        <v>0.8</v>
      </c>
      <c r="AKW77" s="149" t="s">
        <v>3843</v>
      </c>
      <c r="AKX77" s="129">
        <v>0.7</v>
      </c>
      <c r="AKY77" s="129">
        <v>0.75</v>
      </c>
      <c r="AKZ77" s="129">
        <v>0.7</v>
      </c>
      <c r="ALA77" s="149" t="s">
        <v>3843</v>
      </c>
      <c r="ALB77" s="149">
        <v>0.8</v>
      </c>
      <c r="ALC77" s="149">
        <v>0.8</v>
      </c>
      <c r="ALD77" s="149">
        <v>0.8</v>
      </c>
      <c r="ALE77" s="149">
        <v>0.8</v>
      </c>
      <c r="ALF77" s="149">
        <v>0.75</v>
      </c>
      <c r="ALG77" s="149">
        <v>0.8</v>
      </c>
      <c r="ALH77" s="149" t="s">
        <v>3843</v>
      </c>
      <c r="ALI77" s="129">
        <v>0.7</v>
      </c>
      <c r="ALJ77" s="129">
        <v>0.75</v>
      </c>
      <c r="ALK77" s="129">
        <v>0.7</v>
      </c>
      <c r="ALL77" s="149" t="s">
        <v>3843</v>
      </c>
      <c r="ALM77" s="149">
        <v>0.8</v>
      </c>
      <c r="ALN77" s="149">
        <v>0.8</v>
      </c>
      <c r="ALO77" s="149">
        <v>0.8</v>
      </c>
      <c r="ALP77" s="149">
        <v>0.8</v>
      </c>
      <c r="ALQ77" s="149">
        <v>0.75</v>
      </c>
      <c r="ALR77" s="149">
        <v>0.8</v>
      </c>
      <c r="ALS77" s="149" t="s">
        <v>3843</v>
      </c>
      <c r="ALT77" s="149">
        <v>0.5</v>
      </c>
      <c r="ALU77" s="149">
        <v>0.45</v>
      </c>
      <c r="ALV77" s="149">
        <v>0.5</v>
      </c>
      <c r="ALW77" s="149" t="s">
        <v>3843</v>
      </c>
      <c r="ALX77" s="149">
        <v>0.5</v>
      </c>
      <c r="ALY77" s="149">
        <v>0.5</v>
      </c>
      <c r="ALZ77" s="149">
        <v>0.5</v>
      </c>
      <c r="AMA77" s="149">
        <v>0.5</v>
      </c>
      <c r="AMB77" s="149">
        <v>0.5</v>
      </c>
      <c r="AMC77" s="149">
        <v>0.5</v>
      </c>
      <c r="AMD77" s="149" t="s">
        <v>3843</v>
      </c>
      <c r="AME77" s="149">
        <v>0.5</v>
      </c>
      <c r="AMF77" s="149">
        <v>0.45</v>
      </c>
      <c r="AMG77" s="149">
        <v>0.5</v>
      </c>
      <c r="AMH77" s="149" t="s">
        <v>3843</v>
      </c>
      <c r="AMI77" s="149">
        <v>0.5</v>
      </c>
      <c r="AMJ77" s="149">
        <v>0.5</v>
      </c>
      <c r="AMK77" s="149">
        <v>0.5</v>
      </c>
      <c r="AML77" s="149">
        <v>0.5</v>
      </c>
      <c r="AMM77" s="149">
        <v>0.5</v>
      </c>
      <c r="AMN77" s="149">
        <v>0.5</v>
      </c>
      <c r="AMO77" s="149" t="s">
        <v>3843</v>
      </c>
      <c r="AMP77" s="149">
        <v>0.5</v>
      </c>
      <c r="AMQ77" s="149">
        <v>0.45</v>
      </c>
      <c r="AMR77" s="149">
        <v>0.5</v>
      </c>
      <c r="AMS77" s="149" t="s">
        <v>3843</v>
      </c>
      <c r="AMT77" s="149">
        <v>0.5</v>
      </c>
      <c r="AMU77" s="149">
        <v>0.5</v>
      </c>
      <c r="AMV77" s="149">
        <v>0.5</v>
      </c>
      <c r="AMW77" s="149">
        <v>0.5</v>
      </c>
      <c r="AMX77" s="149">
        <v>0.5</v>
      </c>
      <c r="AMY77" s="149">
        <v>0.5</v>
      </c>
      <c r="AMZ77" s="149" t="s">
        <v>3843</v>
      </c>
      <c r="ANA77" s="149">
        <v>0.65</v>
      </c>
      <c r="ANB77" s="149">
        <v>0.7</v>
      </c>
      <c r="ANC77" s="149">
        <v>0.7</v>
      </c>
      <c r="AND77" s="149" t="s">
        <v>3843</v>
      </c>
      <c r="ANE77" s="149">
        <v>0.75</v>
      </c>
      <c r="ANF77" s="149">
        <v>0.75</v>
      </c>
      <c r="ANG77" s="149">
        <v>0.75</v>
      </c>
      <c r="ANH77" s="149">
        <v>0.75</v>
      </c>
      <c r="ANI77" s="149">
        <v>0.75</v>
      </c>
      <c r="ANJ77" s="149">
        <v>0.75</v>
      </c>
      <c r="ANK77" s="149" t="s">
        <v>3843</v>
      </c>
      <c r="ANL77" s="149">
        <v>0.65</v>
      </c>
      <c r="ANM77" s="149">
        <v>0.7</v>
      </c>
      <c r="ANN77" s="149">
        <v>0.7</v>
      </c>
      <c r="ANO77" s="149" t="s">
        <v>3843</v>
      </c>
      <c r="ANP77" s="149">
        <v>0.75</v>
      </c>
      <c r="ANQ77" s="149">
        <v>0.75</v>
      </c>
      <c r="ANR77" s="149">
        <v>0.75</v>
      </c>
      <c r="ANS77" s="149">
        <v>0.75</v>
      </c>
      <c r="ANT77" s="149">
        <v>0.75</v>
      </c>
      <c r="ANU77" s="149">
        <v>0.75</v>
      </c>
      <c r="ANV77" s="149" t="s">
        <v>3843</v>
      </c>
      <c r="ANW77" s="149">
        <v>0.65</v>
      </c>
      <c r="ANX77" s="149">
        <v>0.7</v>
      </c>
      <c r="ANY77" s="149">
        <v>0.7</v>
      </c>
      <c r="ANZ77" s="149" t="s">
        <v>3843</v>
      </c>
      <c r="AOA77" s="149">
        <v>0.75</v>
      </c>
      <c r="AOB77" s="149">
        <v>0.75</v>
      </c>
      <c r="AOC77" s="149">
        <v>0.75</v>
      </c>
      <c r="AOD77" s="149">
        <v>0.75</v>
      </c>
      <c r="AOE77" s="149">
        <v>0.75</v>
      </c>
      <c r="AOF77" s="149">
        <v>0.75</v>
      </c>
      <c r="AOG77" s="149" t="s">
        <v>3843</v>
      </c>
      <c r="AOH77" s="149">
        <v>0.65</v>
      </c>
      <c r="AOI77" s="149">
        <v>0.7</v>
      </c>
      <c r="AOJ77" s="149">
        <v>0.7</v>
      </c>
      <c r="AOK77" s="129" t="s">
        <v>3843</v>
      </c>
      <c r="AOL77" s="149">
        <v>0.8</v>
      </c>
      <c r="AOM77" s="149">
        <v>0.75</v>
      </c>
      <c r="AON77" s="149">
        <v>0.75</v>
      </c>
      <c r="AOO77" s="149">
        <v>0.75</v>
      </c>
      <c r="AOP77" s="149">
        <v>0.75</v>
      </c>
      <c r="AOQ77" s="149">
        <v>0.8</v>
      </c>
      <c r="AOR77" s="129" t="s">
        <v>3843</v>
      </c>
      <c r="AOS77" s="149">
        <v>0.65</v>
      </c>
      <c r="AOT77" s="149">
        <v>0.7</v>
      </c>
      <c r="AOU77" s="149">
        <v>0.7</v>
      </c>
      <c r="AOV77" s="129" t="s">
        <v>3843</v>
      </c>
      <c r="AOW77" s="149">
        <v>0.8</v>
      </c>
      <c r="AOX77" s="149">
        <v>0.75</v>
      </c>
      <c r="AOY77" s="149">
        <v>0.75</v>
      </c>
      <c r="AOZ77" s="149">
        <v>0.75</v>
      </c>
      <c r="APA77" s="149">
        <v>0.75</v>
      </c>
      <c r="APB77" s="149">
        <v>0.8</v>
      </c>
      <c r="APC77" s="129" t="s">
        <v>3843</v>
      </c>
      <c r="APD77" s="149">
        <v>0.65</v>
      </c>
      <c r="APE77" s="149">
        <v>0.7</v>
      </c>
      <c r="APF77" s="149">
        <v>0.7</v>
      </c>
      <c r="APG77" s="129" t="s">
        <v>3843</v>
      </c>
      <c r="APH77" s="149">
        <v>0.8</v>
      </c>
      <c r="API77" s="149">
        <v>0.75</v>
      </c>
      <c r="APJ77" s="149">
        <v>0.75</v>
      </c>
      <c r="APK77" s="149">
        <v>0.75</v>
      </c>
      <c r="APL77" s="149">
        <v>0.75</v>
      </c>
      <c r="APM77" s="149">
        <v>0.8</v>
      </c>
      <c r="APN77" s="129" t="s">
        <v>3843</v>
      </c>
      <c r="APO77" s="130" t="s">
        <v>3857</v>
      </c>
      <c r="APP77" s="130" t="s">
        <v>3857</v>
      </c>
      <c r="APQ77" s="130" t="s">
        <v>3857</v>
      </c>
      <c r="APR77" s="130" t="s">
        <v>3859</v>
      </c>
      <c r="APS77" s="130"/>
      <c r="APT77" s="130" t="s">
        <v>3857</v>
      </c>
      <c r="APU77" s="130" t="s">
        <v>3857</v>
      </c>
      <c r="APV77" s="130" t="s">
        <v>3857</v>
      </c>
      <c r="APW77" s="130" t="s">
        <v>3857</v>
      </c>
      <c r="APX77" s="130"/>
      <c r="APY77" s="130" t="s">
        <v>3857</v>
      </c>
      <c r="APZ77" s="130" t="s">
        <v>3857</v>
      </c>
      <c r="AQA77" s="130" t="s">
        <v>3857</v>
      </c>
      <c r="AQB77" s="130"/>
      <c r="AQC77" s="130" t="s">
        <v>3857</v>
      </c>
      <c r="AQD77" s="130" t="s">
        <v>3857</v>
      </c>
      <c r="AQE77" s="130" t="s">
        <v>3857</v>
      </c>
      <c r="AQF77" s="130" t="s">
        <v>3858</v>
      </c>
      <c r="AQG77" s="130" t="s">
        <v>3857</v>
      </c>
      <c r="AQH77" s="130" t="s">
        <v>3857</v>
      </c>
      <c r="AQI77" s="130"/>
      <c r="AQJ77" s="130" t="s">
        <v>3857</v>
      </c>
      <c r="AQK77" s="130" t="s">
        <v>3857</v>
      </c>
      <c r="AQL77" s="130" t="s">
        <v>3857</v>
      </c>
      <c r="AQM77" s="130"/>
      <c r="AQN77" s="130" t="s">
        <v>3857</v>
      </c>
      <c r="AQO77" s="130" t="s">
        <v>3857</v>
      </c>
      <c r="AQP77" s="130" t="s">
        <v>3858</v>
      </c>
      <c r="AQQ77" s="130" t="s">
        <v>3857</v>
      </c>
      <c r="AQR77" s="130" t="s">
        <v>3857</v>
      </c>
      <c r="AQS77" s="130" t="s">
        <v>3857</v>
      </c>
      <c r="AQT77" s="130"/>
      <c r="AQU77" s="130" t="s">
        <v>3857</v>
      </c>
      <c r="AQV77" s="130" t="s">
        <v>3857</v>
      </c>
      <c r="AQW77" s="130" t="s">
        <v>3857</v>
      </c>
      <c r="AQX77" s="130"/>
      <c r="AQY77" s="130" t="s">
        <v>3857</v>
      </c>
      <c r="AQZ77" s="130" t="s">
        <v>3857</v>
      </c>
      <c r="ARA77" s="130" t="s">
        <v>3857</v>
      </c>
      <c r="ARB77" s="130" t="s">
        <v>3857</v>
      </c>
      <c r="ARC77" s="130" t="s">
        <v>3857</v>
      </c>
      <c r="ARD77" s="130" t="s">
        <v>3858</v>
      </c>
      <c r="ARE77" s="130"/>
      <c r="ARF77" s="130" t="s">
        <v>3857</v>
      </c>
      <c r="ARG77" s="130" t="s">
        <v>3857</v>
      </c>
      <c r="ARH77" s="130" t="s">
        <v>3857</v>
      </c>
      <c r="ARI77" s="130"/>
      <c r="ARJ77" s="130" t="s">
        <v>3857</v>
      </c>
      <c r="ARK77" s="130" t="s">
        <v>3857</v>
      </c>
      <c r="ARL77" s="130" t="s">
        <v>3857</v>
      </c>
      <c r="ARM77" s="130" t="s">
        <v>3857</v>
      </c>
      <c r="ARN77" s="130" t="s">
        <v>3857</v>
      </c>
      <c r="ARO77" s="130" t="s">
        <v>3857</v>
      </c>
      <c r="ARP77" s="130"/>
      <c r="ARQ77" s="130" t="s">
        <v>3857</v>
      </c>
      <c r="ARR77" s="130" t="s">
        <v>3857</v>
      </c>
      <c r="ARS77" s="130" t="s">
        <v>3857</v>
      </c>
      <c r="ART77" s="130"/>
      <c r="ARU77" s="130" t="s">
        <v>3857</v>
      </c>
      <c r="ARV77" s="130" t="s">
        <v>3857</v>
      </c>
      <c r="ARW77" s="130" t="s">
        <v>3857</v>
      </c>
      <c r="ARX77" s="130" t="s">
        <v>3857</v>
      </c>
      <c r="ARY77" s="130" t="s">
        <v>3857</v>
      </c>
      <c r="ARZ77" s="130" t="s">
        <v>3858</v>
      </c>
      <c r="ASA77" s="130"/>
      <c r="ASB77" s="130" t="s">
        <v>3857</v>
      </c>
      <c r="ASC77" s="130" t="s">
        <v>3857</v>
      </c>
      <c r="ASD77" s="130" t="s">
        <v>3857</v>
      </c>
      <c r="ASE77" s="130"/>
      <c r="ASF77" s="130" t="s">
        <v>3857</v>
      </c>
      <c r="ASG77" s="130" t="s">
        <v>3857</v>
      </c>
      <c r="ASH77" s="130" t="s">
        <v>3857</v>
      </c>
      <c r="ASI77" s="130" t="s">
        <v>3858</v>
      </c>
      <c r="ASJ77" s="130" t="s">
        <v>3857</v>
      </c>
      <c r="ASK77" s="130" t="s">
        <v>3857</v>
      </c>
      <c r="ASL77" s="130"/>
      <c r="ASM77" s="130"/>
      <c r="ASN77" s="130"/>
      <c r="ASO77" s="130"/>
      <c r="ASP77" s="130"/>
      <c r="ASQ77" s="130"/>
      <c r="ASR77" s="130"/>
      <c r="ASS77" s="130"/>
      <c r="AST77" s="130"/>
      <c r="ASU77" s="130"/>
      <c r="ASV77" s="130"/>
      <c r="ASW77" s="130"/>
      <c r="ASX77" s="149">
        <v>0.1</v>
      </c>
      <c r="ASY77" s="149"/>
      <c r="ASZ77" s="149"/>
      <c r="ATA77" s="149"/>
      <c r="ATB77" s="149"/>
      <c r="ATC77" s="149">
        <v>0.1</v>
      </c>
      <c r="ATD77" s="149">
        <v>0.15</v>
      </c>
      <c r="ATE77" s="149"/>
      <c r="ATF77" s="149"/>
      <c r="ATG77" s="149" t="s">
        <v>3843</v>
      </c>
      <c r="ATH77" s="149">
        <v>0.4</v>
      </c>
      <c r="ATI77" s="149">
        <v>0.4</v>
      </c>
      <c r="ATJ77" s="149">
        <v>0.35</v>
      </c>
      <c r="ATK77" s="149" t="s">
        <v>3843</v>
      </c>
      <c r="ATL77" s="149">
        <v>0.4</v>
      </c>
      <c r="ATM77" s="149">
        <v>0.4</v>
      </c>
      <c r="ATN77" s="149">
        <v>0.4</v>
      </c>
      <c r="ATO77" s="149">
        <v>0.4</v>
      </c>
      <c r="ATP77" s="149">
        <v>0.4</v>
      </c>
      <c r="ATQ77" s="149">
        <v>0.4</v>
      </c>
      <c r="ATR77" s="149" t="s">
        <v>3843</v>
      </c>
      <c r="ATS77" s="149">
        <v>0.6</v>
      </c>
      <c r="ATT77" s="149">
        <v>0.55000000000000004</v>
      </c>
      <c r="ATU77" s="149">
        <v>0.55000000000000004</v>
      </c>
      <c r="ATV77" s="129" t="s">
        <v>3843</v>
      </c>
      <c r="ATW77" s="149">
        <v>0.6</v>
      </c>
      <c r="ATX77" s="149">
        <v>0.6</v>
      </c>
      <c r="ATY77" s="149">
        <v>0.6</v>
      </c>
      <c r="ATZ77" s="149">
        <v>0.6</v>
      </c>
      <c r="AUA77" s="149">
        <v>0.6</v>
      </c>
      <c r="AUB77" s="149">
        <v>0.6</v>
      </c>
      <c r="AUC77" s="149" t="s">
        <v>3843</v>
      </c>
      <c r="AUD77" s="149">
        <v>0.45</v>
      </c>
      <c r="AUE77" s="149">
        <v>0.45</v>
      </c>
      <c r="AUF77" s="149">
        <v>0.45</v>
      </c>
      <c r="AUG77" s="129" t="s">
        <v>3843</v>
      </c>
      <c r="AUH77" s="149">
        <v>0.45</v>
      </c>
      <c r="AUI77" s="149">
        <v>0.45</v>
      </c>
      <c r="AUJ77" s="149">
        <v>0.45</v>
      </c>
      <c r="AUK77" s="149">
        <v>0.45</v>
      </c>
      <c r="AUL77" s="149">
        <v>0.45</v>
      </c>
      <c r="AUM77" s="149">
        <v>0.45</v>
      </c>
      <c r="AUN77" s="149" t="s">
        <v>3843</v>
      </c>
      <c r="AUO77" s="149"/>
      <c r="AUP77" s="149"/>
      <c r="AUQ77" s="149"/>
      <c r="AUR77" s="149"/>
      <c r="AUS77" s="149"/>
      <c r="AUT77" s="149">
        <v>0.1</v>
      </c>
      <c r="AUU77" s="149">
        <v>0.15</v>
      </c>
      <c r="AUV77" s="149"/>
      <c r="AUW77" s="149"/>
      <c r="AUX77" s="149" t="s">
        <v>3843</v>
      </c>
      <c r="AUY77" s="149"/>
      <c r="AUZ77" s="149"/>
      <c r="AVA77" s="149"/>
      <c r="AVB77" s="149">
        <v>0.1</v>
      </c>
      <c r="AVC77" s="149">
        <v>0.15</v>
      </c>
      <c r="AVD77" s="149"/>
      <c r="AVE77" s="149"/>
      <c r="AVF77" s="149" t="s">
        <v>3843</v>
      </c>
      <c r="AVG77" s="149"/>
      <c r="AVH77" s="149"/>
    </row>
    <row r="78" spans="1:1296" s="129" customFormat="1" outlineLevel="1">
      <c r="A78" s="137" t="s">
        <v>236</v>
      </c>
      <c r="B78" s="139" t="s">
        <v>349</v>
      </c>
      <c r="C78" s="139" t="s">
        <v>350</v>
      </c>
      <c r="D78" s="139" t="s">
        <v>349</v>
      </c>
      <c r="E78" s="137">
        <v>100</v>
      </c>
      <c r="F78" s="138"/>
      <c r="G78" s="136" t="s">
        <v>17</v>
      </c>
      <c r="H78" s="136" t="s">
        <v>366</v>
      </c>
      <c r="I78" s="136" t="s">
        <v>366</v>
      </c>
      <c r="J78" s="136" t="s">
        <v>366</v>
      </c>
      <c r="K78" s="136" t="s">
        <v>366</v>
      </c>
      <c r="L78" s="136" t="s">
        <v>13</v>
      </c>
      <c r="M78" s="136" t="s">
        <v>13</v>
      </c>
      <c r="N78" s="136" t="s">
        <v>366</v>
      </c>
      <c r="O78" s="138"/>
      <c r="LK78" s="135"/>
      <c r="LL78" s="135"/>
      <c r="LM78" s="135"/>
      <c r="LN78" s="135"/>
      <c r="LO78" s="135"/>
      <c r="LU78" s="135"/>
      <c r="LV78" s="135"/>
      <c r="LW78" s="135"/>
      <c r="LX78" s="135"/>
      <c r="LY78" s="135"/>
      <c r="LZ78" s="135"/>
      <c r="MA78" s="135"/>
      <c r="MB78" s="135"/>
      <c r="MC78" s="135"/>
      <c r="MD78" s="135"/>
      <c r="ME78" s="135"/>
      <c r="MF78" s="135"/>
      <c r="MG78" s="135"/>
      <c r="MQ78" s="132"/>
      <c r="MR78" s="132"/>
      <c r="MS78" s="132"/>
      <c r="MT78" s="132"/>
      <c r="MU78" s="132"/>
      <c r="MV78" s="132"/>
      <c r="MW78" s="132"/>
      <c r="MX78" s="132"/>
      <c r="MY78" s="132"/>
      <c r="NB78" s="135"/>
      <c r="NC78" s="135"/>
      <c r="ND78" s="135"/>
      <c r="NE78" s="135"/>
      <c r="NF78" s="135"/>
      <c r="NL78" s="132"/>
      <c r="NM78" s="132"/>
      <c r="NN78" s="132"/>
      <c r="NO78" s="132"/>
      <c r="NP78" s="132"/>
      <c r="RQ78" s="134"/>
      <c r="RR78" s="134"/>
      <c r="RS78" s="134"/>
      <c r="RT78" s="134"/>
      <c r="TD78" s="133"/>
      <c r="TE78" s="132"/>
      <c r="TF78" s="132"/>
      <c r="TX78" s="132"/>
      <c r="TY78" s="132"/>
      <c r="TZ78" s="132"/>
      <c r="VL78" s="132"/>
      <c r="VM78" s="132"/>
      <c r="VN78" s="132"/>
      <c r="VO78" s="132"/>
      <c r="VR78" s="131"/>
      <c r="VS78" s="131" t="s">
        <v>366</v>
      </c>
      <c r="VT78" s="131"/>
      <c r="VU78" s="131" t="s">
        <v>3843</v>
      </c>
      <c r="VV78" s="131"/>
      <c r="VW78" s="131"/>
      <c r="VX78" s="131"/>
      <c r="VY78" s="131"/>
      <c r="VZ78" s="131"/>
      <c r="WA78" s="131"/>
      <c r="WB78" s="160" t="s">
        <v>3843</v>
      </c>
      <c r="WC78" s="131"/>
      <c r="WD78" s="131" t="s">
        <v>1246</v>
      </c>
      <c r="WE78" s="131"/>
      <c r="WF78" s="131" t="s">
        <v>3843</v>
      </c>
      <c r="WG78" s="131"/>
      <c r="WH78" s="131" t="s">
        <v>1246</v>
      </c>
      <c r="WI78" s="131" t="s">
        <v>1246</v>
      </c>
      <c r="WJ78" s="131" t="s">
        <v>1246</v>
      </c>
      <c r="WK78" s="131"/>
      <c r="WL78" s="131"/>
      <c r="WM78" s="160" t="s">
        <v>3843</v>
      </c>
      <c r="WN78" s="131"/>
      <c r="WO78" s="131" t="s">
        <v>1246</v>
      </c>
      <c r="WP78" s="131"/>
      <c r="WQ78" s="131" t="s">
        <v>3843</v>
      </c>
      <c r="WR78" s="131"/>
      <c r="WS78" s="131" t="s">
        <v>1246</v>
      </c>
      <c r="WT78" s="131"/>
      <c r="WU78" s="131"/>
      <c r="WV78" s="131"/>
      <c r="WW78" s="131"/>
      <c r="WX78" s="160" t="s">
        <v>3843</v>
      </c>
      <c r="WY78" s="131"/>
      <c r="WZ78" s="131"/>
      <c r="XA78" s="131"/>
      <c r="XB78" s="131" t="s">
        <v>3843</v>
      </c>
      <c r="XC78" s="131"/>
      <c r="XD78" s="131"/>
      <c r="XE78" s="131"/>
      <c r="XF78" s="131"/>
      <c r="XG78" s="131"/>
      <c r="XH78" s="131"/>
      <c r="XI78" s="131" t="s">
        <v>3843</v>
      </c>
      <c r="XJ78" s="131" t="s">
        <v>366</v>
      </c>
      <c r="XK78" s="131"/>
      <c r="XL78" s="131"/>
      <c r="XM78" s="131" t="s">
        <v>3843</v>
      </c>
      <c r="XN78" s="131" t="s">
        <v>366</v>
      </c>
      <c r="XO78" s="131"/>
      <c r="XP78" s="131"/>
      <c r="XQ78" s="131"/>
      <c r="XR78" s="131"/>
      <c r="XS78" s="131"/>
      <c r="XT78" s="131" t="s">
        <v>3843</v>
      </c>
      <c r="XU78" s="131" t="s">
        <v>366</v>
      </c>
      <c r="XV78" s="131"/>
      <c r="XW78" s="131"/>
      <c r="XX78" s="131" t="s">
        <v>3843</v>
      </c>
      <c r="XY78" s="131"/>
      <c r="XZ78" s="131"/>
      <c r="YA78" s="131"/>
      <c r="YB78" s="131"/>
      <c r="YC78" s="131"/>
      <c r="YD78" s="131"/>
      <c r="YE78" s="131" t="s">
        <v>3843</v>
      </c>
      <c r="YF78" s="131" t="s">
        <v>366</v>
      </c>
      <c r="YG78" s="131"/>
      <c r="YH78" s="131"/>
      <c r="YI78" s="131" t="s">
        <v>3843</v>
      </c>
      <c r="YJ78" s="131"/>
      <c r="YK78" s="131"/>
      <c r="YL78" s="131"/>
      <c r="YM78" s="131"/>
      <c r="YN78" s="131"/>
      <c r="YO78" s="131"/>
      <c r="YP78" s="131" t="s">
        <v>3843</v>
      </c>
      <c r="YQ78" s="131"/>
      <c r="YR78" s="131"/>
      <c r="YS78" s="131"/>
      <c r="YT78" s="131" t="s">
        <v>3843</v>
      </c>
      <c r="YU78" s="131"/>
      <c r="YV78" s="131"/>
      <c r="YW78" s="131"/>
      <c r="YX78" s="131"/>
      <c r="YY78" s="131"/>
      <c r="YZ78" s="131"/>
      <c r="ZA78" s="131" t="s">
        <v>3843</v>
      </c>
      <c r="ZB78" s="131" t="s">
        <v>366</v>
      </c>
      <c r="ZC78" s="131" t="s">
        <v>1246</v>
      </c>
      <c r="ZD78" s="131" t="s">
        <v>1246</v>
      </c>
      <c r="ZE78" s="131" t="s">
        <v>3843</v>
      </c>
      <c r="ZF78" s="131" t="s">
        <v>1246</v>
      </c>
      <c r="ZG78" s="131" t="s">
        <v>1246</v>
      </c>
      <c r="ZH78" s="131" t="s">
        <v>1246</v>
      </c>
      <c r="ZI78" s="131" t="s">
        <v>1246</v>
      </c>
      <c r="ZJ78" s="131"/>
      <c r="ZK78" s="131"/>
      <c r="ZL78" s="131" t="s">
        <v>3843</v>
      </c>
      <c r="ZM78" s="131"/>
      <c r="ZN78" s="131"/>
      <c r="ZO78" s="131"/>
      <c r="ZP78" s="131" t="s">
        <v>3843</v>
      </c>
      <c r="ZQ78" s="131"/>
      <c r="ZR78" s="131"/>
      <c r="ZS78" s="131"/>
      <c r="ZT78" s="131"/>
      <c r="ZU78" s="131"/>
      <c r="ZV78" s="131"/>
      <c r="ZW78" s="131" t="s">
        <v>3843</v>
      </c>
      <c r="ZX78" s="131"/>
      <c r="ZY78" s="131"/>
      <c r="ZZ78" s="131"/>
      <c r="AAA78" s="131" t="s">
        <v>3843</v>
      </c>
      <c r="AAB78" s="131"/>
      <c r="AAC78" s="131"/>
      <c r="AAD78" s="131"/>
      <c r="AAE78" s="131"/>
      <c r="AAF78" s="131"/>
      <c r="AAG78" s="131"/>
      <c r="AAH78" s="131" t="s">
        <v>3843</v>
      </c>
      <c r="AAJ78" s="131" t="s">
        <v>366</v>
      </c>
      <c r="AAK78" s="131"/>
      <c r="AAL78" s="131"/>
      <c r="AAM78" s="131" t="s">
        <v>3843</v>
      </c>
      <c r="AAN78" s="131"/>
      <c r="AAO78" s="131"/>
      <c r="AAP78" s="131"/>
      <c r="AAQ78" s="131"/>
      <c r="AAR78" s="131"/>
      <c r="AAS78" s="131"/>
      <c r="AAT78" s="131" t="s">
        <v>3843</v>
      </c>
      <c r="AAU78" s="131"/>
      <c r="AAV78" s="131" t="s">
        <v>1246</v>
      </c>
      <c r="AAW78" s="131" t="s">
        <v>1246</v>
      </c>
      <c r="AAX78" s="131" t="s">
        <v>3843</v>
      </c>
      <c r="AAY78" s="131"/>
      <c r="AAZ78" s="131"/>
      <c r="ABA78" s="131"/>
      <c r="ABB78" s="131"/>
      <c r="ABC78" s="131"/>
      <c r="ABD78" s="131"/>
      <c r="ABE78" s="131" t="s">
        <v>3843</v>
      </c>
      <c r="ABF78" s="131"/>
      <c r="ABG78" s="131"/>
      <c r="ABH78" s="131"/>
      <c r="ABI78" s="131" t="s">
        <v>3843</v>
      </c>
      <c r="ABJ78" s="131"/>
      <c r="ABK78" s="131"/>
      <c r="ABL78" s="131"/>
      <c r="ABM78" s="131"/>
      <c r="ABN78" s="131"/>
      <c r="ABO78" s="131"/>
      <c r="ABP78" s="131" t="s">
        <v>3843</v>
      </c>
      <c r="ABQ78" s="131"/>
      <c r="ABR78" s="131"/>
      <c r="ABS78" s="131" t="s">
        <v>1246</v>
      </c>
      <c r="ABT78" s="131" t="s">
        <v>3843</v>
      </c>
      <c r="ABU78" s="131"/>
      <c r="ABV78" s="131"/>
      <c r="ABW78" s="131"/>
      <c r="ABX78" s="131"/>
      <c r="ABY78" s="131"/>
      <c r="ABZ78" s="131"/>
      <c r="ACA78" s="131" t="s">
        <v>3843</v>
      </c>
      <c r="ACB78" s="131"/>
      <c r="ACC78" s="131" t="s">
        <v>1246</v>
      </c>
      <c r="ACD78" s="131" t="s">
        <v>1246</v>
      </c>
      <c r="ACE78" s="131" t="s">
        <v>3843</v>
      </c>
      <c r="ACF78" s="131"/>
      <c r="ACG78" s="131"/>
      <c r="ACH78" s="131"/>
      <c r="ACI78" s="131"/>
      <c r="ACJ78" s="131"/>
      <c r="ACK78" s="131"/>
      <c r="ACL78" s="131" t="s">
        <v>3843</v>
      </c>
      <c r="ACM78" s="131"/>
      <c r="ACN78" s="131" t="s">
        <v>1246</v>
      </c>
      <c r="ACO78" s="131" t="s">
        <v>1246</v>
      </c>
      <c r="ACP78" s="131" t="s">
        <v>3843</v>
      </c>
      <c r="ACQ78" s="131" t="s">
        <v>2097</v>
      </c>
      <c r="ACR78" s="131" t="s">
        <v>3856</v>
      </c>
      <c r="ACS78" s="131" t="s">
        <v>3856</v>
      </c>
      <c r="ACT78" s="131" t="s">
        <v>3856</v>
      </c>
      <c r="ACU78" s="131" t="s">
        <v>1246</v>
      </c>
      <c r="ACV78" s="131" t="s">
        <v>3856</v>
      </c>
      <c r="ACW78" s="131" t="s">
        <v>3843</v>
      </c>
      <c r="ACX78" s="131"/>
      <c r="ACY78" s="131" t="s">
        <v>1246</v>
      </c>
      <c r="ACZ78" s="131" t="s">
        <v>1246</v>
      </c>
      <c r="ADA78" s="131" t="s">
        <v>3843</v>
      </c>
      <c r="ADB78" s="131"/>
      <c r="ADC78" s="131"/>
      <c r="ADD78" s="131"/>
      <c r="ADE78" s="131"/>
      <c r="ADF78" s="131"/>
      <c r="ADG78" s="131"/>
      <c r="ADH78" s="131" t="s">
        <v>3843</v>
      </c>
      <c r="ADI78" s="131"/>
      <c r="ADJ78" s="131" t="s">
        <v>1246</v>
      </c>
      <c r="ADK78" s="131" t="s">
        <v>1246</v>
      </c>
      <c r="ADL78" s="131" t="s">
        <v>3843</v>
      </c>
      <c r="ADM78" s="131" t="s">
        <v>1246</v>
      </c>
      <c r="ADN78" s="131"/>
      <c r="ADO78" s="131" t="s">
        <v>1246</v>
      </c>
      <c r="ADP78" s="131"/>
      <c r="ADQ78" s="131"/>
      <c r="ADR78" s="131"/>
      <c r="ADS78" s="131" t="s">
        <v>3843</v>
      </c>
      <c r="ADT78" s="131"/>
      <c r="ADU78" s="131" t="s">
        <v>1246</v>
      </c>
      <c r="ADV78" s="131" t="s">
        <v>1246</v>
      </c>
      <c r="ADW78" s="131" t="s">
        <v>3843</v>
      </c>
      <c r="ADX78" s="131" t="s">
        <v>1246</v>
      </c>
      <c r="ADY78" s="131" t="s">
        <v>1246</v>
      </c>
      <c r="ADZ78" s="131" t="s">
        <v>1246</v>
      </c>
      <c r="AEA78" s="131" t="s">
        <v>1246</v>
      </c>
      <c r="AEB78" s="131"/>
      <c r="AEC78" s="131"/>
      <c r="AED78" s="131" t="s">
        <v>3843</v>
      </c>
      <c r="AEE78" s="131"/>
      <c r="AEF78" s="131" t="s">
        <v>1246</v>
      </c>
      <c r="AEG78" s="131" t="s">
        <v>1246</v>
      </c>
      <c r="AEH78" s="131" t="s">
        <v>3843</v>
      </c>
      <c r="AEI78" s="131" t="s">
        <v>1246</v>
      </c>
      <c r="AEJ78" s="131" t="s">
        <v>1246</v>
      </c>
      <c r="AEK78" s="131" t="s">
        <v>1246</v>
      </c>
      <c r="AEL78" s="131" t="s">
        <v>1246</v>
      </c>
      <c r="AEM78" s="131" t="s">
        <v>1246</v>
      </c>
      <c r="AEN78" s="131" t="s">
        <v>1246</v>
      </c>
      <c r="AEO78" s="131" t="s">
        <v>3843</v>
      </c>
      <c r="AEP78" s="131"/>
      <c r="AEQ78" s="131"/>
      <c r="AER78" s="131" t="s">
        <v>1246</v>
      </c>
      <c r="AES78" s="131" t="s">
        <v>3843</v>
      </c>
      <c r="AET78" s="131"/>
      <c r="AEU78" s="131"/>
      <c r="AEV78" s="131"/>
      <c r="AEW78" s="131"/>
      <c r="AEX78" s="131"/>
      <c r="AEY78" s="131"/>
      <c r="AEZ78" s="131" t="s">
        <v>3843</v>
      </c>
      <c r="AFA78" s="131" t="s">
        <v>366</v>
      </c>
      <c r="AFB78" s="131" t="s">
        <v>366</v>
      </c>
      <c r="AFC78" s="131"/>
      <c r="AFD78" s="131" t="s">
        <v>3843</v>
      </c>
      <c r="AFE78" s="131"/>
      <c r="AFF78" s="131"/>
      <c r="AFG78" s="131"/>
      <c r="AFH78" s="131"/>
      <c r="AFI78" s="131"/>
      <c r="AFJ78" s="131"/>
      <c r="AFK78" s="131" t="s">
        <v>3843</v>
      </c>
      <c r="AFN78" s="149"/>
      <c r="AFO78" s="149"/>
      <c r="AFP78" s="149"/>
      <c r="AFQ78" s="149"/>
      <c r="AFR78" s="149" t="s">
        <v>3843</v>
      </c>
      <c r="AFS78" s="149" t="s">
        <v>1246</v>
      </c>
      <c r="AFT78" s="149" t="s">
        <v>1246</v>
      </c>
      <c r="AFU78" s="149" t="s">
        <v>366</v>
      </c>
      <c r="AFV78" s="149" t="s">
        <v>366</v>
      </c>
      <c r="AFW78" s="149" t="s">
        <v>3843</v>
      </c>
      <c r="AFX78" s="149"/>
      <c r="AFY78" s="149"/>
      <c r="AFZ78" s="149"/>
      <c r="AGA78" s="149"/>
      <c r="AGB78" s="149" t="s">
        <v>3843</v>
      </c>
      <c r="AGC78" s="149" t="s">
        <v>1246</v>
      </c>
      <c r="AGD78" s="149" t="s">
        <v>1246</v>
      </c>
      <c r="AGE78" s="149" t="s">
        <v>366</v>
      </c>
      <c r="AGF78" s="149" t="s">
        <v>366</v>
      </c>
      <c r="AGG78" s="149" t="s">
        <v>3843</v>
      </c>
      <c r="AGH78" s="149"/>
      <c r="AGI78" s="149"/>
      <c r="AGJ78" s="149"/>
      <c r="AGK78" s="149"/>
      <c r="AGL78" s="149" t="s">
        <v>3843</v>
      </c>
      <c r="AGM78" s="149" t="s">
        <v>1246</v>
      </c>
      <c r="AGN78" s="149" t="s">
        <v>1246</v>
      </c>
      <c r="AGO78" s="149" t="s">
        <v>366</v>
      </c>
      <c r="AGP78" s="149" t="s">
        <v>366</v>
      </c>
      <c r="AGQ78" s="149" t="s">
        <v>3843</v>
      </c>
      <c r="AGR78" s="149"/>
      <c r="AGS78" s="149"/>
      <c r="AGT78" s="149"/>
      <c r="AGU78" s="149" t="s">
        <v>3843</v>
      </c>
      <c r="AGV78" s="149"/>
      <c r="AGW78" s="149"/>
      <c r="AGX78" s="149"/>
      <c r="AGY78" s="149"/>
      <c r="AGZ78" s="149"/>
      <c r="AHA78" s="149"/>
      <c r="AHB78" s="149" t="s">
        <v>3843</v>
      </c>
      <c r="AHC78" s="149"/>
      <c r="AHD78" s="149"/>
      <c r="AHE78" s="149"/>
      <c r="AHF78" s="149" t="s">
        <v>3843</v>
      </c>
      <c r="AHG78" s="149"/>
      <c r="AHH78" s="149"/>
      <c r="AHI78" s="149"/>
      <c r="AHJ78" s="149"/>
      <c r="AHK78" s="149"/>
      <c r="AHL78" s="149"/>
      <c r="AHM78" s="149" t="s">
        <v>3843</v>
      </c>
      <c r="AHN78" s="149"/>
      <c r="AHO78" s="149"/>
      <c r="AHP78" s="149"/>
      <c r="AHQ78" s="149" t="s">
        <v>3843</v>
      </c>
      <c r="AHR78" s="149"/>
      <c r="AHS78" s="149"/>
      <c r="AHT78" s="149"/>
      <c r="AHU78" s="149"/>
      <c r="AHV78" s="149"/>
      <c r="AHW78" s="149"/>
      <c r="AHX78" s="149" t="s">
        <v>3843</v>
      </c>
      <c r="AHY78" s="149"/>
      <c r="AHZ78" s="149"/>
      <c r="AIA78" s="149"/>
      <c r="AIB78" s="129" t="s">
        <v>3843</v>
      </c>
      <c r="AIC78" s="149"/>
      <c r="AID78" s="149"/>
      <c r="AIE78" s="149" t="s">
        <v>366</v>
      </c>
      <c r="AIF78" s="149"/>
      <c r="AIG78" s="149"/>
      <c r="AIH78" s="149"/>
      <c r="AII78" s="149" t="s">
        <v>3843</v>
      </c>
      <c r="AIJ78" s="149"/>
      <c r="AIK78" s="149"/>
      <c r="AIL78" s="149"/>
      <c r="AIM78" s="149" t="s">
        <v>3843</v>
      </c>
      <c r="AIN78" s="149"/>
      <c r="AIO78" s="149"/>
      <c r="AIP78" s="149" t="s">
        <v>366</v>
      </c>
      <c r="AIQ78" s="149"/>
      <c r="AIR78" s="149"/>
      <c r="AIS78" s="149"/>
      <c r="AIT78" s="149" t="s">
        <v>3843</v>
      </c>
      <c r="AIU78" s="149"/>
      <c r="AIV78" s="149"/>
      <c r="AIW78" s="149"/>
      <c r="AIX78" s="149" t="s">
        <v>3843</v>
      </c>
      <c r="AIY78" s="149"/>
      <c r="AIZ78" s="149"/>
      <c r="AJA78" s="149" t="s">
        <v>366</v>
      </c>
      <c r="AJB78" s="149"/>
      <c r="AJC78" s="149"/>
      <c r="AJD78" s="149"/>
      <c r="AJE78" s="149" t="s">
        <v>3843</v>
      </c>
      <c r="AJF78" s="149" t="s">
        <v>366</v>
      </c>
      <c r="AJG78" s="149" t="s">
        <v>1246</v>
      </c>
      <c r="AJH78" s="149" t="s">
        <v>366</v>
      </c>
      <c r="AJI78" s="149" t="s">
        <v>3843</v>
      </c>
      <c r="AJJ78" s="149" t="s">
        <v>1246</v>
      </c>
      <c r="AJK78" s="149"/>
      <c r="AJL78" s="149" t="s">
        <v>1246</v>
      </c>
      <c r="AJM78" s="149" t="s">
        <v>1246</v>
      </c>
      <c r="AJN78" s="149"/>
      <c r="AJO78" s="149" t="s">
        <v>366</v>
      </c>
      <c r="AJP78" s="149" t="s">
        <v>3843</v>
      </c>
      <c r="AJQ78" s="149" t="s">
        <v>366</v>
      </c>
      <c r="AJR78" s="149" t="s">
        <v>1246</v>
      </c>
      <c r="AJS78" s="149" t="s">
        <v>366</v>
      </c>
      <c r="AJT78" s="149" t="s">
        <v>3843</v>
      </c>
      <c r="AJU78" s="149" t="s">
        <v>1246</v>
      </c>
      <c r="AJV78" s="149"/>
      <c r="AJW78" s="149" t="s">
        <v>1246</v>
      </c>
      <c r="AJX78" s="149" t="s">
        <v>1246</v>
      </c>
      <c r="AJY78" s="149"/>
      <c r="AJZ78" s="149" t="s">
        <v>366</v>
      </c>
      <c r="AKA78" s="149" t="s">
        <v>3843</v>
      </c>
      <c r="AKB78" s="149" t="s">
        <v>366</v>
      </c>
      <c r="AKC78" s="149" t="s">
        <v>1246</v>
      </c>
      <c r="AKD78" s="149" t="s">
        <v>366</v>
      </c>
      <c r="AKE78" s="149" t="s">
        <v>3843</v>
      </c>
      <c r="AKF78" s="149" t="s">
        <v>1246</v>
      </c>
      <c r="AKG78" s="149"/>
      <c r="AKH78" s="149" t="s">
        <v>1246</v>
      </c>
      <c r="AKI78" s="149" t="s">
        <v>1246</v>
      </c>
      <c r="AKJ78" s="149"/>
      <c r="AKK78" s="149" t="s">
        <v>366</v>
      </c>
      <c r="AKL78" s="149" t="s">
        <v>3843</v>
      </c>
      <c r="AKP78" s="129" t="s">
        <v>3843</v>
      </c>
      <c r="AKQ78" s="149"/>
      <c r="AKR78" s="149" t="s">
        <v>366</v>
      </c>
      <c r="AKS78" s="149"/>
      <c r="AKT78" s="149"/>
      <c r="AKU78" s="149"/>
      <c r="AKV78" s="149"/>
      <c r="AKW78" s="149" t="s">
        <v>3843</v>
      </c>
      <c r="ALA78" s="149" t="s">
        <v>3843</v>
      </c>
      <c r="ALB78" s="149"/>
      <c r="ALC78" s="149" t="s">
        <v>366</v>
      </c>
      <c r="ALD78" s="149"/>
      <c r="ALE78" s="149"/>
      <c r="ALF78" s="149"/>
      <c r="ALG78" s="149"/>
      <c r="ALH78" s="149" t="s">
        <v>3843</v>
      </c>
      <c r="ALL78" s="149" t="s">
        <v>3843</v>
      </c>
      <c r="ALM78" s="149"/>
      <c r="ALN78" s="149" t="s">
        <v>366</v>
      </c>
      <c r="ALO78" s="149"/>
      <c r="ALP78" s="149"/>
      <c r="ALQ78" s="149"/>
      <c r="ALR78" s="149"/>
      <c r="ALS78" s="149" t="s">
        <v>3843</v>
      </c>
      <c r="ALT78" s="149"/>
      <c r="ALU78" s="149" t="s">
        <v>1246</v>
      </c>
      <c r="ALV78" s="149"/>
      <c r="ALW78" s="149" t="s">
        <v>3843</v>
      </c>
      <c r="ALX78" s="149"/>
      <c r="ALY78" s="149"/>
      <c r="ALZ78" s="149" t="s">
        <v>366</v>
      </c>
      <c r="AMA78" s="149" t="s">
        <v>366</v>
      </c>
      <c r="AMB78" s="149"/>
      <c r="AMC78" s="149" t="s">
        <v>366</v>
      </c>
      <c r="AMD78" s="149" t="s">
        <v>3843</v>
      </c>
      <c r="AME78" s="149"/>
      <c r="AMF78" s="149" t="s">
        <v>1246</v>
      </c>
      <c r="AMG78" s="149"/>
      <c r="AMH78" s="149" t="s">
        <v>3843</v>
      </c>
      <c r="AMI78" s="149"/>
      <c r="AMJ78" s="149"/>
      <c r="AMK78" s="149" t="s">
        <v>366</v>
      </c>
      <c r="AML78" s="149" t="s">
        <v>366</v>
      </c>
      <c r="AMM78" s="149"/>
      <c r="AMN78" s="149" t="s">
        <v>366</v>
      </c>
      <c r="AMO78" s="149" t="s">
        <v>3843</v>
      </c>
      <c r="AMP78" s="149"/>
      <c r="AMQ78" s="149" t="s">
        <v>1246</v>
      </c>
      <c r="AMR78" s="149"/>
      <c r="AMS78" s="149" t="s">
        <v>3843</v>
      </c>
      <c r="AMT78" s="149"/>
      <c r="AMU78" s="149"/>
      <c r="AMV78" s="149" t="s">
        <v>366</v>
      </c>
      <c r="AMW78" s="149" t="s">
        <v>366</v>
      </c>
      <c r="AMX78" s="149"/>
      <c r="AMY78" s="149" t="s">
        <v>366</v>
      </c>
      <c r="AMZ78" s="149" t="s">
        <v>3843</v>
      </c>
      <c r="ANA78" s="149" t="s">
        <v>366</v>
      </c>
      <c r="ANB78" s="149" t="s">
        <v>366</v>
      </c>
      <c r="ANC78" s="149"/>
      <c r="AND78" s="149" t="s">
        <v>3843</v>
      </c>
      <c r="ANE78" s="149"/>
      <c r="ANF78" s="149"/>
      <c r="ANG78" s="149" t="s">
        <v>366</v>
      </c>
      <c r="ANH78" s="149" t="s">
        <v>366</v>
      </c>
      <c r="ANI78" s="149"/>
      <c r="ANJ78" s="149"/>
      <c r="ANK78" s="149" t="s">
        <v>3843</v>
      </c>
      <c r="ANL78" s="149" t="s">
        <v>366</v>
      </c>
      <c r="ANM78" s="149" t="s">
        <v>366</v>
      </c>
      <c r="ANN78" s="149"/>
      <c r="ANO78" s="149" t="s">
        <v>3843</v>
      </c>
      <c r="ANP78" s="149"/>
      <c r="ANQ78" s="149"/>
      <c r="ANR78" s="149" t="s">
        <v>366</v>
      </c>
      <c r="ANS78" s="149" t="s">
        <v>366</v>
      </c>
      <c r="ANT78" s="149"/>
      <c r="ANU78" s="149"/>
      <c r="ANV78" s="149" t="s">
        <v>3843</v>
      </c>
      <c r="ANW78" s="149" t="s">
        <v>366</v>
      </c>
      <c r="ANX78" s="149" t="s">
        <v>366</v>
      </c>
      <c r="ANY78" s="149"/>
      <c r="ANZ78" s="149" t="s">
        <v>3843</v>
      </c>
      <c r="AOA78" s="149"/>
      <c r="AOB78" s="149"/>
      <c r="AOC78" s="149" t="s">
        <v>366</v>
      </c>
      <c r="AOD78" s="149" t="s">
        <v>366</v>
      </c>
      <c r="AOE78" s="149"/>
      <c r="AOF78" s="149"/>
      <c r="AOG78" s="149" t="s">
        <v>3843</v>
      </c>
      <c r="AOH78" s="149"/>
      <c r="AOI78" s="149"/>
      <c r="AOJ78" s="149"/>
      <c r="AOK78" s="129" t="s">
        <v>3843</v>
      </c>
      <c r="AOL78" s="149"/>
      <c r="AOM78" s="149"/>
      <c r="AON78" s="149"/>
      <c r="AOO78" s="149"/>
      <c r="AOP78" s="149"/>
      <c r="AOQ78" s="149"/>
      <c r="AOR78" s="129" t="s">
        <v>3843</v>
      </c>
      <c r="AOS78" s="149"/>
      <c r="AOT78" s="149"/>
      <c r="AOU78" s="149"/>
      <c r="AOV78" s="129" t="s">
        <v>3843</v>
      </c>
      <c r="AOW78" s="149"/>
      <c r="AOX78" s="149"/>
      <c r="AOY78" s="149"/>
      <c r="AOZ78" s="149"/>
      <c r="APA78" s="149"/>
      <c r="APB78" s="149"/>
      <c r="APC78" s="129" t="s">
        <v>3843</v>
      </c>
      <c r="APD78" s="149"/>
      <c r="APE78" s="149"/>
      <c r="APF78" s="149"/>
      <c r="APG78" s="129" t="s">
        <v>3843</v>
      </c>
      <c r="APH78" s="149"/>
      <c r="API78" s="149"/>
      <c r="APJ78" s="149"/>
      <c r="APK78" s="149"/>
      <c r="APL78" s="149"/>
      <c r="APM78" s="149"/>
      <c r="APN78" s="129" t="s">
        <v>3843</v>
      </c>
      <c r="APO78" s="130" t="s">
        <v>3855</v>
      </c>
      <c r="APP78" s="130" t="s">
        <v>3853</v>
      </c>
      <c r="APQ78" s="130" t="s">
        <v>3853</v>
      </c>
      <c r="APR78" s="130" t="s">
        <v>3853</v>
      </c>
      <c r="APS78" s="130"/>
      <c r="APT78" s="130" t="s">
        <v>3855</v>
      </c>
      <c r="APU78" s="130" t="s">
        <v>3854</v>
      </c>
      <c r="APV78" s="130" t="s">
        <v>3853</v>
      </c>
      <c r="APW78" s="130" t="s">
        <v>3853</v>
      </c>
      <c r="APX78" s="130"/>
      <c r="APY78" s="130" t="s">
        <v>3849</v>
      </c>
      <c r="APZ78" s="130" t="s">
        <v>3849</v>
      </c>
      <c r="AQA78" s="130" t="s">
        <v>3849</v>
      </c>
      <c r="AQB78" s="130"/>
      <c r="AQC78" s="130" t="s">
        <v>3848</v>
      </c>
      <c r="AQD78" s="130" t="s">
        <v>3848</v>
      </c>
      <c r="AQE78" s="130" t="s">
        <v>3848</v>
      </c>
      <c r="AQF78" s="130" t="s">
        <v>3848</v>
      </c>
      <c r="AQG78" s="130" t="s">
        <v>3848</v>
      </c>
      <c r="AQH78" s="130" t="s">
        <v>3847</v>
      </c>
      <c r="AQI78" s="130"/>
      <c r="AQJ78" s="130" t="s">
        <v>3849</v>
      </c>
      <c r="AQK78" s="130" t="s">
        <v>3849</v>
      </c>
      <c r="AQL78" s="130" t="s">
        <v>3849</v>
      </c>
      <c r="AQM78" s="130"/>
      <c r="AQN78" s="130" t="s">
        <v>3848</v>
      </c>
      <c r="AQO78" s="130" t="s">
        <v>3848</v>
      </c>
      <c r="AQP78" s="130" t="s">
        <v>3848</v>
      </c>
      <c r="AQQ78" s="130" t="s">
        <v>3848</v>
      </c>
      <c r="AQR78" s="130" t="s">
        <v>3848</v>
      </c>
      <c r="AQS78" s="130" t="s">
        <v>3847</v>
      </c>
      <c r="AQT78" s="130"/>
      <c r="AQU78" s="130" t="s">
        <v>3852</v>
      </c>
      <c r="AQV78" s="130" t="s">
        <v>3852</v>
      </c>
      <c r="AQW78" s="130" t="s">
        <v>3852</v>
      </c>
      <c r="AQX78" s="130"/>
      <c r="AQY78" s="130" t="s">
        <v>3852</v>
      </c>
      <c r="AQZ78" s="130" t="s">
        <v>3852</v>
      </c>
      <c r="ARA78" s="130" t="s">
        <v>3852</v>
      </c>
      <c r="ARB78" s="130" t="s">
        <v>3852</v>
      </c>
      <c r="ARC78" s="130" t="s">
        <v>3852</v>
      </c>
      <c r="ARD78" s="130" t="s">
        <v>3852</v>
      </c>
      <c r="ARE78" s="130"/>
      <c r="ARF78" s="130" t="s">
        <v>3848</v>
      </c>
      <c r="ARG78" s="130" t="s">
        <v>3847</v>
      </c>
      <c r="ARH78" s="130" t="s">
        <v>3848</v>
      </c>
      <c r="ARI78" s="130"/>
      <c r="ARJ78" s="130" t="s">
        <v>3846</v>
      </c>
      <c r="ARK78" s="130" t="s">
        <v>3846</v>
      </c>
      <c r="ARL78" s="130" t="s">
        <v>3846</v>
      </c>
      <c r="ARM78" s="130" t="s">
        <v>3846</v>
      </c>
      <c r="ARN78" s="130" t="s">
        <v>3847</v>
      </c>
      <c r="ARO78" s="130" t="s">
        <v>3846</v>
      </c>
      <c r="ARP78" s="130"/>
      <c r="ARQ78" s="130" t="s">
        <v>3850</v>
      </c>
      <c r="ARR78" s="130" t="s">
        <v>3851</v>
      </c>
      <c r="ARS78" s="130" t="s">
        <v>3850</v>
      </c>
      <c r="ART78" s="130"/>
      <c r="ARU78" s="130" t="s">
        <v>3850</v>
      </c>
      <c r="ARV78" s="130" t="s">
        <v>3850</v>
      </c>
      <c r="ARW78" s="130" t="s">
        <v>3850</v>
      </c>
      <c r="ARX78" s="130" t="s">
        <v>3850</v>
      </c>
      <c r="ARY78" s="130" t="s">
        <v>3850</v>
      </c>
      <c r="ARZ78" s="130" t="s">
        <v>3850</v>
      </c>
      <c r="ASA78" s="130"/>
      <c r="ASB78" s="130" t="s">
        <v>3849</v>
      </c>
      <c r="ASC78" s="130" t="s">
        <v>3848</v>
      </c>
      <c r="ASD78" s="130" t="s">
        <v>3848</v>
      </c>
      <c r="ASE78" s="130"/>
      <c r="ASF78" s="130" t="s">
        <v>3847</v>
      </c>
      <c r="ASG78" s="130" t="s">
        <v>3847</v>
      </c>
      <c r="ASH78" s="130" t="s">
        <v>3847</v>
      </c>
      <c r="ASI78" s="130" t="s">
        <v>3847</v>
      </c>
      <c r="ASJ78" s="130" t="s">
        <v>3847</v>
      </c>
      <c r="ASK78" s="130" t="s">
        <v>3847</v>
      </c>
      <c r="ASL78" s="130"/>
      <c r="ASM78" s="130" t="s">
        <v>3849</v>
      </c>
      <c r="ASN78" s="130" t="s">
        <v>3848</v>
      </c>
      <c r="ASO78" s="130" t="s">
        <v>3848</v>
      </c>
      <c r="ASP78" s="130"/>
      <c r="ASQ78" s="130" t="s">
        <v>3846</v>
      </c>
      <c r="ASR78" s="130" t="s">
        <v>3847</v>
      </c>
      <c r="ASS78" s="130" t="s">
        <v>3847</v>
      </c>
      <c r="AST78" s="130" t="s">
        <v>3847</v>
      </c>
      <c r="ASU78" s="130" t="s">
        <v>3847</v>
      </c>
      <c r="ASV78" s="130" t="s">
        <v>3846</v>
      </c>
      <c r="ASW78" s="130"/>
      <c r="ASX78" s="149"/>
      <c r="ASY78" s="149"/>
      <c r="ASZ78" s="149"/>
      <c r="ATA78" s="149"/>
      <c r="ATB78" s="149" t="s">
        <v>366</v>
      </c>
      <c r="ATC78" s="149" t="s">
        <v>3845</v>
      </c>
      <c r="ATD78" s="149" t="s">
        <v>3845</v>
      </c>
      <c r="ATE78" s="149" t="s">
        <v>366</v>
      </c>
      <c r="ATF78" s="149" t="s">
        <v>366</v>
      </c>
      <c r="ATG78" s="149" t="s">
        <v>3843</v>
      </c>
      <c r="ATH78" s="149"/>
      <c r="ATI78" s="149"/>
      <c r="ATJ78" s="149"/>
      <c r="ATK78" s="149" t="s">
        <v>3843</v>
      </c>
      <c r="ATL78" s="149"/>
      <c r="ATM78" s="149"/>
      <c r="ATN78" s="149" t="s">
        <v>366</v>
      </c>
      <c r="ATO78" s="149" t="s">
        <v>366</v>
      </c>
      <c r="ATP78" s="149"/>
      <c r="ATQ78" s="149"/>
      <c r="ATR78" s="149" t="s">
        <v>3843</v>
      </c>
      <c r="ATS78" s="149"/>
      <c r="ATT78" s="149"/>
      <c r="ATU78" s="149"/>
      <c r="ATV78" s="129" t="s">
        <v>3843</v>
      </c>
      <c r="ATW78" s="149"/>
      <c r="ATX78" s="149"/>
      <c r="ATY78" s="149"/>
      <c r="ATZ78" s="149" t="s">
        <v>366</v>
      </c>
      <c r="AUA78" s="149"/>
      <c r="AUB78" s="149"/>
      <c r="AUC78" s="149" t="s">
        <v>3843</v>
      </c>
      <c r="AUD78" s="149"/>
      <c r="AUE78" s="149" t="s">
        <v>3844</v>
      </c>
      <c r="AUF78" s="149" t="s">
        <v>3844</v>
      </c>
      <c r="AUG78" s="129" t="s">
        <v>3843</v>
      </c>
      <c r="AUH78" s="149" t="s">
        <v>3844</v>
      </c>
      <c r="AUI78" s="149" t="s">
        <v>3844</v>
      </c>
      <c r="AUJ78" s="149" t="s">
        <v>3844</v>
      </c>
      <c r="AUK78" s="149" t="s">
        <v>3844</v>
      </c>
      <c r="AUL78" s="149" t="s">
        <v>3844</v>
      </c>
      <c r="AUM78" s="149" t="s">
        <v>3844</v>
      </c>
      <c r="AUN78" s="149" t="s">
        <v>3843</v>
      </c>
      <c r="AUO78" s="149" t="s">
        <v>366</v>
      </c>
      <c r="AUP78" s="149"/>
      <c r="AUQ78" s="149"/>
      <c r="AUR78" s="149"/>
      <c r="AUS78" s="149" t="s">
        <v>366</v>
      </c>
      <c r="AUT78" s="149" t="s">
        <v>366</v>
      </c>
      <c r="AUU78" s="149" t="s">
        <v>366</v>
      </c>
      <c r="AUV78" s="149" t="s">
        <v>366</v>
      </c>
      <c r="AUW78" s="149" t="s">
        <v>366</v>
      </c>
      <c r="AUX78" s="149" t="s">
        <v>3843</v>
      </c>
      <c r="AUY78" s="149"/>
      <c r="AUZ78" s="149"/>
      <c r="AVA78" s="149" t="s">
        <v>366</v>
      </c>
      <c r="AVB78" s="149" t="s">
        <v>366</v>
      </c>
      <c r="AVC78" s="149" t="s">
        <v>366</v>
      </c>
      <c r="AVD78" s="149" t="s">
        <v>366</v>
      </c>
      <c r="AVE78" s="149" t="s">
        <v>366</v>
      </c>
      <c r="AVF78" s="149" t="s">
        <v>3843</v>
      </c>
      <c r="AVG78" s="149"/>
      <c r="AVH78" s="149"/>
    </row>
    <row r="79" spans="1:1296" outlineLevel="1">
      <c r="A79" s="158" t="s">
        <v>351</v>
      </c>
      <c r="B79" s="159" t="s">
        <v>237</v>
      </c>
      <c r="C79" s="139" t="s">
        <v>238</v>
      </c>
      <c r="D79" s="139" t="s">
        <v>239</v>
      </c>
      <c r="E79" s="158">
        <v>250</v>
      </c>
      <c r="G79" s="136" t="s">
        <v>11</v>
      </c>
      <c r="H79" s="136" t="s">
        <v>366</v>
      </c>
      <c r="I79" s="136" t="s">
        <v>366</v>
      </c>
      <c r="J79" s="136" t="s">
        <v>366</v>
      </c>
      <c r="K79" s="136" t="s">
        <v>366</v>
      </c>
      <c r="L79" s="136" t="s">
        <v>366</v>
      </c>
      <c r="M79" s="136" t="s">
        <v>13</v>
      </c>
      <c r="N79" s="136" t="s">
        <v>366</v>
      </c>
      <c r="U79" s="129"/>
      <c r="V79" s="129"/>
      <c r="W79" s="129"/>
      <c r="X79" s="129"/>
      <c r="Y79" s="129"/>
      <c r="Z79" s="129"/>
      <c r="AA79" s="129"/>
      <c r="AB79" s="129"/>
      <c r="AC79" s="129"/>
      <c r="AD79" s="129"/>
      <c r="AE79" s="129"/>
      <c r="AF79" s="129"/>
      <c r="AG79" s="129"/>
      <c r="AH79" s="129"/>
      <c r="AI79" s="129"/>
      <c r="AJ79" s="129"/>
      <c r="AK79" s="129"/>
      <c r="AL79" s="129"/>
      <c r="AM79" s="129"/>
      <c r="AN79" s="129"/>
      <c r="AO79" s="129"/>
      <c r="AP79" s="129"/>
      <c r="AQ79" s="129"/>
      <c r="AR79" s="129"/>
      <c r="AS79" s="129"/>
      <c r="AT79" s="129"/>
      <c r="AU79" s="129"/>
      <c r="AV79" s="129"/>
      <c r="AW79" s="129"/>
      <c r="EJ79" s="129"/>
      <c r="EL79" s="129"/>
      <c r="EN79" s="129"/>
      <c r="EP79" s="129"/>
      <c r="ER79" s="129"/>
      <c r="ET79" s="129"/>
      <c r="EV79" s="129"/>
      <c r="EX79" s="129"/>
      <c r="FP79" s="129"/>
      <c r="NT79" s="129">
        <v>60</v>
      </c>
      <c r="NV79" s="129">
        <v>40</v>
      </c>
      <c r="NW79" s="129">
        <v>70</v>
      </c>
      <c r="NZ79" s="129">
        <v>60</v>
      </c>
      <c r="OB79" s="129">
        <v>40</v>
      </c>
      <c r="OC79" s="129">
        <v>70</v>
      </c>
      <c r="OG79" s="129">
        <v>60</v>
      </c>
      <c r="OI79" s="129">
        <v>40</v>
      </c>
      <c r="OJ79" s="129">
        <v>70</v>
      </c>
      <c r="OL79" s="129">
        <v>40</v>
      </c>
      <c r="OM79" s="129">
        <v>70</v>
      </c>
      <c r="QY79" s="128"/>
      <c r="TW79" s="156"/>
    </row>
    <row r="80" spans="1:1296" outlineLevel="1">
      <c r="A80" s="158" t="s">
        <v>351</v>
      </c>
      <c r="B80" s="159" t="s">
        <v>240</v>
      </c>
      <c r="C80" s="139" t="s">
        <v>241</v>
      </c>
      <c r="D80" s="139" t="s">
        <v>242</v>
      </c>
      <c r="E80" s="158">
        <v>251</v>
      </c>
      <c r="G80" s="136" t="s">
        <v>173</v>
      </c>
      <c r="H80" s="136" t="s">
        <v>366</v>
      </c>
      <c r="I80" s="136" t="s">
        <v>366</v>
      </c>
      <c r="J80" s="136" t="s">
        <v>366</v>
      </c>
      <c r="K80" s="136" t="s">
        <v>366</v>
      </c>
      <c r="L80" s="136" t="s">
        <v>366</v>
      </c>
      <c r="M80" s="136" t="s">
        <v>13</v>
      </c>
      <c r="N80" s="136" t="s">
        <v>366</v>
      </c>
      <c r="U80" s="129"/>
      <c r="V80" s="129"/>
      <c r="W80" s="129"/>
      <c r="X80" s="129"/>
      <c r="Y80" s="129"/>
      <c r="Z80" s="129"/>
      <c r="AA80" s="129"/>
      <c r="AB80" s="129"/>
      <c r="AC80" s="129"/>
      <c r="AD80" s="129"/>
      <c r="AE80" s="129"/>
      <c r="AF80" s="129"/>
      <c r="AG80" s="129"/>
      <c r="AH80" s="129"/>
      <c r="AI80" s="129"/>
      <c r="AJ80" s="129"/>
      <c r="AK80" s="129"/>
      <c r="AL80" s="129"/>
      <c r="AM80" s="129"/>
      <c r="AN80" s="129"/>
      <c r="AO80" s="129"/>
      <c r="AP80" s="129"/>
      <c r="AQ80" s="129"/>
      <c r="AR80" s="129"/>
      <c r="AS80" s="129"/>
      <c r="AT80" s="129"/>
      <c r="AU80" s="129"/>
      <c r="AV80" s="129"/>
      <c r="AW80" s="129"/>
      <c r="EJ80" s="129"/>
      <c r="EL80" s="129"/>
      <c r="EN80" s="129"/>
      <c r="EP80" s="129"/>
      <c r="ER80" s="129"/>
      <c r="ET80" s="129"/>
      <c r="EV80" s="129"/>
      <c r="EX80" s="129"/>
      <c r="FP80" s="129"/>
      <c r="QY80" s="128"/>
      <c r="TW80" s="156"/>
    </row>
    <row r="81" spans="1:1296" ht="25.5" outlineLevel="1">
      <c r="A81" s="158" t="s">
        <v>351</v>
      </c>
      <c r="B81" s="159" t="s">
        <v>243</v>
      </c>
      <c r="C81" s="139" t="s">
        <v>244</v>
      </c>
      <c r="D81" s="139" t="s">
        <v>245</v>
      </c>
      <c r="E81" s="158">
        <v>252</v>
      </c>
      <c r="G81" s="136" t="s">
        <v>173</v>
      </c>
      <c r="H81" s="136" t="s">
        <v>366</v>
      </c>
      <c r="I81" s="136" t="s">
        <v>366</v>
      </c>
      <c r="J81" s="136" t="s">
        <v>366</v>
      </c>
      <c r="K81" s="136" t="s">
        <v>366</v>
      </c>
      <c r="L81" s="136" t="s">
        <v>366</v>
      </c>
      <c r="M81" s="136" t="s">
        <v>13</v>
      </c>
      <c r="N81" s="136" t="s">
        <v>366</v>
      </c>
      <c r="U81" s="129"/>
      <c r="V81" s="129"/>
      <c r="W81" s="129"/>
      <c r="X81" s="129"/>
      <c r="Y81" s="129"/>
      <c r="Z81" s="129"/>
      <c r="AA81" s="129"/>
      <c r="AB81" s="129"/>
      <c r="AC81" s="129"/>
      <c r="AD81" s="129"/>
      <c r="AE81" s="129"/>
      <c r="AF81" s="129"/>
      <c r="AG81" s="129"/>
      <c r="AH81" s="129"/>
      <c r="AI81" s="129"/>
      <c r="AJ81" s="129"/>
      <c r="AK81" s="129"/>
      <c r="AL81" s="129"/>
      <c r="AM81" s="129"/>
      <c r="AN81" s="129"/>
      <c r="AO81" s="129"/>
      <c r="AP81" s="129"/>
      <c r="AQ81" s="129"/>
      <c r="AR81" s="129"/>
      <c r="AS81" s="129"/>
      <c r="AT81" s="129"/>
      <c r="AU81" s="129"/>
      <c r="AV81" s="129"/>
      <c r="AW81" s="129"/>
      <c r="EJ81" s="129"/>
      <c r="EL81" s="129"/>
      <c r="EN81" s="129"/>
      <c r="EP81" s="129"/>
      <c r="ER81" s="129"/>
      <c r="ET81" s="129"/>
      <c r="EV81" s="129"/>
      <c r="EX81" s="129"/>
      <c r="FP81" s="129"/>
      <c r="QY81" s="128"/>
      <c r="TW81" s="156"/>
    </row>
    <row r="82" spans="1:1296" outlineLevel="1">
      <c r="A82" s="158" t="s">
        <v>351</v>
      </c>
      <c r="B82" s="159" t="s">
        <v>246</v>
      </c>
      <c r="C82" s="139" t="s">
        <v>247</v>
      </c>
      <c r="D82" s="139" t="s">
        <v>248</v>
      </c>
      <c r="E82" s="158">
        <v>253</v>
      </c>
      <c r="G82" s="136" t="s">
        <v>11</v>
      </c>
      <c r="H82" s="136" t="s">
        <v>366</v>
      </c>
      <c r="I82" s="136" t="s">
        <v>366</v>
      </c>
      <c r="J82" s="136" t="s">
        <v>366</v>
      </c>
      <c r="K82" s="136" t="s">
        <v>366</v>
      </c>
      <c r="L82" s="136" t="s">
        <v>366</v>
      </c>
      <c r="M82" s="136" t="s">
        <v>13</v>
      </c>
      <c r="N82" s="136" t="s">
        <v>366</v>
      </c>
      <c r="U82" s="129"/>
      <c r="V82" s="129"/>
      <c r="W82" s="129"/>
      <c r="X82" s="129"/>
      <c r="Y82" s="129"/>
      <c r="Z82" s="129"/>
      <c r="AA82" s="129"/>
      <c r="AB82" s="129"/>
      <c r="AC82" s="129"/>
      <c r="AD82" s="129"/>
      <c r="AE82" s="129"/>
      <c r="AF82" s="129"/>
      <c r="AG82" s="129"/>
      <c r="AH82" s="129"/>
      <c r="AI82" s="129"/>
      <c r="AJ82" s="129"/>
      <c r="AK82" s="129"/>
      <c r="AL82" s="129"/>
      <c r="AM82" s="129"/>
      <c r="AN82" s="129"/>
      <c r="AO82" s="129"/>
      <c r="AP82" s="129"/>
      <c r="AQ82" s="129"/>
      <c r="AR82" s="129"/>
      <c r="AS82" s="129"/>
      <c r="AT82" s="129"/>
      <c r="AU82" s="129"/>
      <c r="AV82" s="129"/>
      <c r="AW82" s="129"/>
      <c r="EJ82" s="129"/>
      <c r="EL82" s="129"/>
      <c r="EN82" s="129"/>
      <c r="EP82" s="129"/>
      <c r="ER82" s="129"/>
      <c r="ET82" s="129"/>
      <c r="EV82" s="129"/>
      <c r="EX82" s="129"/>
      <c r="FP82" s="129"/>
      <c r="QY82" s="128"/>
      <c r="TW82" s="156"/>
    </row>
    <row r="83" spans="1:1296" outlineLevel="1">
      <c r="A83" s="158" t="s">
        <v>351</v>
      </c>
      <c r="B83" s="159" t="s">
        <v>249</v>
      </c>
      <c r="C83" s="139" t="s">
        <v>250</v>
      </c>
      <c r="D83" s="139" t="s">
        <v>251</v>
      </c>
      <c r="E83" s="158">
        <v>254</v>
      </c>
      <c r="G83" s="136" t="s">
        <v>173</v>
      </c>
      <c r="H83" s="136" t="s">
        <v>366</v>
      </c>
      <c r="I83" s="136" t="s">
        <v>366</v>
      </c>
      <c r="J83" s="136" t="s">
        <v>366</v>
      </c>
      <c r="K83" s="136" t="s">
        <v>366</v>
      </c>
      <c r="L83" s="136" t="s">
        <v>366</v>
      </c>
      <c r="N83" s="136" t="s">
        <v>366</v>
      </c>
      <c r="U83" s="129"/>
      <c r="V83" s="129"/>
      <c r="W83" s="129"/>
      <c r="X83" s="129"/>
      <c r="Y83" s="129"/>
      <c r="Z83" s="129"/>
      <c r="AA83" s="129"/>
      <c r="AB83" s="129"/>
      <c r="AC83" s="129"/>
      <c r="AD83" s="129"/>
      <c r="AE83" s="129"/>
      <c r="AF83" s="129"/>
      <c r="AG83" s="129"/>
      <c r="AH83" s="129"/>
      <c r="AI83" s="129"/>
      <c r="AJ83" s="129"/>
      <c r="AK83" s="129"/>
      <c r="AL83" s="129"/>
      <c r="AM83" s="129"/>
      <c r="AN83" s="129"/>
      <c r="AO83" s="129"/>
      <c r="AP83" s="129"/>
      <c r="AQ83" s="129"/>
      <c r="AR83" s="129"/>
      <c r="AS83" s="129"/>
      <c r="AT83" s="129"/>
      <c r="AU83" s="129"/>
      <c r="AV83" s="129"/>
      <c r="AW83" s="129"/>
      <c r="EJ83" s="129"/>
      <c r="EL83" s="129"/>
      <c r="EN83" s="129"/>
      <c r="EP83" s="129"/>
      <c r="ER83" s="129"/>
      <c r="ET83" s="129"/>
      <c r="EV83" s="129"/>
      <c r="EX83" s="129"/>
      <c r="FP83" s="129"/>
      <c r="QY83" s="128"/>
      <c r="TW83" s="156"/>
    </row>
    <row r="84" spans="1:1296" ht="25.5" outlineLevel="1">
      <c r="A84" s="158" t="s">
        <v>351</v>
      </c>
      <c r="B84" s="159" t="s">
        <v>252</v>
      </c>
      <c r="C84" s="139" t="s">
        <v>253</v>
      </c>
      <c r="D84" s="139" t="s">
        <v>254</v>
      </c>
      <c r="E84" s="158">
        <v>255</v>
      </c>
      <c r="G84" s="136" t="s">
        <v>173</v>
      </c>
      <c r="H84" s="136" t="s">
        <v>366</v>
      </c>
      <c r="I84" s="136" t="s">
        <v>366</v>
      </c>
      <c r="J84" s="136" t="s">
        <v>366</v>
      </c>
      <c r="K84" s="136" t="s">
        <v>366</v>
      </c>
      <c r="L84" s="136" t="s">
        <v>366</v>
      </c>
      <c r="M84" s="136" t="s">
        <v>13</v>
      </c>
      <c r="N84" s="136" t="s">
        <v>366</v>
      </c>
      <c r="U84" s="129"/>
      <c r="V84" s="129"/>
      <c r="W84" s="129"/>
      <c r="X84" s="129"/>
      <c r="Y84" s="129"/>
      <c r="Z84" s="129"/>
      <c r="AA84" s="129"/>
      <c r="AB84" s="129"/>
      <c r="AC84" s="129"/>
      <c r="AD84" s="129"/>
      <c r="AE84" s="129"/>
      <c r="AF84" s="129"/>
      <c r="AG84" s="129"/>
      <c r="AH84" s="129"/>
      <c r="AI84" s="129"/>
      <c r="AJ84" s="129"/>
      <c r="AK84" s="129"/>
      <c r="AL84" s="129"/>
      <c r="AM84" s="129"/>
      <c r="AN84" s="129"/>
      <c r="AO84" s="129"/>
      <c r="AP84" s="129"/>
      <c r="AQ84" s="129"/>
      <c r="AR84" s="129"/>
      <c r="AS84" s="129"/>
      <c r="AT84" s="129"/>
      <c r="AU84" s="129"/>
      <c r="AV84" s="129"/>
      <c r="AW84" s="129"/>
      <c r="EJ84" s="129"/>
      <c r="EL84" s="129"/>
      <c r="EN84" s="129"/>
      <c r="EP84" s="129"/>
      <c r="ER84" s="129"/>
      <c r="ET84" s="129"/>
      <c r="EV84" s="129"/>
      <c r="EX84" s="129"/>
      <c r="FP84" s="129"/>
      <c r="QY84" s="128"/>
      <c r="TW84" s="156"/>
    </row>
    <row r="85" spans="1:1296" outlineLevel="1">
      <c r="A85" s="158" t="s">
        <v>351</v>
      </c>
      <c r="B85" s="159" t="s">
        <v>255</v>
      </c>
      <c r="C85" s="139" t="s">
        <v>256</v>
      </c>
      <c r="D85" s="139" t="s">
        <v>257</v>
      </c>
      <c r="E85" s="158">
        <v>256</v>
      </c>
      <c r="G85" s="136" t="s">
        <v>11</v>
      </c>
      <c r="H85" s="136" t="s">
        <v>366</v>
      </c>
      <c r="I85" s="136" t="s">
        <v>366</v>
      </c>
      <c r="J85" s="136" t="s">
        <v>366</v>
      </c>
      <c r="K85" s="136" t="s">
        <v>366</v>
      </c>
      <c r="L85" s="136" t="s">
        <v>366</v>
      </c>
      <c r="M85" s="136" t="s">
        <v>13</v>
      </c>
      <c r="N85" s="136" t="s">
        <v>366</v>
      </c>
      <c r="U85" s="129"/>
      <c r="V85" s="129"/>
      <c r="W85" s="129"/>
      <c r="X85" s="129"/>
      <c r="Y85" s="129"/>
      <c r="Z85" s="129"/>
      <c r="AA85" s="129"/>
      <c r="AB85" s="129"/>
      <c r="AC85" s="129"/>
      <c r="AD85" s="129"/>
      <c r="AE85" s="129"/>
      <c r="AF85" s="129"/>
      <c r="AG85" s="129"/>
      <c r="AH85" s="129"/>
      <c r="AI85" s="129"/>
      <c r="AJ85" s="129"/>
      <c r="AK85" s="129"/>
      <c r="AL85" s="129"/>
      <c r="AM85" s="129"/>
      <c r="AN85" s="129"/>
      <c r="AO85" s="129"/>
      <c r="AP85" s="129"/>
      <c r="AQ85" s="129"/>
      <c r="AR85" s="129"/>
      <c r="AS85" s="129"/>
      <c r="AT85" s="129"/>
      <c r="AU85" s="129"/>
      <c r="AV85" s="129"/>
      <c r="AW85" s="129"/>
      <c r="EJ85" s="129"/>
      <c r="EL85" s="129"/>
      <c r="EN85" s="129"/>
      <c r="EP85" s="129"/>
      <c r="ER85" s="129"/>
      <c r="ET85" s="129"/>
      <c r="EV85" s="129"/>
      <c r="EX85" s="129"/>
      <c r="FP85" s="129"/>
      <c r="QY85" s="128"/>
      <c r="TW85" s="156"/>
    </row>
    <row r="86" spans="1:1296" outlineLevel="1">
      <c r="A86" s="158" t="s">
        <v>351</v>
      </c>
      <c r="B86" s="159" t="s">
        <v>258</v>
      </c>
      <c r="C86" s="139" t="s">
        <v>259</v>
      </c>
      <c r="D86" s="139" t="s">
        <v>260</v>
      </c>
      <c r="E86" s="158">
        <v>257</v>
      </c>
      <c r="G86" s="136" t="s">
        <v>173</v>
      </c>
      <c r="H86" s="136" t="s">
        <v>366</v>
      </c>
      <c r="I86" s="136" t="s">
        <v>366</v>
      </c>
      <c r="J86" s="136" t="s">
        <v>366</v>
      </c>
      <c r="K86" s="136" t="s">
        <v>366</v>
      </c>
      <c r="L86" s="136" t="s">
        <v>366</v>
      </c>
      <c r="N86" s="136" t="s">
        <v>366</v>
      </c>
      <c r="U86" s="129"/>
      <c r="V86" s="129"/>
      <c r="W86" s="129"/>
      <c r="X86" s="129"/>
      <c r="Y86" s="129"/>
      <c r="Z86" s="129"/>
      <c r="AA86" s="129"/>
      <c r="AB86" s="129"/>
      <c r="AC86" s="129"/>
      <c r="AD86" s="129"/>
      <c r="AE86" s="129"/>
      <c r="AF86" s="129"/>
      <c r="AG86" s="129"/>
      <c r="AH86" s="129"/>
      <c r="AI86" s="129"/>
      <c r="AJ86" s="129"/>
      <c r="AK86" s="129"/>
      <c r="AL86" s="129"/>
      <c r="AM86" s="129"/>
      <c r="AN86" s="129"/>
      <c r="AO86" s="129"/>
      <c r="AP86" s="129"/>
      <c r="AQ86" s="129"/>
      <c r="AR86" s="129"/>
      <c r="AS86" s="129"/>
      <c r="AT86" s="129"/>
      <c r="AU86" s="129"/>
      <c r="AV86" s="129"/>
      <c r="AW86" s="129"/>
      <c r="EJ86" s="129"/>
      <c r="EL86" s="129"/>
      <c r="EN86" s="129"/>
      <c r="EP86" s="129"/>
      <c r="ER86" s="129"/>
      <c r="ET86" s="129"/>
      <c r="EV86" s="129"/>
      <c r="EX86" s="129"/>
      <c r="FP86" s="129"/>
      <c r="QY86" s="128"/>
      <c r="TW86" s="156"/>
    </row>
    <row r="87" spans="1:1296" ht="25.5" outlineLevel="1">
      <c r="A87" s="158" t="s">
        <v>351</v>
      </c>
      <c r="B87" s="159" t="s">
        <v>261</v>
      </c>
      <c r="C87" s="139" t="s">
        <v>262</v>
      </c>
      <c r="D87" s="139" t="s">
        <v>263</v>
      </c>
      <c r="E87" s="158">
        <v>258</v>
      </c>
      <c r="G87" s="136" t="s">
        <v>173</v>
      </c>
      <c r="H87" s="136" t="s">
        <v>366</v>
      </c>
      <c r="I87" s="136" t="s">
        <v>366</v>
      </c>
      <c r="J87" s="136" t="s">
        <v>366</v>
      </c>
      <c r="K87" s="136" t="s">
        <v>366</v>
      </c>
      <c r="L87" s="136" t="s">
        <v>366</v>
      </c>
      <c r="M87" s="136" t="s">
        <v>13</v>
      </c>
      <c r="N87" s="136" t="s">
        <v>366</v>
      </c>
      <c r="U87" s="129"/>
      <c r="V87" s="129"/>
      <c r="W87" s="129"/>
      <c r="X87" s="129"/>
      <c r="Y87" s="129"/>
      <c r="Z87" s="129"/>
      <c r="AA87" s="129"/>
      <c r="AB87" s="129"/>
      <c r="AC87" s="129"/>
      <c r="AD87" s="129"/>
      <c r="AE87" s="129"/>
      <c r="AF87" s="129"/>
      <c r="AG87" s="129"/>
      <c r="AH87" s="129"/>
      <c r="AI87" s="129"/>
      <c r="AJ87" s="129"/>
      <c r="AK87" s="129"/>
      <c r="AL87" s="129"/>
      <c r="AM87" s="129"/>
      <c r="AN87" s="129"/>
      <c r="AO87" s="129"/>
      <c r="AP87" s="129"/>
      <c r="AQ87" s="129"/>
      <c r="AR87" s="129"/>
      <c r="AS87" s="129"/>
      <c r="AT87" s="129"/>
      <c r="AU87" s="129"/>
      <c r="AV87" s="129"/>
      <c r="AW87" s="129"/>
      <c r="EJ87" s="129"/>
      <c r="EL87" s="129"/>
      <c r="EN87" s="129"/>
      <c r="EP87" s="129"/>
      <c r="ER87" s="129"/>
      <c r="ET87" s="129"/>
      <c r="EV87" s="129"/>
      <c r="EX87" s="129"/>
      <c r="FP87" s="129"/>
      <c r="QY87" s="128"/>
      <c r="TW87" s="156"/>
    </row>
    <row r="88" spans="1:1296" s="149" customFormat="1" outlineLevel="1">
      <c r="A88" s="137" t="s">
        <v>351</v>
      </c>
      <c r="B88" s="139" t="s">
        <v>353</v>
      </c>
      <c r="C88" s="139" t="s">
        <v>354</v>
      </c>
      <c r="D88" s="139" t="s">
        <v>355</v>
      </c>
      <c r="E88" s="137">
        <v>115</v>
      </c>
      <c r="F88" s="138" t="s">
        <v>352</v>
      </c>
      <c r="G88" s="136" t="s">
        <v>348</v>
      </c>
      <c r="H88" s="136" t="s">
        <v>13</v>
      </c>
      <c r="I88" s="136" t="s">
        <v>13</v>
      </c>
      <c r="J88" s="136" t="s">
        <v>13</v>
      </c>
      <c r="K88" s="136" t="s">
        <v>13</v>
      </c>
      <c r="L88" s="136" t="s">
        <v>366</v>
      </c>
      <c r="M88" s="136"/>
      <c r="N88" s="136" t="s">
        <v>13</v>
      </c>
      <c r="O88" s="138"/>
      <c r="P88" s="149">
        <f>ROUND(VLOOKUP(P$2,'[2]U-waarden'!$A:$D,2,FALSE),2)</f>
        <v>0.7</v>
      </c>
      <c r="Q88" s="149">
        <f>ROUND(VLOOKUP(Q$2,'[2]U-waarden'!$A:$D,2,FALSE),2)</f>
        <v>0.8</v>
      </c>
      <c r="R88" s="149">
        <f>ROUND(VLOOKUP(R$2,'[2]U-waarden'!$A:$D,2,FALSE),2)</f>
        <v>0.6</v>
      </c>
      <c r="S88" s="149">
        <f>ROUND(VLOOKUP(S$2,'[2]U-waarden'!$A:$D,2,FALSE),2)</f>
        <v>0.5</v>
      </c>
      <c r="T88" s="149">
        <f>ROUND(VLOOKUP(T$2,'[2]U-waarden'!$A:$D,2,FALSE),2)</f>
        <v>0.5</v>
      </c>
      <c r="U88" s="149">
        <f>ROUND(VLOOKUP(U$2,'[2]U-waarden'!$A:$D,2,FALSE),2)</f>
        <v>0.19</v>
      </c>
      <c r="V88" s="149">
        <f>ROUND(VLOOKUP(V$2,'[2]U-waarden'!$A:$D,2,FALSE),2)</f>
        <v>0.18</v>
      </c>
      <c r="W88" s="149">
        <f>ROUND(VLOOKUP(W$2,'[2]U-waarden'!$A:$D,2,FALSE),2)</f>
        <v>0.62</v>
      </c>
      <c r="X88" s="149">
        <f>ROUND(VLOOKUP(X$2,'[2]U-waarden'!$A:$D,2,FALSE),2)</f>
        <v>0.74</v>
      </c>
      <c r="Y88" s="149">
        <f>ROUND(VLOOKUP(Y$2,'[2]U-waarden'!$A:$D,2,FALSE),2)</f>
        <v>0.57999999999999996</v>
      </c>
      <c r="Z88" s="149">
        <f>ROUND(VLOOKUP(Z$2,'[2]U-waarden'!$A:$D,2,FALSE),2)</f>
        <v>0.48</v>
      </c>
      <c r="AA88" s="149">
        <f>ROUND(VLOOKUP(AA$2,'[2]U-waarden'!$A:$D,2,FALSE),2)</f>
        <v>0.57999999999999996</v>
      </c>
      <c r="AB88" s="149">
        <f>ROUND(VLOOKUP(AB$2,'[2]U-waarden'!$A:$D,2,FALSE),2)</f>
        <v>0.48</v>
      </c>
      <c r="AC88" s="149">
        <f>ROUND(VLOOKUP(AC$2,'[2]U-waarden'!$A:$D,2,FALSE),2)</f>
        <v>0.54</v>
      </c>
      <c r="AD88" s="149">
        <f>ROUND(VLOOKUP(AD$2,'[2]U-waarden'!$A:$D,2,FALSE),2)</f>
        <v>0.54</v>
      </c>
      <c r="AE88" s="149" t="e">
        <f>ROUND(VLOOKUP(AE$2,'[2]U-waarden'!$A:$D,2,FALSE),2)</f>
        <v>#N/A</v>
      </c>
      <c r="AF88" s="149">
        <f>ROUND(VLOOKUP(AF$2,'[2]U-waarden'!$A:$D,2,FALSE),2)</f>
        <v>0.6</v>
      </c>
      <c r="AG88" s="149">
        <f>ROUND(VLOOKUP(AG$2,'[2]U-waarden'!$A:$D,2,FALSE),2)</f>
        <v>0.5</v>
      </c>
      <c r="AH88" s="149">
        <f>ROUND(VLOOKUP(AH$2,'[2]U-waarden'!$A:$D,2,FALSE),2)</f>
        <v>1.4</v>
      </c>
      <c r="AI88" s="149">
        <f>ROUND(VLOOKUP(AI$2,'[2]U-waarden'!$A:$D,2,FALSE),2)</f>
        <v>0.16</v>
      </c>
      <c r="AJ88" s="149">
        <f>ROUND(VLOOKUP(AJ$2,'[2]U-waarden'!$A:$D,2,FALSE),2)</f>
        <v>0.17</v>
      </c>
      <c r="AK88" s="149">
        <f>ROUND(VLOOKUP(AK$2,'[2]U-waarden'!$A:$D,2,FALSE),2)</f>
        <v>0.19</v>
      </c>
      <c r="AL88" s="149">
        <f>ROUND(VLOOKUP(AL$2,'[2]U-waarden'!$A:$D,2,FALSE),2)</f>
        <v>0.18</v>
      </c>
      <c r="AM88" s="149">
        <f>ROUND(VLOOKUP(AM$2,'[2]U-waarden'!$A:$D,2,FALSE),2)</f>
        <v>0.13</v>
      </c>
      <c r="AN88" s="149">
        <f>ROUND(VLOOKUP(AN$2,'[2]U-waarden'!$A:$D,2,FALSE),2)</f>
        <v>0.5</v>
      </c>
      <c r="AO88" s="149">
        <f>ROUND(VLOOKUP(AO$2,'[2]U-waarden'!$A:$D,2,FALSE),2)</f>
        <v>0.51</v>
      </c>
      <c r="AP88" s="149">
        <f>ROUND(VLOOKUP(AP$2,'[2]U-waarden'!$A:$D,2,FALSE),2)</f>
        <v>0.5</v>
      </c>
      <c r="AQ88" s="149">
        <f>ROUND(VLOOKUP(AQ$2,'[2]U-waarden'!$A:$D,2,FALSE),2)</f>
        <v>0.5</v>
      </c>
      <c r="AR88" s="149">
        <f>ROUND(VLOOKUP(AR$2,'[2]U-waarden'!$A:$D,2,FALSE),2)</f>
        <v>0.6</v>
      </c>
      <c r="AS88" s="149">
        <f>ROUND(VLOOKUP(AS$2,'[2]U-waarden'!$A:$D,2,FALSE),2)</f>
        <v>0.61</v>
      </c>
      <c r="AT88" s="149">
        <f>ROUND(VLOOKUP(AT$2,'[2]U-waarden'!$A:$D,2,FALSE),2)</f>
        <v>0.6</v>
      </c>
      <c r="AU88" s="149">
        <f>ROUND(VLOOKUP(AU$2,'[2]U-waarden'!$A:$D,2,FALSE),2)</f>
        <v>0.6</v>
      </c>
      <c r="AV88" s="149">
        <f>ROUND(VLOOKUP(AV$2,'[2]U-waarden'!$A:$D,2,FALSE),2)</f>
        <v>0.61</v>
      </c>
      <c r="AW88" s="149">
        <f>ROUND(VLOOKUP(AW$2,'[2]U-waarden'!$A:$D,2,FALSE),2)</f>
        <v>0.62</v>
      </c>
      <c r="AZ88" s="149">
        <v>0.98</v>
      </c>
      <c r="CA88" s="149">
        <v>0.64</v>
      </c>
      <c r="CF88" s="149">
        <v>0.52</v>
      </c>
      <c r="FP88" s="149">
        <f>ROUND(VLOOKUP(FP$2,'[2]U-waarden'!$A:$D,2,FALSE),2)</f>
        <v>0.17</v>
      </c>
      <c r="HS88" s="149">
        <f>ROUND(VLOOKUP(HS$2,'[2]U-waarden'!$A:$D,2,FALSE),2)</f>
        <v>0.73</v>
      </c>
      <c r="IE88" s="149">
        <f>ROUND(VLOOKUP(IE$2,'[2]U-waarden'!$A:$D,2,FALSE),2)</f>
        <v>0.89</v>
      </c>
      <c r="IF88" s="149">
        <f>ROUND(VLOOKUP(IF$2,'[2]U-waarden'!$A:$D,2,FALSE),2)</f>
        <v>0.66</v>
      </c>
      <c r="IG88" s="149">
        <f>ROUND(VLOOKUP(IG$2,'[2]U-waarden'!$A:$D,2,FALSE),2)</f>
        <v>0.8</v>
      </c>
      <c r="IH88" s="149">
        <f>ROUND(VLOOKUP(IH$2,'[2]U-waarden'!$A:$D,2,FALSE),2)</f>
        <v>0.66</v>
      </c>
      <c r="II88" s="149">
        <f>ROUND(VLOOKUP(II$2,'[2]U-waarden'!$A:$D,2,FALSE),2)</f>
        <v>0.83</v>
      </c>
      <c r="IJ88" s="149">
        <f>ROUND(VLOOKUP(IJ$2,'[2]U-waarden'!$A:$D,2,FALSE),2)</f>
        <v>1.38</v>
      </c>
      <c r="IK88" s="149">
        <f>ROUND(VLOOKUP(IK$2,'[2]U-waarden'!$A:$D,2,FALSE),2)</f>
        <v>1.27</v>
      </c>
      <c r="IL88" s="152">
        <f>ROUND(VLOOKUP(IL$2,'[2]U-waarden'!$A:$D,2,FALSE),2)</f>
        <v>0.28000000000000003</v>
      </c>
      <c r="IM88" s="149">
        <f>ROUND(VLOOKUP(IM$2,'[2]U-waarden'!$A:$D,2,FALSE),2)</f>
        <v>0.93</v>
      </c>
      <c r="IN88" s="149">
        <f>ROUND(VLOOKUP(IN$2,'[2]U-waarden'!$A:$D,2,FALSE),2)</f>
        <v>0.73</v>
      </c>
      <c r="IO88" s="149">
        <f>ROUND(VLOOKUP(IO$2,'[2]U-waarden'!$A:$D,2,FALSE),2)</f>
        <v>0.34</v>
      </c>
      <c r="IP88" s="149">
        <f>ROUND(VLOOKUP(IP$2,'[2]U-waarden'!$A:$D,2,FALSE),2)</f>
        <v>0.66</v>
      </c>
      <c r="IQ88" s="149">
        <f>ROUND(VLOOKUP(IQ$2,'[2]U-waarden'!$A:$D,2,FALSE),2)</f>
        <v>0.66</v>
      </c>
      <c r="IR88" s="149">
        <f>ROUND(VLOOKUP(IR$2,'[2]U-waarden'!$A:$D,2,FALSE),2)</f>
        <v>0.83</v>
      </c>
      <c r="IS88" s="149">
        <f>ROUND(VLOOKUP(IS$2,'[2]U-waarden'!$A:$D,2,FALSE),2)</f>
        <v>0.83</v>
      </c>
      <c r="IU88" s="149" t="s">
        <v>13</v>
      </c>
      <c r="JF88" s="149">
        <v>1.03</v>
      </c>
      <c r="JG88" s="149" t="s">
        <v>13</v>
      </c>
      <c r="JH88" s="149" t="s">
        <v>13</v>
      </c>
      <c r="JM88" s="149" t="s">
        <v>13</v>
      </c>
      <c r="JN88" s="149" t="s">
        <v>13</v>
      </c>
      <c r="JO88" s="149" t="s">
        <v>13</v>
      </c>
      <c r="JP88" s="149" t="s">
        <v>13</v>
      </c>
      <c r="JQ88" s="149" t="s">
        <v>13</v>
      </c>
      <c r="JR88" s="149" t="s">
        <v>13</v>
      </c>
      <c r="JU88" s="149" t="s">
        <v>13</v>
      </c>
      <c r="JV88" s="149" t="s">
        <v>13</v>
      </c>
      <c r="JW88" s="149" t="s">
        <v>13</v>
      </c>
      <c r="JX88" s="149" t="s">
        <v>13</v>
      </c>
      <c r="JY88" s="149" t="s">
        <v>13</v>
      </c>
      <c r="JZ88" s="149" t="s">
        <v>13</v>
      </c>
      <c r="KA88" s="149" t="s">
        <v>13</v>
      </c>
      <c r="KB88" s="149" t="s">
        <v>13</v>
      </c>
      <c r="KC88" s="149" t="s">
        <v>13</v>
      </c>
      <c r="KR88" s="149" t="s">
        <v>13</v>
      </c>
      <c r="KS88" s="149" t="s">
        <v>13</v>
      </c>
      <c r="KT88" s="149" t="s">
        <v>13</v>
      </c>
      <c r="KU88" s="149" t="s">
        <v>13</v>
      </c>
      <c r="KV88" s="149" t="s">
        <v>13</v>
      </c>
      <c r="KW88" s="149" t="s">
        <v>13</v>
      </c>
      <c r="KX88" s="149" t="s">
        <v>13</v>
      </c>
      <c r="KY88" s="149" t="s">
        <v>13</v>
      </c>
      <c r="KZ88" s="149" t="s">
        <v>13</v>
      </c>
      <c r="LA88" s="149" t="s">
        <v>13</v>
      </c>
      <c r="LB88" s="149" t="s">
        <v>13</v>
      </c>
      <c r="LC88" s="149" t="s">
        <v>13</v>
      </c>
      <c r="LD88" s="149" t="s">
        <v>13</v>
      </c>
      <c r="LE88" s="149" t="s">
        <v>13</v>
      </c>
      <c r="LF88" s="149" t="s">
        <v>13</v>
      </c>
      <c r="LG88" s="149" t="s">
        <v>13</v>
      </c>
      <c r="LI88" s="149" t="s">
        <v>13</v>
      </c>
      <c r="LJ88" s="149" t="s">
        <v>13</v>
      </c>
      <c r="LK88" s="151" t="s">
        <v>13</v>
      </c>
      <c r="LL88" s="151" t="s">
        <v>13</v>
      </c>
      <c r="LM88" s="151" t="s">
        <v>13</v>
      </c>
      <c r="LN88" s="151" t="s">
        <v>13</v>
      </c>
      <c r="LO88" s="151" t="s">
        <v>13</v>
      </c>
      <c r="LP88" s="149" t="s">
        <v>13</v>
      </c>
      <c r="LQ88" s="149" t="s">
        <v>13</v>
      </c>
      <c r="LR88" s="149" t="s">
        <v>13</v>
      </c>
      <c r="LS88" s="149" t="s">
        <v>13</v>
      </c>
      <c r="LT88" s="149" t="s">
        <v>13</v>
      </c>
      <c r="LU88" s="151" t="s">
        <v>13</v>
      </c>
      <c r="LV88" s="151"/>
      <c r="LW88" s="151"/>
      <c r="LX88" s="151"/>
      <c r="LY88" s="151"/>
      <c r="LZ88" s="151"/>
      <c r="MA88" s="151"/>
      <c r="MB88" s="151"/>
      <c r="MC88" s="151"/>
      <c r="MD88" s="151"/>
      <c r="ME88" s="151"/>
      <c r="MF88" s="151" t="s">
        <v>13</v>
      </c>
      <c r="MG88" s="151" t="s">
        <v>13</v>
      </c>
      <c r="MH88" s="149" t="s">
        <v>13</v>
      </c>
      <c r="MI88" s="149" t="s">
        <v>13</v>
      </c>
      <c r="MJ88" s="149" t="s">
        <v>13</v>
      </c>
      <c r="MN88" s="149" t="s">
        <v>13</v>
      </c>
      <c r="MO88" s="149" t="s">
        <v>13</v>
      </c>
      <c r="MP88" s="149" t="s">
        <v>13</v>
      </c>
      <c r="MQ88" s="150" t="s">
        <v>13</v>
      </c>
      <c r="MR88" s="150" t="s">
        <v>13</v>
      </c>
      <c r="MS88" s="150" t="s">
        <v>13</v>
      </c>
      <c r="MT88" s="150" t="s">
        <v>13</v>
      </c>
      <c r="MU88" s="150" t="s">
        <v>13</v>
      </c>
      <c r="MV88" s="150" t="s">
        <v>13</v>
      </c>
      <c r="MW88" s="150" t="s">
        <v>13</v>
      </c>
      <c r="MX88" s="150" t="s">
        <v>13</v>
      </c>
      <c r="MY88" s="150" t="s">
        <v>13</v>
      </c>
      <c r="NA88" s="149" t="s">
        <v>13</v>
      </c>
      <c r="NB88" s="151" t="s">
        <v>13</v>
      </c>
      <c r="NC88" s="151" t="s">
        <v>13</v>
      </c>
      <c r="ND88" s="151" t="s">
        <v>13</v>
      </c>
      <c r="NE88" s="151" t="s">
        <v>13</v>
      </c>
      <c r="NF88" s="151" t="s">
        <v>13</v>
      </c>
      <c r="NG88" s="149" t="s">
        <v>13</v>
      </c>
      <c r="NH88" s="149" t="s">
        <v>13</v>
      </c>
      <c r="NI88" s="149" t="s">
        <v>13</v>
      </c>
      <c r="NJ88" s="149" t="s">
        <v>13</v>
      </c>
      <c r="NK88" s="149" t="s">
        <v>13</v>
      </c>
      <c r="NL88" s="150" t="s">
        <v>13</v>
      </c>
      <c r="NM88" s="150" t="s">
        <v>13</v>
      </c>
      <c r="NN88" s="150" t="s">
        <v>13</v>
      </c>
      <c r="NO88" s="150" t="s">
        <v>13</v>
      </c>
      <c r="NP88" s="150" t="s">
        <v>13</v>
      </c>
      <c r="NQ88" s="149" t="s">
        <v>13</v>
      </c>
      <c r="OQ88" s="149">
        <f>ROUND(VLOOKUP(OQ$2,'[2]U-waarden'!$A:$D,2,FALSE),2)</f>
        <v>5.33</v>
      </c>
      <c r="OR88" s="129">
        <v>1.26</v>
      </c>
      <c r="OS88" s="129">
        <v>0.61</v>
      </c>
      <c r="OT88" s="129" t="s">
        <v>3843</v>
      </c>
      <c r="OU88" s="149">
        <f>ROUND(VLOOKUP(OU$2,'[2]U-waarden'!$A:$D,2,FALSE),2)</f>
        <v>5.33</v>
      </c>
      <c r="OV88" s="129">
        <v>0.99</v>
      </c>
      <c r="OW88" s="129">
        <v>0.72</v>
      </c>
      <c r="OX88" s="129" t="s">
        <v>3843</v>
      </c>
      <c r="OY88" s="149">
        <f>ROUND(VLOOKUP(OY$2,'[2]U-waarden'!$A:$D,2,FALSE),2)</f>
        <v>5.33</v>
      </c>
      <c r="OZ88" s="129"/>
      <c r="PA88" s="129"/>
      <c r="PB88" s="149">
        <f>ROUND(VLOOKUP(PB$2,'[2]U-waarden'!$A:$D,2,FALSE),2)</f>
        <v>0.46</v>
      </c>
      <c r="PC88" s="129"/>
      <c r="PD88" s="129"/>
      <c r="PE88" s="129"/>
      <c r="PF88" s="149">
        <f>ROUND(VLOOKUP(PF$2,'[2]U-waarden'!$A:$D,2,FALSE),2)</f>
        <v>0.42</v>
      </c>
      <c r="PG88" s="129">
        <v>1.02</v>
      </c>
      <c r="PH88" s="129">
        <v>0.55000000000000004</v>
      </c>
      <c r="PI88" s="129" t="s">
        <v>3843</v>
      </c>
      <c r="PJ88" s="129">
        <v>1.04</v>
      </c>
      <c r="PK88" s="129">
        <v>0.85</v>
      </c>
      <c r="PL88" s="129" t="s">
        <v>3843</v>
      </c>
      <c r="PM88" s="149">
        <f>ROUND(VLOOKUP(PM$2,'[2]U-waarden'!$A:$D,2,FALSE),2)</f>
        <v>0.44</v>
      </c>
      <c r="PN88" s="129"/>
      <c r="PO88" s="129"/>
      <c r="PP88" s="129"/>
      <c r="PQ88" s="149">
        <f>ROUND(VLOOKUP(PQ$2,'[2]U-waarden'!$A:$D,2,FALSE),2)</f>
        <v>0.4</v>
      </c>
      <c r="PR88" s="149">
        <f>ROUND(VLOOKUP(PR$2,'[2]U-waarden'!$A:$D,2,FALSE),2)</f>
        <v>0.4</v>
      </c>
      <c r="PS88" s="149">
        <f>ROUND(VLOOKUP(PS$2,'[2]U-waarden'!$A:$D,2,FALSE),2)</f>
        <v>5.0599999999999996</v>
      </c>
      <c r="PT88" s="149">
        <f>ROUND(VLOOKUP(PT$2,'[2]U-waarden'!$A:$D,2,FALSE),2)</f>
        <v>5.0599999999999996</v>
      </c>
      <c r="PU88" s="149">
        <f>ROUND(VLOOKUP(PU$2,'[2]U-waarden'!$A:$D,2,FALSE),2)</f>
        <v>5.0599999999999996</v>
      </c>
      <c r="PV88" s="149">
        <f>ROUND(VLOOKUP(PV$2,'[2]U-waarden'!$A:$D,2,FALSE),2)</f>
        <v>3.88</v>
      </c>
      <c r="PW88" s="149">
        <f>ROUND(VLOOKUP(PW$2,'[2]U-waarden'!$A:$D,2,FALSE),2)</f>
        <v>1.01</v>
      </c>
      <c r="PX88" s="149">
        <f>ROUND(VLOOKUP(PX$2,'[2]U-waarden'!$A:$D,2,FALSE),2)</f>
        <v>3.88</v>
      </c>
      <c r="PY88" s="149">
        <f>ROUND(VLOOKUP(PY$2,'[2]U-waarden'!$A:$D,2,FALSE),2)</f>
        <v>0.64</v>
      </c>
      <c r="PZ88" s="149">
        <f>ROUND(VLOOKUP(PZ$2,'[2]U-waarden'!$A:$D,2,FALSE),2)</f>
        <v>3.88</v>
      </c>
      <c r="QA88" s="149">
        <f>ROUND(VLOOKUP(QA$2,'[2]U-waarden'!$A:$D,2,FALSE),2)</f>
        <v>0.43</v>
      </c>
      <c r="QB88" s="149">
        <f>ROUND(VLOOKUP(QB$2,'[2]U-waarden'!$A:$D,2,FALSE),2)</f>
        <v>3.88</v>
      </c>
      <c r="QC88" s="149">
        <f>ROUND(VLOOKUP(QC$2,'[2]U-waarden'!$A:$D,2,FALSE),2)</f>
        <v>0.4</v>
      </c>
      <c r="QD88" s="149">
        <f>ROUND(VLOOKUP(QD$2,'[2]U-waarden'!$A:$D,2,FALSE),2)</f>
        <v>1.26</v>
      </c>
      <c r="QE88" s="149">
        <f>ROUND(VLOOKUP(QE$2,'[2]U-waarden'!$A:$D,2,FALSE),2)</f>
        <v>0.61</v>
      </c>
      <c r="QF88" s="149">
        <f>ROUND(VLOOKUP(QF$2,'[2]U-waarden'!$A:$D,2,FALSE),2)</f>
        <v>0.46</v>
      </c>
      <c r="QG88" s="149">
        <f>ROUND(VLOOKUP(QG$2,'[2]U-waarden'!$A:$D,2,FALSE),2)</f>
        <v>0.42</v>
      </c>
      <c r="QH88" s="149">
        <f>ROUND(VLOOKUP(QH$2,'[2]U-waarden'!$A:$D,2,FALSE),2)</f>
        <v>1.02</v>
      </c>
      <c r="QI88" s="129"/>
      <c r="QJ88" s="129"/>
      <c r="QK88" s="149">
        <f>ROUND(VLOOKUP(QK$2,'[2]U-waarden'!$A:$D,2,FALSE),2)</f>
        <v>0.85</v>
      </c>
      <c r="QL88" s="149">
        <f>ROUND(VLOOKUP(QL$2,'[2]U-waarden'!$A:$D,2,FALSE),2)</f>
        <v>0.44</v>
      </c>
      <c r="QM88" s="149">
        <f>ROUND(VLOOKUP(QM$2,'[2]U-waarden'!$A:$D,2,FALSE),2)</f>
        <v>0.4</v>
      </c>
      <c r="QN88" s="129"/>
      <c r="QO88" s="129"/>
      <c r="QP88" s="129"/>
      <c r="QQ88" s="129"/>
      <c r="QR88" s="149">
        <f>ROUND(VLOOKUP(QR$2,'[2]U-waarden'!$A:$D,2,FALSE),2)</f>
        <v>0.7</v>
      </c>
      <c r="QS88" s="129"/>
      <c r="QT88" s="129"/>
      <c r="QU88" s="129"/>
      <c r="QV88" s="149">
        <f>ROUND(VLOOKUP(QV$2,'[2]U-waarden'!$A:$D,2,FALSE),2)</f>
        <v>0.68</v>
      </c>
      <c r="QW88" s="149">
        <v>0.7</v>
      </c>
      <c r="QX88" s="129">
        <v>0.23</v>
      </c>
      <c r="QY88" s="128" t="s">
        <v>3843</v>
      </c>
      <c r="QZ88" s="149">
        <f>ROUND(VLOOKUP(QZ$2,'[2]U-waarden'!$A:$D,2,FALSE),2)</f>
        <v>0.68</v>
      </c>
      <c r="RA88" s="149">
        <f>ROUND(VLOOKUP(RA$2,'[2]U-waarden'!$A:$D,2,FALSE),2)</f>
        <v>5.04</v>
      </c>
      <c r="RB88" s="149">
        <f>ROUND(VLOOKUP(RB$2,'[2]U-waarden'!$A:$D,2,FALSE),2)</f>
        <v>0.7</v>
      </c>
      <c r="RC88" s="149">
        <f>ROUND(VLOOKUP(RC$2,'[2]U-waarden'!$A:$D,2,FALSE),2)</f>
        <v>0.68</v>
      </c>
      <c r="RD88" s="157">
        <f>ROUND(VLOOKUP(RD$2,'[2]U-waarden'!$A:$D,2,FALSE),2)</f>
        <v>4.63</v>
      </c>
      <c r="RE88" s="149">
        <f>ROUND(VLOOKUP(RE$2,'[2]U-waarden'!$A:$D,2,FALSE),2)</f>
        <v>0.6</v>
      </c>
      <c r="RF88" s="149">
        <f>ROUND(VLOOKUP(RF$2,'[2]U-waarden'!$A:$D,2,FALSE),2)</f>
        <v>0.57999999999999996</v>
      </c>
      <c r="RG88" s="149">
        <f>ROUND(VLOOKUP(RG$2,'[2]U-waarden'!$A:$D,2,FALSE),2)</f>
        <v>5.08</v>
      </c>
      <c r="RH88" s="149">
        <f>ROUND(VLOOKUP(RH$2,'[2]U-waarden'!$A:$D,2,FALSE),2)</f>
        <v>4.79</v>
      </c>
      <c r="RI88" s="149">
        <f>ROUND(VLOOKUP(RI$2,'[2]U-waarden'!$A:$D,2,FALSE),2)</f>
        <v>0.57999999999999996</v>
      </c>
      <c r="RJ88" s="149">
        <f>ROUND(VLOOKUP(RJ$2,'[2]U-waarden'!$A:$D,2,FALSE),2)</f>
        <v>0.52</v>
      </c>
      <c r="RK88" s="149">
        <f>ROUND(VLOOKUP(RK$2,'[2]U-waarden'!$A:$D,2,FALSE),2)</f>
        <v>0.6</v>
      </c>
      <c r="RL88" s="149">
        <f>ROUND(VLOOKUP(RL$2,'[2]U-waarden'!$A:$D,2,FALSE),2)</f>
        <v>0.57999999999999996</v>
      </c>
      <c r="RM88" s="157">
        <f>ROUND(VLOOKUP(RM$2,'[2]U-waarden'!$A:$D,2,FALSE),2)</f>
        <v>4.63</v>
      </c>
      <c r="RN88" s="149">
        <f>ROUND(VLOOKUP(RN$2,'[2]U-waarden'!$A:$D,2,FALSE),2)</f>
        <v>5.33</v>
      </c>
      <c r="RO88" s="149">
        <f>ROUND(VLOOKUP(RO$2,'[2]U-waarden'!$A:$D,2,FALSE),2)</f>
        <v>5.33</v>
      </c>
      <c r="RP88" s="149">
        <f>ROUND(VLOOKUP(RP$2,'[2]U-waarden'!$A:$D,2,FALSE),2)</f>
        <v>5.33</v>
      </c>
      <c r="RQ88" s="134"/>
      <c r="RR88" s="134"/>
      <c r="RS88" s="134"/>
      <c r="RT88" s="134"/>
      <c r="RU88" s="129"/>
      <c r="RV88" s="129" t="s">
        <v>13</v>
      </c>
      <c r="RW88" s="129" t="s">
        <v>13</v>
      </c>
      <c r="RX88" s="129" t="s">
        <v>13</v>
      </c>
      <c r="RY88" s="129" t="s">
        <v>13</v>
      </c>
      <c r="RZ88" s="129" t="s">
        <v>13</v>
      </c>
      <c r="SA88" s="129" t="s">
        <v>13</v>
      </c>
      <c r="SB88" s="129" t="s">
        <v>13</v>
      </c>
      <c r="SC88" s="129" t="s">
        <v>13</v>
      </c>
      <c r="SD88" s="129" t="s">
        <v>13</v>
      </c>
      <c r="SE88" s="129" t="s">
        <v>13</v>
      </c>
      <c r="SF88" s="129" t="s">
        <v>13</v>
      </c>
      <c r="SG88" s="129" t="s">
        <v>13</v>
      </c>
      <c r="SH88" s="129" t="s">
        <v>13</v>
      </c>
      <c r="SI88" s="129" t="s">
        <v>13</v>
      </c>
      <c r="SJ88" s="129" t="s">
        <v>13</v>
      </c>
      <c r="SK88" s="129" t="s">
        <v>13</v>
      </c>
      <c r="SL88" s="129" t="s">
        <v>13</v>
      </c>
      <c r="SM88" s="129" t="s">
        <v>13</v>
      </c>
      <c r="SN88" s="129"/>
      <c r="SO88" s="129" t="s">
        <v>13</v>
      </c>
      <c r="SP88" s="129" t="s">
        <v>13</v>
      </c>
      <c r="SQ88" s="129" t="s">
        <v>13</v>
      </c>
      <c r="SR88" s="129" t="s">
        <v>13</v>
      </c>
      <c r="SS88" s="129" t="s">
        <v>13</v>
      </c>
      <c r="ST88" s="129" t="s">
        <v>13</v>
      </c>
      <c r="SU88" s="129" t="s">
        <v>13</v>
      </c>
      <c r="SV88" s="129" t="s">
        <v>13</v>
      </c>
      <c r="SW88" s="129"/>
      <c r="SX88" s="129" t="s">
        <v>13</v>
      </c>
      <c r="SY88" s="129" t="s">
        <v>13</v>
      </c>
      <c r="SZ88" s="129" t="s">
        <v>13</v>
      </c>
      <c r="TA88" s="129" t="s">
        <v>13</v>
      </c>
      <c r="TB88" s="129" t="s">
        <v>13</v>
      </c>
      <c r="TC88" s="129" t="s">
        <v>13</v>
      </c>
      <c r="TD88" s="133" t="s">
        <v>13</v>
      </c>
      <c r="TE88" s="132" t="s">
        <v>13</v>
      </c>
      <c r="TF88" s="132" t="s">
        <v>13</v>
      </c>
      <c r="TG88" s="129" t="s">
        <v>13</v>
      </c>
      <c r="TH88" s="129" t="s">
        <v>13</v>
      </c>
      <c r="TI88" s="129" t="s">
        <v>13</v>
      </c>
      <c r="TJ88" s="129"/>
      <c r="TK88" s="129" t="s">
        <v>13</v>
      </c>
      <c r="TL88" s="129" t="s">
        <v>13</v>
      </c>
      <c r="TM88" s="129" t="s">
        <v>13</v>
      </c>
      <c r="TN88" s="129" t="s">
        <v>13</v>
      </c>
      <c r="TO88" s="129" t="s">
        <v>13</v>
      </c>
      <c r="TP88" s="129" t="s">
        <v>13</v>
      </c>
      <c r="TQ88" s="129" t="s">
        <v>13</v>
      </c>
      <c r="TR88" s="129" t="s">
        <v>13</v>
      </c>
      <c r="TS88" s="129" t="s">
        <v>13</v>
      </c>
      <c r="TT88" s="129" t="s">
        <v>13</v>
      </c>
      <c r="TU88" s="129" t="s">
        <v>13</v>
      </c>
      <c r="TV88" s="129" t="s">
        <v>13</v>
      </c>
      <c r="TW88" s="156" t="s">
        <v>3843</v>
      </c>
      <c r="TX88" s="132" t="s">
        <v>13</v>
      </c>
      <c r="TY88" s="132" t="s">
        <v>13</v>
      </c>
      <c r="TZ88" s="132" t="s">
        <v>13</v>
      </c>
      <c r="UA88" s="129"/>
      <c r="UB88" s="129" t="s">
        <v>13</v>
      </c>
      <c r="UC88" s="129" t="s">
        <v>13</v>
      </c>
      <c r="UD88" s="129" t="s">
        <v>13</v>
      </c>
      <c r="UE88" s="129" t="s">
        <v>13</v>
      </c>
      <c r="UF88" s="129" t="s">
        <v>13</v>
      </c>
      <c r="UG88" s="129" t="s">
        <v>13</v>
      </c>
      <c r="UH88" s="129" t="s">
        <v>13</v>
      </c>
      <c r="UI88" s="129" t="s">
        <v>13</v>
      </c>
      <c r="UJ88" s="129" t="s">
        <v>13</v>
      </c>
      <c r="UK88" s="129" t="s">
        <v>13</v>
      </c>
      <c r="UL88" s="129"/>
      <c r="UM88" s="129" t="s">
        <v>13</v>
      </c>
      <c r="UN88" s="129" t="s">
        <v>13</v>
      </c>
      <c r="UO88" s="129" t="s">
        <v>13</v>
      </c>
      <c r="UP88" s="129"/>
      <c r="UQ88" s="129"/>
      <c r="UR88" s="129"/>
      <c r="US88" s="129" t="s">
        <v>13</v>
      </c>
      <c r="UT88" s="129" t="s">
        <v>13</v>
      </c>
      <c r="UU88" s="129"/>
      <c r="UV88" s="129"/>
      <c r="UW88" s="129" t="s">
        <v>13</v>
      </c>
      <c r="UX88" s="129" t="s">
        <v>13</v>
      </c>
      <c r="UY88" s="129" t="s">
        <v>13</v>
      </c>
      <c r="UZ88" s="129" t="s">
        <v>13</v>
      </c>
      <c r="VA88" s="129" t="s">
        <v>13</v>
      </c>
      <c r="VB88" s="129"/>
      <c r="VC88" s="129" t="s">
        <v>13</v>
      </c>
      <c r="VD88" s="129" t="s">
        <v>13</v>
      </c>
      <c r="VE88" s="129" t="s">
        <v>13</v>
      </c>
      <c r="VF88" s="129" t="s">
        <v>13</v>
      </c>
      <c r="VG88" s="129" t="s">
        <v>13</v>
      </c>
      <c r="VH88" s="129" t="s">
        <v>13</v>
      </c>
      <c r="VI88" s="129" t="s">
        <v>13</v>
      </c>
      <c r="VJ88" s="129" t="s">
        <v>13</v>
      </c>
      <c r="VK88" s="129"/>
      <c r="VL88" s="132"/>
      <c r="VM88" s="132"/>
      <c r="VN88" s="132"/>
      <c r="VO88" s="132"/>
      <c r="VP88" s="129"/>
      <c r="VR88" s="131"/>
      <c r="VS88" s="131"/>
      <c r="VT88" s="131"/>
      <c r="VU88" s="131"/>
      <c r="VV88" s="131"/>
      <c r="VW88" s="131"/>
      <c r="VX88" s="131"/>
      <c r="VY88" s="131"/>
      <c r="VZ88" s="131"/>
      <c r="WA88" s="131"/>
      <c r="WB88" s="131"/>
      <c r="WC88" s="131"/>
      <c r="WD88" s="131"/>
      <c r="WE88" s="131"/>
      <c r="WF88" s="131"/>
      <c r="WG88" s="131"/>
      <c r="WH88" s="131"/>
      <c r="WI88" s="131"/>
      <c r="WJ88" s="131"/>
      <c r="WK88" s="131"/>
      <c r="WL88" s="131"/>
      <c r="WM88" s="131"/>
      <c r="WN88" s="131"/>
      <c r="WO88" s="131"/>
      <c r="WP88" s="131"/>
      <c r="WQ88" s="131"/>
      <c r="WR88" s="131"/>
      <c r="WS88" s="131"/>
      <c r="WT88" s="131"/>
      <c r="WU88" s="131"/>
      <c r="WV88" s="131"/>
      <c r="WW88" s="131"/>
      <c r="WX88" s="131"/>
      <c r="WY88" s="131"/>
      <c r="WZ88" s="131"/>
      <c r="XA88" s="131"/>
      <c r="XB88" s="131"/>
      <c r="XC88" s="131"/>
      <c r="XD88" s="131"/>
      <c r="XE88" s="131"/>
      <c r="XF88" s="131"/>
      <c r="XG88" s="131"/>
      <c r="XH88" s="131"/>
      <c r="XI88" s="131"/>
      <c r="XJ88" s="131"/>
      <c r="XK88" s="131"/>
      <c r="XL88" s="131"/>
      <c r="XM88" s="131"/>
      <c r="XN88" s="131"/>
      <c r="XO88" s="131"/>
      <c r="XP88" s="131"/>
      <c r="XQ88" s="131"/>
      <c r="XR88" s="131"/>
      <c r="XS88" s="131"/>
      <c r="XT88" s="131"/>
      <c r="XU88" s="131"/>
      <c r="XV88" s="131"/>
      <c r="XW88" s="131"/>
      <c r="XX88" s="131"/>
      <c r="XY88" s="131"/>
      <c r="XZ88" s="131"/>
      <c r="YA88" s="131"/>
      <c r="YB88" s="131"/>
      <c r="YC88" s="131"/>
      <c r="YD88" s="131"/>
      <c r="YE88" s="131"/>
      <c r="YF88" s="131"/>
      <c r="YG88" s="131"/>
      <c r="YH88" s="131"/>
      <c r="YI88" s="131"/>
      <c r="YJ88" s="131"/>
      <c r="YK88" s="131"/>
      <c r="YL88" s="131"/>
      <c r="YM88" s="131"/>
      <c r="YN88" s="131"/>
      <c r="YO88" s="131"/>
      <c r="YP88" s="131"/>
      <c r="YQ88" s="131"/>
      <c r="YR88" s="131"/>
      <c r="YS88" s="131"/>
      <c r="YT88" s="131"/>
      <c r="YU88" s="131"/>
      <c r="YV88" s="131"/>
      <c r="YW88" s="131"/>
      <c r="YX88" s="131"/>
      <c r="YY88" s="131"/>
      <c r="YZ88" s="131"/>
      <c r="ZA88" s="131"/>
      <c r="ZB88" s="131"/>
      <c r="ZC88" s="131"/>
      <c r="ZD88" s="131"/>
      <c r="ZE88" s="131"/>
      <c r="ZF88" s="131"/>
      <c r="ZG88" s="131"/>
      <c r="ZH88" s="131"/>
      <c r="ZI88" s="131"/>
      <c r="ZJ88" s="131"/>
      <c r="ZK88" s="131"/>
      <c r="ZL88" s="131"/>
      <c r="ZM88" s="131"/>
      <c r="ZN88" s="131"/>
      <c r="ZO88" s="131"/>
      <c r="ZP88" s="131"/>
      <c r="ZQ88" s="131"/>
      <c r="ZR88" s="131"/>
      <c r="ZS88" s="131"/>
      <c r="ZT88" s="131"/>
      <c r="ZU88" s="131"/>
      <c r="ZV88" s="131"/>
      <c r="ZW88" s="131"/>
      <c r="ZX88" s="131"/>
      <c r="ZY88" s="131"/>
      <c r="ZZ88" s="131"/>
      <c r="AAA88" s="131"/>
      <c r="AAB88" s="131"/>
      <c r="AAC88" s="131"/>
      <c r="AAD88" s="131"/>
      <c r="AAE88" s="131"/>
      <c r="AAF88" s="131"/>
      <c r="AAG88" s="131"/>
      <c r="AAH88" s="131"/>
      <c r="AAJ88" s="131"/>
      <c r="AAK88" s="131"/>
      <c r="AAL88" s="131"/>
      <c r="AAM88" s="131"/>
      <c r="AAN88" s="131"/>
      <c r="AAO88" s="131"/>
      <c r="AAP88" s="131"/>
      <c r="AAQ88" s="131"/>
      <c r="AAR88" s="131"/>
      <c r="AAS88" s="131"/>
      <c r="AAT88" s="131"/>
      <c r="AAU88" s="131"/>
      <c r="AAV88" s="131"/>
      <c r="AAW88" s="131"/>
      <c r="AAX88" s="131"/>
      <c r="AAY88" s="131"/>
      <c r="AAZ88" s="131"/>
      <c r="ABA88" s="131"/>
      <c r="ABB88" s="131"/>
      <c r="ABC88" s="131"/>
      <c r="ABD88" s="131"/>
      <c r="ABE88" s="131"/>
      <c r="ABF88" s="131"/>
      <c r="ABG88" s="131"/>
      <c r="ABH88" s="131"/>
      <c r="ABI88" s="131"/>
      <c r="ABJ88" s="131"/>
      <c r="ABK88" s="131"/>
      <c r="ABL88" s="131"/>
      <c r="ABM88" s="131"/>
      <c r="ABN88" s="131"/>
      <c r="ABO88" s="131"/>
      <c r="ABP88" s="131"/>
      <c r="ABQ88" s="131"/>
      <c r="ABR88" s="131"/>
      <c r="ABS88" s="131"/>
      <c r="ABT88" s="131"/>
      <c r="ABU88" s="131"/>
      <c r="ABV88" s="131"/>
      <c r="ABW88" s="131"/>
      <c r="ABX88" s="131"/>
      <c r="ABY88" s="131"/>
      <c r="ABZ88" s="131"/>
      <c r="ACA88" s="131"/>
      <c r="ACB88" s="131"/>
      <c r="ACC88" s="131"/>
      <c r="ACD88" s="131"/>
      <c r="ACE88" s="131"/>
      <c r="ACF88" s="131"/>
      <c r="ACG88" s="131"/>
      <c r="ACH88" s="131"/>
      <c r="ACI88" s="131"/>
      <c r="ACJ88" s="131"/>
      <c r="ACK88" s="131"/>
      <c r="ACL88" s="131"/>
      <c r="ACM88" s="131"/>
      <c r="ACN88" s="131"/>
      <c r="ACO88" s="131"/>
      <c r="ACP88" s="131"/>
      <c r="ACQ88" s="131"/>
      <c r="ACR88" s="131"/>
      <c r="ACS88" s="131"/>
      <c r="ACT88" s="131"/>
      <c r="ACU88" s="131"/>
      <c r="ACV88" s="131"/>
      <c r="ACW88" s="131"/>
      <c r="ACX88" s="131"/>
      <c r="ACY88" s="131"/>
      <c r="ACZ88" s="131"/>
      <c r="ADA88" s="131"/>
      <c r="ADB88" s="131"/>
      <c r="ADC88" s="131"/>
      <c r="ADD88" s="131"/>
      <c r="ADE88" s="131"/>
      <c r="ADF88" s="131"/>
      <c r="ADG88" s="131"/>
      <c r="ADH88" s="131"/>
      <c r="ADI88" s="131"/>
      <c r="ADJ88" s="131"/>
      <c r="ADK88" s="131"/>
      <c r="ADL88" s="131"/>
      <c r="ADM88" s="131"/>
      <c r="ADN88" s="131"/>
      <c r="ADO88" s="131"/>
      <c r="ADP88" s="131"/>
      <c r="ADQ88" s="131"/>
      <c r="ADR88" s="131"/>
      <c r="ADS88" s="131"/>
      <c r="ADT88" s="131"/>
      <c r="ADU88" s="131"/>
      <c r="ADV88" s="131"/>
      <c r="ADW88" s="131"/>
      <c r="ADX88" s="131"/>
      <c r="ADY88" s="131"/>
      <c r="ADZ88" s="131"/>
      <c r="AEA88" s="131"/>
      <c r="AEB88" s="131"/>
      <c r="AEC88" s="131"/>
      <c r="AED88" s="131"/>
      <c r="AEE88" s="131"/>
      <c r="AEF88" s="131"/>
      <c r="AEG88" s="131"/>
      <c r="AEH88" s="131"/>
      <c r="AEI88" s="131"/>
      <c r="AEJ88" s="131"/>
      <c r="AEK88" s="131"/>
      <c r="AEL88" s="131"/>
      <c r="AEM88" s="131"/>
      <c r="AEN88" s="131"/>
      <c r="AEO88" s="131"/>
      <c r="AEP88" s="131"/>
      <c r="AEQ88" s="131"/>
      <c r="AER88" s="131"/>
      <c r="AES88" s="131"/>
      <c r="AET88" s="131"/>
      <c r="AEU88" s="131"/>
      <c r="AEV88" s="131"/>
      <c r="AEW88" s="131"/>
      <c r="AEX88" s="131"/>
      <c r="AEY88" s="131"/>
      <c r="AEZ88" s="131"/>
      <c r="AFA88" s="131"/>
      <c r="AFB88" s="131"/>
      <c r="AFC88" s="131"/>
      <c r="AFD88" s="131"/>
      <c r="AFE88" s="131"/>
      <c r="AFF88" s="131"/>
      <c r="AFG88" s="131"/>
      <c r="AFH88" s="131"/>
      <c r="AFI88" s="131"/>
      <c r="AFJ88" s="131"/>
      <c r="AFK88" s="131"/>
      <c r="AFL88" s="129"/>
      <c r="AFN88" s="129"/>
      <c r="AFO88" s="129"/>
      <c r="AFP88" s="129"/>
      <c r="AFQ88" s="129"/>
      <c r="AFR88" s="129"/>
      <c r="AFS88" s="129"/>
      <c r="AFT88" s="129"/>
      <c r="AFU88" s="129"/>
      <c r="AFV88" s="129"/>
      <c r="AFW88" s="129"/>
      <c r="AFX88" s="129"/>
      <c r="AFY88" s="129"/>
      <c r="AFZ88" s="129"/>
      <c r="AGA88" s="129"/>
      <c r="AGB88" s="129"/>
      <c r="AGC88" s="129"/>
      <c r="AGD88" s="129"/>
      <c r="AGE88" s="129"/>
      <c r="AGF88" s="129"/>
      <c r="AGG88" s="129"/>
      <c r="AGH88" s="129"/>
      <c r="AGI88" s="129"/>
      <c r="AGJ88" s="129"/>
      <c r="AGK88" s="129"/>
      <c r="AGL88" s="129"/>
      <c r="AGM88" s="129"/>
      <c r="AGN88" s="129"/>
      <c r="AGO88" s="129"/>
      <c r="AGP88" s="129"/>
      <c r="AGQ88" s="129"/>
      <c r="AGR88" s="129"/>
      <c r="AGS88" s="129"/>
      <c r="AGT88" s="129"/>
      <c r="AGU88" s="129"/>
      <c r="AGV88" s="129"/>
      <c r="AGW88" s="129"/>
      <c r="AGX88" s="129"/>
      <c r="AGY88" s="129"/>
      <c r="AGZ88" s="129"/>
      <c r="AHA88" s="129"/>
      <c r="AHB88" s="129"/>
      <c r="AHC88" s="129"/>
      <c r="AHD88" s="129"/>
      <c r="AHE88" s="129"/>
      <c r="AHF88" s="129"/>
      <c r="AHG88" s="129"/>
      <c r="AHH88" s="129"/>
      <c r="AHI88" s="129"/>
      <c r="AHJ88" s="129"/>
      <c r="AHK88" s="129"/>
      <c r="AHL88" s="129"/>
      <c r="AHM88" s="129"/>
      <c r="AHN88" s="129"/>
      <c r="AHO88" s="129"/>
      <c r="AHP88" s="129"/>
      <c r="AHQ88" s="129"/>
      <c r="AHR88" s="129"/>
      <c r="AHS88" s="129"/>
      <c r="AHT88" s="129"/>
      <c r="AHU88" s="129"/>
      <c r="AHV88" s="129"/>
      <c r="AHW88" s="129"/>
      <c r="AHX88" s="129"/>
      <c r="AHY88" s="129"/>
      <c r="AHZ88" s="129"/>
      <c r="AIA88" s="129"/>
      <c r="AIB88" s="129"/>
      <c r="AIC88" s="129"/>
      <c r="AID88" s="129"/>
      <c r="AIE88" s="129"/>
      <c r="AIF88" s="129"/>
      <c r="AIG88" s="129"/>
      <c r="AIH88" s="129"/>
      <c r="AII88" s="129"/>
      <c r="AIJ88" s="129"/>
      <c r="AIK88" s="129"/>
      <c r="AIL88" s="129"/>
      <c r="AIM88" s="129"/>
      <c r="AIN88" s="129"/>
      <c r="AIO88" s="129"/>
      <c r="AIP88" s="129"/>
      <c r="AIQ88" s="129"/>
      <c r="AIR88" s="129"/>
      <c r="AIS88" s="129"/>
      <c r="AIT88" s="129"/>
      <c r="AIU88" s="129"/>
      <c r="AIV88" s="129"/>
      <c r="AIW88" s="129"/>
      <c r="AIX88" s="129"/>
      <c r="AIY88" s="129"/>
      <c r="AIZ88" s="129"/>
      <c r="AJA88" s="129"/>
      <c r="AJB88" s="129"/>
      <c r="AJC88" s="129"/>
      <c r="AJD88" s="129"/>
      <c r="AJE88" s="129"/>
      <c r="AJF88" s="129"/>
      <c r="AJG88" s="129"/>
      <c r="AJH88" s="129"/>
      <c r="AJI88" s="129"/>
      <c r="AJJ88" s="129"/>
      <c r="AJK88" s="129"/>
      <c r="AJL88" s="129"/>
      <c r="AJM88" s="129"/>
      <c r="AJN88" s="129"/>
      <c r="AJO88" s="129"/>
      <c r="AJP88" s="129"/>
      <c r="AJQ88" s="129"/>
      <c r="AJR88" s="129"/>
      <c r="AJS88" s="129"/>
      <c r="AJT88" s="129"/>
      <c r="AJU88" s="129"/>
      <c r="AJV88" s="129"/>
      <c r="AJW88" s="129"/>
      <c r="AJX88" s="129"/>
      <c r="AJY88" s="129"/>
      <c r="AJZ88" s="129"/>
      <c r="AKA88" s="129"/>
      <c r="AKB88" s="129"/>
      <c r="AKC88" s="129"/>
      <c r="AKD88" s="129"/>
      <c r="AKE88" s="129"/>
      <c r="AKF88" s="129"/>
      <c r="AKG88" s="129"/>
      <c r="AKH88" s="129"/>
      <c r="AKI88" s="129"/>
      <c r="AKJ88" s="129"/>
      <c r="AKK88" s="129"/>
      <c r="AKL88" s="129"/>
      <c r="AKM88" s="129"/>
      <c r="AKN88" s="129"/>
      <c r="AKO88" s="129"/>
      <c r="AKP88" s="129"/>
      <c r="AKQ88" s="129"/>
      <c r="AKR88" s="129"/>
      <c r="AKS88" s="129"/>
      <c r="AKT88" s="129"/>
      <c r="AKU88" s="129"/>
      <c r="AKV88" s="129"/>
      <c r="AKW88" s="129"/>
      <c r="AKX88" s="129"/>
      <c r="AKY88" s="129"/>
      <c r="AKZ88" s="129"/>
      <c r="ALA88" s="129"/>
      <c r="ALB88" s="129"/>
      <c r="ALC88" s="129"/>
      <c r="ALD88" s="129"/>
      <c r="ALE88" s="129"/>
      <c r="ALF88" s="129"/>
      <c r="ALG88" s="129"/>
      <c r="ALH88" s="129"/>
      <c r="ALI88" s="129"/>
      <c r="ALJ88" s="129"/>
      <c r="ALK88" s="129"/>
      <c r="ALL88" s="129"/>
      <c r="ALM88" s="129"/>
      <c r="ALN88" s="129"/>
      <c r="ALO88" s="129"/>
      <c r="ALP88" s="129"/>
      <c r="ALQ88" s="129"/>
      <c r="ALR88" s="129"/>
      <c r="ALS88" s="129"/>
      <c r="ALT88" s="129"/>
      <c r="ALU88" s="129"/>
      <c r="ALV88" s="129"/>
      <c r="ALW88" s="129"/>
      <c r="ALX88" s="129"/>
      <c r="ALY88" s="129"/>
      <c r="ALZ88" s="129"/>
      <c r="AMA88" s="129"/>
      <c r="AMB88" s="129"/>
      <c r="AMC88" s="129"/>
      <c r="AMD88" s="129"/>
      <c r="AME88" s="129"/>
      <c r="AMF88" s="129"/>
      <c r="AMG88" s="129"/>
      <c r="AMH88" s="129"/>
      <c r="AMI88" s="129"/>
      <c r="AMJ88" s="129"/>
      <c r="AMK88" s="129"/>
      <c r="AML88" s="129"/>
      <c r="AMM88" s="129"/>
      <c r="AMN88" s="129"/>
      <c r="AMO88" s="129"/>
      <c r="AMP88" s="129"/>
      <c r="AMQ88" s="129"/>
      <c r="AMR88" s="129"/>
      <c r="AMS88" s="129"/>
      <c r="AMT88" s="129"/>
      <c r="AMU88" s="129"/>
      <c r="AMV88" s="129"/>
      <c r="AMW88" s="129"/>
      <c r="AMX88" s="129"/>
      <c r="AMY88" s="129"/>
      <c r="AMZ88" s="129"/>
      <c r="ANA88" s="129"/>
      <c r="ANB88" s="129"/>
      <c r="ANC88" s="129"/>
      <c r="AND88" s="129"/>
      <c r="ANE88" s="129"/>
      <c r="ANF88" s="129"/>
      <c r="ANG88" s="129"/>
      <c r="ANH88" s="129"/>
      <c r="ANI88" s="129"/>
      <c r="ANJ88" s="129"/>
      <c r="ANK88" s="129"/>
      <c r="ANL88" s="129"/>
      <c r="ANM88" s="129"/>
      <c r="ANN88" s="129"/>
      <c r="ANO88" s="129"/>
      <c r="ANP88" s="129"/>
      <c r="ANQ88" s="129"/>
      <c r="ANR88" s="129"/>
      <c r="ANS88" s="129"/>
      <c r="ANT88" s="129"/>
      <c r="ANU88" s="129"/>
      <c r="ANV88" s="129"/>
      <c r="ANW88" s="129"/>
      <c r="ANX88" s="129"/>
      <c r="ANY88" s="129"/>
      <c r="ANZ88" s="129"/>
      <c r="AOA88" s="129"/>
      <c r="AOB88" s="129"/>
      <c r="AOC88" s="129"/>
      <c r="AOD88" s="129"/>
      <c r="AOE88" s="129"/>
      <c r="AOF88" s="129"/>
      <c r="AOG88" s="129"/>
      <c r="AOH88" s="129"/>
      <c r="AOI88" s="129"/>
      <c r="AOJ88" s="129"/>
      <c r="AOK88" s="129"/>
      <c r="AOL88" s="129"/>
      <c r="AOM88" s="129"/>
      <c r="AON88" s="129"/>
      <c r="AOO88" s="129"/>
      <c r="AOP88" s="129"/>
      <c r="AOQ88" s="129"/>
      <c r="AOR88" s="129"/>
      <c r="AOS88" s="129"/>
      <c r="AOT88" s="129"/>
      <c r="AOU88" s="129"/>
      <c r="AOV88" s="129"/>
      <c r="AOW88" s="129"/>
      <c r="AOX88" s="129"/>
      <c r="AOY88" s="129"/>
      <c r="AOZ88" s="129"/>
      <c r="APA88" s="129"/>
      <c r="APB88" s="129"/>
      <c r="APC88" s="129"/>
      <c r="APD88" s="129"/>
      <c r="APE88" s="129"/>
      <c r="APF88" s="129"/>
      <c r="APG88" s="129"/>
      <c r="APH88" s="129"/>
      <c r="API88" s="129"/>
      <c r="APJ88" s="129"/>
      <c r="APK88" s="129"/>
      <c r="APL88" s="129"/>
      <c r="APM88" s="129"/>
      <c r="APN88" s="129"/>
      <c r="APO88" s="130"/>
      <c r="APP88" s="130"/>
      <c r="APQ88" s="130"/>
      <c r="APR88" s="130"/>
      <c r="APS88" s="130"/>
      <c r="APT88" s="130"/>
      <c r="APU88" s="130"/>
      <c r="APV88" s="130"/>
      <c r="APW88" s="130"/>
      <c r="APX88" s="130"/>
      <c r="APY88" s="130"/>
      <c r="APZ88" s="130"/>
      <c r="AQA88" s="130"/>
      <c r="AQB88" s="130"/>
      <c r="AQC88" s="130"/>
      <c r="AQD88" s="130"/>
      <c r="AQE88" s="130"/>
      <c r="AQF88" s="130"/>
      <c r="AQG88" s="130"/>
      <c r="AQH88" s="130"/>
      <c r="AQI88" s="130"/>
      <c r="AQJ88" s="130"/>
      <c r="AQK88" s="130"/>
      <c r="AQL88" s="130"/>
      <c r="AQM88" s="130"/>
      <c r="AQN88" s="130"/>
      <c r="AQO88" s="130"/>
      <c r="AQP88" s="130"/>
      <c r="AQQ88" s="130"/>
      <c r="AQR88" s="130"/>
      <c r="AQS88" s="130"/>
      <c r="AQT88" s="130"/>
      <c r="AQU88" s="130"/>
      <c r="AQV88" s="130"/>
      <c r="AQW88" s="130"/>
      <c r="AQX88" s="130"/>
      <c r="AQY88" s="130"/>
      <c r="AQZ88" s="130"/>
      <c r="ARA88" s="130"/>
      <c r="ARB88" s="130"/>
      <c r="ARC88" s="130"/>
      <c r="ARD88" s="130"/>
      <c r="ARE88" s="130"/>
      <c r="ARF88" s="130"/>
      <c r="ARG88" s="130"/>
      <c r="ARH88" s="130"/>
      <c r="ARI88" s="130"/>
      <c r="ARJ88" s="130"/>
      <c r="ARK88" s="130"/>
      <c r="ARL88" s="130"/>
      <c r="ARM88" s="130"/>
      <c r="ARN88" s="130"/>
      <c r="ARO88" s="130"/>
      <c r="ARP88" s="130"/>
      <c r="ARQ88" s="130"/>
      <c r="ARR88" s="130"/>
      <c r="ARS88" s="130"/>
      <c r="ART88" s="130"/>
      <c r="ARU88" s="130"/>
      <c r="ARV88" s="130"/>
      <c r="ARW88" s="130"/>
      <c r="ARX88" s="130"/>
      <c r="ARY88" s="130"/>
      <c r="ARZ88" s="130"/>
      <c r="ASA88" s="130"/>
      <c r="ASB88" s="130"/>
      <c r="ASC88" s="130"/>
      <c r="ASD88" s="130"/>
      <c r="ASE88" s="130"/>
      <c r="ASF88" s="130"/>
      <c r="ASG88" s="130"/>
      <c r="ASH88" s="130"/>
      <c r="ASI88" s="130"/>
      <c r="ASJ88" s="130"/>
      <c r="ASK88" s="130"/>
      <c r="ASL88" s="130"/>
      <c r="ASM88" s="130"/>
      <c r="ASN88" s="130"/>
      <c r="ASO88" s="130"/>
      <c r="ASP88" s="130"/>
      <c r="ASQ88" s="130"/>
      <c r="ASR88" s="130"/>
      <c r="ASS88" s="130"/>
      <c r="AST88" s="130"/>
      <c r="ASU88" s="130"/>
      <c r="ASV88" s="130"/>
      <c r="ASW88" s="130"/>
      <c r="ASX88" s="129"/>
      <c r="ASY88" s="129"/>
      <c r="ASZ88" s="129"/>
      <c r="ATA88" s="129"/>
      <c r="ATB88" s="129"/>
      <c r="ATC88" s="129"/>
      <c r="ATD88" s="129"/>
      <c r="ATE88" s="129"/>
      <c r="ATF88" s="129"/>
      <c r="ATG88" s="129"/>
      <c r="ATH88" s="129"/>
      <c r="ATI88" s="129"/>
      <c r="ATJ88" s="129"/>
      <c r="ATK88" s="129"/>
      <c r="ATL88" s="129"/>
      <c r="ATM88" s="129"/>
      <c r="ATN88" s="129"/>
      <c r="ATO88" s="129"/>
      <c r="ATP88" s="129"/>
      <c r="ATQ88" s="129"/>
      <c r="ATR88" s="129"/>
      <c r="ATS88" s="129"/>
      <c r="ATT88" s="129"/>
      <c r="ATU88" s="129"/>
      <c r="ATV88" s="129"/>
      <c r="ATW88" s="129"/>
      <c r="ATX88" s="129"/>
      <c r="ATY88" s="129"/>
      <c r="ATZ88" s="129"/>
      <c r="AUA88" s="129"/>
      <c r="AUB88" s="129"/>
      <c r="AUC88" s="129"/>
      <c r="AUD88" s="129"/>
      <c r="AUE88" s="129"/>
      <c r="AUF88" s="129"/>
      <c r="AUG88" s="129"/>
      <c r="AUH88" s="129"/>
      <c r="AUI88" s="129"/>
      <c r="AUJ88" s="129"/>
      <c r="AUK88" s="129"/>
      <c r="AUL88" s="129"/>
      <c r="AUM88" s="129"/>
      <c r="AUN88" s="129"/>
      <c r="AUO88" s="129"/>
      <c r="AUP88" s="129"/>
      <c r="AUQ88" s="129"/>
      <c r="AUR88" s="129"/>
      <c r="AUS88" s="129"/>
      <c r="AUT88" s="129"/>
      <c r="AUU88" s="129"/>
      <c r="AUV88" s="129"/>
      <c r="AUW88" s="129"/>
      <c r="AUX88" s="129"/>
      <c r="AUY88" s="129"/>
      <c r="AUZ88" s="129"/>
      <c r="AVA88" s="129"/>
      <c r="AVB88" s="129"/>
      <c r="AVC88" s="129"/>
      <c r="AVD88" s="129"/>
      <c r="AVE88" s="129"/>
      <c r="AVF88" s="129"/>
      <c r="AVG88" s="129"/>
      <c r="AVH88" s="129"/>
      <c r="AVJ88" s="129"/>
      <c r="AVK88" s="129"/>
      <c r="AVL88" s="129"/>
      <c r="AVM88" s="129"/>
      <c r="AVN88" s="129"/>
      <c r="AVO88" s="129" t="s">
        <v>13</v>
      </c>
      <c r="AVP88" s="129"/>
      <c r="AVQ88" s="129"/>
      <c r="AVR88" s="129"/>
      <c r="AVS88" s="129"/>
      <c r="AVT88" s="129"/>
      <c r="AVU88" s="129" t="s">
        <v>13</v>
      </c>
      <c r="AVV88" s="129"/>
      <c r="AVW88" s="129"/>
      <c r="AVX88" s="129"/>
      <c r="AVY88" s="129"/>
      <c r="AVZ88" s="129"/>
      <c r="AWA88" s="129"/>
      <c r="AWB88" s="129"/>
      <c r="AWC88" s="129"/>
      <c r="AWD88" s="148">
        <v>1.9790000000000001</v>
      </c>
      <c r="AWE88" s="155"/>
      <c r="AWF88" s="155"/>
      <c r="AWG88" s="155"/>
      <c r="AWH88" s="155"/>
      <c r="AWI88" s="155"/>
      <c r="AWJ88" s="155">
        <v>1.925</v>
      </c>
      <c r="AWK88" s="129"/>
      <c r="AWL88" s="129"/>
      <c r="AWM88" s="129"/>
      <c r="AWN88" s="129"/>
      <c r="AWO88" s="129"/>
      <c r="AWP88" s="129" t="s">
        <v>13</v>
      </c>
      <c r="AWQ88" s="129"/>
      <c r="AWR88" s="129"/>
      <c r="AWS88" s="129"/>
      <c r="AWT88" s="129"/>
      <c r="AWU88" s="129"/>
      <c r="AWV88" s="129" t="s">
        <v>13</v>
      </c>
    </row>
    <row r="89" spans="1:1296" s="129" customFormat="1" ht="25.5" outlineLevel="1">
      <c r="A89" s="137" t="s">
        <v>351</v>
      </c>
      <c r="B89" s="139" t="s">
        <v>356</v>
      </c>
      <c r="C89" s="139" t="s">
        <v>357</v>
      </c>
      <c r="D89" s="139" t="s">
        <v>358</v>
      </c>
      <c r="E89" s="137">
        <v>116</v>
      </c>
      <c r="F89" s="138" t="s">
        <v>359</v>
      </c>
      <c r="G89" s="136" t="s">
        <v>348</v>
      </c>
      <c r="H89" s="136" t="s">
        <v>366</v>
      </c>
      <c r="I89" s="136" t="s">
        <v>13</v>
      </c>
      <c r="J89" s="136" t="s">
        <v>13</v>
      </c>
      <c r="K89" s="136" t="s">
        <v>366</v>
      </c>
      <c r="L89" s="136" t="s">
        <v>366</v>
      </c>
      <c r="M89" s="136"/>
      <c r="N89" s="136" t="s">
        <v>366</v>
      </c>
      <c r="O89" s="138"/>
      <c r="P89" s="154">
        <f t="shared" ref="P89:AW89" si="0">1/P88</f>
        <v>1.4285714285714286</v>
      </c>
      <c r="Q89" s="154">
        <f t="shared" si="0"/>
        <v>1.25</v>
      </c>
      <c r="R89" s="154">
        <f t="shared" si="0"/>
        <v>1.6666666666666667</v>
      </c>
      <c r="S89" s="154">
        <f t="shared" si="0"/>
        <v>2</v>
      </c>
      <c r="T89" s="154">
        <f t="shared" si="0"/>
        <v>2</v>
      </c>
      <c r="U89" s="154">
        <f t="shared" si="0"/>
        <v>5.2631578947368425</v>
      </c>
      <c r="V89" s="154">
        <f t="shared" si="0"/>
        <v>5.5555555555555554</v>
      </c>
      <c r="W89" s="154">
        <f t="shared" si="0"/>
        <v>1.6129032258064517</v>
      </c>
      <c r="X89" s="154">
        <f t="shared" si="0"/>
        <v>1.3513513513513513</v>
      </c>
      <c r="Y89" s="154">
        <f t="shared" si="0"/>
        <v>1.7241379310344829</v>
      </c>
      <c r="Z89" s="154">
        <f t="shared" si="0"/>
        <v>2.0833333333333335</v>
      </c>
      <c r="AA89" s="154">
        <f t="shared" si="0"/>
        <v>1.7241379310344829</v>
      </c>
      <c r="AB89" s="154">
        <f t="shared" si="0"/>
        <v>2.0833333333333335</v>
      </c>
      <c r="AC89" s="154">
        <f t="shared" si="0"/>
        <v>1.8518518518518516</v>
      </c>
      <c r="AD89" s="154">
        <f t="shared" si="0"/>
        <v>1.8518518518518516</v>
      </c>
      <c r="AE89" s="154" t="e">
        <f t="shared" si="0"/>
        <v>#N/A</v>
      </c>
      <c r="AF89" s="154">
        <f t="shared" si="0"/>
        <v>1.6666666666666667</v>
      </c>
      <c r="AG89" s="154">
        <f t="shared" si="0"/>
        <v>2</v>
      </c>
      <c r="AH89" s="154">
        <f t="shared" si="0"/>
        <v>0.7142857142857143</v>
      </c>
      <c r="AI89" s="154">
        <f t="shared" si="0"/>
        <v>6.25</v>
      </c>
      <c r="AJ89" s="154">
        <f t="shared" si="0"/>
        <v>5.8823529411764701</v>
      </c>
      <c r="AK89" s="154">
        <f t="shared" si="0"/>
        <v>5.2631578947368425</v>
      </c>
      <c r="AL89" s="154">
        <f t="shared" si="0"/>
        <v>5.5555555555555554</v>
      </c>
      <c r="AM89" s="154">
        <f t="shared" si="0"/>
        <v>7.6923076923076916</v>
      </c>
      <c r="AN89" s="154">
        <f t="shared" si="0"/>
        <v>2</v>
      </c>
      <c r="AO89" s="154">
        <f t="shared" si="0"/>
        <v>1.9607843137254901</v>
      </c>
      <c r="AP89" s="154">
        <f t="shared" si="0"/>
        <v>2</v>
      </c>
      <c r="AQ89" s="154">
        <f t="shared" si="0"/>
        <v>2</v>
      </c>
      <c r="AR89" s="154">
        <f t="shared" si="0"/>
        <v>1.6666666666666667</v>
      </c>
      <c r="AS89" s="154">
        <f t="shared" si="0"/>
        <v>1.639344262295082</v>
      </c>
      <c r="AT89" s="154">
        <f t="shared" si="0"/>
        <v>1.6666666666666667</v>
      </c>
      <c r="AU89" s="154">
        <f t="shared" si="0"/>
        <v>1.6666666666666667</v>
      </c>
      <c r="AV89" s="154">
        <f t="shared" si="0"/>
        <v>1.639344262295082</v>
      </c>
      <c r="AW89" s="154">
        <f t="shared" si="0"/>
        <v>1.6129032258064517</v>
      </c>
      <c r="FP89" s="154">
        <f>1/FP88</f>
        <v>5.8823529411764701</v>
      </c>
      <c r="GS89" s="153"/>
      <c r="GU89" s="153"/>
      <c r="GV89" s="153"/>
      <c r="GW89" s="153"/>
      <c r="GY89" s="153"/>
      <c r="HA89" s="153"/>
      <c r="HB89" s="153"/>
      <c r="HC89" s="153"/>
      <c r="HD89" s="153"/>
      <c r="HE89" s="153"/>
      <c r="HF89" s="153"/>
      <c r="HI89" s="153"/>
      <c r="HK89" s="153"/>
      <c r="HL89" s="153"/>
      <c r="HM89" s="153"/>
      <c r="HN89" s="153"/>
      <c r="HO89" s="153"/>
      <c r="HP89" s="153"/>
      <c r="HS89" s="148">
        <f>1/HS88</f>
        <v>1.3698630136986301</v>
      </c>
      <c r="IE89" s="148">
        <f t="shared" ref="IE89:IS89" si="1">1/IE88</f>
        <v>1.1235955056179776</v>
      </c>
      <c r="IF89" s="148">
        <f t="shared" si="1"/>
        <v>1.5151515151515151</v>
      </c>
      <c r="IG89" s="148">
        <f t="shared" si="1"/>
        <v>1.25</v>
      </c>
      <c r="IH89" s="148">
        <f t="shared" si="1"/>
        <v>1.5151515151515151</v>
      </c>
      <c r="II89" s="148">
        <f t="shared" si="1"/>
        <v>1.2048192771084338</v>
      </c>
      <c r="IJ89" s="148">
        <f t="shared" si="1"/>
        <v>0.7246376811594204</v>
      </c>
      <c r="IK89" s="148">
        <f t="shared" si="1"/>
        <v>0.78740157480314954</v>
      </c>
      <c r="IL89" s="152">
        <f t="shared" si="1"/>
        <v>3.5714285714285712</v>
      </c>
      <c r="IM89" s="148">
        <f t="shared" si="1"/>
        <v>1.075268817204301</v>
      </c>
      <c r="IN89" s="148">
        <f t="shared" si="1"/>
        <v>1.3698630136986301</v>
      </c>
      <c r="IO89" s="148">
        <f t="shared" si="1"/>
        <v>2.9411764705882351</v>
      </c>
      <c r="IP89" s="148">
        <f t="shared" si="1"/>
        <v>1.5151515151515151</v>
      </c>
      <c r="IQ89" s="148">
        <f t="shared" si="1"/>
        <v>1.5151515151515151</v>
      </c>
      <c r="IR89" s="148">
        <f t="shared" si="1"/>
        <v>1.2048192771084338</v>
      </c>
      <c r="IS89" s="148">
        <f t="shared" si="1"/>
        <v>1.2048192771084338</v>
      </c>
      <c r="IT89" s="149"/>
      <c r="IU89" s="149"/>
      <c r="IV89" s="149"/>
      <c r="IW89" s="149"/>
      <c r="IX89" s="149"/>
      <c r="IY89" s="149"/>
      <c r="IZ89" s="149"/>
      <c r="JA89" s="149"/>
      <c r="JB89" s="149"/>
      <c r="JC89" s="149"/>
      <c r="JD89" s="149"/>
      <c r="JE89" s="149"/>
      <c r="JF89" s="149"/>
      <c r="JG89" s="149"/>
      <c r="JH89" s="149"/>
      <c r="JI89" s="149"/>
      <c r="JJ89" s="149"/>
      <c r="JK89" s="149"/>
      <c r="JL89" s="149"/>
      <c r="JM89" s="149"/>
      <c r="JN89" s="149"/>
      <c r="JO89" s="149"/>
      <c r="JP89" s="149"/>
      <c r="JQ89" s="149"/>
      <c r="JR89" s="149"/>
      <c r="JS89" s="149"/>
      <c r="JT89" s="149"/>
      <c r="JU89" s="149"/>
      <c r="JV89" s="149"/>
      <c r="JW89" s="149"/>
      <c r="JX89" s="149"/>
      <c r="JY89" s="149"/>
      <c r="JZ89" s="149"/>
      <c r="KA89" s="149"/>
      <c r="KB89" s="149"/>
      <c r="KC89" s="149"/>
      <c r="KD89" s="149"/>
      <c r="KE89" s="149"/>
      <c r="KF89" s="149"/>
      <c r="KG89" s="149"/>
      <c r="KH89" s="149"/>
      <c r="KI89" s="149"/>
      <c r="KJ89" s="149"/>
      <c r="KK89" s="149"/>
      <c r="KL89" s="149"/>
      <c r="KM89" s="149"/>
      <c r="KN89" s="149"/>
      <c r="KO89" s="149"/>
      <c r="KP89" s="149"/>
      <c r="KQ89" s="149"/>
      <c r="KR89" s="149"/>
      <c r="KS89" s="149"/>
      <c r="KT89" s="149"/>
      <c r="KU89" s="149"/>
      <c r="KV89" s="149"/>
      <c r="KW89" s="149"/>
      <c r="KX89" s="149"/>
      <c r="KY89" s="149"/>
      <c r="KZ89" s="149"/>
      <c r="LA89" s="149"/>
      <c r="LB89" s="149"/>
      <c r="LC89" s="149"/>
      <c r="LD89" s="149"/>
      <c r="LE89" s="149"/>
      <c r="LF89" s="149"/>
      <c r="LG89" s="149"/>
      <c r="LH89" s="149"/>
      <c r="LI89" s="149">
        <v>0.21</v>
      </c>
      <c r="LJ89" s="149">
        <v>0.23</v>
      </c>
      <c r="LK89" s="151">
        <v>0.55000000000000004</v>
      </c>
      <c r="LL89" s="151">
        <v>0.8</v>
      </c>
      <c r="LM89" s="151">
        <v>1.05</v>
      </c>
      <c r="LN89" s="151">
        <v>1.35</v>
      </c>
      <c r="LO89" s="151">
        <v>1.6</v>
      </c>
      <c r="LP89" s="149">
        <v>0.6</v>
      </c>
      <c r="LQ89" s="149">
        <v>0.85</v>
      </c>
      <c r="LR89" s="149">
        <v>1.1499999999999999</v>
      </c>
      <c r="LS89" s="149">
        <v>1.45</v>
      </c>
      <c r="LT89" s="149">
        <v>1.75</v>
      </c>
      <c r="LU89" s="151">
        <v>0.9</v>
      </c>
      <c r="LV89" s="151"/>
      <c r="LW89" s="151"/>
      <c r="LX89" s="151"/>
      <c r="LY89" s="151"/>
      <c r="LZ89" s="151"/>
      <c r="MA89" s="151"/>
      <c r="MB89" s="151"/>
      <c r="MC89" s="151"/>
      <c r="MD89" s="151"/>
      <c r="ME89" s="151"/>
      <c r="MF89" s="151">
        <v>1.1499999999999999</v>
      </c>
      <c r="MG89" s="151">
        <v>1.45</v>
      </c>
      <c r="MH89" s="149">
        <v>1.3</v>
      </c>
      <c r="MI89" s="149">
        <v>1.6</v>
      </c>
      <c r="MJ89" s="149">
        <v>1.9</v>
      </c>
      <c r="MK89" s="149"/>
      <c r="ML89" s="149"/>
      <c r="MM89" s="149"/>
      <c r="MN89" s="149">
        <v>2.5499999999999998</v>
      </c>
      <c r="MO89" s="149">
        <v>3.15</v>
      </c>
      <c r="MP89" s="149">
        <v>0.21</v>
      </c>
      <c r="MQ89" s="150">
        <v>1.4</v>
      </c>
      <c r="MR89" s="150">
        <v>1.9</v>
      </c>
      <c r="MS89" s="150">
        <v>2.2999999999999998</v>
      </c>
      <c r="MT89" s="150">
        <v>2.8</v>
      </c>
      <c r="MU89" s="150">
        <v>3.75</v>
      </c>
      <c r="MV89" s="150">
        <v>4.7</v>
      </c>
      <c r="MW89" s="150">
        <v>5.6</v>
      </c>
      <c r="MX89" s="150">
        <v>6.55</v>
      </c>
      <c r="MY89" s="150">
        <v>7.45</v>
      </c>
      <c r="MZ89" s="149"/>
      <c r="NA89" s="149">
        <v>0.23</v>
      </c>
      <c r="NB89" s="151">
        <v>0.55000000000000004</v>
      </c>
      <c r="NC89" s="151">
        <v>0.8</v>
      </c>
      <c r="ND89" s="151">
        <v>1.05</v>
      </c>
      <c r="NE89" s="151">
        <v>1.35</v>
      </c>
      <c r="NF89" s="151">
        <v>1.6</v>
      </c>
      <c r="NG89" s="149">
        <v>0.6</v>
      </c>
      <c r="NH89" s="149">
        <v>0.85</v>
      </c>
      <c r="NI89" s="149">
        <v>1.1499999999999999</v>
      </c>
      <c r="NJ89" s="149">
        <v>1.45</v>
      </c>
      <c r="NK89" s="149">
        <v>1.75</v>
      </c>
      <c r="NL89" s="150">
        <v>1.4</v>
      </c>
      <c r="NM89" s="150">
        <v>1.9</v>
      </c>
      <c r="NN89" s="150">
        <v>2.2999999999999998</v>
      </c>
      <c r="NO89" s="150">
        <v>2.8</v>
      </c>
      <c r="NP89" s="150">
        <v>3.75</v>
      </c>
      <c r="NQ89" s="149">
        <v>0.21</v>
      </c>
      <c r="NR89" s="149"/>
      <c r="NS89" s="149"/>
      <c r="NT89" s="149">
        <v>1.37</v>
      </c>
      <c r="NU89" s="149"/>
      <c r="NV89" s="149">
        <v>1.1200000000000001</v>
      </c>
      <c r="NW89" s="149">
        <v>1.52</v>
      </c>
      <c r="NX89" s="149"/>
      <c r="NY89" s="149"/>
      <c r="NZ89" s="149">
        <v>1.37</v>
      </c>
      <c r="OA89" s="149"/>
      <c r="OB89" s="149">
        <v>1.1200000000000001</v>
      </c>
      <c r="OC89" s="149">
        <v>1.52</v>
      </c>
      <c r="OD89" s="149"/>
      <c r="OE89" s="149"/>
      <c r="OF89" s="149"/>
      <c r="OG89" s="149">
        <v>1.37</v>
      </c>
      <c r="OH89" s="149"/>
      <c r="OI89" s="149">
        <v>1.1200000000000001</v>
      </c>
      <c r="OJ89" s="149">
        <v>1.52</v>
      </c>
      <c r="OK89" s="149"/>
      <c r="OL89" s="149">
        <v>1.1200000000000001</v>
      </c>
      <c r="OM89" s="149">
        <v>1.52</v>
      </c>
      <c r="ON89" s="149"/>
      <c r="OO89" s="149"/>
      <c r="OQ89" s="148">
        <f>1/OQ88</f>
        <v>0.18761726078799248</v>
      </c>
      <c r="OR89" s="148">
        <f>1/OR88</f>
        <v>0.79365079365079361</v>
      </c>
      <c r="OS89" s="148">
        <f>1/OS88</f>
        <v>1.639344262295082</v>
      </c>
      <c r="OU89" s="148">
        <f>1/OU88</f>
        <v>0.18761726078799248</v>
      </c>
      <c r="OV89" s="148">
        <f>1/OV88</f>
        <v>1.0101010101010102</v>
      </c>
      <c r="OW89" s="148">
        <f>1/OW88</f>
        <v>1.3888888888888888</v>
      </c>
      <c r="OX89" s="129" t="s">
        <v>3843</v>
      </c>
      <c r="OY89" s="148">
        <f>1/OY88</f>
        <v>0.18761726078799248</v>
      </c>
      <c r="PB89" s="148">
        <f>1/PB88</f>
        <v>2.1739130434782608</v>
      </c>
      <c r="PF89" s="148">
        <f>1/PF88</f>
        <v>2.3809523809523809</v>
      </c>
      <c r="PG89" s="148">
        <f>1/PG88</f>
        <v>0.98039215686274506</v>
      </c>
      <c r="PH89" s="148">
        <f>1/PH88</f>
        <v>1.8181818181818181</v>
      </c>
      <c r="PJ89" s="148">
        <f>1/PJ88</f>
        <v>0.96153846153846145</v>
      </c>
      <c r="PK89" s="148">
        <f>1/PK88</f>
        <v>1.1764705882352942</v>
      </c>
      <c r="PM89" s="148">
        <f>1/PM88</f>
        <v>2.2727272727272729</v>
      </c>
      <c r="PQ89" s="148">
        <f t="shared" ref="PQ89:QH89" si="2">1/PQ88</f>
        <v>2.5</v>
      </c>
      <c r="PR89" s="148">
        <f t="shared" si="2"/>
        <v>2.5</v>
      </c>
      <c r="PS89" s="148">
        <f t="shared" si="2"/>
        <v>0.19762845849802374</v>
      </c>
      <c r="PT89" s="148">
        <f t="shared" si="2"/>
        <v>0.19762845849802374</v>
      </c>
      <c r="PU89" s="148">
        <f t="shared" si="2"/>
        <v>0.19762845849802374</v>
      </c>
      <c r="PV89" s="148">
        <f t="shared" si="2"/>
        <v>0.25773195876288663</v>
      </c>
      <c r="PW89" s="148">
        <f t="shared" si="2"/>
        <v>0.99009900990099009</v>
      </c>
      <c r="PX89" s="148">
        <f t="shared" si="2"/>
        <v>0.25773195876288663</v>
      </c>
      <c r="PY89" s="148">
        <f t="shared" si="2"/>
        <v>1.5625</v>
      </c>
      <c r="PZ89" s="148">
        <f t="shared" si="2"/>
        <v>0.25773195876288663</v>
      </c>
      <c r="QA89" s="148">
        <f t="shared" si="2"/>
        <v>2.3255813953488373</v>
      </c>
      <c r="QB89" s="148">
        <f t="shared" si="2"/>
        <v>0.25773195876288663</v>
      </c>
      <c r="QC89" s="148">
        <f t="shared" si="2"/>
        <v>2.5</v>
      </c>
      <c r="QD89" s="148">
        <f t="shared" si="2"/>
        <v>0.79365079365079361</v>
      </c>
      <c r="QE89" s="148">
        <f t="shared" si="2"/>
        <v>1.639344262295082</v>
      </c>
      <c r="QF89" s="148">
        <f t="shared" si="2"/>
        <v>2.1739130434782608</v>
      </c>
      <c r="QG89" s="148">
        <f t="shared" si="2"/>
        <v>2.3809523809523809</v>
      </c>
      <c r="QH89" s="148">
        <f t="shared" si="2"/>
        <v>0.98039215686274506</v>
      </c>
      <c r="QK89" s="148">
        <f>1/QK88</f>
        <v>1.1764705882352942</v>
      </c>
      <c r="QL89" s="148">
        <f>1/QL88</f>
        <v>2.2727272727272729</v>
      </c>
      <c r="QM89" s="148">
        <f>1/QM88</f>
        <v>2.5</v>
      </c>
      <c r="QR89" s="148">
        <f>1/QR88</f>
        <v>1.4285714285714286</v>
      </c>
      <c r="QV89" s="148">
        <f>1/QV88</f>
        <v>1.4705882352941175</v>
      </c>
      <c r="QW89" s="148">
        <f>1/QW88</f>
        <v>1.4285714285714286</v>
      </c>
      <c r="QX89" s="148">
        <f>1/QX88</f>
        <v>4.3478260869565215</v>
      </c>
      <c r="QZ89" s="148">
        <f t="shared" ref="QZ89:RP89" si="3">1/QZ88</f>
        <v>1.4705882352941175</v>
      </c>
      <c r="RA89" s="148">
        <f t="shared" si="3"/>
        <v>0.1984126984126984</v>
      </c>
      <c r="RB89" s="148">
        <f t="shared" si="3"/>
        <v>1.4285714285714286</v>
      </c>
      <c r="RC89" s="148">
        <f t="shared" si="3"/>
        <v>1.4705882352941175</v>
      </c>
      <c r="RD89" s="148">
        <f t="shared" si="3"/>
        <v>0.21598272138228941</v>
      </c>
      <c r="RE89" s="148">
        <f t="shared" si="3"/>
        <v>1.6666666666666667</v>
      </c>
      <c r="RF89" s="148">
        <f t="shared" si="3"/>
        <v>1.7241379310344829</v>
      </c>
      <c r="RG89" s="148">
        <f t="shared" si="3"/>
        <v>0.19685039370078738</v>
      </c>
      <c r="RH89" s="148">
        <f t="shared" si="3"/>
        <v>0.20876826722338204</v>
      </c>
      <c r="RI89" s="148">
        <f t="shared" si="3"/>
        <v>1.7241379310344829</v>
      </c>
      <c r="RJ89" s="148">
        <f t="shared" si="3"/>
        <v>1.9230769230769229</v>
      </c>
      <c r="RK89" s="148">
        <f t="shared" si="3"/>
        <v>1.6666666666666667</v>
      </c>
      <c r="RL89" s="148">
        <f t="shared" si="3"/>
        <v>1.7241379310344829</v>
      </c>
      <c r="RM89" s="148">
        <f t="shared" si="3"/>
        <v>0.21598272138228941</v>
      </c>
      <c r="RN89" s="148">
        <f t="shared" si="3"/>
        <v>0.18761726078799248</v>
      </c>
      <c r="RO89" s="148">
        <f t="shared" si="3"/>
        <v>0.18761726078799248</v>
      </c>
      <c r="RP89" s="148">
        <f t="shared" si="3"/>
        <v>0.18761726078799248</v>
      </c>
      <c r="RQ89" s="134"/>
      <c r="RR89" s="134"/>
      <c r="RS89" s="134"/>
      <c r="RT89" s="134"/>
      <c r="TD89" s="133"/>
      <c r="TE89" s="132"/>
      <c r="TF89" s="132"/>
      <c r="TX89" s="132"/>
      <c r="TY89" s="132"/>
      <c r="TZ89" s="132"/>
      <c r="VL89" s="132"/>
      <c r="VM89" s="132"/>
      <c r="VN89" s="132"/>
      <c r="VO89" s="132"/>
      <c r="VR89" s="131"/>
      <c r="VS89" s="131"/>
      <c r="VT89" s="131"/>
      <c r="VU89" s="131"/>
      <c r="VV89" s="131"/>
      <c r="VW89" s="131"/>
      <c r="VX89" s="131"/>
      <c r="VY89" s="131"/>
      <c r="VZ89" s="131"/>
      <c r="WA89" s="131"/>
      <c r="WB89" s="131"/>
      <c r="WC89" s="131"/>
      <c r="WD89" s="131"/>
      <c r="WE89" s="131"/>
      <c r="WF89" s="131"/>
      <c r="WG89" s="131"/>
      <c r="WH89" s="131"/>
      <c r="WI89" s="131"/>
      <c r="WJ89" s="131"/>
      <c r="WK89" s="131"/>
      <c r="WL89" s="131"/>
      <c r="WM89" s="131"/>
      <c r="WN89" s="131"/>
      <c r="WO89" s="131"/>
      <c r="WP89" s="131"/>
      <c r="WQ89" s="131"/>
      <c r="WR89" s="131"/>
      <c r="WS89" s="131"/>
      <c r="WT89" s="131"/>
      <c r="WU89" s="131"/>
      <c r="WV89" s="131"/>
      <c r="WW89" s="131"/>
      <c r="WX89" s="131"/>
      <c r="WY89" s="131"/>
      <c r="WZ89" s="131"/>
      <c r="XA89" s="131"/>
      <c r="XB89" s="131"/>
      <c r="XC89" s="131"/>
      <c r="XD89" s="131"/>
      <c r="XE89" s="131"/>
      <c r="XF89" s="131"/>
      <c r="XG89" s="131"/>
      <c r="XH89" s="131"/>
      <c r="XI89" s="131"/>
      <c r="XJ89" s="131"/>
      <c r="XK89" s="131"/>
      <c r="XL89" s="131"/>
      <c r="XM89" s="131"/>
      <c r="XN89" s="131"/>
      <c r="XO89" s="131"/>
      <c r="XP89" s="131"/>
      <c r="XQ89" s="131"/>
      <c r="XR89" s="131"/>
      <c r="XS89" s="131"/>
      <c r="XT89" s="131"/>
      <c r="XU89" s="131"/>
      <c r="XV89" s="131"/>
      <c r="XW89" s="131"/>
      <c r="XX89" s="131"/>
      <c r="XY89" s="131"/>
      <c r="XZ89" s="131"/>
      <c r="YA89" s="131"/>
      <c r="YB89" s="131"/>
      <c r="YC89" s="131"/>
      <c r="YD89" s="131"/>
      <c r="YE89" s="131"/>
      <c r="YF89" s="131"/>
      <c r="YG89" s="131"/>
      <c r="YH89" s="131"/>
      <c r="YI89" s="131"/>
      <c r="YJ89" s="131"/>
      <c r="YK89" s="131"/>
      <c r="YL89" s="131"/>
      <c r="YM89" s="131"/>
      <c r="YN89" s="131"/>
      <c r="YO89" s="131"/>
      <c r="YP89" s="131"/>
      <c r="YQ89" s="131"/>
      <c r="YR89" s="131"/>
      <c r="YS89" s="131"/>
      <c r="YT89" s="131"/>
      <c r="YU89" s="131"/>
      <c r="YV89" s="131"/>
      <c r="YW89" s="131"/>
      <c r="YX89" s="131"/>
      <c r="YY89" s="131"/>
      <c r="YZ89" s="131"/>
      <c r="ZA89" s="131"/>
      <c r="ZB89" s="131"/>
      <c r="ZC89" s="131"/>
      <c r="ZD89" s="131"/>
      <c r="ZE89" s="131"/>
      <c r="ZF89" s="131"/>
      <c r="ZG89" s="131"/>
      <c r="ZH89" s="131"/>
      <c r="ZI89" s="131"/>
      <c r="ZJ89" s="131"/>
      <c r="ZK89" s="131"/>
      <c r="ZL89" s="131"/>
      <c r="ZM89" s="131"/>
      <c r="ZN89" s="131"/>
      <c r="ZO89" s="131"/>
      <c r="ZP89" s="131"/>
      <c r="ZQ89" s="131"/>
      <c r="ZR89" s="131"/>
      <c r="ZS89" s="131"/>
      <c r="ZT89" s="131"/>
      <c r="ZU89" s="131"/>
      <c r="ZV89" s="131"/>
      <c r="ZW89" s="131"/>
      <c r="ZX89" s="131"/>
      <c r="ZY89" s="131"/>
      <c r="ZZ89" s="131"/>
      <c r="AAA89" s="131"/>
      <c r="AAB89" s="131"/>
      <c r="AAC89" s="131"/>
      <c r="AAD89" s="131"/>
      <c r="AAE89" s="131"/>
      <c r="AAF89" s="131"/>
      <c r="AAG89" s="131"/>
      <c r="AAH89" s="131"/>
      <c r="AAJ89" s="131"/>
      <c r="AAK89" s="131"/>
      <c r="AAL89" s="131"/>
      <c r="AAM89" s="131"/>
      <c r="AAN89" s="131"/>
      <c r="AAO89" s="131"/>
      <c r="AAP89" s="131"/>
      <c r="AAQ89" s="131"/>
      <c r="AAR89" s="131"/>
      <c r="AAS89" s="131"/>
      <c r="AAT89" s="131"/>
      <c r="AAU89" s="131"/>
      <c r="AAV89" s="131"/>
      <c r="AAW89" s="131"/>
      <c r="AAX89" s="131"/>
      <c r="AAY89" s="131"/>
      <c r="AAZ89" s="131"/>
      <c r="ABA89" s="131"/>
      <c r="ABB89" s="131"/>
      <c r="ABC89" s="131"/>
      <c r="ABD89" s="131"/>
      <c r="ABE89" s="131"/>
      <c r="ABF89" s="131"/>
      <c r="ABG89" s="131"/>
      <c r="ABH89" s="131"/>
      <c r="ABI89" s="131"/>
      <c r="ABJ89" s="131"/>
      <c r="ABK89" s="131"/>
      <c r="ABL89" s="131"/>
      <c r="ABM89" s="131"/>
      <c r="ABN89" s="131"/>
      <c r="ABO89" s="131"/>
      <c r="ABP89" s="131"/>
      <c r="ABQ89" s="131"/>
      <c r="ABR89" s="131"/>
      <c r="ABS89" s="131"/>
      <c r="ABT89" s="131"/>
      <c r="ABU89" s="131"/>
      <c r="ABV89" s="131"/>
      <c r="ABW89" s="131"/>
      <c r="ABX89" s="131"/>
      <c r="ABY89" s="131"/>
      <c r="ABZ89" s="131"/>
      <c r="ACA89" s="131"/>
      <c r="ACB89" s="131"/>
      <c r="ACC89" s="131"/>
      <c r="ACD89" s="131"/>
      <c r="ACE89" s="131"/>
      <c r="ACF89" s="131"/>
      <c r="ACG89" s="131"/>
      <c r="ACH89" s="131"/>
      <c r="ACI89" s="131"/>
      <c r="ACJ89" s="131"/>
      <c r="ACK89" s="131"/>
      <c r="ACL89" s="131"/>
      <c r="ACM89" s="131"/>
      <c r="ACN89" s="131"/>
      <c r="ACO89" s="131"/>
      <c r="ACP89" s="131"/>
      <c r="ACQ89" s="131"/>
      <c r="ACR89" s="131"/>
      <c r="ACS89" s="131"/>
      <c r="ACT89" s="131"/>
      <c r="ACU89" s="131"/>
      <c r="ACV89" s="131"/>
      <c r="ACW89" s="131"/>
      <c r="ACX89" s="131"/>
      <c r="ACY89" s="131"/>
      <c r="ACZ89" s="131"/>
      <c r="ADA89" s="131"/>
      <c r="ADB89" s="131"/>
      <c r="ADC89" s="131"/>
      <c r="ADD89" s="131"/>
      <c r="ADE89" s="131"/>
      <c r="ADF89" s="131"/>
      <c r="ADG89" s="131"/>
      <c r="ADH89" s="131"/>
      <c r="ADI89" s="131"/>
      <c r="ADJ89" s="131"/>
      <c r="ADK89" s="131"/>
      <c r="ADL89" s="131"/>
      <c r="ADM89" s="131"/>
      <c r="ADN89" s="131"/>
      <c r="ADO89" s="131"/>
      <c r="ADP89" s="131"/>
      <c r="ADQ89" s="131"/>
      <c r="ADR89" s="131"/>
      <c r="ADS89" s="131"/>
      <c r="ADT89" s="131"/>
      <c r="ADU89" s="131"/>
      <c r="ADV89" s="131"/>
      <c r="ADW89" s="131"/>
      <c r="ADX89" s="131"/>
      <c r="ADY89" s="131"/>
      <c r="ADZ89" s="131"/>
      <c r="AEA89" s="131"/>
      <c r="AEB89" s="131"/>
      <c r="AEC89" s="131"/>
      <c r="AED89" s="131"/>
      <c r="AEE89" s="131"/>
      <c r="AEF89" s="131"/>
      <c r="AEG89" s="131"/>
      <c r="AEH89" s="131"/>
      <c r="AEI89" s="131"/>
      <c r="AEJ89" s="131"/>
      <c r="AEK89" s="131"/>
      <c r="AEL89" s="131"/>
      <c r="AEM89" s="131"/>
      <c r="AEN89" s="131"/>
      <c r="AEO89" s="131"/>
      <c r="AEP89" s="131"/>
      <c r="AEQ89" s="131"/>
      <c r="AER89" s="131"/>
      <c r="AES89" s="131"/>
      <c r="AET89" s="131"/>
      <c r="AEU89" s="131"/>
      <c r="AEV89" s="131"/>
      <c r="AEW89" s="131"/>
      <c r="AEX89" s="131"/>
      <c r="AEY89" s="131"/>
      <c r="AEZ89" s="131"/>
      <c r="AFA89" s="131"/>
      <c r="AFB89" s="131"/>
      <c r="AFC89" s="131"/>
      <c r="AFD89" s="131"/>
      <c r="AFE89" s="131"/>
      <c r="AFF89" s="131"/>
      <c r="AFG89" s="131"/>
      <c r="AFH89" s="131"/>
      <c r="AFI89" s="131"/>
      <c r="AFJ89" s="131"/>
      <c r="AFK89" s="131"/>
      <c r="APO89" s="130"/>
      <c r="APP89" s="130"/>
      <c r="APQ89" s="130"/>
      <c r="APR89" s="130"/>
      <c r="APS89" s="130"/>
      <c r="APT89" s="130"/>
      <c r="APU89" s="130"/>
      <c r="APV89" s="130"/>
      <c r="APW89" s="130"/>
      <c r="APX89" s="130"/>
      <c r="APY89" s="130"/>
      <c r="APZ89" s="130"/>
      <c r="AQA89" s="130"/>
      <c r="AQB89" s="130"/>
      <c r="AQC89" s="130"/>
      <c r="AQD89" s="130"/>
      <c r="AQE89" s="130"/>
      <c r="AQF89" s="130"/>
      <c r="AQG89" s="130"/>
      <c r="AQH89" s="130"/>
      <c r="AQI89" s="130"/>
      <c r="AQJ89" s="130"/>
      <c r="AQK89" s="130"/>
      <c r="AQL89" s="130"/>
      <c r="AQM89" s="130"/>
      <c r="AQN89" s="130"/>
      <c r="AQO89" s="130"/>
      <c r="AQP89" s="130"/>
      <c r="AQQ89" s="130"/>
      <c r="AQR89" s="130"/>
      <c r="AQS89" s="130"/>
      <c r="AQT89" s="130"/>
      <c r="AQU89" s="130"/>
      <c r="AQV89" s="130"/>
      <c r="AQW89" s="130"/>
      <c r="AQX89" s="130"/>
      <c r="AQY89" s="130"/>
      <c r="AQZ89" s="130"/>
      <c r="ARA89" s="130"/>
      <c r="ARB89" s="130"/>
      <c r="ARC89" s="130"/>
      <c r="ARD89" s="130"/>
      <c r="ARE89" s="130"/>
      <c r="ARF89" s="130"/>
      <c r="ARG89" s="130"/>
      <c r="ARH89" s="130"/>
      <c r="ARI89" s="130"/>
      <c r="ARJ89" s="130"/>
      <c r="ARK89" s="130"/>
      <c r="ARL89" s="130"/>
      <c r="ARM89" s="130"/>
      <c r="ARN89" s="130"/>
      <c r="ARO89" s="130"/>
      <c r="ARP89" s="130"/>
      <c r="ARQ89" s="130"/>
      <c r="ARR89" s="130"/>
      <c r="ARS89" s="130"/>
      <c r="ART89" s="130"/>
      <c r="ARU89" s="130"/>
      <c r="ARV89" s="130"/>
      <c r="ARW89" s="130"/>
      <c r="ARX89" s="130"/>
      <c r="ARY89" s="130"/>
      <c r="ARZ89" s="130"/>
      <c r="ASA89" s="130"/>
      <c r="ASB89" s="130"/>
      <c r="ASC89" s="130"/>
      <c r="ASD89" s="130"/>
      <c r="ASE89" s="130"/>
      <c r="ASF89" s="130"/>
      <c r="ASG89" s="130"/>
      <c r="ASH89" s="130"/>
      <c r="ASI89" s="130"/>
      <c r="ASJ89" s="130"/>
      <c r="ASK89" s="130"/>
      <c r="ASL89" s="130"/>
      <c r="ASM89" s="130"/>
      <c r="ASN89" s="130"/>
      <c r="ASO89" s="130"/>
      <c r="ASP89" s="130"/>
      <c r="ASQ89" s="130"/>
      <c r="ASR89" s="130"/>
      <c r="ASS89" s="130"/>
      <c r="AST89" s="130"/>
      <c r="ASU89" s="130"/>
      <c r="ASV89" s="130"/>
      <c r="ASW89" s="130"/>
      <c r="AVJ89" s="128"/>
      <c r="AVK89" s="128"/>
      <c r="AVL89" s="128"/>
      <c r="AVM89" s="128"/>
      <c r="AVN89" s="128"/>
      <c r="AVO89" s="128"/>
      <c r="AVP89" s="128"/>
      <c r="AVQ89" s="128"/>
      <c r="AVR89" s="128"/>
      <c r="AVS89" s="128"/>
      <c r="AVT89" s="128"/>
      <c r="AVU89" s="128"/>
      <c r="AVV89" s="128"/>
      <c r="AVW89" s="128"/>
      <c r="AVX89" s="128"/>
      <c r="AVY89" s="128"/>
      <c r="AVZ89" s="128"/>
      <c r="AWA89" s="128"/>
      <c r="AWB89" s="128"/>
      <c r="AWC89" s="128"/>
      <c r="AWD89" s="148">
        <f>1/AWD88</f>
        <v>0.50530570995452251</v>
      </c>
      <c r="AWE89" s="128"/>
      <c r="AWF89" s="128"/>
      <c r="AWG89" s="128"/>
      <c r="AWH89" s="128"/>
      <c r="AWI89" s="128"/>
      <c r="AWJ89" s="148">
        <f>1/AWJ88</f>
        <v>0.51948051948051943</v>
      </c>
      <c r="AWK89" s="128"/>
      <c r="AWL89" s="128"/>
      <c r="AWM89" s="128"/>
      <c r="AWN89" s="128"/>
      <c r="AWO89" s="128"/>
      <c r="AWP89" s="128"/>
      <c r="AWQ89" s="128"/>
      <c r="AWR89" s="128"/>
      <c r="AWS89" s="128"/>
      <c r="AWT89" s="128"/>
      <c r="AWU89" s="128"/>
      <c r="AWV89" s="128"/>
    </row>
    <row r="90" spans="1:1296" outlineLevel="1">
      <c r="A90" s="137" t="s">
        <v>360</v>
      </c>
      <c r="B90" s="140" t="s">
        <v>361</v>
      </c>
      <c r="C90" s="139" t="s">
        <v>362</v>
      </c>
      <c r="D90" s="139" t="s">
        <v>162</v>
      </c>
      <c r="E90" s="137">
        <v>158</v>
      </c>
      <c r="G90" s="136" t="s">
        <v>17</v>
      </c>
      <c r="H90" s="136" t="s">
        <v>13</v>
      </c>
      <c r="I90" s="136" t="s">
        <v>13</v>
      </c>
      <c r="J90" s="136" t="s">
        <v>13</v>
      </c>
      <c r="K90" s="136" t="s">
        <v>13</v>
      </c>
      <c r="L90" s="136" t="s">
        <v>13</v>
      </c>
      <c r="M90" s="136" t="s">
        <v>13</v>
      </c>
      <c r="N90" s="136" t="s">
        <v>13</v>
      </c>
      <c r="P90" s="129" t="s">
        <v>3788</v>
      </c>
      <c r="Q90" s="129" t="s">
        <v>3788</v>
      </c>
      <c r="R90" s="129" t="s">
        <v>3788</v>
      </c>
      <c r="S90" s="129" t="s">
        <v>3788</v>
      </c>
      <c r="T90" s="129" t="s">
        <v>3788</v>
      </c>
      <c r="U90" s="128" t="s">
        <v>3788</v>
      </c>
      <c r="V90" s="129" t="s">
        <v>3788</v>
      </c>
      <c r="W90" s="129" t="s">
        <v>3788</v>
      </c>
      <c r="X90" s="129" t="s">
        <v>3788</v>
      </c>
      <c r="Y90" s="129" t="s">
        <v>3788</v>
      </c>
      <c r="Z90" s="129" t="s">
        <v>3788</v>
      </c>
      <c r="AA90" s="128" t="s">
        <v>3789</v>
      </c>
      <c r="AB90" s="128" t="s">
        <v>3789</v>
      </c>
      <c r="AC90" s="128" t="s">
        <v>3788</v>
      </c>
      <c r="AD90" s="128" t="s">
        <v>3789</v>
      </c>
      <c r="AE90" s="129" t="s">
        <v>3788</v>
      </c>
      <c r="AF90" s="128" t="s">
        <v>3789</v>
      </c>
      <c r="AG90" s="128" t="s">
        <v>3789</v>
      </c>
      <c r="AH90" s="129" t="s">
        <v>3788</v>
      </c>
      <c r="AI90" s="128" t="s">
        <v>3788</v>
      </c>
      <c r="AJ90" s="128" t="s">
        <v>3789</v>
      </c>
      <c r="AK90" s="128" t="s">
        <v>3788</v>
      </c>
      <c r="AL90" s="128" t="s">
        <v>3788</v>
      </c>
      <c r="AM90" s="129" t="s">
        <v>3788</v>
      </c>
      <c r="AN90" s="128" t="s">
        <v>3788</v>
      </c>
      <c r="AO90" s="128" t="s">
        <v>3789</v>
      </c>
      <c r="AP90" s="128" t="s">
        <v>3788</v>
      </c>
      <c r="AQ90" s="128" t="s">
        <v>3789</v>
      </c>
      <c r="AR90" s="128" t="s">
        <v>3788</v>
      </c>
      <c r="AS90" s="128" t="s">
        <v>3788</v>
      </c>
      <c r="AT90" s="128" t="s">
        <v>3788</v>
      </c>
      <c r="AU90" s="128" t="s">
        <v>3788</v>
      </c>
      <c r="AV90" s="128" t="s">
        <v>3788</v>
      </c>
      <c r="AW90" s="128" t="s">
        <v>3789</v>
      </c>
      <c r="DC90" s="129"/>
      <c r="FP90" s="128" t="s">
        <v>3789</v>
      </c>
      <c r="GR90" s="129" t="s">
        <v>3788</v>
      </c>
      <c r="GS90" s="129" t="s">
        <v>3788</v>
      </c>
      <c r="GT90" s="129" t="s">
        <v>3788</v>
      </c>
      <c r="GU90" s="129" t="s">
        <v>3788</v>
      </c>
      <c r="GV90" s="129" t="s">
        <v>3788</v>
      </c>
      <c r="GW90" s="129" t="s">
        <v>3788</v>
      </c>
      <c r="GX90" s="129" t="s">
        <v>3788</v>
      </c>
      <c r="GY90" s="129" t="s">
        <v>3788</v>
      </c>
      <c r="GZ90" s="129" t="s">
        <v>3788</v>
      </c>
      <c r="HA90" s="129" t="s">
        <v>3788</v>
      </c>
      <c r="HB90" s="129" t="s">
        <v>3788</v>
      </c>
      <c r="HC90" s="129" t="s">
        <v>3788</v>
      </c>
      <c r="HD90" s="129" t="s">
        <v>3788</v>
      </c>
      <c r="HE90" s="129" t="s">
        <v>3788</v>
      </c>
      <c r="HF90" s="129" t="s">
        <v>3788</v>
      </c>
      <c r="HH90" s="129" t="s">
        <v>3789</v>
      </c>
      <c r="HI90" s="129" t="s">
        <v>3789</v>
      </c>
      <c r="HJ90" s="129" t="s">
        <v>3789</v>
      </c>
      <c r="HK90" s="129" t="s">
        <v>3789</v>
      </c>
      <c r="HL90" s="129" t="s">
        <v>3789</v>
      </c>
      <c r="HM90" s="129" t="s">
        <v>3789</v>
      </c>
      <c r="HN90" s="129" t="s">
        <v>3789</v>
      </c>
      <c r="HO90" s="129" t="s">
        <v>3789</v>
      </c>
      <c r="HP90" s="129" t="s">
        <v>3789</v>
      </c>
      <c r="HS90" s="129" t="s">
        <v>3788</v>
      </c>
      <c r="HT90" s="129" t="s">
        <v>3788</v>
      </c>
      <c r="HU90" s="129" t="s">
        <v>3788</v>
      </c>
      <c r="HV90" s="129" t="s">
        <v>3788</v>
      </c>
      <c r="HW90" s="129" t="s">
        <v>3788</v>
      </c>
      <c r="HX90" s="129" t="s">
        <v>3788</v>
      </c>
      <c r="HY90" s="129" t="s">
        <v>3788</v>
      </c>
      <c r="HZ90" s="129" t="s">
        <v>3788</v>
      </c>
      <c r="IA90" s="129" t="s">
        <v>3788</v>
      </c>
      <c r="IB90" s="129" t="s">
        <v>3788</v>
      </c>
      <c r="IC90" s="129" t="s">
        <v>3788</v>
      </c>
      <c r="ID90" s="129" t="s">
        <v>3788</v>
      </c>
      <c r="IE90" s="129" t="s">
        <v>3788</v>
      </c>
      <c r="IF90" s="129" t="s">
        <v>3788</v>
      </c>
      <c r="IG90" s="129" t="s">
        <v>3788</v>
      </c>
      <c r="IH90" s="129" t="s">
        <v>3788</v>
      </c>
      <c r="II90" s="129" t="s">
        <v>3788</v>
      </c>
      <c r="IJ90" s="129" t="s">
        <v>3788</v>
      </c>
      <c r="IK90" s="129" t="s">
        <v>3788</v>
      </c>
      <c r="IL90" s="129" t="s">
        <v>3788</v>
      </c>
      <c r="IM90" s="129" t="s">
        <v>3788</v>
      </c>
      <c r="IN90" s="129" t="s">
        <v>3788</v>
      </c>
      <c r="IO90" s="129" t="s">
        <v>3789</v>
      </c>
      <c r="IP90" s="129" t="s">
        <v>3788</v>
      </c>
      <c r="IQ90" s="129" t="s">
        <v>3789</v>
      </c>
      <c r="IR90" s="129" t="s">
        <v>3788</v>
      </c>
      <c r="IS90" s="129" t="s">
        <v>3788</v>
      </c>
      <c r="IT90" s="128"/>
      <c r="NS90" s="129" t="s">
        <v>3788</v>
      </c>
      <c r="NT90" s="129" t="s">
        <v>3788</v>
      </c>
      <c r="NU90" s="129" t="s">
        <v>3788</v>
      </c>
      <c r="NV90" s="129" t="s">
        <v>3788</v>
      </c>
      <c r="NW90" s="129" t="s">
        <v>3788</v>
      </c>
      <c r="NX90" s="129" t="s">
        <v>3788</v>
      </c>
      <c r="NY90" s="129" t="s">
        <v>3788</v>
      </c>
      <c r="NZ90" s="129" t="s">
        <v>3788</v>
      </c>
      <c r="OA90" s="129" t="s">
        <v>3788</v>
      </c>
      <c r="OB90" s="129" t="s">
        <v>3788</v>
      </c>
      <c r="OC90" s="129" t="s">
        <v>3788</v>
      </c>
      <c r="OD90" s="129" t="s">
        <v>3788</v>
      </c>
      <c r="OF90" s="129" t="s">
        <v>3789</v>
      </c>
      <c r="OG90" s="129" t="s">
        <v>3789</v>
      </c>
      <c r="OH90" s="129" t="s">
        <v>3789</v>
      </c>
      <c r="OI90" s="129" t="s">
        <v>3789</v>
      </c>
      <c r="OJ90" s="129" t="s">
        <v>3789</v>
      </c>
      <c r="OK90" s="129" t="s">
        <v>3789</v>
      </c>
      <c r="OL90" s="129" t="s">
        <v>3789</v>
      </c>
      <c r="OM90" s="129" t="s">
        <v>3789</v>
      </c>
      <c r="ON90" s="129" t="s">
        <v>3789</v>
      </c>
      <c r="OQ90" s="129" t="s">
        <v>3788</v>
      </c>
      <c r="OT90" s="129" t="s">
        <v>3788</v>
      </c>
      <c r="OU90" s="129" t="s">
        <v>3788</v>
      </c>
      <c r="OV90" s="129" t="s">
        <v>3788</v>
      </c>
      <c r="OW90" s="129" t="s">
        <v>3788</v>
      </c>
      <c r="OX90" s="129" t="s">
        <v>3788</v>
      </c>
      <c r="OY90" s="129" t="s">
        <v>3788</v>
      </c>
      <c r="OZ90" s="129" t="s">
        <v>3788</v>
      </c>
      <c r="PA90" s="129" t="s">
        <v>3788</v>
      </c>
      <c r="PB90" s="129" t="s">
        <v>3788</v>
      </c>
      <c r="PC90" s="129" t="s">
        <v>3788</v>
      </c>
      <c r="PD90" s="129" t="s">
        <v>3788</v>
      </c>
      <c r="PE90" s="129" t="s">
        <v>3788</v>
      </c>
      <c r="PF90" s="129" t="s">
        <v>3788</v>
      </c>
      <c r="PG90" s="129" t="s">
        <v>3788</v>
      </c>
      <c r="PH90" s="129" t="s">
        <v>3788</v>
      </c>
      <c r="PI90" s="129" t="s">
        <v>3788</v>
      </c>
      <c r="PJ90" s="129" t="s">
        <v>3788</v>
      </c>
      <c r="PK90" s="129" t="s">
        <v>3788</v>
      </c>
      <c r="PL90" s="129" t="s">
        <v>3788</v>
      </c>
      <c r="PM90" s="129" t="s">
        <v>3788</v>
      </c>
      <c r="PN90" s="129" t="s">
        <v>3788</v>
      </c>
      <c r="PO90" s="129" t="s">
        <v>3788</v>
      </c>
      <c r="PP90" s="129" t="s">
        <v>3788</v>
      </c>
      <c r="PQ90" s="129" t="s">
        <v>3788</v>
      </c>
      <c r="PR90" s="129" t="s">
        <v>3788</v>
      </c>
      <c r="PS90" s="129" t="s">
        <v>3788</v>
      </c>
      <c r="PT90" s="129" t="s">
        <v>3788</v>
      </c>
      <c r="PU90" s="129" t="s">
        <v>3788</v>
      </c>
      <c r="PV90" s="129" t="s">
        <v>3788</v>
      </c>
      <c r="PW90" s="129" t="s">
        <v>3788</v>
      </c>
      <c r="PX90" s="129" t="s">
        <v>3788</v>
      </c>
      <c r="PY90" s="129" t="s">
        <v>3788</v>
      </c>
      <c r="PZ90" s="129" t="s">
        <v>3788</v>
      </c>
      <c r="QA90" s="129" t="s">
        <v>3788</v>
      </c>
      <c r="QB90" s="129" t="s">
        <v>3788</v>
      </c>
      <c r="QC90" s="129" t="s">
        <v>3788</v>
      </c>
      <c r="QD90" s="129" t="s">
        <v>3788</v>
      </c>
      <c r="QE90" s="129" t="s">
        <v>3788</v>
      </c>
      <c r="QF90" s="129" t="s">
        <v>3788</v>
      </c>
      <c r="QG90" s="129" t="s">
        <v>3788</v>
      </c>
      <c r="QH90" s="129" t="s">
        <v>3788</v>
      </c>
      <c r="QI90" s="129" t="s">
        <v>3788</v>
      </c>
      <c r="QJ90" s="129" t="s">
        <v>3788</v>
      </c>
      <c r="QK90" s="129" t="s">
        <v>3788</v>
      </c>
      <c r="QL90" s="129" t="s">
        <v>3788</v>
      </c>
      <c r="QM90" s="129" t="s">
        <v>3788</v>
      </c>
      <c r="QN90" s="129" t="s">
        <v>3788</v>
      </c>
      <c r="QO90" s="129" t="s">
        <v>3788</v>
      </c>
      <c r="QP90" s="129" t="s">
        <v>3788</v>
      </c>
      <c r="QQ90" s="129" t="s">
        <v>3788</v>
      </c>
      <c r="QR90" s="129" t="s">
        <v>3788</v>
      </c>
      <c r="QS90" s="129" t="s">
        <v>3788</v>
      </c>
      <c r="QT90" s="129" t="s">
        <v>3788</v>
      </c>
      <c r="QU90" s="129" t="s">
        <v>3788</v>
      </c>
      <c r="QV90" s="129" t="s">
        <v>3788</v>
      </c>
      <c r="QW90" s="129" t="s">
        <v>3788</v>
      </c>
      <c r="QX90" s="129" t="s">
        <v>3788</v>
      </c>
      <c r="QY90" s="129" t="s">
        <v>3788</v>
      </c>
      <c r="QZ90" s="129" t="s">
        <v>3788</v>
      </c>
      <c r="RA90" s="129" t="s">
        <v>3788</v>
      </c>
      <c r="RB90" s="129" t="s">
        <v>3788</v>
      </c>
      <c r="RC90" s="129" t="s">
        <v>3788</v>
      </c>
      <c r="RD90" s="129" t="s">
        <v>3788</v>
      </c>
      <c r="RE90" s="129" t="s">
        <v>3788</v>
      </c>
      <c r="RF90" s="129" t="s">
        <v>3788</v>
      </c>
      <c r="RG90" s="129" t="s">
        <v>3788</v>
      </c>
      <c r="RH90" s="129" t="s">
        <v>3788</v>
      </c>
      <c r="RI90" s="129" t="s">
        <v>3788</v>
      </c>
      <c r="RJ90" s="129" t="s">
        <v>3788</v>
      </c>
      <c r="RK90" s="129" t="s">
        <v>3788</v>
      </c>
      <c r="RL90" s="129" t="s">
        <v>3788</v>
      </c>
      <c r="RM90" s="129" t="s">
        <v>3788</v>
      </c>
      <c r="RN90" s="129" t="s">
        <v>3788</v>
      </c>
      <c r="RO90" s="129" t="s">
        <v>3788</v>
      </c>
      <c r="RP90" s="129" t="s">
        <v>3788</v>
      </c>
      <c r="RQ90" s="134" t="s">
        <v>3788</v>
      </c>
      <c r="RR90" s="134" t="s">
        <v>3788</v>
      </c>
      <c r="RS90" s="134" t="s">
        <v>3788</v>
      </c>
      <c r="RT90" s="134" t="s">
        <v>3788</v>
      </c>
    </row>
    <row r="91" spans="1:1296" ht="25.5" outlineLevel="1">
      <c r="A91" s="137" t="s">
        <v>360</v>
      </c>
      <c r="B91" s="140" t="s">
        <v>363</v>
      </c>
      <c r="C91" s="139" t="s">
        <v>364</v>
      </c>
      <c r="D91" s="139" t="s">
        <v>365</v>
      </c>
      <c r="E91" s="137">
        <v>159</v>
      </c>
      <c r="G91" s="136" t="s">
        <v>17</v>
      </c>
      <c r="H91" s="136" t="s">
        <v>13</v>
      </c>
      <c r="I91" s="136" t="s">
        <v>366</v>
      </c>
      <c r="J91" s="136" t="s">
        <v>366</v>
      </c>
      <c r="K91" s="136" t="s">
        <v>366</v>
      </c>
      <c r="L91" s="136" t="s">
        <v>13</v>
      </c>
      <c r="M91" s="136" t="s">
        <v>13</v>
      </c>
      <c r="N91" s="136" t="s">
        <v>13</v>
      </c>
      <c r="P91" s="129" t="s">
        <v>3788</v>
      </c>
      <c r="Q91" s="129" t="s">
        <v>3788</v>
      </c>
      <c r="R91" s="129" t="s">
        <v>3788</v>
      </c>
      <c r="S91" s="129" t="s">
        <v>3788</v>
      </c>
      <c r="T91" s="129" t="s">
        <v>3788</v>
      </c>
      <c r="U91" s="128" t="s">
        <v>3788</v>
      </c>
      <c r="V91" s="129" t="s">
        <v>3788</v>
      </c>
      <c r="W91" s="129" t="s">
        <v>3788</v>
      </c>
      <c r="X91" s="129" t="s">
        <v>3788</v>
      </c>
      <c r="Y91" s="129" t="s">
        <v>3788</v>
      </c>
      <c r="Z91" s="129" t="s">
        <v>3788</v>
      </c>
      <c r="AA91" s="128" t="s">
        <v>3789</v>
      </c>
      <c r="AB91" s="128" t="s">
        <v>3789</v>
      </c>
      <c r="AC91" s="128" t="s">
        <v>3788</v>
      </c>
      <c r="AD91" s="128" t="s">
        <v>3789</v>
      </c>
      <c r="AE91" s="129" t="s">
        <v>3788</v>
      </c>
      <c r="AF91" s="128" t="s">
        <v>3789</v>
      </c>
      <c r="AG91" s="128" t="s">
        <v>3789</v>
      </c>
      <c r="AH91" s="129" t="s">
        <v>3788</v>
      </c>
      <c r="AI91" s="128" t="s">
        <v>3788</v>
      </c>
      <c r="AJ91" s="128" t="s">
        <v>3789</v>
      </c>
      <c r="AK91" s="128" t="s">
        <v>3788</v>
      </c>
      <c r="AL91" s="128" t="s">
        <v>3788</v>
      </c>
      <c r="AM91" s="129" t="s">
        <v>3788</v>
      </c>
      <c r="AN91" s="128" t="s">
        <v>3788</v>
      </c>
      <c r="AO91" s="128" t="s">
        <v>3789</v>
      </c>
      <c r="AP91" s="128" t="s">
        <v>3788</v>
      </c>
      <c r="AQ91" s="128" t="s">
        <v>3789</v>
      </c>
      <c r="AR91" s="128" t="s">
        <v>3789</v>
      </c>
      <c r="AS91" s="128" t="s">
        <v>3789</v>
      </c>
      <c r="AT91" s="128" t="s">
        <v>3788</v>
      </c>
      <c r="AU91" s="128" t="s">
        <v>3789</v>
      </c>
      <c r="AV91" s="128" t="s">
        <v>3789</v>
      </c>
      <c r="AW91" s="128" t="s">
        <v>3789</v>
      </c>
      <c r="DC91" s="129"/>
      <c r="FP91" s="128" t="s">
        <v>3789</v>
      </c>
      <c r="GR91" s="129" t="s">
        <v>3788</v>
      </c>
      <c r="GS91" s="129" t="s">
        <v>3788</v>
      </c>
      <c r="GT91" s="129" t="s">
        <v>3788</v>
      </c>
      <c r="GU91" s="129" t="s">
        <v>3788</v>
      </c>
      <c r="GV91" s="129" t="s">
        <v>3788</v>
      </c>
      <c r="GW91" s="129" t="s">
        <v>3788</v>
      </c>
      <c r="GX91" s="129" t="s">
        <v>3788</v>
      </c>
      <c r="GY91" s="129" t="s">
        <v>3788</v>
      </c>
      <c r="GZ91" s="129" t="s">
        <v>3788</v>
      </c>
      <c r="HA91" s="129" t="s">
        <v>3788</v>
      </c>
      <c r="HB91" s="129" t="s">
        <v>3788</v>
      </c>
      <c r="HC91" s="129" t="s">
        <v>3788</v>
      </c>
      <c r="HD91" s="129" t="s">
        <v>3788</v>
      </c>
      <c r="HE91" s="129" t="s">
        <v>3788</v>
      </c>
      <c r="HF91" s="129" t="s">
        <v>3788</v>
      </c>
      <c r="HH91" s="129" t="s">
        <v>3789</v>
      </c>
      <c r="HI91" s="129" t="s">
        <v>3789</v>
      </c>
      <c r="HJ91" s="129" t="s">
        <v>3789</v>
      </c>
      <c r="HK91" s="129" t="s">
        <v>3789</v>
      </c>
      <c r="HL91" s="129" t="s">
        <v>3789</v>
      </c>
      <c r="HM91" s="129" t="s">
        <v>3789</v>
      </c>
      <c r="HN91" s="129" t="s">
        <v>3789</v>
      </c>
      <c r="HO91" s="129" t="s">
        <v>3789</v>
      </c>
      <c r="HP91" s="129" t="s">
        <v>3789</v>
      </c>
      <c r="IT91" s="128"/>
      <c r="NS91" s="129" t="s">
        <v>3788</v>
      </c>
      <c r="NT91" s="129" t="s">
        <v>3788</v>
      </c>
      <c r="NU91" s="129" t="s">
        <v>3788</v>
      </c>
      <c r="NV91" s="129" t="s">
        <v>3788</v>
      </c>
      <c r="NW91" s="129" t="s">
        <v>3788</v>
      </c>
      <c r="NX91" s="129" t="s">
        <v>3788</v>
      </c>
      <c r="NY91" s="129" t="s">
        <v>3788</v>
      </c>
      <c r="NZ91" s="129" t="s">
        <v>3788</v>
      </c>
      <c r="OA91" s="129" t="s">
        <v>3788</v>
      </c>
      <c r="OB91" s="129" t="s">
        <v>3788</v>
      </c>
      <c r="OC91" s="129" t="s">
        <v>3788</v>
      </c>
      <c r="OD91" s="129" t="s">
        <v>3788</v>
      </c>
      <c r="OF91" s="129" t="s">
        <v>3789</v>
      </c>
      <c r="OG91" s="129" t="s">
        <v>3789</v>
      </c>
      <c r="OH91" s="129" t="s">
        <v>3789</v>
      </c>
      <c r="OI91" s="129" t="s">
        <v>3789</v>
      </c>
      <c r="OJ91" s="129" t="s">
        <v>3789</v>
      </c>
      <c r="OK91" s="129" t="s">
        <v>3789</v>
      </c>
      <c r="OL91" s="129" t="s">
        <v>3789</v>
      </c>
      <c r="OM91" s="129" t="s">
        <v>3789</v>
      </c>
      <c r="ON91" s="129" t="s">
        <v>3789</v>
      </c>
    </row>
    <row r="92" spans="1:1296" ht="63.75" outlineLevel="1">
      <c r="A92" s="137" t="s">
        <v>367</v>
      </c>
      <c r="B92" s="139" t="s">
        <v>368</v>
      </c>
      <c r="C92" s="139">
        <v>0</v>
      </c>
      <c r="D92" s="139">
        <v>0</v>
      </c>
      <c r="E92" s="137">
        <v>145</v>
      </c>
      <c r="F92" s="128"/>
      <c r="G92" s="136" t="s">
        <v>19</v>
      </c>
      <c r="H92" s="136" t="s">
        <v>13</v>
      </c>
      <c r="I92" s="136" t="s">
        <v>13</v>
      </c>
      <c r="J92" s="136" t="s">
        <v>13</v>
      </c>
      <c r="K92" s="136" t="s">
        <v>13</v>
      </c>
      <c r="L92" s="136" t="s">
        <v>13</v>
      </c>
      <c r="M92" s="136" t="s">
        <v>13</v>
      </c>
      <c r="N92" s="136" t="s">
        <v>13</v>
      </c>
      <c r="O92" s="128"/>
      <c r="P92" s="128" t="s">
        <v>3841</v>
      </c>
      <c r="Q92" s="128" t="s">
        <v>3841</v>
      </c>
      <c r="R92" s="128" t="s">
        <v>3841</v>
      </c>
      <c r="S92" s="128" t="s">
        <v>3841</v>
      </c>
      <c r="T92" s="128" t="s">
        <v>3841</v>
      </c>
      <c r="U92" s="147" t="s">
        <v>3836</v>
      </c>
      <c r="V92" s="147" t="s">
        <v>3836</v>
      </c>
      <c r="W92" s="147" t="s">
        <v>3838</v>
      </c>
      <c r="X92" s="147" t="s">
        <v>3838</v>
      </c>
      <c r="Y92" s="147" t="s">
        <v>3838</v>
      </c>
      <c r="Z92" s="147" t="s">
        <v>3838</v>
      </c>
      <c r="AA92" s="147" t="s">
        <v>3838</v>
      </c>
      <c r="AB92" s="147" t="s">
        <v>3838</v>
      </c>
      <c r="AC92" s="147" t="s">
        <v>3838</v>
      </c>
      <c r="AD92" s="147" t="s">
        <v>3838</v>
      </c>
      <c r="AE92" s="147" t="s">
        <v>3836</v>
      </c>
      <c r="AF92" s="128" t="s">
        <v>3835</v>
      </c>
      <c r="AG92" s="128" t="s">
        <v>3835</v>
      </c>
      <c r="AH92" s="146" t="s">
        <v>3833</v>
      </c>
      <c r="AI92" s="146" t="s">
        <v>3832</v>
      </c>
      <c r="AJ92" s="146" t="s">
        <v>3842</v>
      </c>
      <c r="AK92" s="128" t="s">
        <v>3829</v>
      </c>
      <c r="AL92" s="128" t="s">
        <v>3829</v>
      </c>
      <c r="AM92" s="128" t="s">
        <v>3829</v>
      </c>
      <c r="AN92" s="128" t="s">
        <v>3841</v>
      </c>
      <c r="AO92" s="128" t="s">
        <v>3835</v>
      </c>
      <c r="AP92" s="128" t="s">
        <v>3841</v>
      </c>
      <c r="AQ92" s="128" t="s">
        <v>3841</v>
      </c>
      <c r="AR92" s="128" t="s">
        <v>3841</v>
      </c>
      <c r="AS92" s="128" t="s">
        <v>3841</v>
      </c>
      <c r="AT92" s="128" t="s">
        <v>3841</v>
      </c>
      <c r="AU92" s="128" t="s">
        <v>3841</v>
      </c>
      <c r="AV92" s="128" t="s">
        <v>3841</v>
      </c>
      <c r="AW92" s="128" t="s">
        <v>3841</v>
      </c>
      <c r="AY92" s="128" t="s">
        <v>3841</v>
      </c>
      <c r="AZ92" s="128" t="s">
        <v>3841</v>
      </c>
      <c r="BA92" s="128" t="s">
        <v>3841</v>
      </c>
      <c r="BB92" s="128" t="s">
        <v>3841</v>
      </c>
      <c r="BC92" s="128" t="s">
        <v>3841</v>
      </c>
      <c r="BD92" s="128" t="s">
        <v>3841</v>
      </c>
      <c r="BE92" s="128" t="s">
        <v>3841</v>
      </c>
      <c r="BF92" s="128" t="s">
        <v>3841</v>
      </c>
      <c r="BG92" s="128" t="s">
        <v>3841</v>
      </c>
      <c r="BH92" s="128" t="s">
        <v>3841</v>
      </c>
      <c r="BI92" s="128" t="s">
        <v>3841</v>
      </c>
      <c r="BJ92" s="128" t="s">
        <v>3841</v>
      </c>
      <c r="BK92" s="128" t="s">
        <v>3841</v>
      </c>
      <c r="BL92" s="128" t="s">
        <v>3841</v>
      </c>
      <c r="BM92" s="128" t="s">
        <v>3841</v>
      </c>
      <c r="BN92" s="128" t="s">
        <v>3841</v>
      </c>
      <c r="BO92" s="128" t="s">
        <v>3841</v>
      </c>
      <c r="BP92" s="128" t="s">
        <v>3841</v>
      </c>
      <c r="BQ92" s="128" t="s">
        <v>3841</v>
      </c>
      <c r="BR92" s="128" t="s">
        <v>3841</v>
      </c>
      <c r="BS92" s="128" t="s">
        <v>3841</v>
      </c>
      <c r="BT92" s="128" t="s">
        <v>3841</v>
      </c>
      <c r="BU92" s="128" t="s">
        <v>3841</v>
      </c>
      <c r="BV92" s="128" t="s">
        <v>3841</v>
      </c>
      <c r="BW92" s="128" t="s">
        <v>3841</v>
      </c>
      <c r="BY92" s="147" t="s">
        <v>3836</v>
      </c>
      <c r="BZ92" s="147" t="s">
        <v>3836</v>
      </c>
      <c r="CA92" s="147" t="s">
        <v>3836</v>
      </c>
      <c r="CB92" s="147" t="s">
        <v>3836</v>
      </c>
      <c r="CC92" s="147" t="s">
        <v>3836</v>
      </c>
      <c r="CD92" s="147" t="s">
        <v>3836</v>
      </c>
      <c r="CE92" s="147" t="s">
        <v>3836</v>
      </c>
      <c r="CF92" s="147" t="s">
        <v>3836</v>
      </c>
      <c r="CG92" s="147" t="s">
        <v>3836</v>
      </c>
      <c r="CH92" s="147" t="s">
        <v>3840</v>
      </c>
      <c r="CI92" s="147" t="s">
        <v>3840</v>
      </c>
      <c r="CJ92" s="147" t="s">
        <v>3840</v>
      </c>
      <c r="CK92" s="147" t="s">
        <v>3840</v>
      </c>
      <c r="CL92" s="147" t="s">
        <v>3840</v>
      </c>
      <c r="CM92" s="147" t="s">
        <v>3840</v>
      </c>
      <c r="CN92" s="147" t="s">
        <v>3840</v>
      </c>
      <c r="CO92" s="147" t="s">
        <v>3840</v>
      </c>
      <c r="CP92" s="147" t="s">
        <v>3840</v>
      </c>
      <c r="CQ92" s="147" t="s">
        <v>3840</v>
      </c>
      <c r="CR92" s="147" t="s">
        <v>3836</v>
      </c>
      <c r="CS92" s="147" t="s">
        <v>3839</v>
      </c>
      <c r="CT92" s="147" t="s">
        <v>3839</v>
      </c>
      <c r="CU92" s="147" t="s">
        <v>3836</v>
      </c>
      <c r="CW92" s="147" t="s">
        <v>3838</v>
      </c>
      <c r="CX92" s="147" t="s">
        <v>3838</v>
      </c>
      <c r="CY92" s="147" t="s">
        <v>3838</v>
      </c>
      <c r="CZ92" s="147" t="s">
        <v>3838</v>
      </c>
      <c r="DA92" s="147" t="s">
        <v>3838</v>
      </c>
      <c r="DB92" s="147" t="s">
        <v>3838</v>
      </c>
      <c r="DC92" s="147" t="s">
        <v>3838</v>
      </c>
      <c r="DD92" s="147" t="s">
        <v>3838</v>
      </c>
      <c r="DE92" s="147" t="s">
        <v>3837</v>
      </c>
      <c r="DF92" s="147" t="s">
        <v>3837</v>
      </c>
      <c r="DG92" s="147" t="s">
        <v>3836</v>
      </c>
      <c r="DH92" s="147" t="s">
        <v>3836</v>
      </c>
      <c r="DI92" s="147" t="s">
        <v>3836</v>
      </c>
      <c r="DJ92" s="147" t="s">
        <v>3836</v>
      </c>
      <c r="DK92" s="147" t="s">
        <v>3836</v>
      </c>
      <c r="DL92" s="147" t="s">
        <v>3836</v>
      </c>
      <c r="DM92" s="147" t="s">
        <v>3836</v>
      </c>
      <c r="DN92" s="147" t="s">
        <v>3837</v>
      </c>
      <c r="DO92" s="147" t="s">
        <v>3837</v>
      </c>
      <c r="DP92" s="147" t="s">
        <v>3836</v>
      </c>
      <c r="DQ92" s="147" t="s">
        <v>3836</v>
      </c>
      <c r="DR92" s="147" t="s">
        <v>3836</v>
      </c>
      <c r="DS92" s="147" t="s">
        <v>3836</v>
      </c>
      <c r="DU92" s="128" t="s">
        <v>3835</v>
      </c>
      <c r="DV92" s="128" t="s">
        <v>3835</v>
      </c>
      <c r="DW92" s="128" t="s">
        <v>3835</v>
      </c>
      <c r="DX92" s="128" t="s">
        <v>3835</v>
      </c>
      <c r="DY92" s="128" t="s">
        <v>3835</v>
      </c>
      <c r="DZ92" s="128" t="s">
        <v>3835</v>
      </c>
      <c r="EA92" s="128" t="s">
        <v>3835</v>
      </c>
      <c r="EB92" s="128" t="s">
        <v>3835</v>
      </c>
      <c r="EC92" s="128" t="s">
        <v>3835</v>
      </c>
      <c r="ED92" s="128" t="s">
        <v>3835</v>
      </c>
      <c r="EE92" s="128" t="s">
        <v>3835</v>
      </c>
      <c r="EF92" s="128" t="s">
        <v>3835</v>
      </c>
      <c r="EG92" s="128" t="s">
        <v>3835</v>
      </c>
      <c r="EI92" s="128" t="s">
        <v>3834</v>
      </c>
      <c r="EJ92" s="128" t="s">
        <v>3834</v>
      </c>
      <c r="EK92" s="128" t="s">
        <v>3834</v>
      </c>
      <c r="EL92" s="128" t="s">
        <v>3834</v>
      </c>
      <c r="EM92" s="128" t="s">
        <v>3834</v>
      </c>
      <c r="EN92" s="128" t="s">
        <v>3834</v>
      </c>
      <c r="EO92" s="128" t="s">
        <v>3834</v>
      </c>
      <c r="EP92" s="128" t="s">
        <v>3834</v>
      </c>
      <c r="EQ92" s="128" t="s">
        <v>3834</v>
      </c>
      <c r="ER92" s="128" t="s">
        <v>3834</v>
      </c>
      <c r="ES92" s="128" t="s">
        <v>3834</v>
      </c>
      <c r="ET92" s="128" t="s">
        <v>3834</v>
      </c>
      <c r="EU92" s="128" t="s">
        <v>3834</v>
      </c>
      <c r="EV92" s="128" t="s">
        <v>3834</v>
      </c>
      <c r="EW92" s="128" t="s">
        <v>3834</v>
      </c>
      <c r="EX92" s="128" t="s">
        <v>3834</v>
      </c>
      <c r="EZ92" s="146" t="s">
        <v>3833</v>
      </c>
      <c r="FA92" s="146" t="s">
        <v>3833</v>
      </c>
      <c r="FB92" s="146" t="s">
        <v>3833</v>
      </c>
      <c r="FC92" s="146" t="s">
        <v>3833</v>
      </c>
      <c r="FD92" s="146" t="s">
        <v>3833</v>
      </c>
      <c r="FE92" s="146" t="s">
        <v>3833</v>
      </c>
      <c r="FF92" s="146" t="s">
        <v>3833</v>
      </c>
      <c r="FG92" s="146" t="s">
        <v>3833</v>
      </c>
      <c r="FH92" s="146" t="s">
        <v>3833</v>
      </c>
      <c r="FI92" s="146" t="s">
        <v>3833</v>
      </c>
      <c r="FJ92" s="146" t="s">
        <v>3833</v>
      </c>
      <c r="FK92" s="146" t="s">
        <v>3833</v>
      </c>
      <c r="FL92" s="146" t="s">
        <v>3832</v>
      </c>
      <c r="FM92" s="146" t="s">
        <v>3832</v>
      </c>
      <c r="FN92" s="146" t="s">
        <v>3832</v>
      </c>
      <c r="FO92" s="146" t="s">
        <v>3832</v>
      </c>
      <c r="FP92" s="146" t="s">
        <v>3832</v>
      </c>
      <c r="FR92" s="145" t="s">
        <v>3831</v>
      </c>
      <c r="FS92" s="145" t="s">
        <v>3831</v>
      </c>
      <c r="FT92" s="145" t="s">
        <v>3831</v>
      </c>
      <c r="FU92" s="145" t="s">
        <v>3831</v>
      </c>
      <c r="FW92" s="128" t="s">
        <v>3830</v>
      </c>
      <c r="FX92" s="128" t="s">
        <v>3830</v>
      </c>
      <c r="FY92" s="128" t="s">
        <v>3830</v>
      </c>
      <c r="FZ92" s="128" t="s">
        <v>3830</v>
      </c>
      <c r="GA92" s="128" t="s">
        <v>3830</v>
      </c>
      <c r="GB92" s="128" t="s">
        <v>3830</v>
      </c>
      <c r="GC92" s="128" t="s">
        <v>3830</v>
      </c>
      <c r="GD92" s="128" t="s">
        <v>3830</v>
      </c>
      <c r="GE92" s="128" t="s">
        <v>3830</v>
      </c>
      <c r="GF92" s="128" t="s">
        <v>3830</v>
      </c>
      <c r="GG92" s="128" t="s">
        <v>3830</v>
      </c>
      <c r="GH92" s="128" t="s">
        <v>3830</v>
      </c>
      <c r="GI92" s="128" t="s">
        <v>3830</v>
      </c>
      <c r="GJ92" s="128" t="s">
        <v>3830</v>
      </c>
      <c r="GL92" s="128" t="s">
        <v>3829</v>
      </c>
      <c r="GM92" s="128" t="s">
        <v>3829</v>
      </c>
      <c r="GN92" s="128" t="s">
        <v>3829</v>
      </c>
      <c r="GO92" s="128" t="s">
        <v>3829</v>
      </c>
      <c r="GP92" s="128" t="s">
        <v>3829</v>
      </c>
      <c r="GR92" s="128" t="s">
        <v>3828</v>
      </c>
      <c r="GS92" s="128" t="s">
        <v>3828</v>
      </c>
      <c r="GT92" s="128" t="s">
        <v>3828</v>
      </c>
      <c r="GU92" s="128" t="s">
        <v>3828</v>
      </c>
      <c r="GV92" s="128" t="s">
        <v>3828</v>
      </c>
      <c r="GW92" s="128" t="s">
        <v>3828</v>
      </c>
      <c r="GX92" s="128" t="s">
        <v>3828</v>
      </c>
      <c r="GY92" s="128" t="s">
        <v>3828</v>
      </c>
      <c r="GZ92" s="128" t="s">
        <v>3828</v>
      </c>
      <c r="HA92" s="128" t="s">
        <v>3828</v>
      </c>
      <c r="HB92" s="128" t="s">
        <v>3828</v>
      </c>
      <c r="HC92" s="128" t="s">
        <v>3828</v>
      </c>
      <c r="HD92" s="128" t="s">
        <v>3828</v>
      </c>
      <c r="HE92" s="128" t="s">
        <v>3828</v>
      </c>
      <c r="HF92" s="128" t="s">
        <v>3828</v>
      </c>
      <c r="HH92" s="128" t="s">
        <v>3827</v>
      </c>
      <c r="HI92" s="128" t="s">
        <v>3827</v>
      </c>
      <c r="HJ92" s="128" t="s">
        <v>3827</v>
      </c>
      <c r="HK92" s="128" t="s">
        <v>3827</v>
      </c>
      <c r="HL92" s="128" t="s">
        <v>3827</v>
      </c>
      <c r="HM92" s="128" t="s">
        <v>3827</v>
      </c>
      <c r="HN92" s="128" t="s">
        <v>3827</v>
      </c>
      <c r="HO92" s="128" t="s">
        <v>3827</v>
      </c>
      <c r="HP92" s="128" t="s">
        <v>3827</v>
      </c>
      <c r="HS92" s="128" t="s">
        <v>3824</v>
      </c>
      <c r="HT92" s="128" t="s">
        <v>3824</v>
      </c>
      <c r="HU92" s="128" t="s">
        <v>3824</v>
      </c>
      <c r="HV92" s="128" t="s">
        <v>3824</v>
      </c>
      <c r="HW92" s="128" t="s">
        <v>3824</v>
      </c>
      <c r="HX92" s="128" t="s">
        <v>3824</v>
      </c>
      <c r="HY92" s="128" t="s">
        <v>3824</v>
      </c>
      <c r="HZ92" s="128" t="s">
        <v>3824</v>
      </c>
      <c r="IA92" s="128" t="s">
        <v>3824</v>
      </c>
      <c r="IB92" s="128" t="s">
        <v>3824</v>
      </c>
      <c r="IC92" s="128" t="s">
        <v>3824</v>
      </c>
      <c r="ID92" s="128" t="s">
        <v>3824</v>
      </c>
      <c r="IE92" s="128" t="s">
        <v>3824</v>
      </c>
      <c r="IF92" s="128" t="s">
        <v>3824</v>
      </c>
      <c r="IG92" s="128" t="s">
        <v>3824</v>
      </c>
      <c r="IH92" s="128" t="s">
        <v>3824</v>
      </c>
      <c r="II92" s="128" t="s">
        <v>3824</v>
      </c>
      <c r="IJ92" s="128" t="s">
        <v>3826</v>
      </c>
      <c r="IK92" s="128" t="s">
        <v>3826</v>
      </c>
      <c r="IL92" s="128" t="s">
        <v>3826</v>
      </c>
      <c r="IM92" s="128" t="s">
        <v>3823</v>
      </c>
      <c r="IN92" s="128" t="s">
        <v>3823</v>
      </c>
      <c r="IO92" s="128" t="s">
        <v>3825</v>
      </c>
      <c r="IP92" s="128" t="s">
        <v>3824</v>
      </c>
      <c r="IQ92" s="128" t="s">
        <v>3824</v>
      </c>
      <c r="IR92" s="128" t="s">
        <v>3824</v>
      </c>
      <c r="IS92" s="128" t="s">
        <v>3824</v>
      </c>
      <c r="IT92" s="128"/>
      <c r="IU92" s="128" t="s">
        <v>3824</v>
      </c>
      <c r="IV92" s="128" t="s">
        <v>3824</v>
      </c>
      <c r="IW92" s="128" t="s">
        <v>3824</v>
      </c>
      <c r="IX92" s="128" t="s">
        <v>3824</v>
      </c>
      <c r="IY92" s="128" t="s">
        <v>3824</v>
      </c>
      <c r="IZ92" s="128" t="s">
        <v>3824</v>
      </c>
      <c r="JA92" s="128" t="s">
        <v>3824</v>
      </c>
      <c r="JB92" s="128" t="s">
        <v>3824</v>
      </c>
      <c r="JC92" s="128" t="s">
        <v>3824</v>
      </c>
      <c r="JD92" s="128" t="s">
        <v>3824</v>
      </c>
      <c r="JE92" s="128" t="s">
        <v>3824</v>
      </c>
      <c r="JF92" s="128" t="s">
        <v>3824</v>
      </c>
      <c r="JG92" s="128" t="s">
        <v>3824</v>
      </c>
      <c r="JH92" s="128" t="s">
        <v>3824</v>
      </c>
      <c r="JI92" s="128" t="s">
        <v>3824</v>
      </c>
      <c r="JJ92" s="128" t="s">
        <v>3824</v>
      </c>
      <c r="JK92" s="128" t="s">
        <v>3824</v>
      </c>
      <c r="JL92" s="128" t="s">
        <v>3824</v>
      </c>
      <c r="JM92" s="128" t="s">
        <v>3824</v>
      </c>
      <c r="JN92" s="128" t="s">
        <v>3824</v>
      </c>
      <c r="JO92" s="128" t="s">
        <v>3824</v>
      </c>
      <c r="JP92" s="128" t="s">
        <v>3824</v>
      </c>
      <c r="JQ92" s="128" t="s">
        <v>3824</v>
      </c>
      <c r="JR92" s="128" t="s">
        <v>3824</v>
      </c>
      <c r="JS92" s="128" t="s">
        <v>3824</v>
      </c>
      <c r="JT92" s="128" t="s">
        <v>3824</v>
      </c>
      <c r="JU92" s="128" t="s">
        <v>3824</v>
      </c>
      <c r="JV92" s="128" t="s">
        <v>3824</v>
      </c>
      <c r="JW92" s="128" t="s">
        <v>3824</v>
      </c>
      <c r="JX92" s="128" t="s">
        <v>3824</v>
      </c>
      <c r="JY92" s="128" t="s">
        <v>3824</v>
      </c>
      <c r="JZ92" s="128" t="s">
        <v>3824</v>
      </c>
      <c r="KA92" s="128" t="s">
        <v>3824</v>
      </c>
      <c r="KB92" s="128" t="s">
        <v>3824</v>
      </c>
      <c r="KC92" s="128" t="s">
        <v>3824</v>
      </c>
      <c r="KD92" s="128"/>
      <c r="KE92" s="128" t="s">
        <v>3823</v>
      </c>
      <c r="KF92" s="128" t="s">
        <v>3823</v>
      </c>
      <c r="KG92" s="128" t="s">
        <v>3823</v>
      </c>
      <c r="KH92" s="128" t="s">
        <v>3823</v>
      </c>
      <c r="KI92" s="128" t="s">
        <v>3823</v>
      </c>
      <c r="KJ92" s="128" t="s">
        <v>3823</v>
      </c>
      <c r="KK92" s="128" t="s">
        <v>3823</v>
      </c>
      <c r="KL92" s="128" t="s">
        <v>3823</v>
      </c>
      <c r="KM92" s="128" t="s">
        <v>3823</v>
      </c>
      <c r="KN92" s="128" t="s">
        <v>3823</v>
      </c>
      <c r="KO92" s="128" t="s">
        <v>3823</v>
      </c>
      <c r="KP92" s="128" t="s">
        <v>3823</v>
      </c>
      <c r="KQ92" s="128"/>
      <c r="KR92" s="128" t="s">
        <v>3822</v>
      </c>
      <c r="KS92" s="128" t="s">
        <v>3822</v>
      </c>
      <c r="KT92" s="128" t="s">
        <v>3822</v>
      </c>
      <c r="KU92" s="128" t="s">
        <v>3822</v>
      </c>
      <c r="KV92" s="128" t="s">
        <v>3822</v>
      </c>
      <c r="KW92" s="128" t="s">
        <v>3822</v>
      </c>
      <c r="KX92" s="128" t="s">
        <v>3822</v>
      </c>
      <c r="KY92" s="128" t="s">
        <v>3822</v>
      </c>
      <c r="KZ92" s="128" t="s">
        <v>3822</v>
      </c>
      <c r="LA92" s="128" t="s">
        <v>3822</v>
      </c>
      <c r="LB92" s="128" t="s">
        <v>3822</v>
      </c>
      <c r="LC92" s="128" t="s">
        <v>3822</v>
      </c>
      <c r="LD92" s="128" t="s">
        <v>3822</v>
      </c>
      <c r="LE92" s="128" t="s">
        <v>3822</v>
      </c>
      <c r="LF92" s="128" t="s">
        <v>3822</v>
      </c>
      <c r="LG92" s="128" t="s">
        <v>3822</v>
      </c>
      <c r="LH92" s="128"/>
      <c r="LI92" s="128" t="s">
        <v>3821</v>
      </c>
      <c r="LJ92" s="128" t="s">
        <v>3821</v>
      </c>
      <c r="LK92" s="143" t="s">
        <v>3821</v>
      </c>
      <c r="LL92" s="143" t="s">
        <v>3821</v>
      </c>
      <c r="LM92" s="143" t="s">
        <v>3821</v>
      </c>
      <c r="LN92" s="143" t="s">
        <v>3821</v>
      </c>
      <c r="LO92" s="143" t="s">
        <v>3821</v>
      </c>
      <c r="LP92" s="128" t="s">
        <v>3821</v>
      </c>
      <c r="LQ92" s="128" t="s">
        <v>3821</v>
      </c>
      <c r="LR92" s="128" t="s">
        <v>3821</v>
      </c>
      <c r="LS92" s="128" t="s">
        <v>3821</v>
      </c>
      <c r="LT92" s="128" t="s">
        <v>3821</v>
      </c>
      <c r="LU92" s="143" t="s">
        <v>3821</v>
      </c>
      <c r="LV92" s="143" t="s">
        <v>3821</v>
      </c>
      <c r="LW92" s="143" t="s">
        <v>3821</v>
      </c>
      <c r="LX92" s="143" t="s">
        <v>3821</v>
      </c>
      <c r="LY92" s="143" t="s">
        <v>3821</v>
      </c>
      <c r="LZ92" s="143" t="s">
        <v>3821</v>
      </c>
      <c r="MA92" s="143" t="s">
        <v>3821</v>
      </c>
      <c r="MB92" s="143" t="s">
        <v>3821</v>
      </c>
      <c r="MC92" s="143" t="s">
        <v>3821</v>
      </c>
      <c r="MD92" s="143" t="s">
        <v>3821</v>
      </c>
      <c r="ME92" s="143" t="s">
        <v>3821</v>
      </c>
      <c r="MF92" s="143" t="s">
        <v>3821</v>
      </c>
      <c r="MG92" s="143" t="s">
        <v>3821</v>
      </c>
      <c r="MH92" s="128" t="s">
        <v>3821</v>
      </c>
      <c r="MI92" s="128" t="s">
        <v>3821</v>
      </c>
      <c r="MJ92" s="128" t="s">
        <v>3821</v>
      </c>
      <c r="MK92" s="128" t="s">
        <v>3821</v>
      </c>
      <c r="ML92" s="128" t="s">
        <v>3821</v>
      </c>
      <c r="MM92" s="128" t="s">
        <v>3821</v>
      </c>
      <c r="MN92" s="128" t="s">
        <v>3821</v>
      </c>
      <c r="MO92" s="128" t="s">
        <v>3821</v>
      </c>
      <c r="MP92" s="128" t="s">
        <v>3821</v>
      </c>
      <c r="MQ92" s="141" t="s">
        <v>3821</v>
      </c>
      <c r="MR92" s="141" t="s">
        <v>3821</v>
      </c>
      <c r="MS92" s="141" t="s">
        <v>3821</v>
      </c>
      <c r="MT92" s="141" t="s">
        <v>3821</v>
      </c>
      <c r="MU92" s="141" t="s">
        <v>3821</v>
      </c>
      <c r="MV92" s="141" t="s">
        <v>3821</v>
      </c>
      <c r="MW92" s="141" t="s">
        <v>3821</v>
      </c>
      <c r="MX92" s="141" t="s">
        <v>3821</v>
      </c>
      <c r="MY92" s="141" t="s">
        <v>3821</v>
      </c>
      <c r="MZ92" s="128"/>
      <c r="NA92" s="128" t="s">
        <v>3820</v>
      </c>
      <c r="NB92" s="143" t="s">
        <v>3820</v>
      </c>
      <c r="NC92" s="143" t="s">
        <v>3820</v>
      </c>
      <c r="ND92" s="143" t="s">
        <v>3820</v>
      </c>
      <c r="NE92" s="143" t="s">
        <v>3820</v>
      </c>
      <c r="NF92" s="143" t="s">
        <v>3820</v>
      </c>
      <c r="NG92" s="128" t="s">
        <v>3820</v>
      </c>
      <c r="NH92" s="128" t="s">
        <v>3820</v>
      </c>
      <c r="NI92" s="128" t="s">
        <v>3820</v>
      </c>
      <c r="NJ92" s="128" t="s">
        <v>3820</v>
      </c>
      <c r="NK92" s="128" t="s">
        <v>3820</v>
      </c>
      <c r="NL92" s="141" t="s">
        <v>3820</v>
      </c>
      <c r="NM92" s="141" t="s">
        <v>3820</v>
      </c>
      <c r="NN92" s="141" t="s">
        <v>3820</v>
      </c>
      <c r="NO92" s="141" t="s">
        <v>3820</v>
      </c>
      <c r="NP92" s="141" t="s">
        <v>3820</v>
      </c>
      <c r="NQ92" s="128" t="s">
        <v>3820</v>
      </c>
      <c r="NR92" s="128"/>
      <c r="NS92" s="128" t="s">
        <v>3819</v>
      </c>
      <c r="NT92" s="128" t="s">
        <v>3819</v>
      </c>
      <c r="NU92" s="128" t="s">
        <v>3819</v>
      </c>
      <c r="NV92" s="128" t="s">
        <v>3819</v>
      </c>
      <c r="NW92" s="128" t="s">
        <v>3819</v>
      </c>
      <c r="NX92" s="128" t="s">
        <v>3819</v>
      </c>
      <c r="NY92" s="128" t="s">
        <v>3819</v>
      </c>
      <c r="NZ92" s="128" t="s">
        <v>3819</v>
      </c>
      <c r="OA92" s="128" t="s">
        <v>3819</v>
      </c>
      <c r="OB92" s="128" t="s">
        <v>3819</v>
      </c>
      <c r="OC92" s="128" t="s">
        <v>3819</v>
      </c>
      <c r="OD92" s="128" t="s">
        <v>3819</v>
      </c>
      <c r="OE92" s="128"/>
      <c r="OF92" s="128" t="s">
        <v>3818</v>
      </c>
      <c r="OG92" s="128" t="s">
        <v>3818</v>
      </c>
      <c r="OH92" s="128" t="s">
        <v>3818</v>
      </c>
      <c r="OI92" s="128" t="s">
        <v>3818</v>
      </c>
      <c r="OJ92" s="128" t="s">
        <v>3818</v>
      </c>
      <c r="OK92" s="128" t="s">
        <v>3818</v>
      </c>
      <c r="OL92" s="128" t="s">
        <v>3818</v>
      </c>
      <c r="OM92" s="128" t="s">
        <v>3818</v>
      </c>
      <c r="ON92" s="128" t="s">
        <v>3818</v>
      </c>
      <c r="OO92" s="128"/>
      <c r="OQ92" s="128" t="s">
        <v>3811</v>
      </c>
      <c r="OR92" s="128" t="s">
        <v>3811</v>
      </c>
      <c r="OS92" s="128" t="s">
        <v>3811</v>
      </c>
      <c r="OT92" s="128" t="s">
        <v>3811</v>
      </c>
      <c r="OU92" s="128" t="s">
        <v>3811</v>
      </c>
      <c r="OV92" s="128" t="s">
        <v>3811</v>
      </c>
      <c r="OW92" s="128" t="s">
        <v>3811</v>
      </c>
      <c r="OX92" s="128" t="s">
        <v>3811</v>
      </c>
      <c r="OY92" s="128" t="s">
        <v>3811</v>
      </c>
      <c r="OZ92" s="128" t="s">
        <v>3811</v>
      </c>
      <c r="PA92" s="128" t="s">
        <v>3811</v>
      </c>
      <c r="PB92" s="128" t="s">
        <v>3811</v>
      </c>
      <c r="PC92" s="128" t="s">
        <v>3811</v>
      </c>
      <c r="PD92" s="128" t="s">
        <v>3811</v>
      </c>
      <c r="PE92" s="128" t="s">
        <v>3811</v>
      </c>
      <c r="PF92" s="128" t="s">
        <v>3811</v>
      </c>
      <c r="PG92" s="128" t="s">
        <v>3811</v>
      </c>
      <c r="PH92" s="128" t="s">
        <v>3811</v>
      </c>
      <c r="PI92" s="128" t="s">
        <v>3811</v>
      </c>
      <c r="PJ92" s="128" t="s">
        <v>3811</v>
      </c>
      <c r="PK92" s="128" t="s">
        <v>3811</v>
      </c>
      <c r="PL92" s="128" t="s">
        <v>3811</v>
      </c>
      <c r="PM92" s="128" t="s">
        <v>3811</v>
      </c>
      <c r="PN92" s="128" t="s">
        <v>3811</v>
      </c>
      <c r="PO92" s="128" t="s">
        <v>3811</v>
      </c>
      <c r="PP92" s="128" t="s">
        <v>3811</v>
      </c>
      <c r="PQ92" s="128" t="s">
        <v>3811</v>
      </c>
      <c r="PR92" s="128" t="s">
        <v>3811</v>
      </c>
      <c r="PS92" s="128" t="s">
        <v>3811</v>
      </c>
      <c r="PT92" s="128" t="s">
        <v>3811</v>
      </c>
      <c r="PU92" s="128" t="s">
        <v>3811</v>
      </c>
      <c r="PV92" s="128" t="s">
        <v>3811</v>
      </c>
      <c r="PW92" s="128" t="s">
        <v>3811</v>
      </c>
      <c r="PX92" s="128" t="s">
        <v>3811</v>
      </c>
      <c r="PY92" s="128" t="s">
        <v>3811</v>
      </c>
      <c r="PZ92" s="128" t="s">
        <v>3811</v>
      </c>
      <c r="QA92" s="128" t="s">
        <v>3811</v>
      </c>
      <c r="QB92" s="128" t="s">
        <v>3811</v>
      </c>
      <c r="QC92" s="128" t="s">
        <v>3811</v>
      </c>
      <c r="QD92" s="128" t="s">
        <v>3810</v>
      </c>
      <c r="QE92" s="128" t="s">
        <v>3810</v>
      </c>
      <c r="QF92" s="128" t="s">
        <v>3810</v>
      </c>
      <c r="QG92" s="128" t="s">
        <v>3810</v>
      </c>
      <c r="QH92" s="128" t="s">
        <v>3810</v>
      </c>
      <c r="QI92" s="128" t="s">
        <v>3810</v>
      </c>
      <c r="QJ92" s="128" t="s">
        <v>3810</v>
      </c>
      <c r="QK92" s="128" t="s">
        <v>3810</v>
      </c>
      <c r="QL92" s="128" t="s">
        <v>3810</v>
      </c>
      <c r="QM92" s="128" t="s">
        <v>3810</v>
      </c>
      <c r="QN92" s="128" t="s">
        <v>3805</v>
      </c>
      <c r="QO92" s="128" t="s">
        <v>3805</v>
      </c>
      <c r="QP92" s="128" t="s">
        <v>3805</v>
      </c>
      <c r="QQ92" s="128" t="s">
        <v>3805</v>
      </c>
      <c r="QR92" s="128" t="s">
        <v>3805</v>
      </c>
      <c r="QS92" s="128" t="s">
        <v>3805</v>
      </c>
      <c r="QT92" s="128" t="s">
        <v>3805</v>
      </c>
      <c r="QU92" s="128" t="s">
        <v>3805</v>
      </c>
      <c r="QV92" s="128" t="s">
        <v>3805</v>
      </c>
      <c r="QW92" s="144" t="s">
        <v>3817</v>
      </c>
      <c r="QX92" s="144" t="s">
        <v>3816</v>
      </c>
      <c r="QY92" s="128" t="s">
        <v>3805</v>
      </c>
      <c r="QZ92" s="144" t="s">
        <v>3816</v>
      </c>
      <c r="RA92" s="128" t="s">
        <v>3805</v>
      </c>
      <c r="RB92" s="128" t="s">
        <v>3809</v>
      </c>
      <c r="RC92" s="128" t="s">
        <v>3809</v>
      </c>
      <c r="RD92" s="128" t="s">
        <v>3807</v>
      </c>
      <c r="RE92" s="128" t="s">
        <v>3807</v>
      </c>
      <c r="RF92" s="128" t="s">
        <v>3807</v>
      </c>
      <c r="RG92" s="128" t="s">
        <v>3807</v>
      </c>
      <c r="RH92" s="128" t="s">
        <v>3807</v>
      </c>
      <c r="RI92" s="128" t="s">
        <v>3807</v>
      </c>
      <c r="RJ92" s="141" t="s">
        <v>3815</v>
      </c>
      <c r="RK92" s="128" t="s">
        <v>3806</v>
      </c>
      <c r="RL92" s="128" t="s">
        <v>3806</v>
      </c>
      <c r="RM92" s="128" t="s">
        <v>3807</v>
      </c>
      <c r="RN92" s="128" t="s">
        <v>3811</v>
      </c>
      <c r="RO92" s="128" t="s">
        <v>3811</v>
      </c>
      <c r="RP92" s="128" t="s">
        <v>3811</v>
      </c>
      <c r="RQ92" s="134" t="s">
        <v>3814</v>
      </c>
      <c r="RR92" s="134" t="s">
        <v>3813</v>
      </c>
      <c r="RS92" s="134" t="s">
        <v>3812</v>
      </c>
      <c r="RT92" s="134" t="s">
        <v>3793</v>
      </c>
      <c r="RU92" s="128"/>
      <c r="RV92" s="128" t="s">
        <v>3811</v>
      </c>
      <c r="RW92" s="128" t="s">
        <v>3811</v>
      </c>
      <c r="RX92" s="128" t="s">
        <v>3811</v>
      </c>
      <c r="RY92" s="128" t="s">
        <v>3811</v>
      </c>
      <c r="RZ92" s="128" t="s">
        <v>3811</v>
      </c>
      <c r="SA92" s="128" t="s">
        <v>3811</v>
      </c>
      <c r="SB92" s="128" t="s">
        <v>3811</v>
      </c>
      <c r="SC92" s="128" t="s">
        <v>3811</v>
      </c>
      <c r="SD92" s="128" t="s">
        <v>3811</v>
      </c>
      <c r="SE92" s="128" t="s">
        <v>3811</v>
      </c>
      <c r="SF92" s="128" t="s">
        <v>3811</v>
      </c>
      <c r="SG92" s="128" t="s">
        <v>3811</v>
      </c>
      <c r="SH92" s="128" t="s">
        <v>3811</v>
      </c>
      <c r="SI92" s="128" t="s">
        <v>3811</v>
      </c>
      <c r="SJ92" s="128" t="s">
        <v>3811</v>
      </c>
      <c r="SK92" s="128" t="s">
        <v>3811</v>
      </c>
      <c r="SL92" s="128" t="s">
        <v>3811</v>
      </c>
      <c r="SM92" s="128" t="s">
        <v>3811</v>
      </c>
      <c r="SN92" s="128"/>
      <c r="SO92" s="128" t="s">
        <v>3810</v>
      </c>
      <c r="SP92" s="128" t="s">
        <v>3810</v>
      </c>
      <c r="SQ92" s="128" t="s">
        <v>3810</v>
      </c>
      <c r="SR92" s="128" t="s">
        <v>3810</v>
      </c>
      <c r="SS92" s="128" t="s">
        <v>3810</v>
      </c>
      <c r="ST92" s="128" t="s">
        <v>3810</v>
      </c>
      <c r="SU92" s="128" t="s">
        <v>3810</v>
      </c>
      <c r="SV92" s="128" t="s">
        <v>3810</v>
      </c>
      <c r="SW92" s="128"/>
      <c r="SX92" s="128" t="s">
        <v>3805</v>
      </c>
      <c r="SY92" s="128" t="s">
        <v>3805</v>
      </c>
      <c r="SZ92" s="128" t="s">
        <v>3805</v>
      </c>
      <c r="TA92" s="128" t="s">
        <v>3805</v>
      </c>
      <c r="TB92" s="128" t="s">
        <v>3805</v>
      </c>
      <c r="TC92" s="128" t="s">
        <v>3805</v>
      </c>
      <c r="TD92" s="142" t="s">
        <v>3805</v>
      </c>
      <c r="TE92" s="141" t="s">
        <v>3805</v>
      </c>
      <c r="TF92" s="141" t="s">
        <v>3805</v>
      </c>
      <c r="TG92" s="128" t="s">
        <v>3805</v>
      </c>
      <c r="TH92" s="128" t="s">
        <v>3809</v>
      </c>
      <c r="TI92" s="128" t="s">
        <v>3809</v>
      </c>
      <c r="TJ92" s="128"/>
      <c r="TK92" s="128" t="s">
        <v>3807</v>
      </c>
      <c r="TL92" s="128" t="s">
        <v>3807</v>
      </c>
      <c r="TM92" s="128" t="s">
        <v>3807</v>
      </c>
      <c r="TN92" s="128" t="s">
        <v>3807</v>
      </c>
      <c r="TO92" s="128" t="s">
        <v>3807</v>
      </c>
      <c r="TP92" s="144" t="s">
        <v>3808</v>
      </c>
      <c r="TQ92" s="128" t="s">
        <v>3807</v>
      </c>
      <c r="TR92" s="128" t="s">
        <v>3806</v>
      </c>
      <c r="TS92" s="128" t="s">
        <v>3806</v>
      </c>
      <c r="TT92" s="128" t="s">
        <v>3806</v>
      </c>
      <c r="TU92" s="128" t="s">
        <v>3806</v>
      </c>
      <c r="TV92" s="128" t="s">
        <v>3806</v>
      </c>
      <c r="TW92" s="128" t="s">
        <v>3806</v>
      </c>
      <c r="TX92" s="141" t="s">
        <v>3805</v>
      </c>
      <c r="TY92" s="141" t="s">
        <v>3805</v>
      </c>
      <c r="TZ92" s="141" t="s">
        <v>3805</v>
      </c>
      <c r="UA92" s="128"/>
      <c r="UB92" s="128" t="s">
        <v>3804</v>
      </c>
      <c r="UC92" s="128" t="s">
        <v>3804</v>
      </c>
      <c r="UD92" s="128" t="s">
        <v>3804</v>
      </c>
      <c r="UE92" s="128" t="s">
        <v>3804</v>
      </c>
      <c r="UF92" s="128" t="s">
        <v>3804</v>
      </c>
      <c r="UG92" s="128" t="s">
        <v>3804</v>
      </c>
      <c r="UH92" s="128" t="s">
        <v>3804</v>
      </c>
      <c r="UI92" s="128" t="s">
        <v>3804</v>
      </c>
      <c r="UJ92" s="128" t="s">
        <v>3804</v>
      </c>
      <c r="UK92" s="128" t="s">
        <v>3804</v>
      </c>
      <c r="UL92" s="128"/>
      <c r="UM92" s="128" t="s">
        <v>3803</v>
      </c>
      <c r="UN92" s="128" t="s">
        <v>3803</v>
      </c>
      <c r="UO92" s="128" t="s">
        <v>3803</v>
      </c>
      <c r="UP92" s="128" t="s">
        <v>3803</v>
      </c>
      <c r="UQ92" s="128" t="s">
        <v>3803</v>
      </c>
      <c r="UR92" s="128" t="s">
        <v>3803</v>
      </c>
      <c r="US92" s="128" t="s">
        <v>3803</v>
      </c>
      <c r="UT92" s="128" t="s">
        <v>3803</v>
      </c>
      <c r="UU92" s="128" t="s">
        <v>3803</v>
      </c>
      <c r="UV92" s="128" t="s">
        <v>3803</v>
      </c>
      <c r="UW92" s="128" t="s">
        <v>3803</v>
      </c>
      <c r="UX92" s="128" t="s">
        <v>3803</v>
      </c>
      <c r="UY92" s="128" t="s">
        <v>3803</v>
      </c>
      <c r="UZ92" s="128" t="s">
        <v>3803</v>
      </c>
      <c r="VA92" s="128" t="s">
        <v>3803</v>
      </c>
      <c r="VB92" s="128"/>
      <c r="VC92" s="128" t="s">
        <v>3802</v>
      </c>
      <c r="VD92" s="128" t="s">
        <v>3802</v>
      </c>
      <c r="VE92" s="128" t="s">
        <v>3802</v>
      </c>
      <c r="VF92" s="128" t="s">
        <v>3802</v>
      </c>
      <c r="VG92" s="128" t="s">
        <v>3802</v>
      </c>
      <c r="VH92" s="128" t="s">
        <v>3802</v>
      </c>
      <c r="VI92" s="128" t="s">
        <v>3802</v>
      </c>
      <c r="VJ92" s="128" t="s">
        <v>3802</v>
      </c>
      <c r="VK92" s="128"/>
      <c r="VL92" s="141" t="s">
        <v>3801</v>
      </c>
      <c r="VM92" s="141" t="s">
        <v>3800</v>
      </c>
      <c r="VN92" s="141" t="s">
        <v>3799</v>
      </c>
      <c r="VO92" s="141" t="s">
        <v>3798</v>
      </c>
      <c r="VP92" s="128"/>
      <c r="VU92" s="134" t="str">
        <f t="shared" ref="VU92:WZ92" si="4">IF(LEFT(VU$2,8)="PlaGyp S","Modulair geperforeerd plafond op PlaGyp S-onderstructuur",IF(LEFT(VU$2,8)="PlaGyp D","Modulair geperforeerd plafond op PlaGyp D-onderstructuur",IF(LEFT(VU$2,8)="Vertebra","Modulair geperforeerd plafond op Vertebra-onderstructuur",IF(VU$2="","","Modulair geperforeerd plafond op houten onderstructuur"))))</f>
        <v>Modulair geperforeerd plafond op PlaGyp D-onderstructuur</v>
      </c>
      <c r="VV92" s="134" t="str">
        <f t="shared" si="4"/>
        <v>Modulair geperforeerd plafond op PlaGyp D-onderstructuur</v>
      </c>
      <c r="VW92" s="134" t="str">
        <f t="shared" si="4"/>
        <v>Modulair geperforeerd plafond op PlaGyp D-onderstructuur</v>
      </c>
      <c r="VX92" s="134" t="str">
        <f t="shared" si="4"/>
        <v>Modulair geperforeerd plafond op PlaGyp D-onderstructuur</v>
      </c>
      <c r="VY92" s="134" t="str">
        <f t="shared" si="4"/>
        <v>Modulair geperforeerd plafond op PlaGyp D-onderstructuur</v>
      </c>
      <c r="VZ92" s="134" t="str">
        <f t="shared" si="4"/>
        <v>Modulair geperforeerd plafond op PlaGyp D-onderstructuur</v>
      </c>
      <c r="WA92" s="134" t="str">
        <f t="shared" si="4"/>
        <v>Modulair geperforeerd plafond op PlaGyp D-onderstructuur</v>
      </c>
      <c r="WB92" s="134" t="str">
        <f t="shared" si="4"/>
        <v>Modulair geperforeerd plafond op PlaGyp D-onderstructuur</v>
      </c>
      <c r="WC92" s="134" t="str">
        <f t="shared" si="4"/>
        <v>Modulair geperforeerd plafond op PlaGyp D-onderstructuur</v>
      </c>
      <c r="WD92" s="134" t="str">
        <f t="shared" si="4"/>
        <v>Modulair geperforeerd plafond op PlaGyp D-onderstructuur</v>
      </c>
      <c r="WE92" s="134" t="str">
        <f t="shared" si="4"/>
        <v>Modulair geperforeerd plafond op PlaGyp D-onderstructuur</v>
      </c>
      <c r="WF92" s="134" t="str">
        <f t="shared" si="4"/>
        <v>Modulair geperforeerd plafond op PlaGyp D-onderstructuur</v>
      </c>
      <c r="WG92" s="134" t="str">
        <f t="shared" si="4"/>
        <v>Modulair geperforeerd plafond op PlaGyp D-onderstructuur</v>
      </c>
      <c r="WH92" s="134" t="str">
        <f t="shared" si="4"/>
        <v>Modulair geperforeerd plafond op PlaGyp D-onderstructuur</v>
      </c>
      <c r="WI92" s="134" t="str">
        <f t="shared" si="4"/>
        <v>Modulair geperforeerd plafond op PlaGyp D-onderstructuur</v>
      </c>
      <c r="WJ92" s="134" t="str">
        <f t="shared" si="4"/>
        <v>Modulair geperforeerd plafond op PlaGyp D-onderstructuur</v>
      </c>
      <c r="WK92" s="134" t="str">
        <f t="shared" si="4"/>
        <v>Modulair geperforeerd plafond op PlaGyp D-onderstructuur</v>
      </c>
      <c r="WL92" s="134" t="str">
        <f t="shared" si="4"/>
        <v>Modulair geperforeerd plafond op PlaGyp D-onderstructuur</v>
      </c>
      <c r="WM92" s="134" t="str">
        <f t="shared" si="4"/>
        <v>Modulair geperforeerd plafond op PlaGyp D-onderstructuur</v>
      </c>
      <c r="WN92" s="134" t="str">
        <f t="shared" si="4"/>
        <v>Modulair geperforeerd plafond op PlaGyp D-onderstructuur</v>
      </c>
      <c r="WO92" s="134" t="str">
        <f t="shared" si="4"/>
        <v>Modulair geperforeerd plafond op PlaGyp D-onderstructuur</v>
      </c>
      <c r="WP92" s="134" t="str">
        <f t="shared" si="4"/>
        <v>Modulair geperforeerd plafond op PlaGyp D-onderstructuur</v>
      </c>
      <c r="WQ92" s="134" t="str">
        <f t="shared" si="4"/>
        <v>Modulair geperforeerd plafond op PlaGyp D-onderstructuur</v>
      </c>
      <c r="WR92" s="134" t="str">
        <f t="shared" si="4"/>
        <v>Modulair geperforeerd plafond op PlaGyp D-onderstructuur</v>
      </c>
      <c r="WS92" s="134" t="str">
        <f t="shared" si="4"/>
        <v>Modulair geperforeerd plafond op PlaGyp D-onderstructuur</v>
      </c>
      <c r="WT92" s="134" t="str">
        <f t="shared" si="4"/>
        <v>Modulair geperforeerd plafond op PlaGyp D-onderstructuur</v>
      </c>
      <c r="WU92" s="134" t="str">
        <f t="shared" si="4"/>
        <v>Modulair geperforeerd plafond op PlaGyp D-onderstructuur</v>
      </c>
      <c r="WV92" s="134" t="str">
        <f t="shared" si="4"/>
        <v>Modulair geperforeerd plafond op PlaGyp D-onderstructuur</v>
      </c>
      <c r="WW92" s="134" t="str">
        <f t="shared" si="4"/>
        <v>Modulair geperforeerd plafond op PlaGyp D-onderstructuur</v>
      </c>
      <c r="WX92" s="134" t="str">
        <f t="shared" si="4"/>
        <v>Modulair geperforeerd plafond op PlaGyp D-onderstructuur</v>
      </c>
      <c r="WY92" s="134" t="str">
        <f t="shared" si="4"/>
        <v>Modulair geperforeerd plafond op PlaGyp D-onderstructuur</v>
      </c>
      <c r="WZ92" s="134" t="str">
        <f t="shared" si="4"/>
        <v>Modulair geperforeerd plafond op PlaGyp D-onderstructuur</v>
      </c>
      <c r="XA92" s="134" t="str">
        <f t="shared" ref="XA92:YF92" si="5">IF(LEFT(XA$2,8)="PlaGyp S","Modulair geperforeerd plafond op PlaGyp S-onderstructuur",IF(LEFT(XA$2,8)="PlaGyp D","Modulair geperforeerd plafond op PlaGyp D-onderstructuur",IF(LEFT(XA$2,8)="Vertebra","Modulair geperforeerd plafond op Vertebra-onderstructuur",IF(XA$2="","","Modulair geperforeerd plafond op houten onderstructuur"))))</f>
        <v>Modulair geperforeerd plafond op PlaGyp D-onderstructuur</v>
      </c>
      <c r="XB92" s="134" t="str">
        <f t="shared" si="5"/>
        <v>Modulair geperforeerd plafond op PlaGyp D-onderstructuur</v>
      </c>
      <c r="XC92" s="134" t="str">
        <f t="shared" si="5"/>
        <v>Modulair geperforeerd plafond op PlaGyp D-onderstructuur</v>
      </c>
      <c r="XD92" s="134" t="str">
        <f t="shared" si="5"/>
        <v>Modulair geperforeerd plafond op PlaGyp D-onderstructuur</v>
      </c>
      <c r="XE92" s="134" t="str">
        <f t="shared" si="5"/>
        <v>Modulair geperforeerd plafond op PlaGyp D-onderstructuur</v>
      </c>
      <c r="XF92" s="134" t="str">
        <f t="shared" si="5"/>
        <v>Modulair geperforeerd plafond op PlaGyp D-onderstructuur</v>
      </c>
      <c r="XG92" s="134" t="str">
        <f t="shared" si="5"/>
        <v>Modulair geperforeerd plafond op PlaGyp D-onderstructuur</v>
      </c>
      <c r="XH92" s="134" t="str">
        <f t="shared" si="5"/>
        <v>Modulair geperforeerd plafond op PlaGyp D-onderstructuur</v>
      </c>
      <c r="XI92" s="134" t="str">
        <f t="shared" si="5"/>
        <v>Modulair geperforeerd plafond op PlaGyp D-onderstructuur</v>
      </c>
      <c r="XJ92" s="134" t="str">
        <f t="shared" si="5"/>
        <v>Modulair geperforeerd plafond op PlaGyp D-onderstructuur</v>
      </c>
      <c r="XK92" s="134" t="str">
        <f t="shared" si="5"/>
        <v>Modulair geperforeerd plafond op PlaGyp D-onderstructuur</v>
      </c>
      <c r="XL92" s="134" t="str">
        <f t="shared" si="5"/>
        <v>Modulair geperforeerd plafond op PlaGyp D-onderstructuur</v>
      </c>
      <c r="XM92" s="134" t="str">
        <f t="shared" si="5"/>
        <v>Modulair geperforeerd plafond op PlaGyp D-onderstructuur</v>
      </c>
      <c r="XN92" s="134" t="str">
        <f t="shared" si="5"/>
        <v>Modulair geperforeerd plafond op PlaGyp D-onderstructuur</v>
      </c>
      <c r="XO92" s="134" t="str">
        <f t="shared" si="5"/>
        <v>Modulair geperforeerd plafond op PlaGyp D-onderstructuur</v>
      </c>
      <c r="XP92" s="134" t="str">
        <f t="shared" si="5"/>
        <v>Modulair geperforeerd plafond op PlaGyp D-onderstructuur</v>
      </c>
      <c r="XQ92" s="134" t="str">
        <f t="shared" si="5"/>
        <v>Modulair geperforeerd plafond op PlaGyp D-onderstructuur</v>
      </c>
      <c r="XR92" s="134" t="str">
        <f t="shared" si="5"/>
        <v>Modulair geperforeerd plafond op PlaGyp D-onderstructuur</v>
      </c>
      <c r="XS92" s="134" t="str">
        <f t="shared" si="5"/>
        <v>Modulair geperforeerd plafond op PlaGyp D-onderstructuur</v>
      </c>
      <c r="XT92" s="134" t="str">
        <f t="shared" si="5"/>
        <v>Modulair geperforeerd plafond op PlaGyp D-onderstructuur</v>
      </c>
      <c r="XU92" s="134" t="str">
        <f t="shared" si="5"/>
        <v>Modulair geperforeerd plafond op PlaGyp D-onderstructuur</v>
      </c>
      <c r="XV92" s="134" t="str">
        <f t="shared" si="5"/>
        <v>Modulair geperforeerd plafond op PlaGyp D-onderstructuur</v>
      </c>
      <c r="XW92" s="134" t="str">
        <f t="shared" si="5"/>
        <v>Modulair geperforeerd plafond op PlaGyp D-onderstructuur</v>
      </c>
      <c r="XX92" s="134" t="str">
        <f t="shared" si="5"/>
        <v>Modulair geperforeerd plafond op PlaGyp D-onderstructuur</v>
      </c>
      <c r="XY92" s="134" t="str">
        <f t="shared" si="5"/>
        <v>Modulair geperforeerd plafond op PlaGyp D-onderstructuur</v>
      </c>
      <c r="XZ92" s="134" t="str">
        <f t="shared" si="5"/>
        <v>Modulair geperforeerd plafond op PlaGyp D-onderstructuur</v>
      </c>
      <c r="YA92" s="134" t="str">
        <f t="shared" si="5"/>
        <v>Modulair geperforeerd plafond op PlaGyp D-onderstructuur</v>
      </c>
      <c r="YB92" s="134" t="str">
        <f t="shared" si="5"/>
        <v>Modulair geperforeerd plafond op PlaGyp D-onderstructuur</v>
      </c>
      <c r="YC92" s="134" t="str">
        <f t="shared" si="5"/>
        <v>Modulair geperforeerd plafond op PlaGyp D-onderstructuur</v>
      </c>
      <c r="YD92" s="134" t="str">
        <f t="shared" si="5"/>
        <v>Modulair geperforeerd plafond op PlaGyp D-onderstructuur</v>
      </c>
      <c r="YE92" s="134" t="str">
        <f t="shared" si="5"/>
        <v>Modulair geperforeerd plafond op PlaGyp D-onderstructuur</v>
      </c>
      <c r="YF92" s="134" t="str">
        <f t="shared" si="5"/>
        <v>Modulair geperforeerd plafond op PlaGyp D-onderstructuur</v>
      </c>
      <c r="YG92" s="134" t="str">
        <f t="shared" ref="YG92:ZL92" si="6">IF(LEFT(YG$2,8)="PlaGyp S","Modulair geperforeerd plafond op PlaGyp S-onderstructuur",IF(LEFT(YG$2,8)="PlaGyp D","Modulair geperforeerd plafond op PlaGyp D-onderstructuur",IF(LEFT(YG$2,8)="Vertebra","Modulair geperforeerd plafond op Vertebra-onderstructuur",IF(YG$2="","","Modulair geperforeerd plafond op houten onderstructuur"))))</f>
        <v>Modulair geperforeerd plafond op PlaGyp D-onderstructuur</v>
      </c>
      <c r="YH92" s="134" t="str">
        <f t="shared" si="6"/>
        <v>Modulair geperforeerd plafond op PlaGyp D-onderstructuur</v>
      </c>
      <c r="YI92" s="134" t="str">
        <f t="shared" si="6"/>
        <v>Modulair geperforeerd plafond op PlaGyp D-onderstructuur</v>
      </c>
      <c r="YJ92" s="134" t="str">
        <f t="shared" si="6"/>
        <v>Modulair geperforeerd plafond op PlaGyp D-onderstructuur</v>
      </c>
      <c r="YK92" s="134" t="str">
        <f t="shared" si="6"/>
        <v>Modulair geperforeerd plafond op PlaGyp D-onderstructuur</v>
      </c>
      <c r="YL92" s="134" t="str">
        <f t="shared" si="6"/>
        <v>Modulair geperforeerd plafond op PlaGyp D-onderstructuur</v>
      </c>
      <c r="YM92" s="134" t="str">
        <f t="shared" si="6"/>
        <v>Modulair geperforeerd plafond op PlaGyp D-onderstructuur</v>
      </c>
      <c r="YN92" s="134" t="str">
        <f t="shared" si="6"/>
        <v>Modulair geperforeerd plafond op PlaGyp D-onderstructuur</v>
      </c>
      <c r="YO92" s="134" t="str">
        <f t="shared" si="6"/>
        <v>Modulair geperforeerd plafond op PlaGyp D-onderstructuur</v>
      </c>
      <c r="YP92" s="134" t="str">
        <f t="shared" si="6"/>
        <v>Modulair geperforeerd plafond op PlaGyp D-onderstructuur</v>
      </c>
      <c r="YQ92" s="134" t="str">
        <f t="shared" si="6"/>
        <v>Modulair geperforeerd plafond op PlaGyp D-onderstructuur</v>
      </c>
      <c r="YR92" s="134" t="str">
        <f t="shared" si="6"/>
        <v>Modulair geperforeerd plafond op PlaGyp D-onderstructuur</v>
      </c>
      <c r="YS92" s="134" t="str">
        <f t="shared" si="6"/>
        <v>Modulair geperforeerd plafond op PlaGyp D-onderstructuur</v>
      </c>
      <c r="YT92" s="134" t="str">
        <f t="shared" si="6"/>
        <v>Modulair geperforeerd plafond op PlaGyp D-onderstructuur</v>
      </c>
      <c r="YU92" s="134" t="str">
        <f t="shared" si="6"/>
        <v>Modulair geperforeerd plafond op PlaGyp D-onderstructuur</v>
      </c>
      <c r="YV92" s="134" t="str">
        <f t="shared" si="6"/>
        <v>Modulair geperforeerd plafond op PlaGyp D-onderstructuur</v>
      </c>
      <c r="YW92" s="134" t="str">
        <f t="shared" si="6"/>
        <v>Modulair geperforeerd plafond op PlaGyp D-onderstructuur</v>
      </c>
      <c r="YX92" s="134" t="str">
        <f t="shared" si="6"/>
        <v>Modulair geperforeerd plafond op PlaGyp D-onderstructuur</v>
      </c>
      <c r="YY92" s="134" t="str">
        <f t="shared" si="6"/>
        <v>Modulair geperforeerd plafond op PlaGyp D-onderstructuur</v>
      </c>
      <c r="YZ92" s="134" t="str">
        <f t="shared" si="6"/>
        <v>Modulair geperforeerd plafond op PlaGyp D-onderstructuur</v>
      </c>
      <c r="ZA92" s="134" t="str">
        <f t="shared" si="6"/>
        <v>Modulair geperforeerd plafond op PlaGyp D-onderstructuur</v>
      </c>
      <c r="ZB92" s="134" t="str">
        <f t="shared" si="6"/>
        <v>Modulair geperforeerd plafond op PlaGyp D-onderstructuur</v>
      </c>
      <c r="ZC92" s="134" t="str">
        <f t="shared" si="6"/>
        <v>Modulair geperforeerd plafond op PlaGyp D-onderstructuur</v>
      </c>
      <c r="ZD92" s="134" t="str">
        <f t="shared" si="6"/>
        <v>Modulair geperforeerd plafond op PlaGyp D-onderstructuur</v>
      </c>
      <c r="ZE92" s="134" t="str">
        <f t="shared" si="6"/>
        <v>Modulair geperforeerd plafond op PlaGyp D-onderstructuur</v>
      </c>
      <c r="ZF92" s="134" t="str">
        <f t="shared" si="6"/>
        <v>Modulair geperforeerd plafond op PlaGyp D-onderstructuur</v>
      </c>
      <c r="ZG92" s="134" t="str">
        <f t="shared" si="6"/>
        <v>Modulair geperforeerd plafond op PlaGyp D-onderstructuur</v>
      </c>
      <c r="ZH92" s="134" t="str">
        <f t="shared" si="6"/>
        <v>Modulair geperforeerd plafond op PlaGyp D-onderstructuur</v>
      </c>
      <c r="ZI92" s="134" t="str">
        <f t="shared" si="6"/>
        <v>Modulair geperforeerd plafond op PlaGyp D-onderstructuur</v>
      </c>
      <c r="ZJ92" s="134" t="str">
        <f t="shared" si="6"/>
        <v>Modulair geperforeerd plafond op PlaGyp D-onderstructuur</v>
      </c>
      <c r="ZK92" s="134" t="str">
        <f t="shared" si="6"/>
        <v>Modulair geperforeerd plafond op PlaGyp D-onderstructuur</v>
      </c>
      <c r="ZL92" s="134" t="str">
        <f t="shared" si="6"/>
        <v>Modulair geperforeerd plafond op PlaGyp D-onderstructuur</v>
      </c>
      <c r="ZM92" s="134" t="str">
        <f t="shared" ref="ZM92:AAH92" si="7">IF(LEFT(ZM$2,8)="PlaGyp S","Modulair geperforeerd plafond op PlaGyp S-onderstructuur",IF(LEFT(ZM$2,8)="PlaGyp D","Modulair geperforeerd plafond op PlaGyp D-onderstructuur",IF(LEFT(ZM$2,8)="Vertebra","Modulair geperforeerd plafond op Vertebra-onderstructuur",IF(ZM$2="","","Modulair geperforeerd plafond op houten onderstructuur"))))</f>
        <v>Modulair geperforeerd plafond op PlaGyp D-onderstructuur</v>
      </c>
      <c r="ZN92" s="134" t="str">
        <f t="shared" si="7"/>
        <v>Modulair geperforeerd plafond op PlaGyp D-onderstructuur</v>
      </c>
      <c r="ZO92" s="134" t="str">
        <f t="shared" si="7"/>
        <v>Modulair geperforeerd plafond op PlaGyp D-onderstructuur</v>
      </c>
      <c r="ZP92" s="134" t="str">
        <f t="shared" si="7"/>
        <v>Modulair geperforeerd plafond op PlaGyp D-onderstructuur</v>
      </c>
      <c r="ZQ92" s="134" t="str">
        <f t="shared" si="7"/>
        <v>Modulair geperforeerd plafond op PlaGyp D-onderstructuur</v>
      </c>
      <c r="ZR92" s="134" t="str">
        <f t="shared" si="7"/>
        <v>Modulair geperforeerd plafond op PlaGyp D-onderstructuur</v>
      </c>
      <c r="ZS92" s="134" t="str">
        <f t="shared" si="7"/>
        <v>Modulair geperforeerd plafond op PlaGyp D-onderstructuur</v>
      </c>
      <c r="ZT92" s="134" t="str">
        <f t="shared" si="7"/>
        <v>Modulair geperforeerd plafond op PlaGyp D-onderstructuur</v>
      </c>
      <c r="ZU92" s="134" t="str">
        <f t="shared" si="7"/>
        <v>Modulair geperforeerd plafond op PlaGyp D-onderstructuur</v>
      </c>
      <c r="ZV92" s="134" t="str">
        <f t="shared" si="7"/>
        <v>Modulair geperforeerd plafond op PlaGyp D-onderstructuur</v>
      </c>
      <c r="ZW92" s="134" t="str">
        <f t="shared" si="7"/>
        <v>Modulair geperforeerd plafond op PlaGyp D-onderstructuur</v>
      </c>
      <c r="ZX92" s="134" t="str">
        <f t="shared" si="7"/>
        <v>Modulair geperforeerd plafond op PlaGyp D-onderstructuur</v>
      </c>
      <c r="ZY92" s="134" t="str">
        <f t="shared" si="7"/>
        <v>Modulair geperforeerd plafond op PlaGyp D-onderstructuur</v>
      </c>
      <c r="ZZ92" s="134" t="str">
        <f t="shared" si="7"/>
        <v>Modulair geperforeerd plafond op PlaGyp D-onderstructuur</v>
      </c>
      <c r="AAA92" s="134" t="str">
        <f t="shared" si="7"/>
        <v>Modulair geperforeerd plafond op PlaGyp D-onderstructuur</v>
      </c>
      <c r="AAB92" s="134" t="str">
        <f t="shared" si="7"/>
        <v>Modulair geperforeerd plafond op PlaGyp D-onderstructuur</v>
      </c>
      <c r="AAC92" s="134" t="str">
        <f t="shared" si="7"/>
        <v>Modulair geperforeerd plafond op PlaGyp D-onderstructuur</v>
      </c>
      <c r="AAD92" s="134" t="str">
        <f t="shared" si="7"/>
        <v>Modulair geperforeerd plafond op PlaGyp D-onderstructuur</v>
      </c>
      <c r="AAE92" s="134" t="str">
        <f t="shared" si="7"/>
        <v>Modulair geperforeerd plafond op PlaGyp D-onderstructuur</v>
      </c>
      <c r="AAF92" s="134" t="str">
        <f t="shared" si="7"/>
        <v>Modulair geperforeerd plafond op PlaGyp D-onderstructuur</v>
      </c>
      <c r="AAG92" s="134" t="str">
        <f t="shared" si="7"/>
        <v>Modulair geperforeerd plafond op PlaGyp D-onderstructuur</v>
      </c>
      <c r="AAH92" s="134" t="str">
        <f t="shared" si="7"/>
        <v>Modulair geperforeerd plafond op PlaGyp D-onderstructuur</v>
      </c>
      <c r="AAJ92" s="134"/>
      <c r="AAK92" s="134"/>
      <c r="AAL92" s="134"/>
      <c r="AAM92" s="134" t="str">
        <f t="shared" ref="AAM92:ABR92" si="8">IF(LEFT(AAM$2,8)="PlaGyp S","Doorlopend geperforeerd plafond op PlaGyp S-onderstructuur",IF(LEFT(AAM$2,8)="PlaGyp D","Doorlopend geperforeerd plafond op PlaGyp D-onderstructuur",IF(LEFT(AAM$2,8)="Vertebra","Doorlopend geperforeerd plafond op Vertebra-onderstructuur",IF(AAM$2="","","Doorlopend geperforeerd plafond op houten onderstructuur"))))</f>
        <v>Doorlopend geperforeerd plafond op PlaGyp D-onderstructuur</v>
      </c>
      <c r="AAN92" s="134" t="str">
        <f t="shared" si="8"/>
        <v>Doorlopend geperforeerd plafond op PlaGyp D-onderstructuur</v>
      </c>
      <c r="AAO92" s="134" t="str">
        <f t="shared" si="8"/>
        <v>Doorlopend geperforeerd plafond op PlaGyp D-onderstructuur</v>
      </c>
      <c r="AAP92" s="134" t="str">
        <f t="shared" si="8"/>
        <v>Doorlopend geperforeerd plafond op PlaGyp D-onderstructuur</v>
      </c>
      <c r="AAQ92" s="134" t="str">
        <f t="shared" si="8"/>
        <v>Doorlopend geperforeerd plafond op PlaGyp D-onderstructuur</v>
      </c>
      <c r="AAR92" s="134" t="str">
        <f t="shared" si="8"/>
        <v>Doorlopend geperforeerd plafond op PlaGyp D-onderstructuur</v>
      </c>
      <c r="AAS92" s="134" t="str">
        <f t="shared" si="8"/>
        <v>Doorlopend geperforeerd plafond op PlaGyp D-onderstructuur</v>
      </c>
      <c r="AAT92" s="134" t="str">
        <f t="shared" si="8"/>
        <v>Doorlopend geperforeerd plafond op PlaGyp D-onderstructuur</v>
      </c>
      <c r="AAU92" s="134" t="str">
        <f t="shared" si="8"/>
        <v>Doorlopend geperforeerd plafond op PlaGyp D-onderstructuur</v>
      </c>
      <c r="AAV92" s="134" t="str">
        <f t="shared" si="8"/>
        <v>Doorlopend geperforeerd plafond op PlaGyp D-onderstructuur</v>
      </c>
      <c r="AAW92" s="134" t="str">
        <f t="shared" si="8"/>
        <v>Doorlopend geperforeerd plafond op PlaGyp D-onderstructuur</v>
      </c>
      <c r="AAX92" s="134" t="str">
        <f t="shared" si="8"/>
        <v>Doorlopend geperforeerd plafond op PlaGyp D-onderstructuur</v>
      </c>
      <c r="AAY92" s="134" t="str">
        <f t="shared" si="8"/>
        <v>Doorlopend geperforeerd plafond op PlaGyp D-onderstructuur</v>
      </c>
      <c r="AAZ92" s="134" t="str">
        <f t="shared" si="8"/>
        <v>Doorlopend geperforeerd plafond op PlaGyp D-onderstructuur</v>
      </c>
      <c r="ABA92" s="134" t="str">
        <f t="shared" si="8"/>
        <v>Doorlopend geperforeerd plafond op PlaGyp D-onderstructuur</v>
      </c>
      <c r="ABB92" s="134" t="str">
        <f t="shared" si="8"/>
        <v>Doorlopend geperforeerd plafond op PlaGyp D-onderstructuur</v>
      </c>
      <c r="ABC92" s="134" t="str">
        <f t="shared" si="8"/>
        <v>Doorlopend geperforeerd plafond op PlaGyp D-onderstructuur</v>
      </c>
      <c r="ABD92" s="134" t="str">
        <f t="shared" si="8"/>
        <v>Doorlopend geperforeerd plafond op PlaGyp D-onderstructuur</v>
      </c>
      <c r="ABE92" s="134" t="str">
        <f t="shared" si="8"/>
        <v>Doorlopend geperforeerd plafond op PlaGyp D-onderstructuur</v>
      </c>
      <c r="ABF92" s="134" t="str">
        <f t="shared" si="8"/>
        <v>Doorlopend geperforeerd plafond op PlaGyp D-onderstructuur</v>
      </c>
      <c r="ABG92" s="134" t="str">
        <f t="shared" si="8"/>
        <v>Doorlopend geperforeerd plafond op PlaGyp D-onderstructuur</v>
      </c>
      <c r="ABH92" s="134" t="str">
        <f t="shared" si="8"/>
        <v>Doorlopend geperforeerd plafond op PlaGyp D-onderstructuur</v>
      </c>
      <c r="ABI92" s="134" t="str">
        <f t="shared" si="8"/>
        <v>Doorlopend geperforeerd plafond op PlaGyp D-onderstructuur</v>
      </c>
      <c r="ABJ92" s="134" t="str">
        <f t="shared" si="8"/>
        <v>Doorlopend geperforeerd plafond op PlaGyp D-onderstructuur</v>
      </c>
      <c r="ABK92" s="134" t="str">
        <f t="shared" si="8"/>
        <v>Doorlopend geperforeerd plafond op PlaGyp D-onderstructuur</v>
      </c>
      <c r="ABL92" s="134" t="str">
        <f t="shared" si="8"/>
        <v>Doorlopend geperforeerd plafond op PlaGyp D-onderstructuur</v>
      </c>
      <c r="ABM92" s="134" t="str">
        <f t="shared" si="8"/>
        <v>Doorlopend geperforeerd plafond op PlaGyp D-onderstructuur</v>
      </c>
      <c r="ABN92" s="134" t="str">
        <f t="shared" si="8"/>
        <v>Doorlopend geperforeerd plafond op PlaGyp D-onderstructuur</v>
      </c>
      <c r="ABO92" s="134" t="str">
        <f t="shared" si="8"/>
        <v>Doorlopend geperforeerd plafond op PlaGyp D-onderstructuur</v>
      </c>
      <c r="ABP92" s="134" t="str">
        <f t="shared" si="8"/>
        <v>Doorlopend geperforeerd plafond op PlaGyp D-onderstructuur</v>
      </c>
      <c r="ABQ92" s="134" t="str">
        <f t="shared" si="8"/>
        <v>Doorlopend geperforeerd plafond op PlaGyp D-onderstructuur</v>
      </c>
      <c r="ABR92" s="134" t="str">
        <f t="shared" si="8"/>
        <v>Doorlopend geperforeerd plafond op PlaGyp D-onderstructuur</v>
      </c>
      <c r="ABS92" s="134" t="str">
        <f t="shared" ref="ABS92:ACX92" si="9">IF(LEFT(ABS$2,8)="PlaGyp S","Doorlopend geperforeerd plafond op PlaGyp S-onderstructuur",IF(LEFT(ABS$2,8)="PlaGyp D","Doorlopend geperforeerd plafond op PlaGyp D-onderstructuur",IF(LEFT(ABS$2,8)="Vertebra","Doorlopend geperforeerd plafond op Vertebra-onderstructuur",IF(ABS$2="","","Doorlopend geperforeerd plafond op houten onderstructuur"))))</f>
        <v>Doorlopend geperforeerd plafond op PlaGyp D-onderstructuur</v>
      </c>
      <c r="ABT92" s="134" t="str">
        <f t="shared" si="9"/>
        <v>Doorlopend geperforeerd plafond op PlaGyp D-onderstructuur</v>
      </c>
      <c r="ABU92" s="134" t="str">
        <f t="shared" si="9"/>
        <v>Doorlopend geperforeerd plafond op PlaGyp D-onderstructuur</v>
      </c>
      <c r="ABV92" s="134" t="str">
        <f t="shared" si="9"/>
        <v>Doorlopend geperforeerd plafond op PlaGyp D-onderstructuur</v>
      </c>
      <c r="ABW92" s="134" t="str">
        <f t="shared" si="9"/>
        <v>Doorlopend geperforeerd plafond op PlaGyp D-onderstructuur</v>
      </c>
      <c r="ABX92" s="134" t="str">
        <f t="shared" si="9"/>
        <v>Doorlopend geperforeerd plafond op PlaGyp D-onderstructuur</v>
      </c>
      <c r="ABY92" s="134" t="str">
        <f t="shared" si="9"/>
        <v>Doorlopend geperforeerd plafond op PlaGyp D-onderstructuur</v>
      </c>
      <c r="ABZ92" s="134" t="str">
        <f t="shared" si="9"/>
        <v>Doorlopend geperforeerd plafond op PlaGyp D-onderstructuur</v>
      </c>
      <c r="ACA92" s="134" t="str">
        <f t="shared" si="9"/>
        <v>Doorlopend geperforeerd plafond op PlaGyp D-onderstructuur</v>
      </c>
      <c r="ACB92" s="134" t="str">
        <f t="shared" si="9"/>
        <v>Doorlopend geperforeerd plafond op PlaGyp D-onderstructuur</v>
      </c>
      <c r="ACC92" s="134" t="str">
        <f t="shared" si="9"/>
        <v>Doorlopend geperforeerd plafond op PlaGyp D-onderstructuur</v>
      </c>
      <c r="ACD92" s="134" t="str">
        <f t="shared" si="9"/>
        <v>Doorlopend geperforeerd plafond op PlaGyp D-onderstructuur</v>
      </c>
      <c r="ACE92" s="134" t="str">
        <f t="shared" si="9"/>
        <v>Doorlopend geperforeerd plafond op PlaGyp D-onderstructuur</v>
      </c>
      <c r="ACF92" s="134" t="str">
        <f t="shared" si="9"/>
        <v>Doorlopend geperforeerd plafond op PlaGyp D-onderstructuur</v>
      </c>
      <c r="ACG92" s="134" t="str">
        <f t="shared" si="9"/>
        <v>Doorlopend geperforeerd plafond op PlaGyp D-onderstructuur</v>
      </c>
      <c r="ACH92" s="134" t="str">
        <f t="shared" si="9"/>
        <v>Doorlopend geperforeerd plafond op PlaGyp D-onderstructuur</v>
      </c>
      <c r="ACI92" s="134" t="str">
        <f t="shared" si="9"/>
        <v>Doorlopend geperforeerd plafond op PlaGyp D-onderstructuur</v>
      </c>
      <c r="ACJ92" s="134" t="str">
        <f t="shared" si="9"/>
        <v>Doorlopend geperforeerd plafond op PlaGyp D-onderstructuur</v>
      </c>
      <c r="ACK92" s="134" t="str">
        <f t="shared" si="9"/>
        <v>Doorlopend geperforeerd plafond op PlaGyp D-onderstructuur</v>
      </c>
      <c r="ACL92" s="134" t="str">
        <f t="shared" si="9"/>
        <v>Doorlopend geperforeerd plafond op PlaGyp D-onderstructuur</v>
      </c>
      <c r="ACM92" s="134" t="str">
        <f t="shared" si="9"/>
        <v>Doorlopend geperforeerd plafond op PlaGyp D-onderstructuur</v>
      </c>
      <c r="ACN92" s="134" t="str">
        <f t="shared" si="9"/>
        <v>Doorlopend geperforeerd plafond op PlaGyp D-onderstructuur</v>
      </c>
      <c r="ACO92" s="134" t="str">
        <f t="shared" si="9"/>
        <v>Doorlopend geperforeerd plafond op PlaGyp D-onderstructuur</v>
      </c>
      <c r="ACP92" s="134" t="str">
        <f t="shared" si="9"/>
        <v>Doorlopend geperforeerd plafond op PlaGyp D-onderstructuur</v>
      </c>
      <c r="ACQ92" s="134" t="str">
        <f t="shared" si="9"/>
        <v>Doorlopend geperforeerd plafond op PlaGyp D-onderstructuur</v>
      </c>
      <c r="ACR92" s="134" t="str">
        <f t="shared" si="9"/>
        <v>Doorlopend geperforeerd plafond op PlaGyp D-onderstructuur</v>
      </c>
      <c r="ACS92" s="134" t="str">
        <f t="shared" si="9"/>
        <v>Doorlopend geperforeerd plafond op PlaGyp D-onderstructuur</v>
      </c>
      <c r="ACT92" s="134" t="str">
        <f t="shared" si="9"/>
        <v>Doorlopend geperforeerd plafond op PlaGyp D-onderstructuur</v>
      </c>
      <c r="ACU92" s="134" t="str">
        <f t="shared" si="9"/>
        <v>Doorlopend geperforeerd plafond op PlaGyp D-onderstructuur</v>
      </c>
      <c r="ACV92" s="134" t="str">
        <f t="shared" si="9"/>
        <v>Doorlopend geperforeerd plafond op PlaGyp D-onderstructuur</v>
      </c>
      <c r="ACW92" s="134" t="str">
        <f t="shared" si="9"/>
        <v>Doorlopend geperforeerd plafond op PlaGyp D-onderstructuur</v>
      </c>
      <c r="ACX92" s="134" t="str">
        <f t="shared" si="9"/>
        <v>Doorlopend geperforeerd plafond op PlaGyp D-onderstructuur</v>
      </c>
      <c r="ACY92" s="134" t="str">
        <f t="shared" ref="ACY92:AED92" si="10">IF(LEFT(ACY$2,8)="PlaGyp S","Doorlopend geperforeerd plafond op PlaGyp S-onderstructuur",IF(LEFT(ACY$2,8)="PlaGyp D","Doorlopend geperforeerd plafond op PlaGyp D-onderstructuur",IF(LEFT(ACY$2,8)="Vertebra","Doorlopend geperforeerd plafond op Vertebra-onderstructuur",IF(ACY$2="","","Doorlopend geperforeerd plafond op houten onderstructuur"))))</f>
        <v>Doorlopend geperforeerd plafond op PlaGyp D-onderstructuur</v>
      </c>
      <c r="ACZ92" s="134" t="str">
        <f t="shared" si="10"/>
        <v>Doorlopend geperforeerd plafond op PlaGyp D-onderstructuur</v>
      </c>
      <c r="ADA92" s="134" t="str">
        <f t="shared" si="10"/>
        <v>Doorlopend geperforeerd plafond op PlaGyp D-onderstructuur</v>
      </c>
      <c r="ADB92" s="134" t="str">
        <f t="shared" si="10"/>
        <v>Doorlopend geperforeerd plafond op PlaGyp D-onderstructuur</v>
      </c>
      <c r="ADC92" s="134" t="str">
        <f t="shared" si="10"/>
        <v>Doorlopend geperforeerd plafond op PlaGyp D-onderstructuur</v>
      </c>
      <c r="ADD92" s="134" t="str">
        <f t="shared" si="10"/>
        <v>Doorlopend geperforeerd plafond op PlaGyp D-onderstructuur</v>
      </c>
      <c r="ADE92" s="134" t="str">
        <f t="shared" si="10"/>
        <v>Doorlopend geperforeerd plafond op PlaGyp D-onderstructuur</v>
      </c>
      <c r="ADF92" s="134" t="str">
        <f t="shared" si="10"/>
        <v>Doorlopend geperforeerd plafond op PlaGyp D-onderstructuur</v>
      </c>
      <c r="ADG92" s="134" t="str">
        <f t="shared" si="10"/>
        <v>Doorlopend geperforeerd plafond op PlaGyp D-onderstructuur</v>
      </c>
      <c r="ADH92" s="134" t="str">
        <f t="shared" si="10"/>
        <v>Doorlopend geperforeerd plafond op PlaGyp D-onderstructuur</v>
      </c>
      <c r="ADI92" s="134" t="str">
        <f t="shared" si="10"/>
        <v>Doorlopend geperforeerd plafond op PlaGyp D-onderstructuur</v>
      </c>
      <c r="ADJ92" s="134" t="str">
        <f t="shared" si="10"/>
        <v>Doorlopend geperforeerd plafond op PlaGyp D-onderstructuur</v>
      </c>
      <c r="ADK92" s="134" t="str">
        <f t="shared" si="10"/>
        <v>Doorlopend geperforeerd plafond op PlaGyp D-onderstructuur</v>
      </c>
      <c r="ADL92" s="134" t="str">
        <f t="shared" si="10"/>
        <v>Doorlopend geperforeerd plafond op PlaGyp D-onderstructuur</v>
      </c>
      <c r="ADM92" s="134" t="str">
        <f t="shared" si="10"/>
        <v>Doorlopend geperforeerd plafond op PlaGyp D-onderstructuur</v>
      </c>
      <c r="ADN92" s="134" t="str">
        <f t="shared" si="10"/>
        <v>Doorlopend geperforeerd plafond op PlaGyp D-onderstructuur</v>
      </c>
      <c r="ADO92" s="134" t="str">
        <f t="shared" si="10"/>
        <v>Doorlopend geperforeerd plafond op PlaGyp D-onderstructuur</v>
      </c>
      <c r="ADP92" s="134" t="str">
        <f t="shared" si="10"/>
        <v>Doorlopend geperforeerd plafond op PlaGyp D-onderstructuur</v>
      </c>
      <c r="ADQ92" s="134" t="str">
        <f t="shared" si="10"/>
        <v>Doorlopend geperforeerd plafond op PlaGyp D-onderstructuur</v>
      </c>
      <c r="ADR92" s="134" t="str">
        <f t="shared" si="10"/>
        <v>Doorlopend geperforeerd plafond op PlaGyp D-onderstructuur</v>
      </c>
      <c r="ADS92" s="134" t="str">
        <f t="shared" si="10"/>
        <v>Doorlopend geperforeerd plafond op PlaGyp D-onderstructuur</v>
      </c>
      <c r="ADT92" s="134" t="str">
        <f t="shared" si="10"/>
        <v>Doorlopend geperforeerd plafond op PlaGyp D-onderstructuur</v>
      </c>
      <c r="ADU92" s="134" t="str">
        <f t="shared" si="10"/>
        <v>Doorlopend geperforeerd plafond op PlaGyp D-onderstructuur</v>
      </c>
      <c r="ADV92" s="134" t="str">
        <f t="shared" si="10"/>
        <v>Doorlopend geperforeerd plafond op PlaGyp D-onderstructuur</v>
      </c>
      <c r="ADW92" s="134" t="str">
        <f t="shared" si="10"/>
        <v>Doorlopend geperforeerd plafond op PlaGyp D-onderstructuur</v>
      </c>
      <c r="ADX92" s="134" t="str">
        <f t="shared" si="10"/>
        <v>Doorlopend geperforeerd plafond op PlaGyp D-onderstructuur</v>
      </c>
      <c r="ADY92" s="134" t="str">
        <f t="shared" si="10"/>
        <v>Doorlopend geperforeerd plafond op PlaGyp D-onderstructuur</v>
      </c>
      <c r="ADZ92" s="134" t="str">
        <f t="shared" si="10"/>
        <v>Doorlopend geperforeerd plafond op PlaGyp D-onderstructuur</v>
      </c>
      <c r="AEA92" s="134" t="str">
        <f t="shared" si="10"/>
        <v>Doorlopend geperforeerd plafond op PlaGyp D-onderstructuur</v>
      </c>
      <c r="AEB92" s="134" t="str">
        <f t="shared" si="10"/>
        <v>Doorlopend geperforeerd plafond op PlaGyp D-onderstructuur</v>
      </c>
      <c r="AEC92" s="134" t="str">
        <f t="shared" si="10"/>
        <v>Doorlopend geperforeerd plafond op PlaGyp D-onderstructuur</v>
      </c>
      <c r="AED92" s="134" t="str">
        <f t="shared" si="10"/>
        <v>Doorlopend geperforeerd plafond op PlaGyp D-onderstructuur</v>
      </c>
      <c r="AEE92" s="134" t="str">
        <f t="shared" ref="AEE92:AFK92" si="11">IF(LEFT(AEE$2,8)="PlaGyp S","Doorlopend geperforeerd plafond op PlaGyp S-onderstructuur",IF(LEFT(AEE$2,8)="PlaGyp D","Doorlopend geperforeerd plafond op PlaGyp D-onderstructuur",IF(LEFT(AEE$2,8)="Vertebra","Doorlopend geperforeerd plafond op Vertebra-onderstructuur",IF(AEE$2="","","Doorlopend geperforeerd plafond op houten onderstructuur"))))</f>
        <v>Doorlopend geperforeerd plafond op PlaGyp D-onderstructuur</v>
      </c>
      <c r="AEF92" s="134" t="str">
        <f t="shared" si="11"/>
        <v>Doorlopend geperforeerd plafond op PlaGyp D-onderstructuur</v>
      </c>
      <c r="AEG92" s="134" t="str">
        <f t="shared" si="11"/>
        <v>Doorlopend geperforeerd plafond op PlaGyp D-onderstructuur</v>
      </c>
      <c r="AEH92" s="134" t="str">
        <f t="shared" si="11"/>
        <v>Doorlopend geperforeerd plafond op PlaGyp D-onderstructuur</v>
      </c>
      <c r="AEI92" s="134" t="str">
        <f t="shared" si="11"/>
        <v>Doorlopend geperforeerd plafond op PlaGyp D-onderstructuur</v>
      </c>
      <c r="AEJ92" s="134" t="str">
        <f t="shared" si="11"/>
        <v>Doorlopend geperforeerd plafond op PlaGyp D-onderstructuur</v>
      </c>
      <c r="AEK92" s="134" t="str">
        <f t="shared" si="11"/>
        <v>Doorlopend geperforeerd plafond op PlaGyp D-onderstructuur</v>
      </c>
      <c r="AEL92" s="134" t="str">
        <f t="shared" si="11"/>
        <v>Doorlopend geperforeerd plafond op PlaGyp D-onderstructuur</v>
      </c>
      <c r="AEM92" s="134" t="str">
        <f t="shared" si="11"/>
        <v>Doorlopend geperforeerd plafond op PlaGyp D-onderstructuur</v>
      </c>
      <c r="AEN92" s="134" t="str">
        <f t="shared" si="11"/>
        <v>Doorlopend geperforeerd plafond op PlaGyp D-onderstructuur</v>
      </c>
      <c r="AEO92" s="134" t="str">
        <f t="shared" si="11"/>
        <v>Doorlopend geperforeerd plafond op PlaGyp D-onderstructuur</v>
      </c>
      <c r="AEP92" s="134" t="str">
        <f t="shared" si="11"/>
        <v>Doorlopend geperforeerd plafond op PlaGyp D-onderstructuur</v>
      </c>
      <c r="AEQ92" s="134" t="str">
        <f t="shared" si="11"/>
        <v>Doorlopend geperforeerd plafond op PlaGyp D-onderstructuur</v>
      </c>
      <c r="AER92" s="134" t="str">
        <f t="shared" si="11"/>
        <v>Doorlopend geperforeerd plafond op PlaGyp D-onderstructuur</v>
      </c>
      <c r="AES92" s="134" t="str">
        <f t="shared" si="11"/>
        <v>Doorlopend geperforeerd plafond op PlaGyp D-onderstructuur</v>
      </c>
      <c r="AET92" s="134" t="str">
        <f t="shared" si="11"/>
        <v>Doorlopend geperforeerd plafond op PlaGyp D-onderstructuur</v>
      </c>
      <c r="AEU92" s="134" t="str">
        <f t="shared" si="11"/>
        <v>Doorlopend geperforeerd plafond op PlaGyp D-onderstructuur</v>
      </c>
      <c r="AEV92" s="134" t="str">
        <f t="shared" si="11"/>
        <v>Doorlopend geperforeerd plafond op PlaGyp D-onderstructuur</v>
      </c>
      <c r="AEW92" s="134" t="str">
        <f t="shared" si="11"/>
        <v>Doorlopend geperforeerd plafond op PlaGyp D-onderstructuur</v>
      </c>
      <c r="AEX92" s="134" t="str">
        <f t="shared" si="11"/>
        <v>Doorlopend geperforeerd plafond op PlaGyp D-onderstructuur</v>
      </c>
      <c r="AEY92" s="134" t="str">
        <f t="shared" si="11"/>
        <v>Doorlopend geperforeerd plafond op PlaGyp D-onderstructuur</v>
      </c>
      <c r="AEZ92" s="134" t="str">
        <f t="shared" si="11"/>
        <v>Doorlopend geperforeerd plafond op PlaGyp D-onderstructuur</v>
      </c>
      <c r="AFA92" s="134" t="str">
        <f t="shared" si="11"/>
        <v>Doorlopend geperforeerd plafond op PlaGyp D-onderstructuur</v>
      </c>
      <c r="AFB92" s="134" t="str">
        <f t="shared" si="11"/>
        <v>Doorlopend geperforeerd plafond op PlaGyp D-onderstructuur</v>
      </c>
      <c r="AFC92" s="134" t="str">
        <f t="shared" si="11"/>
        <v>Doorlopend geperforeerd plafond op PlaGyp D-onderstructuur</v>
      </c>
      <c r="AFD92" s="134" t="str">
        <f t="shared" si="11"/>
        <v>Doorlopend geperforeerd plafond op PlaGyp D-onderstructuur</v>
      </c>
      <c r="AFE92" s="134" t="str">
        <f t="shared" si="11"/>
        <v>Doorlopend geperforeerd plafond op PlaGyp D-onderstructuur</v>
      </c>
      <c r="AFF92" s="134" t="str">
        <f t="shared" si="11"/>
        <v>Doorlopend geperforeerd plafond op PlaGyp D-onderstructuur</v>
      </c>
      <c r="AFG92" s="134" t="str">
        <f t="shared" si="11"/>
        <v>Doorlopend geperforeerd plafond op PlaGyp D-onderstructuur</v>
      </c>
      <c r="AFH92" s="134" t="str">
        <f t="shared" si="11"/>
        <v>Doorlopend geperforeerd plafond op PlaGyp D-onderstructuur</v>
      </c>
      <c r="AFI92" s="134" t="str">
        <f t="shared" si="11"/>
        <v>Doorlopend geperforeerd plafond op PlaGyp D-onderstructuur</v>
      </c>
      <c r="AFJ92" s="134" t="str">
        <f t="shared" si="11"/>
        <v>Doorlopend geperforeerd plafond op PlaGyp D-onderstructuur</v>
      </c>
      <c r="AFK92" s="134" t="str">
        <f t="shared" si="11"/>
        <v>Doorlopend geperforeerd plafond op PlaGyp D-onderstructuur</v>
      </c>
      <c r="AFL92" s="134" t="s">
        <v>13</v>
      </c>
      <c r="AFN92" s="128"/>
      <c r="AFO92" s="128"/>
      <c r="AFP92" s="128"/>
      <c r="AFQ92" s="128"/>
      <c r="AFR92" s="128" t="s">
        <v>3797</v>
      </c>
      <c r="AFS92" s="128"/>
      <c r="AFT92" s="128"/>
      <c r="AFU92" s="128"/>
      <c r="AFV92" s="128"/>
      <c r="AFW92" s="128" t="s">
        <v>3797</v>
      </c>
      <c r="AFX92" s="128"/>
      <c r="AFY92" s="128"/>
      <c r="AFZ92" s="128"/>
      <c r="AGA92" s="128"/>
      <c r="AGB92" s="128" t="s">
        <v>3796</v>
      </c>
      <c r="AGC92" s="128"/>
      <c r="AGD92" s="128"/>
      <c r="AGE92" s="128"/>
      <c r="AGF92" s="128"/>
      <c r="AGG92" s="128" t="s">
        <v>3796</v>
      </c>
      <c r="AGH92" s="128"/>
      <c r="AGI92" s="128"/>
      <c r="AGJ92" s="128"/>
      <c r="AGK92" s="128"/>
      <c r="AGL92" s="128" t="s">
        <v>3795</v>
      </c>
      <c r="AGM92" s="128"/>
      <c r="AGN92" s="128"/>
      <c r="AGO92" s="128"/>
      <c r="AGP92" s="128"/>
      <c r="AGQ92" s="128" t="s">
        <v>3795</v>
      </c>
      <c r="AGR92" s="128"/>
      <c r="AGS92" s="128"/>
      <c r="AGT92" s="128"/>
      <c r="AGU92" s="128" t="s">
        <v>3797</v>
      </c>
      <c r="AGV92" s="128"/>
      <c r="AGW92" s="128"/>
      <c r="AGX92" s="128"/>
      <c r="AGY92" s="128"/>
      <c r="AGZ92" s="128"/>
      <c r="AHA92" s="128"/>
      <c r="AHB92" s="128" t="s">
        <v>3797</v>
      </c>
      <c r="AHC92" s="128"/>
      <c r="AHD92" s="128"/>
      <c r="AHE92" s="128"/>
      <c r="AHF92" s="128" t="s">
        <v>3796</v>
      </c>
      <c r="AHG92" s="128"/>
      <c r="AHH92" s="128"/>
      <c r="AHI92" s="128"/>
      <c r="AHJ92" s="128"/>
      <c r="AHK92" s="128"/>
      <c r="AHL92" s="128"/>
      <c r="AHM92" s="128" t="s">
        <v>3796</v>
      </c>
      <c r="AHN92" s="128"/>
      <c r="AHO92" s="128"/>
      <c r="AHP92" s="128"/>
      <c r="AHQ92" s="128" t="s">
        <v>3795</v>
      </c>
      <c r="AHR92" s="128"/>
      <c r="AHS92" s="128"/>
      <c r="AHT92" s="128"/>
      <c r="AHU92" s="128"/>
      <c r="AHV92" s="128"/>
      <c r="AHW92" s="128"/>
      <c r="AHX92" s="128" t="s">
        <v>3795</v>
      </c>
      <c r="AHY92" s="128"/>
      <c r="AHZ92" s="128"/>
      <c r="AIA92" s="128"/>
      <c r="AIB92" s="128" t="s">
        <v>3797</v>
      </c>
      <c r="AIC92" s="128"/>
      <c r="AID92" s="128"/>
      <c r="AIE92" s="128"/>
      <c r="AIF92" s="128"/>
      <c r="AIG92" s="128"/>
      <c r="AIH92" s="128"/>
      <c r="AII92" s="128" t="s">
        <v>3797</v>
      </c>
      <c r="AIJ92" s="128"/>
      <c r="AIK92" s="128"/>
      <c r="AIL92" s="128"/>
      <c r="AIM92" s="128" t="s">
        <v>3796</v>
      </c>
      <c r="AIN92" s="128"/>
      <c r="AIO92" s="128"/>
      <c r="AIP92" s="128"/>
      <c r="AIQ92" s="128"/>
      <c r="AIR92" s="128"/>
      <c r="AIS92" s="128"/>
      <c r="AIT92" s="128" t="s">
        <v>3796</v>
      </c>
      <c r="AIU92" s="128"/>
      <c r="AIV92" s="128"/>
      <c r="AIW92" s="128"/>
      <c r="AIX92" s="128" t="s">
        <v>3795</v>
      </c>
      <c r="AIY92" s="128"/>
      <c r="AIZ92" s="128"/>
      <c r="AJA92" s="128"/>
      <c r="AJB92" s="128"/>
      <c r="AJC92" s="128"/>
      <c r="AJD92" s="128"/>
      <c r="AJE92" s="128" t="s">
        <v>3795</v>
      </c>
      <c r="AJF92" s="128"/>
      <c r="AJG92" s="128"/>
      <c r="AJH92" s="128"/>
      <c r="AJI92" s="128" t="s">
        <v>3797</v>
      </c>
      <c r="AJJ92" s="128"/>
      <c r="AJK92" s="128"/>
      <c r="AJL92" s="128"/>
      <c r="AJM92" s="128"/>
      <c r="AJN92" s="128"/>
      <c r="AJO92" s="128"/>
      <c r="AJP92" s="128" t="s">
        <v>3797</v>
      </c>
      <c r="AJQ92" s="128"/>
      <c r="AJR92" s="128"/>
      <c r="AJS92" s="128"/>
      <c r="AJT92" s="128" t="s">
        <v>3796</v>
      </c>
      <c r="AJU92" s="128"/>
      <c r="AJV92" s="128"/>
      <c r="AJW92" s="128"/>
      <c r="AJX92" s="128"/>
      <c r="AJY92" s="128"/>
      <c r="AJZ92" s="128"/>
      <c r="AKA92" s="128" t="s">
        <v>3796</v>
      </c>
      <c r="AKB92" s="128"/>
      <c r="AKC92" s="128"/>
      <c r="AKD92" s="128"/>
      <c r="AKE92" s="128" t="s">
        <v>3795</v>
      </c>
      <c r="AKF92" s="128"/>
      <c r="AKG92" s="128"/>
      <c r="AKH92" s="128"/>
      <c r="AKI92" s="128"/>
      <c r="AKJ92" s="128"/>
      <c r="AKK92" s="128"/>
      <c r="AKL92" s="128" t="s">
        <v>3795</v>
      </c>
      <c r="AKM92" s="128"/>
      <c r="AKN92" s="128"/>
      <c r="AKO92" s="128"/>
      <c r="AKP92" s="128" t="s">
        <v>3797</v>
      </c>
      <c r="AKQ92" s="128"/>
      <c r="AKR92" s="128"/>
      <c r="AKS92" s="128"/>
      <c r="AKT92" s="128"/>
      <c r="AKU92" s="128"/>
      <c r="AKV92" s="128"/>
      <c r="AKW92" s="128" t="s">
        <v>3797</v>
      </c>
      <c r="AKX92" s="128"/>
      <c r="AKY92" s="128"/>
      <c r="AKZ92" s="128"/>
      <c r="ALA92" s="128" t="s">
        <v>3796</v>
      </c>
      <c r="ALB92" s="128"/>
      <c r="ALC92" s="128"/>
      <c r="ALD92" s="128"/>
      <c r="ALE92" s="128"/>
      <c r="ALF92" s="128"/>
      <c r="ALG92" s="128"/>
      <c r="ALH92" s="128" t="s">
        <v>3796</v>
      </c>
      <c r="ALI92" s="128"/>
      <c r="ALJ92" s="128"/>
      <c r="ALK92" s="128"/>
      <c r="ALL92" s="128" t="s">
        <v>3795</v>
      </c>
      <c r="ALM92" s="128"/>
      <c r="ALN92" s="128"/>
      <c r="ALO92" s="128"/>
      <c r="ALP92" s="128"/>
      <c r="ALQ92" s="128"/>
      <c r="ALR92" s="128"/>
      <c r="ALS92" s="128" t="s">
        <v>3795</v>
      </c>
      <c r="ALT92" s="128"/>
      <c r="ALU92" s="128"/>
      <c r="ALV92" s="128"/>
      <c r="ALW92" s="128" t="s">
        <v>3797</v>
      </c>
      <c r="ALX92" s="128"/>
      <c r="ALY92" s="128"/>
      <c r="ALZ92" s="128"/>
      <c r="AMA92" s="128"/>
      <c r="AMB92" s="128"/>
      <c r="AMC92" s="128"/>
      <c r="AMD92" s="128" t="s">
        <v>3797</v>
      </c>
      <c r="AME92" s="128"/>
      <c r="AMF92" s="128"/>
      <c r="AMG92" s="128"/>
      <c r="AMH92" s="128" t="s">
        <v>3796</v>
      </c>
      <c r="AMI92" s="128"/>
      <c r="AMJ92" s="128"/>
      <c r="AMK92" s="128"/>
      <c r="AML92" s="128"/>
      <c r="AMM92" s="128"/>
      <c r="AMN92" s="128"/>
      <c r="AMO92" s="128" t="s">
        <v>3796</v>
      </c>
      <c r="AMP92" s="128"/>
      <c r="AMQ92" s="128"/>
      <c r="AMR92" s="128"/>
      <c r="AMS92" s="128" t="s">
        <v>3795</v>
      </c>
      <c r="AMT92" s="128"/>
      <c r="AMU92" s="128"/>
      <c r="AMV92" s="128"/>
      <c r="AMW92" s="128"/>
      <c r="AMX92" s="128"/>
      <c r="AMY92" s="128"/>
      <c r="AMZ92" s="128" t="s">
        <v>3795</v>
      </c>
      <c r="ANA92" s="128"/>
      <c r="ANB92" s="128"/>
      <c r="ANC92" s="128"/>
      <c r="AND92" s="128" t="s">
        <v>3797</v>
      </c>
      <c r="ANE92" s="128"/>
      <c r="ANF92" s="128"/>
      <c r="ANG92" s="128"/>
      <c r="ANH92" s="128"/>
      <c r="ANI92" s="128"/>
      <c r="ANJ92" s="128"/>
      <c r="ANK92" s="128" t="s">
        <v>3797</v>
      </c>
      <c r="ANL92" s="128"/>
      <c r="ANM92" s="128"/>
      <c r="ANN92" s="128"/>
      <c r="ANO92" s="128" t="s">
        <v>3796</v>
      </c>
      <c r="ANP92" s="128"/>
      <c r="ANQ92" s="128"/>
      <c r="ANR92" s="128"/>
      <c r="ANS92" s="128"/>
      <c r="ANT92" s="128"/>
      <c r="ANU92" s="128"/>
      <c r="ANV92" s="128" t="s">
        <v>3796</v>
      </c>
      <c r="ANW92" s="128"/>
      <c r="ANX92" s="128"/>
      <c r="ANY92" s="128"/>
      <c r="ANZ92" s="128" t="s">
        <v>3795</v>
      </c>
      <c r="AOA92" s="128"/>
      <c r="AOB92" s="128"/>
      <c r="AOC92" s="128"/>
      <c r="AOD92" s="128"/>
      <c r="AOE92" s="128"/>
      <c r="AOF92" s="128"/>
      <c r="AOG92" s="128" t="s">
        <v>3795</v>
      </c>
      <c r="AOH92" s="128"/>
      <c r="AOI92" s="128"/>
      <c r="AOJ92" s="128"/>
      <c r="AOK92" s="128" t="s">
        <v>3797</v>
      </c>
      <c r="AOL92" s="128"/>
      <c r="AOM92" s="128"/>
      <c r="AON92" s="128"/>
      <c r="AOO92" s="128"/>
      <c r="AOP92" s="128"/>
      <c r="AOQ92" s="128"/>
      <c r="AOR92" s="128" t="s">
        <v>3797</v>
      </c>
      <c r="AOS92" s="128"/>
      <c r="AOT92" s="128"/>
      <c r="AOU92" s="128"/>
      <c r="AOV92" s="128" t="s">
        <v>3796</v>
      </c>
      <c r="AOW92" s="128"/>
      <c r="AOX92" s="128"/>
      <c r="AOY92" s="128"/>
      <c r="AOZ92" s="128"/>
      <c r="APA92" s="128"/>
      <c r="APB92" s="128"/>
      <c r="APC92" s="128" t="s">
        <v>3796</v>
      </c>
      <c r="APD92" s="128"/>
      <c r="APE92" s="128"/>
      <c r="APF92" s="128"/>
      <c r="APG92" s="128" t="s">
        <v>3795</v>
      </c>
      <c r="APH92" s="128"/>
      <c r="API92" s="128"/>
      <c r="APJ92" s="128"/>
      <c r="APK92" s="128"/>
      <c r="APL92" s="128"/>
      <c r="APM92" s="128"/>
      <c r="APN92" s="128" t="s">
        <v>3795</v>
      </c>
      <c r="APS92" s="130" t="s">
        <v>3794</v>
      </c>
      <c r="APX92" s="130" t="s">
        <v>3794</v>
      </c>
      <c r="AQB92" s="130" t="s">
        <v>3794</v>
      </c>
      <c r="AQI92" s="130" t="s">
        <v>3794</v>
      </c>
      <c r="AQM92" s="130" t="s">
        <v>3794</v>
      </c>
      <c r="AQT92" s="130" t="s">
        <v>3794</v>
      </c>
      <c r="AQX92" s="130" t="s">
        <v>3794</v>
      </c>
      <c r="ARE92" s="130" t="s">
        <v>3794</v>
      </c>
      <c r="ARI92" s="130" t="s">
        <v>3794</v>
      </c>
      <c r="ARP92" s="130" t="s">
        <v>3794</v>
      </c>
      <c r="ART92" s="130" t="s">
        <v>3794</v>
      </c>
      <c r="ASA92" s="130" t="s">
        <v>3794</v>
      </c>
      <c r="ASE92" s="130" t="s">
        <v>3794</v>
      </c>
      <c r="ASL92" s="130" t="s">
        <v>3794</v>
      </c>
      <c r="ASP92" s="130" t="s">
        <v>3794</v>
      </c>
      <c r="ASW92" s="130" t="s">
        <v>3794</v>
      </c>
      <c r="ASX92" s="128"/>
      <c r="ASY92" s="128"/>
      <c r="ASZ92" s="128"/>
      <c r="ATA92" s="128"/>
      <c r="ATB92" s="128" t="s">
        <v>3793</v>
      </c>
      <c r="ATC92" s="128"/>
      <c r="ATD92" s="128"/>
      <c r="ATE92" s="128"/>
      <c r="ATF92" s="128"/>
      <c r="ATG92" s="128" t="s">
        <v>3793</v>
      </c>
      <c r="ATH92" s="128"/>
      <c r="ATI92" s="128"/>
      <c r="ATJ92" s="128"/>
      <c r="ATK92" s="128" t="s">
        <v>3793</v>
      </c>
      <c r="ATL92" s="128"/>
      <c r="ATM92" s="128"/>
      <c r="ATN92" s="128"/>
      <c r="ATO92" s="128"/>
      <c r="ATP92" s="128"/>
      <c r="ATQ92" s="128"/>
      <c r="ATR92" s="128" t="s">
        <v>3793</v>
      </c>
      <c r="ATS92" s="128"/>
      <c r="ATT92" s="128"/>
      <c r="ATU92" s="128"/>
      <c r="ATV92" s="128" t="s">
        <v>3793</v>
      </c>
      <c r="ATW92" s="128"/>
      <c r="ATX92" s="128"/>
      <c r="ATY92" s="128"/>
      <c r="ATZ92" s="128"/>
      <c r="AUA92" s="128"/>
      <c r="AUB92" s="128"/>
      <c r="AUC92" s="128" t="s">
        <v>3793</v>
      </c>
      <c r="AUD92" s="128"/>
      <c r="AUE92" s="128"/>
      <c r="AUF92" s="128"/>
      <c r="AUG92" s="128" t="s">
        <v>3793</v>
      </c>
      <c r="AUH92" s="128"/>
      <c r="AUI92" s="128"/>
      <c r="AUJ92" s="128"/>
      <c r="AUK92" s="128"/>
      <c r="AUL92" s="128"/>
      <c r="AUM92" s="128"/>
      <c r="AUN92" s="128" t="s">
        <v>3793</v>
      </c>
      <c r="AUO92" s="128"/>
      <c r="AUP92" s="128"/>
      <c r="AUQ92" s="128"/>
      <c r="AUR92" s="128"/>
      <c r="AUS92" s="128" t="s">
        <v>3792</v>
      </c>
      <c r="AUT92" s="128"/>
      <c r="AUU92" s="128"/>
      <c r="AUV92" s="128"/>
      <c r="AUW92" s="128"/>
      <c r="AUX92" s="128" t="s">
        <v>3792</v>
      </c>
      <c r="AUY92" s="128"/>
      <c r="AUZ92" s="128"/>
      <c r="AVA92" s="128" t="s">
        <v>3792</v>
      </c>
      <c r="AVB92" s="128"/>
      <c r="AVC92" s="128"/>
      <c r="AVD92" s="128"/>
      <c r="AVE92" s="128"/>
      <c r="AVF92" s="128" t="s">
        <v>3792</v>
      </c>
      <c r="AVG92" s="128" t="s">
        <v>3792</v>
      </c>
      <c r="AVH92" s="128"/>
      <c r="AVJ92" s="128" t="s">
        <v>3791</v>
      </c>
      <c r="AVK92" s="128" t="s">
        <v>3791</v>
      </c>
      <c r="AVL92" s="128" t="s">
        <v>3791</v>
      </c>
      <c r="AVM92" s="128" t="s">
        <v>3791</v>
      </c>
      <c r="AVN92" s="128" t="s">
        <v>3791</v>
      </c>
      <c r="AVO92" s="128" t="s">
        <v>3791</v>
      </c>
      <c r="AVP92" s="128" t="s">
        <v>3791</v>
      </c>
      <c r="AVQ92" s="128" t="s">
        <v>3791</v>
      </c>
      <c r="AVR92" s="128" t="s">
        <v>3791</v>
      </c>
      <c r="AVS92" s="128" t="s">
        <v>3791</v>
      </c>
      <c r="AVT92" s="128" t="s">
        <v>3791</v>
      </c>
      <c r="AVU92" s="128" t="s">
        <v>3791</v>
      </c>
      <c r="AVV92" s="128" t="s">
        <v>3791</v>
      </c>
      <c r="AVW92" s="128" t="s">
        <v>3791</v>
      </c>
      <c r="AVX92" s="128" t="s">
        <v>3791</v>
      </c>
      <c r="AVY92" s="128" t="s">
        <v>3791</v>
      </c>
      <c r="AVZ92" s="128" t="s">
        <v>3791</v>
      </c>
      <c r="AWA92" s="128" t="s">
        <v>3791</v>
      </c>
      <c r="AWB92" s="128" t="s">
        <v>3791</v>
      </c>
      <c r="AWC92" s="128" t="s">
        <v>3791</v>
      </c>
      <c r="AWD92" s="128" t="s">
        <v>3791</v>
      </c>
      <c r="AWE92" s="128" t="s">
        <v>3791</v>
      </c>
      <c r="AWF92" s="128" t="s">
        <v>3791</v>
      </c>
      <c r="AWG92" s="128" t="s">
        <v>3791</v>
      </c>
      <c r="AWH92" s="128" t="s">
        <v>3791</v>
      </c>
      <c r="AWI92" s="128" t="s">
        <v>3791</v>
      </c>
      <c r="AWJ92" s="128" t="s">
        <v>3791</v>
      </c>
      <c r="AWK92" s="128" t="s">
        <v>3791</v>
      </c>
      <c r="AWL92" s="128" t="s">
        <v>3791</v>
      </c>
      <c r="AWM92" s="128" t="s">
        <v>3791</v>
      </c>
      <c r="AWN92" s="128" t="s">
        <v>3791</v>
      </c>
      <c r="AWO92" s="128" t="s">
        <v>3791</v>
      </c>
      <c r="AWP92" s="128" t="s">
        <v>3791</v>
      </c>
      <c r="AWQ92" s="128" t="s">
        <v>3791</v>
      </c>
      <c r="AWR92" s="128" t="s">
        <v>3791</v>
      </c>
      <c r="AWS92" s="128" t="s">
        <v>3791</v>
      </c>
      <c r="AWT92" s="128" t="s">
        <v>3791</v>
      </c>
      <c r="AWU92" s="128" t="s">
        <v>3791</v>
      </c>
      <c r="AWV92" s="128" t="s">
        <v>3791</v>
      </c>
    </row>
    <row r="93" spans="1:1296" ht="51" outlineLevel="1">
      <c r="A93" s="137" t="s">
        <v>367</v>
      </c>
      <c r="B93" s="139" t="s">
        <v>369</v>
      </c>
      <c r="C93" s="139">
        <v>0</v>
      </c>
      <c r="D93" s="139">
        <v>0</v>
      </c>
      <c r="E93" s="137">
        <v>146</v>
      </c>
      <c r="G93" s="136" t="s">
        <v>19</v>
      </c>
      <c r="H93" s="136" t="s">
        <v>13</v>
      </c>
      <c r="I93" s="136" t="s">
        <v>13</v>
      </c>
      <c r="J93" s="136" t="s">
        <v>13</v>
      </c>
      <c r="K93" s="136" t="s">
        <v>13</v>
      </c>
      <c r="L93" s="136" t="s">
        <v>13</v>
      </c>
      <c r="M93" s="136" t="s">
        <v>13</v>
      </c>
      <c r="N93" s="136" t="s">
        <v>13</v>
      </c>
      <c r="P93" s="128" t="str">
        <f>VLOOKUP(P$92,[2]Vertaling!$B:$C,2,FALSE)</f>
        <v>Cloison Metal Stud sur ossature simple</v>
      </c>
      <c r="Q93" s="128" t="str">
        <f>VLOOKUP(Q$92,[2]Vertaling!$B:$C,2,FALSE)</f>
        <v>Cloison Metal Stud sur ossature simple</v>
      </c>
      <c r="R93" s="128" t="str">
        <f>VLOOKUP(R$92,[2]Vertaling!$B:$C,2,FALSE)</f>
        <v>Cloison Metal Stud sur ossature simple</v>
      </c>
      <c r="S93" s="128" t="str">
        <f>VLOOKUP(S$92,[2]Vertaling!$B:$C,2,FALSE)</f>
        <v>Cloison Metal Stud sur ossature simple</v>
      </c>
      <c r="T93" s="128" t="str">
        <f>VLOOKUP(T$92,[2]Vertaling!$B:$C,2,FALSE)</f>
        <v>Cloison Metal Stud sur ossature simple</v>
      </c>
      <c r="U93" s="128" t="str">
        <f>VLOOKUP(U$92,[2]Vertaling!$B:$C,2,FALSE)</f>
        <v>Cloison Metal Stud sur ossature double indépendante</v>
      </c>
      <c r="V93" s="128" t="str">
        <f>VLOOKUP(V$92,[2]Vertaling!$B:$C,2,FALSE)</f>
        <v>Cloison Metal Stud sur ossature double indépendante</v>
      </c>
      <c r="W93" s="128" t="str">
        <f>VLOOKUP(W$92,[2]Vertaling!$B:$C,2,FALSE)</f>
        <v>Cloison Metal Stud pour un meilleur confort acoustique sur ossature simple</v>
      </c>
      <c r="X93" s="128" t="str">
        <f>VLOOKUP(X$92,[2]Vertaling!$B:$C,2,FALSE)</f>
        <v>Cloison Metal Stud pour un meilleur confort acoustique sur ossature simple</v>
      </c>
      <c r="Y93" s="128" t="str">
        <f>VLOOKUP(Y$92,[2]Vertaling!$B:$C,2,FALSE)</f>
        <v>Cloison Metal Stud pour un meilleur confort acoustique sur ossature simple</v>
      </c>
      <c r="Z93" s="128" t="str">
        <f>VLOOKUP(Z$92,[2]Vertaling!$B:$C,2,FALSE)</f>
        <v>Cloison Metal Stud pour un meilleur confort acoustique sur ossature simple</v>
      </c>
      <c r="AA93" s="128" t="str">
        <f>VLOOKUP(AA$92,[2]Vertaling!$B:$C,2,FALSE)</f>
        <v>Cloison Metal Stud pour un meilleur confort acoustique sur ossature simple</v>
      </c>
      <c r="AB93" s="128" t="str">
        <f>VLOOKUP(AB$92,[2]Vertaling!$B:$C,2,FALSE)</f>
        <v>Cloison Metal Stud pour un meilleur confort acoustique sur ossature simple</v>
      </c>
      <c r="AC93" s="128" t="str">
        <f>VLOOKUP(AC$92,[2]Vertaling!$B:$C,2,FALSE)</f>
        <v>Cloison Metal Stud pour un meilleur confort acoustique sur ossature simple</v>
      </c>
      <c r="AD93" s="128" t="str">
        <f>VLOOKUP(AD$92,[2]Vertaling!$B:$C,2,FALSE)</f>
        <v>Cloison Metal Stud pour un meilleur confort acoustique sur ossature simple</v>
      </c>
      <c r="AE93" s="128" t="str">
        <f>VLOOKUP(AE$92,[2]Vertaling!$B:$C,2,FALSE)</f>
        <v>Cloison Metal Stud sur ossature double indépendante</v>
      </c>
      <c r="AF93" s="128" t="e">
        <f>VLOOKUP(AF$92,[2]Vertaling!$B:$C,2,FALSE)</f>
        <v>#N/A</v>
      </c>
      <c r="AG93" s="128" t="e">
        <f>VLOOKUP(AG$92,[2]Vertaling!$B:$C,2,FALSE)</f>
        <v>#N/A</v>
      </c>
      <c r="AH93" s="128" t="str">
        <f>VLOOKUP(AH$92,[2]Vertaling!$B:$C,2,FALSE)</f>
        <v>Cloison sur ossature en bois simple</v>
      </c>
      <c r="AI93" s="128" t="str">
        <f>VLOOKUP(AI$92,[2]Vertaling!$B:$C,2,FALSE)</f>
        <v>Cloison sur ossature en bois double indépendante</v>
      </c>
      <c r="AJ93" s="128" t="str">
        <f>VLOOKUP(AJ$92,[2]Vertaling!$B:$C,2,FALSE)</f>
        <v>Cloison double sur ossature en bois</v>
      </c>
      <c r="AK93" s="128" t="str">
        <f>VLOOKUP(AK$92,[2]Vertaling!$B:$C,2,FALSE)</f>
        <v>Cloison Metal Stud en combinaison avec un doublage Metal Stud</v>
      </c>
      <c r="AL93" s="128" t="str">
        <f>VLOOKUP(AL$92,[2]Vertaling!$B:$C,2,FALSE)</f>
        <v>Cloison Metal Stud en combinaison avec un doublage Metal Stud</v>
      </c>
      <c r="AM93" s="128" t="str">
        <f>VLOOKUP(AM$92,[2]Vertaling!$B:$C,2,FALSE)</f>
        <v>Cloison Metal Stud en combinaison avec un doublage Metal Stud</v>
      </c>
      <c r="AN93" s="128" t="str">
        <f>VLOOKUP(AN$92,[2]Vertaling!$B:$C,2,FALSE)</f>
        <v>Cloison Metal Stud sur ossature simple</v>
      </c>
      <c r="AO93" s="128" t="e">
        <f>VLOOKUP(AO$92,[2]Vertaling!$B:$C,2,FALSE)</f>
        <v>#N/A</v>
      </c>
      <c r="AP93" s="128" t="str">
        <f>VLOOKUP(AP$92,[2]Vertaling!$B:$C,2,FALSE)</f>
        <v>Cloison Metal Stud sur ossature simple</v>
      </c>
      <c r="AQ93" s="128" t="str">
        <f>VLOOKUP(AQ$92,[2]Vertaling!$B:$C,2,FALSE)</f>
        <v>Cloison Metal Stud sur ossature simple</v>
      </c>
      <c r="AR93" s="128" t="str">
        <f>VLOOKUP(AR$92,[2]Vertaling!$B:$C,2,FALSE)</f>
        <v>Cloison Metal Stud sur ossature simple</v>
      </c>
      <c r="AS93" s="128" t="str">
        <f>VLOOKUP(AS$92,[2]Vertaling!$B:$C,2,FALSE)</f>
        <v>Cloison Metal Stud sur ossature simple</v>
      </c>
      <c r="AT93" s="128" t="str">
        <f>VLOOKUP(AT$92,[2]Vertaling!$B:$C,2,FALSE)</f>
        <v>Cloison Metal Stud sur ossature simple</v>
      </c>
      <c r="AU93" s="128" t="str">
        <f>VLOOKUP(AU$92,[2]Vertaling!$B:$C,2,FALSE)</f>
        <v>Cloison Metal Stud sur ossature simple</v>
      </c>
      <c r="AV93" s="128" t="str">
        <f>VLOOKUP(AV$92,[2]Vertaling!$B:$C,2,FALSE)</f>
        <v>Cloison Metal Stud sur ossature simple</v>
      </c>
      <c r="AW93" s="128" t="str">
        <f>VLOOKUP(AW$92,[2]Vertaling!$B:$C,2,FALSE)</f>
        <v>Cloison Metal Stud sur ossature simple</v>
      </c>
      <c r="AY93" s="128" t="str">
        <f>VLOOKUP(AY$92,[2]Vertaling!$B:$C,2,FALSE)</f>
        <v>Cloison Metal Stud sur ossature simple</v>
      </c>
      <c r="AZ93" s="128" t="str">
        <f>VLOOKUP(AZ$92,[2]Vertaling!$B:$C,2,FALSE)</f>
        <v>Cloison Metal Stud sur ossature simple</v>
      </c>
      <c r="BA93" s="128" t="str">
        <f>VLOOKUP(BA$92,[2]Vertaling!$B:$C,2,FALSE)</f>
        <v>Cloison Metal Stud sur ossature simple</v>
      </c>
      <c r="BB93" s="128" t="str">
        <f>VLOOKUP(BB$92,[2]Vertaling!$B:$C,2,FALSE)</f>
        <v>Cloison Metal Stud sur ossature simple</v>
      </c>
      <c r="BC93" s="128" t="str">
        <f>VLOOKUP(BC$92,[2]Vertaling!$B:$C,2,FALSE)</f>
        <v>Cloison Metal Stud sur ossature simple</v>
      </c>
      <c r="BD93" s="128" t="str">
        <f>VLOOKUP(BD$92,[2]Vertaling!$B:$C,2,FALSE)</f>
        <v>Cloison Metal Stud sur ossature simple</v>
      </c>
      <c r="BE93" s="128" t="str">
        <f>VLOOKUP(BE$92,[2]Vertaling!$B:$C,2,FALSE)</f>
        <v>Cloison Metal Stud sur ossature simple</v>
      </c>
      <c r="BF93" s="128" t="str">
        <f>VLOOKUP(BF$92,[2]Vertaling!$B:$C,2,FALSE)</f>
        <v>Cloison Metal Stud sur ossature simple</v>
      </c>
      <c r="BG93" s="128" t="str">
        <f>VLOOKUP(BG$92,[2]Vertaling!$B:$C,2,FALSE)</f>
        <v>Cloison Metal Stud sur ossature simple</v>
      </c>
      <c r="BH93" s="128" t="str">
        <f>VLOOKUP(BH$92,[2]Vertaling!$B:$C,2,FALSE)</f>
        <v>Cloison Metal Stud sur ossature simple</v>
      </c>
      <c r="BI93" s="128" t="str">
        <f>VLOOKUP(BI$92,[2]Vertaling!$B:$C,2,FALSE)</f>
        <v>Cloison Metal Stud sur ossature simple</v>
      </c>
      <c r="BJ93" s="128" t="str">
        <f>VLOOKUP(BJ$92,[2]Vertaling!$B:$C,2,FALSE)</f>
        <v>Cloison Metal Stud sur ossature simple</v>
      </c>
      <c r="BK93" s="128" t="str">
        <f>VLOOKUP(BK$92,[2]Vertaling!$B:$C,2,FALSE)</f>
        <v>Cloison Metal Stud sur ossature simple</v>
      </c>
      <c r="BL93" s="128" t="str">
        <f>VLOOKUP(BL$92,[2]Vertaling!$B:$C,2,FALSE)</f>
        <v>Cloison Metal Stud sur ossature simple</v>
      </c>
      <c r="BM93" s="128" t="str">
        <f>VLOOKUP(BM$92,[2]Vertaling!$B:$C,2,FALSE)</f>
        <v>Cloison Metal Stud sur ossature simple</v>
      </c>
      <c r="BN93" s="128" t="str">
        <f>VLOOKUP(BN$92,[2]Vertaling!$B:$C,2,FALSE)</f>
        <v>Cloison Metal Stud sur ossature simple</v>
      </c>
      <c r="BO93" s="128" t="str">
        <f>VLOOKUP(BO$92,[2]Vertaling!$B:$C,2,FALSE)</f>
        <v>Cloison Metal Stud sur ossature simple</v>
      </c>
      <c r="BP93" s="128" t="str">
        <f>VLOOKUP(BP$92,[2]Vertaling!$B:$C,2,FALSE)</f>
        <v>Cloison Metal Stud sur ossature simple</v>
      </c>
      <c r="BQ93" s="128" t="str">
        <f>VLOOKUP(BQ$92,[2]Vertaling!$B:$C,2,FALSE)</f>
        <v>Cloison Metal Stud sur ossature simple</v>
      </c>
      <c r="BR93" s="128" t="str">
        <f>VLOOKUP(BR$92,[2]Vertaling!$B:$C,2,FALSE)</f>
        <v>Cloison Metal Stud sur ossature simple</v>
      </c>
      <c r="BS93" s="128" t="str">
        <f>VLOOKUP(BS$92,[2]Vertaling!$B:$C,2,FALSE)</f>
        <v>Cloison Metal Stud sur ossature simple</v>
      </c>
      <c r="BT93" s="128" t="str">
        <f>VLOOKUP(BT$92,[2]Vertaling!$B:$C,2,FALSE)</f>
        <v>Cloison Metal Stud sur ossature simple</v>
      </c>
      <c r="BU93" s="128" t="str">
        <f>VLOOKUP(BU$92,[2]Vertaling!$B:$C,2,FALSE)</f>
        <v>Cloison Metal Stud sur ossature simple</v>
      </c>
      <c r="BV93" s="128" t="str">
        <f>VLOOKUP(BV$92,[2]Vertaling!$B:$C,2,FALSE)</f>
        <v>Cloison Metal Stud sur ossature simple</v>
      </c>
      <c r="BW93" s="128" t="str">
        <f>VLOOKUP(BW$92,[2]Vertaling!$B:$C,2,FALSE)</f>
        <v>Cloison Metal Stud sur ossature simple</v>
      </c>
      <c r="BY93" s="128" t="str">
        <f>VLOOKUP(BY$92,[2]Vertaling!$B:$C,2,FALSE)</f>
        <v>Cloison Metal Stud sur ossature double indépendante</v>
      </c>
      <c r="BZ93" s="128" t="str">
        <f>VLOOKUP(BZ$92,[2]Vertaling!$B:$C,2,FALSE)</f>
        <v>Cloison Metal Stud sur ossature double indépendante</v>
      </c>
      <c r="CA93" s="128" t="str">
        <f>VLOOKUP(CA$92,[2]Vertaling!$B:$C,2,FALSE)</f>
        <v>Cloison Metal Stud sur ossature double indépendante</v>
      </c>
      <c r="CB93" s="128" t="str">
        <f>VLOOKUP(CB$92,[2]Vertaling!$B:$C,2,FALSE)</f>
        <v>Cloison Metal Stud sur ossature double indépendante</v>
      </c>
      <c r="CC93" s="128" t="str">
        <f>VLOOKUP(CC$92,[2]Vertaling!$B:$C,2,FALSE)</f>
        <v>Cloison Metal Stud sur ossature double indépendante</v>
      </c>
      <c r="CD93" s="128" t="str">
        <f>VLOOKUP(CD$92,[2]Vertaling!$B:$C,2,FALSE)</f>
        <v>Cloison Metal Stud sur ossature double indépendante</v>
      </c>
      <c r="CE93" s="128" t="str">
        <f>VLOOKUP(CE$92,[2]Vertaling!$B:$C,2,FALSE)</f>
        <v>Cloison Metal Stud sur ossature double indépendante</v>
      </c>
      <c r="CF93" s="128" t="str">
        <f>VLOOKUP(CF$92,[2]Vertaling!$B:$C,2,FALSE)</f>
        <v>Cloison Metal Stud sur ossature double indépendante</v>
      </c>
      <c r="CG93" s="128" t="str">
        <f>VLOOKUP(CG$92,[2]Vertaling!$B:$C,2,FALSE)</f>
        <v>Cloison Metal Stud sur ossature double indépendante</v>
      </c>
      <c r="CH93" s="128" t="str">
        <f>VLOOKUP(CH$92,[2]Vertaling!$B:$C,2,FALSE)</f>
        <v>Cloison Metal Stud sur ossature double accouplée</v>
      </c>
      <c r="CI93" s="128" t="str">
        <f>VLOOKUP(CI$92,[2]Vertaling!$B:$C,2,FALSE)</f>
        <v>Cloison Metal Stud sur ossature double accouplée</v>
      </c>
      <c r="CJ93" s="128" t="str">
        <f>VLOOKUP(CJ$92,[2]Vertaling!$B:$C,2,FALSE)</f>
        <v>Cloison Metal Stud sur ossature double accouplée</v>
      </c>
      <c r="CK93" s="128" t="str">
        <f>VLOOKUP(CK$92,[2]Vertaling!$B:$C,2,FALSE)</f>
        <v>Cloison Metal Stud sur ossature double accouplée</v>
      </c>
      <c r="CL93" s="128" t="str">
        <f>VLOOKUP(CL$92,[2]Vertaling!$B:$C,2,FALSE)</f>
        <v>Cloison Metal Stud sur ossature double accouplée</v>
      </c>
      <c r="CM93" s="128" t="str">
        <f>VLOOKUP(CM$92,[2]Vertaling!$B:$C,2,FALSE)</f>
        <v>Cloison Metal Stud sur ossature double accouplée</v>
      </c>
      <c r="CN93" s="128" t="str">
        <f>VLOOKUP(CN$92,[2]Vertaling!$B:$C,2,FALSE)</f>
        <v>Cloison Metal Stud sur ossature double accouplée</v>
      </c>
      <c r="CO93" s="128" t="str">
        <f>VLOOKUP(CO$92,[2]Vertaling!$B:$C,2,FALSE)</f>
        <v>Cloison Metal Stud sur ossature double accouplée</v>
      </c>
      <c r="CP93" s="128" t="str">
        <f>VLOOKUP(CP$92,[2]Vertaling!$B:$C,2,FALSE)</f>
        <v>Cloison Metal Stud sur ossature double accouplée</v>
      </c>
      <c r="CQ93" s="128" t="str">
        <f>VLOOKUP(CQ$92,[2]Vertaling!$B:$C,2,FALSE)</f>
        <v>Cloison Metal Stud sur ossature double accouplée</v>
      </c>
      <c r="CR93" s="128" t="str">
        <f>VLOOKUP(CR$92,[2]Vertaling!$B:$C,2,FALSE)</f>
        <v>Cloison Metal Stud sur ossature double indépendante</v>
      </c>
      <c r="CS93" s="128" t="str">
        <f>VLOOKUP(CS$92,[2]Vertaling!$B:$C,2,FALSE)</f>
        <v>Cloison Metal Stud sur ossature double accouplée avec isobutyle</v>
      </c>
      <c r="CT93" s="128" t="str">
        <f>VLOOKUP(CT$92,[2]Vertaling!$B:$C,2,FALSE)</f>
        <v>Cloison Metal Stud sur ossature double accouplée avec isobutyle</v>
      </c>
      <c r="CU93" s="128" t="str">
        <f>VLOOKUP(CU$92,[2]Vertaling!$B:$C,2,FALSE)</f>
        <v>Cloison Metal Stud sur ossature double indépendante</v>
      </c>
      <c r="CW93" s="128" t="str">
        <f>VLOOKUP(CW$92,[2]Vertaling!$B:$C,2,FALSE)</f>
        <v>Cloison Metal Stud pour un meilleur confort acoustique sur ossature simple</v>
      </c>
      <c r="CX93" s="128" t="str">
        <f>VLOOKUP(CX$92,[2]Vertaling!$B:$C,2,FALSE)</f>
        <v>Cloison Metal Stud pour un meilleur confort acoustique sur ossature simple</v>
      </c>
      <c r="CY93" s="128" t="str">
        <f>VLOOKUP(CY$92,[2]Vertaling!$B:$C,2,FALSE)</f>
        <v>Cloison Metal Stud pour un meilleur confort acoustique sur ossature simple</v>
      </c>
      <c r="CZ93" s="128" t="str">
        <f>VLOOKUP(CZ$92,[2]Vertaling!$B:$C,2,FALSE)</f>
        <v>Cloison Metal Stud pour un meilleur confort acoustique sur ossature simple</v>
      </c>
      <c r="DA93" s="128" t="str">
        <f>VLOOKUP(DA$92,[2]Vertaling!$B:$C,2,FALSE)</f>
        <v>Cloison Metal Stud pour un meilleur confort acoustique sur ossature simple</v>
      </c>
      <c r="DB93" s="128" t="str">
        <f>VLOOKUP(DB$92,[2]Vertaling!$B:$C,2,FALSE)</f>
        <v>Cloison Metal Stud pour un meilleur confort acoustique sur ossature simple</v>
      </c>
      <c r="DC93" s="128" t="str">
        <f>VLOOKUP(DC$92,[2]Vertaling!$B:$C,2,FALSE)</f>
        <v>Cloison Metal Stud pour un meilleur confort acoustique sur ossature simple</v>
      </c>
      <c r="DD93" s="128" t="str">
        <f>VLOOKUP(DD$92,[2]Vertaling!$B:$C,2,FALSE)</f>
        <v>Cloison Metal Stud pour un meilleur confort acoustique sur ossature simple</v>
      </c>
      <c r="DE93" s="128" t="str">
        <f>VLOOKUP(DE$92,[2]Vertaling!$B:$C,2,FALSE)</f>
        <v>Cloison Metal Stud pour un meilleur confort acoustique sur ossature double accouplée</v>
      </c>
      <c r="DF93" s="128" t="str">
        <f>VLOOKUP(DF$92,[2]Vertaling!$B:$C,2,FALSE)</f>
        <v>Cloison Metal Stud pour un meilleur confort acoustique sur ossature double accouplée</v>
      </c>
      <c r="DG93" s="128" t="str">
        <f>VLOOKUP(DG$92,[2]Vertaling!$B:$C,2,FALSE)</f>
        <v>Cloison Metal Stud sur ossature double indépendante</v>
      </c>
      <c r="DH93" s="128" t="str">
        <f>VLOOKUP(DH$92,[2]Vertaling!$B:$C,2,FALSE)</f>
        <v>Cloison Metal Stud sur ossature double indépendante</v>
      </c>
      <c r="DI93" s="128" t="str">
        <f>VLOOKUP(DI$92,[2]Vertaling!$B:$C,2,FALSE)</f>
        <v>Cloison Metal Stud sur ossature double indépendante</v>
      </c>
      <c r="DJ93" s="128" t="str">
        <f>VLOOKUP(DJ$92,[2]Vertaling!$B:$C,2,FALSE)</f>
        <v>Cloison Metal Stud sur ossature double indépendante</v>
      </c>
      <c r="DK93" s="128" t="str">
        <f>VLOOKUP(DK$92,[2]Vertaling!$B:$C,2,FALSE)</f>
        <v>Cloison Metal Stud sur ossature double indépendante</v>
      </c>
      <c r="DL93" s="128" t="str">
        <f>VLOOKUP(DL$92,[2]Vertaling!$B:$C,2,FALSE)</f>
        <v>Cloison Metal Stud sur ossature double indépendante</v>
      </c>
      <c r="DM93" s="128" t="str">
        <f>VLOOKUP(DM$92,[2]Vertaling!$B:$C,2,FALSE)</f>
        <v>Cloison Metal Stud sur ossature double indépendante</v>
      </c>
      <c r="DN93" s="128" t="str">
        <f>VLOOKUP(DN$92,[2]Vertaling!$B:$C,2,FALSE)</f>
        <v>Cloison Metal Stud pour un meilleur confort acoustique sur ossature double accouplée</v>
      </c>
      <c r="DO93" s="128" t="str">
        <f>VLOOKUP(DO$92,[2]Vertaling!$B:$C,2,FALSE)</f>
        <v>Cloison Metal Stud pour un meilleur confort acoustique sur ossature double accouplée</v>
      </c>
      <c r="DP93" s="128" t="str">
        <f>VLOOKUP(DP$92,[2]Vertaling!$B:$C,2,FALSE)</f>
        <v>Cloison Metal Stud sur ossature double indépendante</v>
      </c>
      <c r="DQ93" s="128" t="str">
        <f>VLOOKUP(DQ$92,[2]Vertaling!$B:$C,2,FALSE)</f>
        <v>Cloison Metal Stud sur ossature double indépendante</v>
      </c>
      <c r="DR93" s="128" t="str">
        <f>VLOOKUP(DR$92,[2]Vertaling!$B:$C,2,FALSE)</f>
        <v>Cloison Metal Stud sur ossature double indépendante</v>
      </c>
      <c r="DS93" s="128" t="str">
        <f>VLOOKUP(DS$92,[2]Vertaling!$B:$C,2,FALSE)</f>
        <v>Cloison Metal Stud sur ossature double indépendante</v>
      </c>
      <c r="DU93" s="128" t="e">
        <f>VLOOKUP(DU$92,[2]Vertaling!$B:$C,2,FALSE)</f>
        <v>#N/A</v>
      </c>
      <c r="DV93" s="128" t="e">
        <f>VLOOKUP(DV$92,[2]Vertaling!$B:$C,2,FALSE)</f>
        <v>#N/A</v>
      </c>
      <c r="DW93" s="128" t="e">
        <f>VLOOKUP(DW$92,[2]Vertaling!$B:$C,2,FALSE)</f>
        <v>#N/A</v>
      </c>
      <c r="DX93" s="128" t="e">
        <f>VLOOKUP(DX$92,[2]Vertaling!$B:$C,2,FALSE)</f>
        <v>#N/A</v>
      </c>
      <c r="DY93" s="128" t="e">
        <f>VLOOKUP(DY$92,[2]Vertaling!$B:$C,2,FALSE)</f>
        <v>#N/A</v>
      </c>
      <c r="DZ93" s="128" t="e">
        <f>VLOOKUP(DZ$92,[2]Vertaling!$B:$C,2,FALSE)</f>
        <v>#N/A</v>
      </c>
      <c r="EA93" s="128" t="e">
        <f>VLOOKUP(EA$92,[2]Vertaling!$B:$C,2,FALSE)</f>
        <v>#N/A</v>
      </c>
      <c r="EB93" s="128" t="e">
        <f>VLOOKUP(EB$92,[2]Vertaling!$B:$C,2,FALSE)</f>
        <v>#N/A</v>
      </c>
      <c r="EC93" s="128" t="e">
        <f>VLOOKUP(EC$92,[2]Vertaling!$B:$C,2,FALSE)</f>
        <v>#N/A</v>
      </c>
      <c r="ED93" s="128" t="e">
        <f>VLOOKUP(ED$92,[2]Vertaling!$B:$C,2,FALSE)</f>
        <v>#N/A</v>
      </c>
      <c r="EE93" s="128" t="e">
        <f>VLOOKUP(EE$92,[2]Vertaling!$B:$C,2,FALSE)</f>
        <v>#N/A</v>
      </c>
      <c r="EF93" s="128" t="e">
        <f>VLOOKUP(EF$92,[2]Vertaling!$B:$C,2,FALSE)</f>
        <v>#N/A</v>
      </c>
      <c r="EG93" s="128" t="e">
        <f>VLOOKUP(EG$92,[2]Vertaling!$B:$C,2,FALSE)</f>
        <v>#N/A</v>
      </c>
      <c r="EI93" s="128" t="str">
        <f>VLOOKUP(EI$92,[2]Vertaling!$B:$C,2,FALSE)</f>
        <v>Cloison courbe</v>
      </c>
      <c r="EJ93" s="128" t="str">
        <f>VLOOKUP(EJ$92,[2]Vertaling!$B:$C,2,FALSE)</f>
        <v>Cloison courbe</v>
      </c>
      <c r="EK93" s="128" t="str">
        <f>VLOOKUP(EK$92,[2]Vertaling!$B:$C,2,FALSE)</f>
        <v>Cloison courbe</v>
      </c>
      <c r="EL93" s="128" t="str">
        <f>VLOOKUP(EL$92,[2]Vertaling!$B:$C,2,FALSE)</f>
        <v>Cloison courbe</v>
      </c>
      <c r="EM93" s="128" t="str">
        <f>VLOOKUP(EM$92,[2]Vertaling!$B:$C,2,FALSE)</f>
        <v>Cloison courbe</v>
      </c>
      <c r="EN93" s="128" t="str">
        <f>VLOOKUP(EN$92,[2]Vertaling!$B:$C,2,FALSE)</f>
        <v>Cloison courbe</v>
      </c>
      <c r="EO93" s="128" t="str">
        <f>VLOOKUP(EO$92,[2]Vertaling!$B:$C,2,FALSE)</f>
        <v>Cloison courbe</v>
      </c>
      <c r="EP93" s="128" t="str">
        <f>VLOOKUP(EP$92,[2]Vertaling!$B:$C,2,FALSE)</f>
        <v>Cloison courbe</v>
      </c>
      <c r="EQ93" s="128" t="str">
        <f>VLOOKUP(EQ$92,[2]Vertaling!$B:$C,2,FALSE)</f>
        <v>Cloison courbe</v>
      </c>
      <c r="ER93" s="128" t="str">
        <f>VLOOKUP(ER$92,[2]Vertaling!$B:$C,2,FALSE)</f>
        <v>Cloison courbe</v>
      </c>
      <c r="ES93" s="128" t="str">
        <f>VLOOKUP(ES$92,[2]Vertaling!$B:$C,2,FALSE)</f>
        <v>Cloison courbe</v>
      </c>
      <c r="ET93" s="128" t="str">
        <f>VLOOKUP(ET$92,[2]Vertaling!$B:$C,2,FALSE)</f>
        <v>Cloison courbe</v>
      </c>
      <c r="EU93" s="128" t="str">
        <f>VLOOKUP(EU$92,[2]Vertaling!$B:$C,2,FALSE)</f>
        <v>Cloison courbe</v>
      </c>
      <c r="EV93" s="128" t="str">
        <f>VLOOKUP(EV$92,[2]Vertaling!$B:$C,2,FALSE)</f>
        <v>Cloison courbe</v>
      </c>
      <c r="EW93" s="128" t="str">
        <f>VLOOKUP(EW$92,[2]Vertaling!$B:$C,2,FALSE)</f>
        <v>Cloison courbe</v>
      </c>
      <c r="EX93" s="128" t="str">
        <f>VLOOKUP(EX$92,[2]Vertaling!$B:$C,2,FALSE)</f>
        <v>Cloison courbe</v>
      </c>
      <c r="EZ93" s="128" t="str">
        <f>VLOOKUP(EZ$92,[2]Vertaling!$B:$C,2,FALSE)</f>
        <v>Cloison sur ossature en bois simple</v>
      </c>
      <c r="FA93" s="128" t="str">
        <f>VLOOKUP(FA$92,[2]Vertaling!$B:$C,2,FALSE)</f>
        <v>Cloison sur ossature en bois simple</v>
      </c>
      <c r="FB93" s="128" t="str">
        <f>VLOOKUP(FB$92,[2]Vertaling!$B:$C,2,FALSE)</f>
        <v>Cloison sur ossature en bois simple</v>
      </c>
      <c r="FC93" s="128" t="str">
        <f>VLOOKUP(FC$92,[2]Vertaling!$B:$C,2,FALSE)</f>
        <v>Cloison sur ossature en bois simple</v>
      </c>
      <c r="FD93" s="128" t="str">
        <f>VLOOKUP(FD$92,[2]Vertaling!$B:$C,2,FALSE)</f>
        <v>Cloison sur ossature en bois simple</v>
      </c>
      <c r="FE93" s="128" t="str">
        <f>VLOOKUP(FE$92,[2]Vertaling!$B:$C,2,FALSE)</f>
        <v>Cloison sur ossature en bois simple</v>
      </c>
      <c r="FF93" s="128" t="str">
        <f>VLOOKUP(FF$92,[2]Vertaling!$B:$C,2,FALSE)</f>
        <v>Cloison sur ossature en bois simple</v>
      </c>
      <c r="FG93" s="128" t="str">
        <f>VLOOKUP(FG$92,[2]Vertaling!$B:$C,2,FALSE)</f>
        <v>Cloison sur ossature en bois simple</v>
      </c>
      <c r="FH93" s="128" t="str">
        <f>VLOOKUP(FH$92,[2]Vertaling!$B:$C,2,FALSE)</f>
        <v>Cloison sur ossature en bois simple</v>
      </c>
      <c r="FI93" s="128" t="str">
        <f>VLOOKUP(FI$92,[2]Vertaling!$B:$C,2,FALSE)</f>
        <v>Cloison sur ossature en bois simple</v>
      </c>
      <c r="FJ93" s="128" t="str">
        <f>VLOOKUP(FJ$92,[2]Vertaling!$B:$C,2,FALSE)</f>
        <v>Cloison sur ossature en bois simple</v>
      </c>
      <c r="FK93" s="128" t="str">
        <f>VLOOKUP(FK$92,[2]Vertaling!$B:$C,2,FALSE)</f>
        <v>Cloison sur ossature en bois simple</v>
      </c>
      <c r="FL93" s="128" t="str">
        <f>VLOOKUP(FL$92,[2]Vertaling!$B:$C,2,FALSE)</f>
        <v>Cloison sur ossature en bois double indépendante</v>
      </c>
      <c r="FM93" s="128" t="str">
        <f>VLOOKUP(FM$92,[2]Vertaling!$B:$C,2,FALSE)</f>
        <v>Cloison sur ossature en bois double indépendante</v>
      </c>
      <c r="FN93" s="128" t="str">
        <f>VLOOKUP(FN$92,[2]Vertaling!$B:$C,2,FALSE)</f>
        <v>Cloison sur ossature en bois double indépendante</v>
      </c>
      <c r="FO93" s="128" t="str">
        <f>VLOOKUP(FO$92,[2]Vertaling!$B:$C,2,FALSE)</f>
        <v>Cloison sur ossature en bois double indépendante</v>
      </c>
      <c r="FP93" s="128" t="str">
        <f>VLOOKUP(FP$92,[2]Vertaling!$B:$C,2,FALSE)</f>
        <v>Cloison sur ossature en bois double indépendante</v>
      </c>
      <c r="FR93" s="128" t="str">
        <f>VLOOKUP(FR$92,[2]Vertaling!$B:$C,2,FALSE)</f>
        <v>Cloison Metal Stud avec profilés plus larges</v>
      </c>
      <c r="FS93" s="128" t="str">
        <f>VLOOKUP(FS$92,[2]Vertaling!$B:$C,2,FALSE)</f>
        <v>Cloison Metal Stud avec profilés plus larges</v>
      </c>
      <c r="FT93" s="128" t="str">
        <f>VLOOKUP(FT$92,[2]Vertaling!$B:$C,2,FALSE)</f>
        <v>Cloison Metal Stud avec profilés plus larges</v>
      </c>
      <c r="FU93" s="128" t="str">
        <f>VLOOKUP(FU$92,[2]Vertaling!$B:$C,2,FALSE)</f>
        <v>Cloison Metal Stud avec profilés plus larges</v>
      </c>
      <c r="FW93" s="128" t="str">
        <f>VLOOKUP(FW$92,[2]Vertaling!$B:$C,2,FALSE)</f>
        <v>Cloison Metal Stud pour grande hauteur</v>
      </c>
      <c r="FX93" s="128" t="str">
        <f>VLOOKUP(FX$92,[2]Vertaling!$B:$C,2,FALSE)</f>
        <v>Cloison Metal Stud pour grande hauteur</v>
      </c>
      <c r="FY93" s="128" t="str">
        <f>VLOOKUP(FY$92,[2]Vertaling!$B:$C,2,FALSE)</f>
        <v>Cloison Metal Stud pour grande hauteur</v>
      </c>
      <c r="FZ93" s="128" t="str">
        <f>VLOOKUP(FZ$92,[2]Vertaling!$B:$C,2,FALSE)</f>
        <v>Cloison Metal Stud pour grande hauteur</v>
      </c>
      <c r="GA93" s="128" t="str">
        <f>VLOOKUP(GA$92,[2]Vertaling!$B:$C,2,FALSE)</f>
        <v>Cloison Metal Stud pour grande hauteur</v>
      </c>
      <c r="GB93" s="128" t="str">
        <f>VLOOKUP(GB$92,[2]Vertaling!$B:$C,2,FALSE)</f>
        <v>Cloison Metal Stud pour grande hauteur</v>
      </c>
      <c r="GC93" s="128" t="str">
        <f>VLOOKUP(GC$92,[2]Vertaling!$B:$C,2,FALSE)</f>
        <v>Cloison Metal Stud pour grande hauteur</v>
      </c>
      <c r="GD93" s="128" t="str">
        <f>VLOOKUP(GD$92,[2]Vertaling!$B:$C,2,FALSE)</f>
        <v>Cloison Metal Stud pour grande hauteur</v>
      </c>
      <c r="GE93" s="128" t="str">
        <f>VLOOKUP(GE$92,[2]Vertaling!$B:$C,2,FALSE)</f>
        <v>Cloison Metal Stud pour grande hauteur</v>
      </c>
      <c r="GF93" s="128" t="str">
        <f>VLOOKUP(GF$92,[2]Vertaling!$B:$C,2,FALSE)</f>
        <v>Cloison Metal Stud pour grande hauteur</v>
      </c>
      <c r="GG93" s="128" t="str">
        <f>VLOOKUP(GG$92,[2]Vertaling!$B:$C,2,FALSE)</f>
        <v>Cloison Metal Stud pour grande hauteur</v>
      </c>
      <c r="GH93" s="128" t="str">
        <f>VLOOKUP(GH$92,[2]Vertaling!$B:$C,2,FALSE)</f>
        <v>Cloison Metal Stud pour grande hauteur</v>
      </c>
      <c r="GI93" s="128" t="str">
        <f>VLOOKUP(GI$92,[2]Vertaling!$B:$C,2,FALSE)</f>
        <v>Cloison Metal Stud pour grande hauteur</v>
      </c>
      <c r="GJ93" s="128" t="str">
        <f>VLOOKUP(GJ$92,[2]Vertaling!$B:$C,2,FALSE)</f>
        <v>Cloison Metal Stud pour grande hauteur</v>
      </c>
      <c r="GL93" s="128" t="str">
        <f>VLOOKUP(GL$92,[2]Vertaling!$B:$C,2,FALSE)</f>
        <v>Cloison Metal Stud en combinaison avec un doublage Metal Stud</v>
      </c>
      <c r="GM93" s="128" t="str">
        <f>VLOOKUP(GM$92,[2]Vertaling!$B:$C,2,FALSE)</f>
        <v>Cloison Metal Stud en combinaison avec un doublage Metal Stud</v>
      </c>
      <c r="GN93" s="128" t="str">
        <f>VLOOKUP(GN$92,[2]Vertaling!$B:$C,2,FALSE)</f>
        <v>Cloison Metal Stud en combinaison avec un doublage Metal Stud</v>
      </c>
      <c r="GO93" s="128" t="str">
        <f>VLOOKUP(GO$92,[2]Vertaling!$B:$C,2,FALSE)</f>
        <v>Cloison Metal Stud en combinaison avec un doublage Metal Stud</v>
      </c>
      <c r="GP93" s="128" t="str">
        <f>VLOOKUP(GP$92,[2]Vertaling!$B:$C,2,FALSE)</f>
        <v>Cloison Metal Stud en combinaison avec un doublage Metal Stud</v>
      </c>
      <c r="GR93" s="128" t="str">
        <f>VLOOKUP(GR$92,[2]Vertaling!$B:$C,2,FALSE)</f>
        <v xml:space="preserve">Cloison Metal Stud pour locaux humides </v>
      </c>
      <c r="GS93" s="128" t="str">
        <f>VLOOKUP(GS$92,[2]Vertaling!$B:$C,2,FALSE)</f>
        <v xml:space="preserve">Cloison Metal Stud pour locaux humides </v>
      </c>
      <c r="GT93" s="128" t="str">
        <f>VLOOKUP(GT$92,[2]Vertaling!$B:$C,2,FALSE)</f>
        <v xml:space="preserve">Cloison Metal Stud pour locaux humides </v>
      </c>
      <c r="GU93" s="128" t="str">
        <f>VLOOKUP(GU$92,[2]Vertaling!$B:$C,2,FALSE)</f>
        <v xml:space="preserve">Cloison Metal Stud pour locaux humides </v>
      </c>
      <c r="GV93" s="128" t="str">
        <f>VLOOKUP(GV$92,[2]Vertaling!$B:$C,2,FALSE)</f>
        <v xml:space="preserve">Cloison Metal Stud pour locaux humides </v>
      </c>
      <c r="GW93" s="128" t="str">
        <f>VLOOKUP(GW$92,[2]Vertaling!$B:$C,2,FALSE)</f>
        <v xml:space="preserve">Cloison Metal Stud pour locaux humides </v>
      </c>
      <c r="GX93" s="128" t="str">
        <f>VLOOKUP(GX$92,[2]Vertaling!$B:$C,2,FALSE)</f>
        <v xml:space="preserve">Cloison Metal Stud pour locaux humides </v>
      </c>
      <c r="GY93" s="128" t="str">
        <f>VLOOKUP(GY$92,[2]Vertaling!$B:$C,2,FALSE)</f>
        <v xml:space="preserve">Cloison Metal Stud pour locaux humides </v>
      </c>
      <c r="GZ93" s="128" t="str">
        <f>VLOOKUP(GZ$92,[2]Vertaling!$B:$C,2,FALSE)</f>
        <v xml:space="preserve">Cloison Metal Stud pour locaux humides </v>
      </c>
      <c r="HA93" s="128" t="str">
        <f>VLOOKUP(HA$92,[2]Vertaling!$B:$C,2,FALSE)</f>
        <v xml:space="preserve">Cloison Metal Stud pour locaux humides </v>
      </c>
      <c r="HB93" s="128" t="str">
        <f>VLOOKUP(HB$92,[2]Vertaling!$B:$C,2,FALSE)</f>
        <v xml:space="preserve">Cloison Metal Stud pour locaux humides </v>
      </c>
      <c r="HC93" s="128" t="str">
        <f>VLOOKUP(HC$92,[2]Vertaling!$B:$C,2,FALSE)</f>
        <v xml:space="preserve">Cloison Metal Stud pour locaux humides </v>
      </c>
      <c r="HD93" s="128" t="str">
        <f>VLOOKUP(HD$92,[2]Vertaling!$B:$C,2,FALSE)</f>
        <v xml:space="preserve">Cloison Metal Stud pour locaux humides </v>
      </c>
      <c r="HE93" s="128" t="str">
        <f>VLOOKUP(HE$92,[2]Vertaling!$B:$C,2,FALSE)</f>
        <v xml:space="preserve">Cloison Metal Stud pour locaux humides </v>
      </c>
      <c r="HF93" s="128" t="str">
        <f>VLOOKUP(HF$92,[2]Vertaling!$B:$C,2,FALSE)</f>
        <v xml:space="preserve">Cloison Metal Stud pour locaux humides </v>
      </c>
      <c r="HH93" s="128" t="str">
        <f>VLOOKUP(HH$92,[2]Vertaling!$B:$C,2,FALSE)</f>
        <v>Cloison Metal Stud pour une haute résistance aux chocs</v>
      </c>
      <c r="HI93" s="128" t="str">
        <f>VLOOKUP(HI$92,[2]Vertaling!$B:$C,2,FALSE)</f>
        <v>Cloison Metal Stud pour une haute résistance aux chocs</v>
      </c>
      <c r="HJ93" s="128" t="str">
        <f>VLOOKUP(HJ$92,[2]Vertaling!$B:$C,2,FALSE)</f>
        <v>Cloison Metal Stud pour une haute résistance aux chocs</v>
      </c>
      <c r="HK93" s="128" t="str">
        <f>VLOOKUP(HK$92,[2]Vertaling!$B:$C,2,FALSE)</f>
        <v>Cloison Metal Stud pour une haute résistance aux chocs</v>
      </c>
      <c r="HL93" s="128" t="str">
        <f>VLOOKUP(HL$92,[2]Vertaling!$B:$C,2,FALSE)</f>
        <v>Cloison Metal Stud pour une haute résistance aux chocs</v>
      </c>
      <c r="HM93" s="128" t="str">
        <f>VLOOKUP(HM$92,[2]Vertaling!$B:$C,2,FALSE)</f>
        <v>Cloison Metal Stud pour une haute résistance aux chocs</v>
      </c>
      <c r="HN93" s="128" t="str">
        <f>VLOOKUP(HN$92,[2]Vertaling!$B:$C,2,FALSE)</f>
        <v>Cloison Metal Stud pour une haute résistance aux chocs</v>
      </c>
      <c r="HO93" s="128" t="str">
        <f>VLOOKUP(HO$92,[2]Vertaling!$B:$C,2,FALSE)</f>
        <v>Cloison Metal Stud pour une haute résistance aux chocs</v>
      </c>
      <c r="HP93" s="128" t="str">
        <f>VLOOKUP(HP$92,[2]Vertaling!$B:$C,2,FALSE)</f>
        <v>Cloison Metal Stud pour une haute résistance aux chocs</v>
      </c>
      <c r="HS93" s="128" t="str">
        <f>VLOOKUP(HS92,[2]Vertaling!$B:$C,2,FALSE)</f>
        <v>Doublage Metal Stud indépendant</v>
      </c>
      <c r="HT93" s="128" t="str">
        <f>VLOOKUP(HT92,[2]Vertaling!$B:$C,2,FALSE)</f>
        <v>Doublage Metal Stud indépendant</v>
      </c>
      <c r="HU93" s="128" t="str">
        <f>VLOOKUP(HU92,[2]Vertaling!$B:$C,2,FALSE)</f>
        <v>Doublage Metal Stud indépendant</v>
      </c>
      <c r="HV93" s="128" t="str">
        <f>VLOOKUP(HV92,[2]Vertaling!$B:$C,2,FALSE)</f>
        <v>Doublage Metal Stud indépendant</v>
      </c>
      <c r="HW93" s="128" t="str">
        <f>VLOOKUP(HW92,[2]Vertaling!$B:$C,2,FALSE)</f>
        <v>Doublage Metal Stud indépendant</v>
      </c>
      <c r="HX93" s="128" t="str">
        <f>VLOOKUP(HX92,[2]Vertaling!$B:$C,2,FALSE)</f>
        <v>Doublage Metal Stud indépendant</v>
      </c>
      <c r="HY93" s="128" t="str">
        <f>VLOOKUP(HY92,[2]Vertaling!$B:$C,2,FALSE)</f>
        <v>Doublage Metal Stud indépendant</v>
      </c>
      <c r="HZ93" s="128" t="str">
        <f>VLOOKUP(HZ92,[2]Vertaling!$B:$C,2,FALSE)</f>
        <v>Doublage Metal Stud indépendant</v>
      </c>
      <c r="IA93" s="128" t="str">
        <f>VLOOKUP(IA92,[2]Vertaling!$B:$C,2,FALSE)</f>
        <v>Doublage Metal Stud indépendant</v>
      </c>
      <c r="IB93" s="128" t="str">
        <f>VLOOKUP(IB92,[2]Vertaling!$B:$C,2,FALSE)</f>
        <v>Doublage Metal Stud indépendant</v>
      </c>
      <c r="IC93" s="128" t="str">
        <f>VLOOKUP(IC92,[2]Vertaling!$B:$C,2,FALSE)</f>
        <v>Doublage Metal Stud indépendant</v>
      </c>
      <c r="ID93" s="128" t="str">
        <f>VLOOKUP(ID92,[2]Vertaling!$B:$C,2,FALSE)</f>
        <v>Doublage Metal Stud indépendant</v>
      </c>
      <c r="IE93" s="128" t="str">
        <f>VLOOKUP(IE92,[2]Vertaling!$B:$C,2,FALSE)</f>
        <v>Doublage Metal Stud indépendant</v>
      </c>
      <c r="IF93" s="128" t="str">
        <f>VLOOKUP(IF92,[2]Vertaling!$B:$C,2,FALSE)</f>
        <v>Doublage Metal Stud indépendant</v>
      </c>
      <c r="IG93" s="128" t="str">
        <f>VLOOKUP(IG92,[2]Vertaling!$B:$C,2,FALSE)</f>
        <v>Doublage Metal Stud indépendant</v>
      </c>
      <c r="IH93" s="128" t="str">
        <f>VLOOKUP(IH92,[2]Vertaling!$B:$C,2,FALSE)</f>
        <v>Doublage Metal Stud indépendant</v>
      </c>
      <c r="II93" s="128" t="str">
        <f>VLOOKUP(II92,[2]Vertaling!$B:$C,2,FALSE)</f>
        <v>Doublage Metal Stud indépendant</v>
      </c>
      <c r="IJ93" s="128" t="str">
        <f>VLOOKUP(IJ92,[2]Vertaling!$B:$C,2,FALSE)</f>
        <v>Doublage PlaGyp indépendant</v>
      </c>
      <c r="IK93" s="128" t="str">
        <f>VLOOKUP(IK92,[2]Vertaling!$B:$C,2,FALSE)</f>
        <v>Doublage PlaGyp indépendant</v>
      </c>
      <c r="IL93" s="128" t="str">
        <f>VLOOKUP(IL92,[2]Vertaling!$B:$C,2,FALSE)</f>
        <v>Doublage PlaGyp indépendant</v>
      </c>
      <c r="IM93" s="128" t="str">
        <f>VLOOKUP(IM92,[2]Vertaling!$B:$C,2,FALSE)</f>
        <v>Doublage Metal Stud indépendant pour un meilleur confort acoustique</v>
      </c>
      <c r="IN93" s="128" t="str">
        <f>VLOOKUP(IN92,[2]Vertaling!$B:$C,2,FALSE)</f>
        <v>Doublage Metal Stud indépendant pour un meilleur confort acoustique</v>
      </c>
      <c r="IO93" s="128" t="str">
        <f>VLOOKUP(IO92,[2]Vertaling!$B:$C,2,FALSE)</f>
        <v>Doublage indépendant sur ossature en bois</v>
      </c>
      <c r="IP93" s="128" t="str">
        <f>VLOOKUP(IP92,[2]Vertaling!$B:$C,2,FALSE)</f>
        <v>Doublage Metal Stud indépendant</v>
      </c>
      <c r="IQ93" s="128" t="str">
        <f>VLOOKUP(IQ92,[2]Vertaling!$B:$C,2,FALSE)</f>
        <v>Doublage Metal Stud indépendant</v>
      </c>
      <c r="IR93" s="128" t="str">
        <f>VLOOKUP(IR92,[2]Vertaling!$B:$C,2,FALSE)</f>
        <v>Doublage Metal Stud indépendant</v>
      </c>
      <c r="IS93" s="128" t="str">
        <f>VLOOKUP(IS92,[2]Vertaling!$B:$C,2,FALSE)</f>
        <v>Doublage Metal Stud indépendant</v>
      </c>
      <c r="IT93" s="128"/>
      <c r="IU93" s="128" t="str">
        <f>VLOOKUP(IU92,[2]Vertaling!$B:$C,2,FALSE)</f>
        <v>Doublage Metal Stud indépendant</v>
      </c>
      <c r="IV93" s="128" t="str">
        <f>VLOOKUP(IV92,[2]Vertaling!$B:$C,2,FALSE)</f>
        <v>Doublage Metal Stud indépendant</v>
      </c>
      <c r="IW93" s="128" t="str">
        <f>VLOOKUP(IW92,[2]Vertaling!$B:$C,2,FALSE)</f>
        <v>Doublage Metal Stud indépendant</v>
      </c>
      <c r="IX93" s="128" t="str">
        <f>VLOOKUP(IX92,[2]Vertaling!$B:$C,2,FALSE)</f>
        <v>Doublage Metal Stud indépendant</v>
      </c>
      <c r="IY93" s="128" t="str">
        <f>VLOOKUP(IY92,[2]Vertaling!$B:$C,2,FALSE)</f>
        <v>Doublage Metal Stud indépendant</v>
      </c>
      <c r="IZ93" s="128" t="str">
        <f>VLOOKUP(IZ92,[2]Vertaling!$B:$C,2,FALSE)</f>
        <v>Doublage Metal Stud indépendant</v>
      </c>
      <c r="JA93" s="128" t="str">
        <f>VLOOKUP(JA92,[2]Vertaling!$B:$C,2,FALSE)</f>
        <v>Doublage Metal Stud indépendant</v>
      </c>
      <c r="JB93" s="128" t="str">
        <f>VLOOKUP(JB92,[2]Vertaling!$B:$C,2,FALSE)</f>
        <v>Doublage Metal Stud indépendant</v>
      </c>
      <c r="JC93" s="128" t="str">
        <f>VLOOKUP(JC92,[2]Vertaling!$B:$C,2,FALSE)</f>
        <v>Doublage Metal Stud indépendant</v>
      </c>
      <c r="JD93" s="128" t="str">
        <f>VLOOKUP(JD92,[2]Vertaling!$B:$C,2,FALSE)</f>
        <v>Doublage Metal Stud indépendant</v>
      </c>
      <c r="JE93" s="128" t="str">
        <f>VLOOKUP(JE92,[2]Vertaling!$B:$C,2,FALSE)</f>
        <v>Doublage Metal Stud indépendant</v>
      </c>
      <c r="JF93" s="128" t="str">
        <f>VLOOKUP(JF92,[2]Vertaling!$B:$C,2,FALSE)</f>
        <v>Doublage Metal Stud indépendant</v>
      </c>
      <c r="JG93" s="128" t="str">
        <f>VLOOKUP(JG92,[2]Vertaling!$B:$C,2,FALSE)</f>
        <v>Doublage Metal Stud indépendant</v>
      </c>
      <c r="JH93" s="128" t="str">
        <f>VLOOKUP(JH92,[2]Vertaling!$B:$C,2,FALSE)</f>
        <v>Doublage Metal Stud indépendant</v>
      </c>
      <c r="JI93" s="128" t="str">
        <f>VLOOKUP(JI92,[2]Vertaling!$B:$C,2,FALSE)</f>
        <v>Doublage Metal Stud indépendant</v>
      </c>
      <c r="JJ93" s="128" t="str">
        <f>VLOOKUP(JJ92,[2]Vertaling!$B:$C,2,FALSE)</f>
        <v>Doublage Metal Stud indépendant</v>
      </c>
      <c r="JK93" s="128" t="str">
        <f>VLOOKUP(JK92,[2]Vertaling!$B:$C,2,FALSE)</f>
        <v>Doublage Metal Stud indépendant</v>
      </c>
      <c r="JL93" s="128" t="str">
        <f>VLOOKUP(JL92,[2]Vertaling!$B:$C,2,FALSE)</f>
        <v>Doublage Metal Stud indépendant</v>
      </c>
      <c r="JM93" s="128" t="str">
        <f>VLOOKUP(JM92,[2]Vertaling!$B:$C,2,FALSE)</f>
        <v>Doublage Metal Stud indépendant</v>
      </c>
      <c r="JN93" s="128" t="str">
        <f>VLOOKUP(JN92,[2]Vertaling!$B:$C,2,FALSE)</f>
        <v>Doublage Metal Stud indépendant</v>
      </c>
      <c r="JO93" s="128" t="str">
        <f>VLOOKUP(JO92,[2]Vertaling!$B:$C,2,FALSE)</f>
        <v>Doublage Metal Stud indépendant</v>
      </c>
      <c r="JP93" s="128" t="str">
        <f>VLOOKUP(JP92,[2]Vertaling!$B:$C,2,FALSE)</f>
        <v>Doublage Metal Stud indépendant</v>
      </c>
      <c r="JQ93" s="128" t="str">
        <f>VLOOKUP(JQ92,[2]Vertaling!$B:$C,2,FALSE)</f>
        <v>Doublage Metal Stud indépendant</v>
      </c>
      <c r="JR93" s="128" t="str">
        <f>VLOOKUP(JR92,[2]Vertaling!$B:$C,2,FALSE)</f>
        <v>Doublage Metal Stud indépendant</v>
      </c>
      <c r="JS93" s="128" t="str">
        <f>VLOOKUP(JS92,[2]Vertaling!$B:$C,2,FALSE)</f>
        <v>Doublage Metal Stud indépendant</v>
      </c>
      <c r="JT93" s="128" t="str">
        <f>VLOOKUP(JT92,[2]Vertaling!$B:$C,2,FALSE)</f>
        <v>Doublage Metal Stud indépendant</v>
      </c>
      <c r="JU93" s="128" t="str">
        <f>VLOOKUP(JU92,[2]Vertaling!$B:$C,2,FALSE)</f>
        <v>Doublage Metal Stud indépendant</v>
      </c>
      <c r="JV93" s="128" t="str">
        <f>VLOOKUP(JV92,[2]Vertaling!$B:$C,2,FALSE)</f>
        <v>Doublage Metal Stud indépendant</v>
      </c>
      <c r="JW93" s="128" t="str">
        <f>VLOOKUP(JW92,[2]Vertaling!$B:$C,2,FALSE)</f>
        <v>Doublage Metal Stud indépendant</v>
      </c>
      <c r="JX93" s="128" t="str">
        <f>VLOOKUP(JX92,[2]Vertaling!$B:$C,2,FALSE)</f>
        <v>Doublage Metal Stud indépendant</v>
      </c>
      <c r="JY93" s="128" t="str">
        <f>VLOOKUP(JY92,[2]Vertaling!$B:$C,2,FALSE)</f>
        <v>Doublage Metal Stud indépendant</v>
      </c>
      <c r="JZ93" s="128" t="str">
        <f>VLOOKUP(JZ92,[2]Vertaling!$B:$C,2,FALSE)</f>
        <v>Doublage Metal Stud indépendant</v>
      </c>
      <c r="KA93" s="128" t="str">
        <f>VLOOKUP(KA92,[2]Vertaling!$B:$C,2,FALSE)</f>
        <v>Doublage Metal Stud indépendant</v>
      </c>
      <c r="KB93" s="128" t="str">
        <f>VLOOKUP(KB92,[2]Vertaling!$B:$C,2,FALSE)</f>
        <v>Doublage Metal Stud indépendant</v>
      </c>
      <c r="KC93" s="128" t="str">
        <f>VLOOKUP(KC92,[2]Vertaling!$B:$C,2,FALSE)</f>
        <v>Doublage Metal Stud indépendant</v>
      </c>
      <c r="KD93" s="128"/>
      <c r="KE93" s="128" t="str">
        <f>VLOOKUP(KE92,[2]Vertaling!$B:$C,2,FALSE)</f>
        <v>Doublage Metal Stud indépendant pour un meilleur confort acoustique</v>
      </c>
      <c r="KF93" s="128" t="str">
        <f>VLOOKUP(KF92,[2]Vertaling!$B:$C,2,FALSE)</f>
        <v>Doublage Metal Stud indépendant pour un meilleur confort acoustique</v>
      </c>
      <c r="KG93" s="128" t="str">
        <f>VLOOKUP(KG92,[2]Vertaling!$B:$C,2,FALSE)</f>
        <v>Doublage Metal Stud indépendant pour un meilleur confort acoustique</v>
      </c>
      <c r="KH93" s="128" t="str">
        <f>VLOOKUP(KH92,[2]Vertaling!$B:$C,2,FALSE)</f>
        <v>Doublage Metal Stud indépendant pour un meilleur confort acoustique</v>
      </c>
      <c r="KI93" s="128" t="str">
        <f>VLOOKUP(KI92,[2]Vertaling!$B:$C,2,FALSE)</f>
        <v>Doublage Metal Stud indépendant pour un meilleur confort acoustique</v>
      </c>
      <c r="KJ93" s="128" t="str">
        <f>VLOOKUP(KJ92,[2]Vertaling!$B:$C,2,FALSE)</f>
        <v>Doublage Metal Stud indépendant pour un meilleur confort acoustique</v>
      </c>
      <c r="KK93" s="128" t="str">
        <f>VLOOKUP(KK92,[2]Vertaling!$B:$C,2,FALSE)</f>
        <v>Doublage Metal Stud indépendant pour un meilleur confort acoustique</v>
      </c>
      <c r="KL93" s="128" t="str">
        <f>VLOOKUP(KL92,[2]Vertaling!$B:$C,2,FALSE)</f>
        <v>Doublage Metal Stud indépendant pour un meilleur confort acoustique</v>
      </c>
      <c r="KM93" s="128" t="str">
        <f>VLOOKUP(KM92,[2]Vertaling!$B:$C,2,FALSE)</f>
        <v>Doublage Metal Stud indépendant pour un meilleur confort acoustique</v>
      </c>
      <c r="KN93" s="128" t="str">
        <f>VLOOKUP(KN92,[2]Vertaling!$B:$C,2,FALSE)</f>
        <v>Doublage Metal Stud indépendant pour un meilleur confort acoustique</v>
      </c>
      <c r="KO93" s="128" t="str">
        <f>VLOOKUP(KO92,[2]Vertaling!$B:$C,2,FALSE)</f>
        <v>Doublage Metal Stud indépendant pour un meilleur confort acoustique</v>
      </c>
      <c r="KP93" s="128" t="str">
        <f>VLOOKUP(KP92,[2]Vertaling!$B:$C,2,FALSE)</f>
        <v>Doublage Metal Stud indépendant pour un meilleur confort acoustique</v>
      </c>
      <c r="KQ93" s="128"/>
      <c r="KR93" s="128" t="str">
        <f>VLOOKUP(KR92,[2]Vertaling!$B:$C,2,FALSE)</f>
        <v>Doublage courbe</v>
      </c>
      <c r="KS93" s="128" t="str">
        <f>VLOOKUP(KS92,[2]Vertaling!$B:$C,2,FALSE)</f>
        <v>Doublage courbe</v>
      </c>
      <c r="KT93" s="128" t="str">
        <f>VLOOKUP(KT92,[2]Vertaling!$B:$C,2,FALSE)</f>
        <v>Doublage courbe</v>
      </c>
      <c r="KU93" s="128" t="str">
        <f>VLOOKUP(KU92,[2]Vertaling!$B:$C,2,FALSE)</f>
        <v>Doublage courbe</v>
      </c>
      <c r="KV93" s="128" t="str">
        <f>VLOOKUP(KV92,[2]Vertaling!$B:$C,2,FALSE)</f>
        <v>Doublage courbe</v>
      </c>
      <c r="KW93" s="128" t="str">
        <f>VLOOKUP(KW92,[2]Vertaling!$B:$C,2,FALSE)</f>
        <v>Doublage courbe</v>
      </c>
      <c r="KX93" s="128" t="str">
        <f>VLOOKUP(KX92,[2]Vertaling!$B:$C,2,FALSE)</f>
        <v>Doublage courbe</v>
      </c>
      <c r="KY93" s="128" t="str">
        <f>VLOOKUP(KY92,[2]Vertaling!$B:$C,2,FALSE)</f>
        <v>Doublage courbe</v>
      </c>
      <c r="KZ93" s="128" t="str">
        <f>VLOOKUP(KZ92,[2]Vertaling!$B:$C,2,FALSE)</f>
        <v>Doublage courbe</v>
      </c>
      <c r="LA93" s="128" t="str">
        <f>VLOOKUP(LA92,[2]Vertaling!$B:$C,2,FALSE)</f>
        <v>Doublage courbe</v>
      </c>
      <c r="LB93" s="128" t="str">
        <f>VLOOKUP(LB92,[2]Vertaling!$B:$C,2,FALSE)</f>
        <v>Doublage courbe</v>
      </c>
      <c r="LC93" s="128" t="str">
        <f>VLOOKUP(LC92,[2]Vertaling!$B:$C,2,FALSE)</f>
        <v>Doublage courbe</v>
      </c>
      <c r="LD93" s="128" t="str">
        <f>VLOOKUP(LD92,[2]Vertaling!$B:$C,2,FALSE)</f>
        <v>Doublage courbe</v>
      </c>
      <c r="LE93" s="128" t="str">
        <f>VLOOKUP(LE92,[2]Vertaling!$B:$C,2,FALSE)</f>
        <v>Doublage courbe</v>
      </c>
      <c r="LF93" s="128" t="str">
        <f>VLOOKUP(LF92,[2]Vertaling!$B:$C,2,FALSE)</f>
        <v>Doublage courbe</v>
      </c>
      <c r="LG93" s="128" t="str">
        <f>VLOOKUP(LG92,[2]Vertaling!$B:$C,2,FALSE)</f>
        <v>Doublage courbe</v>
      </c>
      <c r="LH93" s="128"/>
      <c r="LI93" s="128" t="str">
        <f>VLOOKUP(LI92,[2]Vertaling!$B:$C,2,FALSE)</f>
        <v>Plafonnage à sec</v>
      </c>
      <c r="LJ93" s="128" t="str">
        <f>VLOOKUP(LJ92,[2]Vertaling!$B:$C,2,FALSE)</f>
        <v>Plafonnage à sec</v>
      </c>
      <c r="LK93" s="143" t="str">
        <f>VLOOKUP(LK92,[2]Vertaling!$B:$C,2,FALSE)</f>
        <v>Plafonnage à sec</v>
      </c>
      <c r="LL93" s="143" t="str">
        <f>VLOOKUP(LL92,[2]Vertaling!$B:$C,2,FALSE)</f>
        <v>Plafonnage à sec</v>
      </c>
      <c r="LM93" s="143" t="str">
        <f>VLOOKUP(LM92,[2]Vertaling!$B:$C,2,FALSE)</f>
        <v>Plafonnage à sec</v>
      </c>
      <c r="LN93" s="143" t="str">
        <f>VLOOKUP(LN92,[2]Vertaling!$B:$C,2,FALSE)</f>
        <v>Plafonnage à sec</v>
      </c>
      <c r="LO93" s="143" t="str">
        <f>VLOOKUP(LO92,[2]Vertaling!$B:$C,2,FALSE)</f>
        <v>Plafonnage à sec</v>
      </c>
      <c r="LP93" s="128" t="str">
        <f>VLOOKUP(LP92,[2]Vertaling!$B:$C,2,FALSE)</f>
        <v>Plafonnage à sec</v>
      </c>
      <c r="LQ93" s="128" t="str">
        <f>VLOOKUP(LQ92,[2]Vertaling!$B:$C,2,FALSE)</f>
        <v>Plafonnage à sec</v>
      </c>
      <c r="LR93" s="128" t="str">
        <f>VLOOKUP(LR92,[2]Vertaling!$B:$C,2,FALSE)</f>
        <v>Plafonnage à sec</v>
      </c>
      <c r="LS93" s="128" t="str">
        <f>VLOOKUP(LS92,[2]Vertaling!$B:$C,2,FALSE)</f>
        <v>Plafonnage à sec</v>
      </c>
      <c r="LT93" s="128" t="str">
        <f>VLOOKUP(LT92,[2]Vertaling!$B:$C,2,FALSE)</f>
        <v>Plafonnage à sec</v>
      </c>
      <c r="LU93" s="143" t="str">
        <f>VLOOKUP(LU92,[2]Vertaling!$B:$C,2,FALSE)</f>
        <v>Plafonnage à sec</v>
      </c>
      <c r="LV93" s="143" t="str">
        <f>VLOOKUP(LV92,[2]Vertaling!$B:$C,2,FALSE)</f>
        <v>Plafonnage à sec</v>
      </c>
      <c r="LW93" s="143" t="str">
        <f>VLOOKUP(LW92,[2]Vertaling!$B:$C,2,FALSE)</f>
        <v>Plafonnage à sec</v>
      </c>
      <c r="LX93" s="143" t="str">
        <f>VLOOKUP(LX92,[2]Vertaling!$B:$C,2,FALSE)</f>
        <v>Plafonnage à sec</v>
      </c>
      <c r="LY93" s="143" t="str">
        <f>VLOOKUP(LY92,[2]Vertaling!$B:$C,2,FALSE)</f>
        <v>Plafonnage à sec</v>
      </c>
      <c r="LZ93" s="143" t="str">
        <f>VLOOKUP(LZ92,[2]Vertaling!$B:$C,2,FALSE)</f>
        <v>Plafonnage à sec</v>
      </c>
      <c r="MA93" s="143" t="str">
        <f>VLOOKUP(MA92,[2]Vertaling!$B:$C,2,FALSE)</f>
        <v>Plafonnage à sec</v>
      </c>
      <c r="MB93" s="143" t="str">
        <f>VLOOKUP(MB92,[2]Vertaling!$B:$C,2,FALSE)</f>
        <v>Plafonnage à sec</v>
      </c>
      <c r="MC93" s="143" t="str">
        <f>VLOOKUP(MC92,[2]Vertaling!$B:$C,2,FALSE)</f>
        <v>Plafonnage à sec</v>
      </c>
      <c r="MD93" s="143" t="str">
        <f>VLOOKUP(MD92,[2]Vertaling!$B:$C,2,FALSE)</f>
        <v>Plafonnage à sec</v>
      </c>
      <c r="ME93" s="143" t="str">
        <f>VLOOKUP(ME92,[2]Vertaling!$B:$C,2,FALSE)</f>
        <v>Plafonnage à sec</v>
      </c>
      <c r="MF93" s="143" t="str">
        <f>VLOOKUP(MF92,[2]Vertaling!$B:$C,2,FALSE)</f>
        <v>Plafonnage à sec</v>
      </c>
      <c r="MG93" s="143" t="str">
        <f>VLOOKUP(MG92,[2]Vertaling!$B:$C,2,FALSE)</f>
        <v>Plafonnage à sec</v>
      </c>
      <c r="MH93" s="128" t="str">
        <f>VLOOKUP(MH92,[2]Vertaling!$B:$C,2,FALSE)</f>
        <v>Plafonnage à sec</v>
      </c>
      <c r="MI93" s="128" t="str">
        <f>VLOOKUP(MI92,[2]Vertaling!$B:$C,2,FALSE)</f>
        <v>Plafonnage à sec</v>
      </c>
      <c r="MJ93" s="128" t="str">
        <f>VLOOKUP(MJ92,[2]Vertaling!$B:$C,2,FALSE)</f>
        <v>Plafonnage à sec</v>
      </c>
      <c r="MK93" s="128" t="str">
        <f>VLOOKUP(MK92,[2]Vertaling!$B:$C,2,FALSE)</f>
        <v>Plafonnage à sec</v>
      </c>
      <c r="ML93" s="128" t="str">
        <f>VLOOKUP(ML92,[2]Vertaling!$B:$C,2,FALSE)</f>
        <v>Plafonnage à sec</v>
      </c>
      <c r="MM93" s="128" t="str">
        <f>VLOOKUP(MM92,[2]Vertaling!$B:$C,2,FALSE)</f>
        <v>Plafonnage à sec</v>
      </c>
      <c r="MN93" s="128" t="str">
        <f>VLOOKUP(MN92,[2]Vertaling!$B:$C,2,FALSE)</f>
        <v>Plafonnage à sec</v>
      </c>
      <c r="MO93" s="128" t="str">
        <f>VLOOKUP(MO92,[2]Vertaling!$B:$C,2,FALSE)</f>
        <v>Plafonnage à sec</v>
      </c>
      <c r="MP93" s="128" t="str">
        <f>VLOOKUP(MP92,[2]Vertaling!$B:$C,2,FALSE)</f>
        <v>Plafonnage à sec</v>
      </c>
      <c r="MQ93" s="141" t="str">
        <f>VLOOKUP(MQ92,[2]Vertaling!$B:$C,2,FALSE)</f>
        <v>Plafonnage à sec</v>
      </c>
      <c r="MR93" s="141" t="str">
        <f>VLOOKUP(MR92,[2]Vertaling!$B:$C,2,FALSE)</f>
        <v>Plafonnage à sec</v>
      </c>
      <c r="MS93" s="141" t="str">
        <f>VLOOKUP(MS92,[2]Vertaling!$B:$C,2,FALSE)</f>
        <v>Plafonnage à sec</v>
      </c>
      <c r="MT93" s="141" t="str">
        <f>VLOOKUP(MT92,[2]Vertaling!$B:$C,2,FALSE)</f>
        <v>Plafonnage à sec</v>
      </c>
      <c r="MU93" s="141" t="str">
        <f>VLOOKUP(MU92,[2]Vertaling!$B:$C,2,FALSE)</f>
        <v>Plafonnage à sec</v>
      </c>
      <c r="MV93" s="141" t="str">
        <f>VLOOKUP(MV92,[2]Vertaling!$B:$C,2,FALSE)</f>
        <v>Plafonnage à sec</v>
      </c>
      <c r="MW93" s="141" t="str">
        <f>VLOOKUP(MW92,[2]Vertaling!$B:$C,2,FALSE)</f>
        <v>Plafonnage à sec</v>
      </c>
      <c r="MX93" s="141" t="str">
        <f>VLOOKUP(MX92,[2]Vertaling!$B:$C,2,FALSE)</f>
        <v>Plafonnage à sec</v>
      </c>
      <c r="MY93" s="141" t="str">
        <f>VLOOKUP(MY92,[2]Vertaling!$B:$C,2,FALSE)</f>
        <v>Plafonnage à sec</v>
      </c>
      <c r="MZ93" s="128"/>
      <c r="NA93" s="128" t="str">
        <f>VLOOKUP(NA92,[2]Vertaling!$B:$C,2,FALSE)</f>
        <v>Revêtement mural sur sous-structure en bois</v>
      </c>
      <c r="NB93" s="143" t="str">
        <f>VLOOKUP(NB92,[2]Vertaling!$B:$C,2,FALSE)</f>
        <v>Revêtement mural sur sous-structure en bois</v>
      </c>
      <c r="NC93" s="143" t="str">
        <f>VLOOKUP(NC92,[2]Vertaling!$B:$C,2,FALSE)</f>
        <v>Revêtement mural sur sous-structure en bois</v>
      </c>
      <c r="ND93" s="143" t="str">
        <f>VLOOKUP(ND92,[2]Vertaling!$B:$C,2,FALSE)</f>
        <v>Revêtement mural sur sous-structure en bois</v>
      </c>
      <c r="NE93" s="143" t="str">
        <f>VLOOKUP(NE92,[2]Vertaling!$B:$C,2,FALSE)</f>
        <v>Revêtement mural sur sous-structure en bois</v>
      </c>
      <c r="NF93" s="143" t="str">
        <f>VLOOKUP(NF92,[2]Vertaling!$B:$C,2,FALSE)</f>
        <v>Revêtement mural sur sous-structure en bois</v>
      </c>
      <c r="NG93" s="128" t="str">
        <f>VLOOKUP(NG92,[2]Vertaling!$B:$C,2,FALSE)</f>
        <v>Revêtement mural sur sous-structure en bois</v>
      </c>
      <c r="NH93" s="128" t="str">
        <f>VLOOKUP(NH92,[2]Vertaling!$B:$C,2,FALSE)</f>
        <v>Revêtement mural sur sous-structure en bois</v>
      </c>
      <c r="NI93" s="128" t="str">
        <f>VLOOKUP(NI92,[2]Vertaling!$B:$C,2,FALSE)</f>
        <v>Revêtement mural sur sous-structure en bois</v>
      </c>
      <c r="NJ93" s="128" t="str">
        <f>VLOOKUP(NJ92,[2]Vertaling!$B:$C,2,FALSE)</f>
        <v>Revêtement mural sur sous-structure en bois</v>
      </c>
      <c r="NK93" s="128" t="str">
        <f>VLOOKUP(NK92,[2]Vertaling!$B:$C,2,FALSE)</f>
        <v>Revêtement mural sur sous-structure en bois</v>
      </c>
      <c r="NL93" s="141" t="str">
        <f>VLOOKUP(NL92,[2]Vertaling!$B:$C,2,FALSE)</f>
        <v>Revêtement mural sur sous-structure en bois</v>
      </c>
      <c r="NM93" s="141" t="str">
        <f>VLOOKUP(NM92,[2]Vertaling!$B:$C,2,FALSE)</f>
        <v>Revêtement mural sur sous-structure en bois</v>
      </c>
      <c r="NN93" s="141" t="str">
        <f>VLOOKUP(NN92,[2]Vertaling!$B:$C,2,FALSE)</f>
        <v>Revêtement mural sur sous-structure en bois</v>
      </c>
      <c r="NO93" s="141" t="str">
        <f>VLOOKUP(NO92,[2]Vertaling!$B:$C,2,FALSE)</f>
        <v>Revêtement mural sur sous-structure en bois</v>
      </c>
      <c r="NP93" s="141" t="str">
        <f>VLOOKUP(NP92,[2]Vertaling!$B:$C,2,FALSE)</f>
        <v>Revêtement mural sur sous-structure en bois</v>
      </c>
      <c r="NQ93" s="128" t="str">
        <f>VLOOKUP(NQ92,[2]Vertaling!$B:$C,2,FALSE)</f>
        <v>Revêtement mural sur sous-structure en bois</v>
      </c>
      <c r="NR93" s="128"/>
      <c r="NS93" s="128" t="str">
        <f>VLOOKUP(NS92,[2]Vertaling!$B:$C,2,FALSE)</f>
        <v xml:space="preserve">Doublage Metal Stud pour locaux humides </v>
      </c>
      <c r="NT93" s="128" t="str">
        <f>VLOOKUP(NT92,[2]Vertaling!$B:$C,2,FALSE)</f>
        <v xml:space="preserve">Doublage Metal Stud pour locaux humides </v>
      </c>
      <c r="NU93" s="128" t="str">
        <f>VLOOKUP(NU92,[2]Vertaling!$B:$C,2,FALSE)</f>
        <v xml:space="preserve">Doublage Metal Stud pour locaux humides </v>
      </c>
      <c r="NV93" s="128" t="str">
        <f>VLOOKUP(NV92,[2]Vertaling!$B:$C,2,FALSE)</f>
        <v xml:space="preserve">Doublage Metal Stud pour locaux humides </v>
      </c>
      <c r="NW93" s="128" t="str">
        <f>VLOOKUP(NW92,[2]Vertaling!$B:$C,2,FALSE)</f>
        <v xml:space="preserve">Doublage Metal Stud pour locaux humides </v>
      </c>
      <c r="NX93" s="128" t="str">
        <f>VLOOKUP(NX92,[2]Vertaling!$B:$C,2,FALSE)</f>
        <v xml:space="preserve">Doublage Metal Stud pour locaux humides </v>
      </c>
      <c r="NY93" s="128" t="str">
        <f>VLOOKUP(NY92,[2]Vertaling!$B:$C,2,FALSE)</f>
        <v xml:space="preserve">Doublage Metal Stud pour locaux humides </v>
      </c>
      <c r="NZ93" s="128" t="str">
        <f>VLOOKUP(NZ92,[2]Vertaling!$B:$C,2,FALSE)</f>
        <v xml:space="preserve">Doublage Metal Stud pour locaux humides </v>
      </c>
      <c r="OA93" s="128" t="str">
        <f>VLOOKUP(OA92,[2]Vertaling!$B:$C,2,FALSE)</f>
        <v xml:space="preserve">Doublage Metal Stud pour locaux humides </v>
      </c>
      <c r="OB93" s="128" t="str">
        <f>VLOOKUP(OB92,[2]Vertaling!$B:$C,2,FALSE)</f>
        <v xml:space="preserve">Doublage Metal Stud pour locaux humides </v>
      </c>
      <c r="OC93" s="128" t="str">
        <f>VLOOKUP(OC92,[2]Vertaling!$B:$C,2,FALSE)</f>
        <v xml:space="preserve">Doublage Metal Stud pour locaux humides </v>
      </c>
      <c r="OD93" s="128" t="str">
        <f>VLOOKUP(OD92,[2]Vertaling!$B:$C,2,FALSE)</f>
        <v xml:space="preserve">Doublage Metal Stud pour locaux humides </v>
      </c>
      <c r="OE93" s="128"/>
      <c r="OF93" s="128" t="str">
        <f>VLOOKUP(OF92,[2]Vertaling!$B:$C,2,FALSE)</f>
        <v>Doublage Metal Stud indépendant pour une haute résistance aux chocs</v>
      </c>
      <c r="OG93" s="128" t="str">
        <f>VLOOKUP(OG92,[2]Vertaling!$B:$C,2,FALSE)</f>
        <v>Doublage Metal Stud indépendant pour une haute résistance aux chocs</v>
      </c>
      <c r="OH93" s="128" t="str">
        <f>VLOOKUP(OH92,[2]Vertaling!$B:$C,2,FALSE)</f>
        <v>Doublage Metal Stud indépendant pour une haute résistance aux chocs</v>
      </c>
      <c r="OI93" s="128" t="str">
        <f>VLOOKUP(OI92,[2]Vertaling!$B:$C,2,FALSE)</f>
        <v>Doublage Metal Stud indépendant pour une haute résistance aux chocs</v>
      </c>
      <c r="OJ93" s="128" t="str">
        <f>VLOOKUP(OJ92,[2]Vertaling!$B:$C,2,FALSE)</f>
        <v>Doublage Metal Stud indépendant pour une haute résistance aux chocs</v>
      </c>
      <c r="OK93" s="128" t="str">
        <f>VLOOKUP(OK92,[2]Vertaling!$B:$C,2,FALSE)</f>
        <v>Doublage Metal Stud indépendant pour une haute résistance aux chocs</v>
      </c>
      <c r="OL93" s="128" t="str">
        <f>VLOOKUP(OL92,[2]Vertaling!$B:$C,2,FALSE)</f>
        <v>Doublage Metal Stud indépendant pour une haute résistance aux chocs</v>
      </c>
      <c r="OM93" s="128" t="str">
        <f>VLOOKUP(OM92,[2]Vertaling!$B:$C,2,FALSE)</f>
        <v>Doublage Metal Stud indépendant pour une haute résistance aux chocs</v>
      </c>
      <c r="ON93" s="128" t="str">
        <f>VLOOKUP(ON92,[2]Vertaling!$B:$C,2,FALSE)</f>
        <v>Doublage Metal Stud indépendant pour une haute résistance aux chocs</v>
      </c>
      <c r="OO93" s="128"/>
      <c r="OQ93" s="128" t="str">
        <f>VLOOKUP(OQ92,[2]Vertaling!$B:$C,2,FALSE)</f>
        <v>Plafond Metal Stud autoportant</v>
      </c>
      <c r="OR93" s="128" t="str">
        <f>VLOOKUP(OR92,[2]Vertaling!$B:$C,2,FALSE)</f>
        <v>Plafond Metal Stud autoportant</v>
      </c>
      <c r="OS93" s="128" t="str">
        <f>VLOOKUP(OS92,[2]Vertaling!$B:$C,2,FALSE)</f>
        <v>Plafond Metal Stud autoportant</v>
      </c>
      <c r="OT93" s="128" t="str">
        <f>VLOOKUP(OT92,[2]Vertaling!$B:$C,2,FALSE)</f>
        <v>Plafond Metal Stud autoportant</v>
      </c>
      <c r="OU93" s="128" t="str">
        <f>VLOOKUP(OU92,[2]Vertaling!$B:$C,2,FALSE)</f>
        <v>Plafond Metal Stud autoportant</v>
      </c>
      <c r="OV93" s="128" t="str">
        <f>VLOOKUP(OV92,[2]Vertaling!$B:$C,2,FALSE)</f>
        <v>Plafond Metal Stud autoportant</v>
      </c>
      <c r="OW93" s="128" t="str">
        <f>VLOOKUP(OW92,[2]Vertaling!$B:$C,2,FALSE)</f>
        <v>Plafond Metal Stud autoportant</v>
      </c>
      <c r="OX93" s="128" t="str">
        <f>VLOOKUP(OX92,[2]Vertaling!$B:$C,2,FALSE)</f>
        <v>Plafond Metal Stud autoportant</v>
      </c>
      <c r="OY93" s="128" t="str">
        <f>VLOOKUP(OY92,[2]Vertaling!$B:$C,2,FALSE)</f>
        <v>Plafond Metal Stud autoportant</v>
      </c>
      <c r="OZ93" s="128" t="str">
        <f>VLOOKUP(OZ92,[2]Vertaling!$B:$C,2,FALSE)</f>
        <v>Plafond Metal Stud autoportant</v>
      </c>
      <c r="PA93" s="128" t="str">
        <f>VLOOKUP(PA92,[2]Vertaling!$B:$C,2,FALSE)</f>
        <v>Plafond Metal Stud autoportant</v>
      </c>
      <c r="PB93" s="128" t="str">
        <f>VLOOKUP(PB92,[2]Vertaling!$B:$C,2,FALSE)</f>
        <v>Plafond Metal Stud autoportant</v>
      </c>
      <c r="PC93" s="128" t="str">
        <f>VLOOKUP(PC92,[2]Vertaling!$B:$C,2,FALSE)</f>
        <v>Plafond Metal Stud autoportant</v>
      </c>
      <c r="PD93" s="128" t="str">
        <f>VLOOKUP(PD92,[2]Vertaling!$B:$C,2,FALSE)</f>
        <v>Plafond Metal Stud autoportant</v>
      </c>
      <c r="PE93" s="128" t="str">
        <f>VLOOKUP(PE92,[2]Vertaling!$B:$C,2,FALSE)</f>
        <v>Plafond Metal Stud autoportant</v>
      </c>
      <c r="PF93" s="128" t="str">
        <f>VLOOKUP(PF92,[2]Vertaling!$B:$C,2,FALSE)</f>
        <v>Plafond Metal Stud autoportant</v>
      </c>
      <c r="PG93" s="128" t="str">
        <f>VLOOKUP(PG92,[2]Vertaling!$B:$C,2,FALSE)</f>
        <v>Plafond Metal Stud autoportant</v>
      </c>
      <c r="PH93" s="128" t="str">
        <f>VLOOKUP(PH92,[2]Vertaling!$B:$C,2,FALSE)</f>
        <v>Plafond Metal Stud autoportant</v>
      </c>
      <c r="PI93" s="128" t="str">
        <f>VLOOKUP(PI92,[2]Vertaling!$B:$C,2,FALSE)</f>
        <v>Plafond Metal Stud autoportant</v>
      </c>
      <c r="PJ93" s="128" t="str">
        <f>VLOOKUP(PJ92,[2]Vertaling!$B:$C,2,FALSE)</f>
        <v>Plafond Metal Stud autoportant</v>
      </c>
      <c r="PK93" s="128" t="str">
        <f>VLOOKUP(PK92,[2]Vertaling!$B:$C,2,FALSE)</f>
        <v>Plafond Metal Stud autoportant</v>
      </c>
      <c r="PL93" s="128" t="str">
        <f>VLOOKUP(PL92,[2]Vertaling!$B:$C,2,FALSE)</f>
        <v>Plafond Metal Stud autoportant</v>
      </c>
      <c r="PM93" s="128" t="str">
        <f>VLOOKUP(PM92,[2]Vertaling!$B:$C,2,FALSE)</f>
        <v>Plafond Metal Stud autoportant</v>
      </c>
      <c r="PN93" s="128" t="str">
        <f>VLOOKUP(PN92,[2]Vertaling!$B:$C,2,FALSE)</f>
        <v>Plafond Metal Stud autoportant</v>
      </c>
      <c r="PO93" s="128" t="str">
        <f>VLOOKUP(PO92,[2]Vertaling!$B:$C,2,FALSE)</f>
        <v>Plafond Metal Stud autoportant</v>
      </c>
      <c r="PP93" s="128" t="str">
        <f>VLOOKUP(PP92,[2]Vertaling!$B:$C,2,FALSE)</f>
        <v>Plafond Metal Stud autoportant</v>
      </c>
      <c r="PQ93" s="128" t="str">
        <f>VLOOKUP(PQ92,[2]Vertaling!$B:$C,2,FALSE)</f>
        <v>Plafond Metal Stud autoportant</v>
      </c>
      <c r="PR93" s="128" t="str">
        <f>VLOOKUP(PR92,[2]Vertaling!$B:$C,2,FALSE)</f>
        <v>Plafond Metal Stud autoportant</v>
      </c>
      <c r="PS93" s="128" t="str">
        <f>VLOOKUP(PS92,[2]Vertaling!$B:$C,2,FALSE)</f>
        <v>Plafond Metal Stud autoportant</v>
      </c>
      <c r="PT93" s="128" t="str">
        <f>VLOOKUP(PT92,[2]Vertaling!$B:$C,2,FALSE)</f>
        <v>Plafond Metal Stud autoportant</v>
      </c>
      <c r="PU93" s="128" t="str">
        <f>VLOOKUP(PU92,[2]Vertaling!$B:$C,2,FALSE)</f>
        <v>Plafond Metal Stud autoportant</v>
      </c>
      <c r="PV93" s="128" t="str">
        <f>VLOOKUP(PV92,[2]Vertaling!$B:$C,2,FALSE)</f>
        <v>Plafond Metal Stud autoportant</v>
      </c>
      <c r="PW93" s="128" t="str">
        <f>VLOOKUP(PW92,[2]Vertaling!$B:$C,2,FALSE)</f>
        <v>Plafond Metal Stud autoportant</v>
      </c>
      <c r="PX93" s="128" t="str">
        <f>VLOOKUP(PX92,[2]Vertaling!$B:$C,2,FALSE)</f>
        <v>Plafond Metal Stud autoportant</v>
      </c>
      <c r="PY93" s="128" t="str">
        <f>VLOOKUP(PY92,[2]Vertaling!$B:$C,2,FALSE)</f>
        <v>Plafond Metal Stud autoportant</v>
      </c>
      <c r="PZ93" s="128" t="str">
        <f>VLOOKUP(PZ92,[2]Vertaling!$B:$C,2,FALSE)</f>
        <v>Plafond Metal Stud autoportant</v>
      </c>
      <c r="QA93" s="128" t="str">
        <f>VLOOKUP(QA92,[2]Vertaling!$B:$C,2,FALSE)</f>
        <v>Plafond Metal Stud autoportant</v>
      </c>
      <c r="QB93" s="128" t="str">
        <f>VLOOKUP(QB92,[2]Vertaling!$B:$C,2,FALSE)</f>
        <v>Plafond Metal Stud autoportant</v>
      </c>
      <c r="QC93" s="128" t="str">
        <f>VLOOKUP(QC92,[2]Vertaling!$B:$C,2,FALSE)</f>
        <v>Plafond Metal Stud autoportant</v>
      </c>
      <c r="QD93" s="128" t="str">
        <f>VLOOKUP(QD92,[2]Vertaling!$B:$C,2,FALSE)</f>
        <v>Plafond Metal Stud autoportant pour un meilleur confort acoustique</v>
      </c>
      <c r="QE93" s="128" t="str">
        <f>VLOOKUP(QE92,[2]Vertaling!$B:$C,2,FALSE)</f>
        <v>Plafond Metal Stud autoportant pour un meilleur confort acoustique</v>
      </c>
      <c r="QF93" s="128" t="str">
        <f>VLOOKUP(QF92,[2]Vertaling!$B:$C,2,FALSE)</f>
        <v>Plafond Metal Stud autoportant pour un meilleur confort acoustique</v>
      </c>
      <c r="QG93" s="128" t="str">
        <f>VLOOKUP(QG92,[2]Vertaling!$B:$C,2,FALSE)</f>
        <v>Plafond Metal Stud autoportant pour un meilleur confort acoustique</v>
      </c>
      <c r="QH93" s="128" t="str">
        <f>VLOOKUP(QH92,[2]Vertaling!$B:$C,2,FALSE)</f>
        <v>Plafond Metal Stud autoportant pour un meilleur confort acoustique</v>
      </c>
      <c r="QI93" s="128" t="str">
        <f>VLOOKUP(QI92,[2]Vertaling!$B:$C,2,FALSE)</f>
        <v>Plafond Metal Stud autoportant pour un meilleur confort acoustique</v>
      </c>
      <c r="QJ93" s="128" t="str">
        <f>VLOOKUP(QJ92,[2]Vertaling!$B:$C,2,FALSE)</f>
        <v>Plafond Metal Stud autoportant pour un meilleur confort acoustique</v>
      </c>
      <c r="QK93" s="128" t="str">
        <f>VLOOKUP(QK92,[2]Vertaling!$B:$C,2,FALSE)</f>
        <v>Plafond Metal Stud autoportant pour un meilleur confort acoustique</v>
      </c>
      <c r="QL93" s="128" t="str">
        <f>VLOOKUP(QL92,[2]Vertaling!$B:$C,2,FALSE)</f>
        <v>Plafond Metal Stud autoportant pour un meilleur confort acoustique</v>
      </c>
      <c r="QM93" s="128" t="str">
        <f>VLOOKUP(QM92,[2]Vertaling!$B:$C,2,FALSE)</f>
        <v>Plafond Metal Stud autoportant pour un meilleur confort acoustique</v>
      </c>
      <c r="QN93" s="128" t="str">
        <f>VLOOKUP(QN92,[2]Vertaling!$B:$C,2,FALSE)</f>
        <v>Plafond PlaGyp S suspendu sur sous-structure simple</v>
      </c>
      <c r="QO93" s="128" t="str">
        <f>VLOOKUP(QO92,[2]Vertaling!$B:$C,2,FALSE)</f>
        <v>Plafond PlaGyp S suspendu sur sous-structure simple</v>
      </c>
      <c r="QP93" s="128" t="str">
        <f>VLOOKUP(QP92,[2]Vertaling!$B:$C,2,FALSE)</f>
        <v>Plafond PlaGyp S suspendu sur sous-structure simple</v>
      </c>
      <c r="QQ93" s="128" t="str">
        <f>VLOOKUP(QQ92,[2]Vertaling!$B:$C,2,FALSE)</f>
        <v>Plafond PlaGyp S suspendu sur sous-structure simple</v>
      </c>
      <c r="QR93" s="128" t="str">
        <f>VLOOKUP(QR92,[2]Vertaling!$B:$C,2,FALSE)</f>
        <v>Plafond PlaGyp S suspendu sur sous-structure simple</v>
      </c>
      <c r="QS93" s="128" t="str">
        <f>VLOOKUP(QS92,[2]Vertaling!$B:$C,2,FALSE)</f>
        <v>Plafond PlaGyp S suspendu sur sous-structure simple</v>
      </c>
      <c r="QT93" s="128" t="str">
        <f>VLOOKUP(QT92,[2]Vertaling!$B:$C,2,FALSE)</f>
        <v>Plafond PlaGyp S suspendu sur sous-structure simple</v>
      </c>
      <c r="QU93" s="128" t="str">
        <f>VLOOKUP(QU92,[2]Vertaling!$B:$C,2,FALSE)</f>
        <v>Plafond PlaGyp S suspendu sur sous-structure simple</v>
      </c>
      <c r="QV93" s="128" t="str">
        <f>VLOOKUP(QV92,[2]Vertaling!$B:$C,2,FALSE)</f>
        <v>Plafond PlaGyp S suspendu sur sous-structure simple</v>
      </c>
      <c r="QW93" s="142" t="str">
        <f>VLOOKUP(QW92,[2]Vertaling!$B:$C,2,FALSE)</f>
        <v>Plancher en bois, protégé par plafond PlaGyp S</v>
      </c>
      <c r="QX93" s="142" t="str">
        <f>VLOOKUP(QX92,[2]Vertaling!$B:$C,2,FALSE)</f>
        <v>Toiture en bois, protégée par plafond PlaGyp S</v>
      </c>
      <c r="QY93" s="128" t="str">
        <f>VLOOKUP(QY92,[2]Vertaling!$B:$C,2,FALSE)</f>
        <v>Plafond PlaGyp S suspendu sur sous-structure simple</v>
      </c>
      <c r="QZ93" s="142" t="str">
        <f>VLOOKUP(QZ92,[2]Vertaling!$B:$C,2,FALSE)</f>
        <v>Toiture en bois, protégée par plafond PlaGyp S</v>
      </c>
      <c r="RA93" s="128" t="str">
        <f>VLOOKUP(RA92,[2]Vertaling!$B:$C,2,FALSE)</f>
        <v>Plafond PlaGyp S suspendu sur sous-structure simple</v>
      </c>
      <c r="RB93" s="128" t="str">
        <f>VLOOKUP(RB92,[2]Vertaling!$B:$C,2,FALSE)</f>
        <v>Plafond PlaGyp S suspendu sur sous-structure simple pour un meilleur confort acoustique</v>
      </c>
      <c r="RC93" s="128" t="str">
        <f>VLOOKUP(RC92,[2]Vertaling!$B:$C,2,FALSE)</f>
        <v>Plafond PlaGyp S suspendu sur sous-structure simple pour un meilleur confort acoustique</v>
      </c>
      <c r="RD93" s="128" t="str">
        <f>VLOOKUP(RD92,[2]Vertaling!$B:$C,2,FALSE)</f>
        <v>Plafond PlaGyp D suspendu sur sous-structure double</v>
      </c>
      <c r="RE93" s="128" t="str">
        <f>VLOOKUP(RE92,[2]Vertaling!$B:$C,2,FALSE)</f>
        <v>Plafond PlaGyp D suspendu sur sous-structure double</v>
      </c>
      <c r="RF93" s="128" t="str">
        <f>VLOOKUP(RF92,[2]Vertaling!$B:$C,2,FALSE)</f>
        <v>Plafond PlaGyp D suspendu sur sous-structure double</v>
      </c>
      <c r="RG93" s="128" t="str">
        <f>VLOOKUP(RG92,[2]Vertaling!$B:$C,2,FALSE)</f>
        <v>Plafond PlaGyp D suspendu sur sous-structure double</v>
      </c>
      <c r="RH93" s="128" t="str">
        <f>VLOOKUP(RH92,[2]Vertaling!$B:$C,2,FALSE)</f>
        <v>Plafond PlaGyp D suspendu sur sous-structure double</v>
      </c>
      <c r="RI93" s="128" t="str">
        <f>VLOOKUP(RI92,[2]Vertaling!$B:$C,2,FALSE)</f>
        <v>Plafond PlaGyp D suspendu sur sous-structure double</v>
      </c>
      <c r="RJ93" s="141" t="str">
        <f>VLOOKUP(RJ92,[2]Vertaling!$B:$C,2,FALSE)</f>
        <v>Plafond PlaGyp N suspendu avec les raccords croisés</v>
      </c>
      <c r="RK93" s="128" t="str">
        <f>VLOOKUP(RK92,[2]Vertaling!$B:$C,2,FALSE)</f>
        <v>Plafond PlaGyp D suspendu sur sous-structure double pour un meilleur confort acoustique</v>
      </c>
      <c r="RL93" s="128" t="str">
        <f>VLOOKUP(RL92,[2]Vertaling!$B:$C,2,FALSE)</f>
        <v>Plafond PlaGyp D suspendu sur sous-structure double pour un meilleur confort acoustique</v>
      </c>
      <c r="RM93" s="128" t="str">
        <f>VLOOKUP(RM92,[2]Vertaling!$B:$C,2,FALSE)</f>
        <v>Plafond PlaGyp D suspendu sur sous-structure double</v>
      </c>
      <c r="RN93" s="128" t="str">
        <f>VLOOKUP(RN92,[2]Vertaling!$B:$C,2,FALSE)</f>
        <v>Plafond Metal Stud autoportant</v>
      </c>
      <c r="RO93" s="128" t="str">
        <f>VLOOKUP(RO92,[2]Vertaling!$B:$C,2,FALSE)</f>
        <v>Plafond Metal Stud autoportant</v>
      </c>
      <c r="RP93" s="128" t="str">
        <f>VLOOKUP(RP92,[2]Vertaling!$B:$C,2,FALSE)</f>
        <v>Plafond Metal Stud autoportant</v>
      </c>
      <c r="RQ93" s="134" t="str">
        <f>VLOOKUP(RQ92,[2]Vertaling!$B:$C,2,FALSE)</f>
        <v>Plafond avec perforations continues sur sous-structure PlaGyp D</v>
      </c>
      <c r="RR93" s="134" t="str">
        <f>VLOOKUP(RR92,[2]Vertaling!$B:$C,2,FALSE)</f>
        <v>Plafond avec perforations modulaires sur sous-structure PlaGyp D</v>
      </c>
      <c r="RS93" s="134" t="str">
        <f>VLOOKUP(RS92,[2]Vertaling!$B:$C,2,FALSE)</f>
        <v>Système de plafond démontable avec des dalles Gyptone</v>
      </c>
      <c r="RT93" s="134" t="str">
        <f>VLOOKUP(RT92,[2]Vertaling!$B:$C,2,FALSE)</f>
        <v>Système de plafond démontable avec des panneaux Gyptone bord d'about A et bord longitudinal E15</v>
      </c>
      <c r="RU93" s="128"/>
      <c r="RV93" s="128" t="str">
        <f>VLOOKUP(RV92,[2]Vertaling!$B:$C,2,FALSE)</f>
        <v>Plafond Metal Stud autoportant</v>
      </c>
      <c r="RW93" s="128" t="str">
        <f>VLOOKUP(RW92,[2]Vertaling!$B:$C,2,FALSE)</f>
        <v>Plafond Metal Stud autoportant</v>
      </c>
      <c r="RX93" s="128" t="str">
        <f>VLOOKUP(RX92,[2]Vertaling!$B:$C,2,FALSE)</f>
        <v>Plafond Metal Stud autoportant</v>
      </c>
      <c r="RY93" s="128" t="str">
        <f>VLOOKUP(RY92,[2]Vertaling!$B:$C,2,FALSE)</f>
        <v>Plafond Metal Stud autoportant</v>
      </c>
      <c r="RZ93" s="128" t="str">
        <f>VLOOKUP(RZ92,[2]Vertaling!$B:$C,2,FALSE)</f>
        <v>Plafond Metal Stud autoportant</v>
      </c>
      <c r="SA93" s="128" t="str">
        <f>VLOOKUP(SA92,[2]Vertaling!$B:$C,2,FALSE)</f>
        <v>Plafond Metal Stud autoportant</v>
      </c>
      <c r="SB93" s="128" t="str">
        <f>VLOOKUP(SB92,[2]Vertaling!$B:$C,2,FALSE)</f>
        <v>Plafond Metal Stud autoportant</v>
      </c>
      <c r="SC93" s="128" t="str">
        <f>VLOOKUP(SC92,[2]Vertaling!$B:$C,2,FALSE)</f>
        <v>Plafond Metal Stud autoportant</v>
      </c>
      <c r="SD93" s="128" t="str">
        <f>VLOOKUP(SD92,[2]Vertaling!$B:$C,2,FALSE)</f>
        <v>Plafond Metal Stud autoportant</v>
      </c>
      <c r="SE93" s="128" t="str">
        <f>VLOOKUP(SE92,[2]Vertaling!$B:$C,2,FALSE)</f>
        <v>Plafond Metal Stud autoportant</v>
      </c>
      <c r="SF93" s="128" t="str">
        <f>VLOOKUP(SF92,[2]Vertaling!$B:$C,2,FALSE)</f>
        <v>Plafond Metal Stud autoportant</v>
      </c>
      <c r="SG93" s="128" t="str">
        <f>VLOOKUP(SG92,[2]Vertaling!$B:$C,2,FALSE)</f>
        <v>Plafond Metal Stud autoportant</v>
      </c>
      <c r="SH93" s="128" t="str">
        <f>VLOOKUP(SH92,[2]Vertaling!$B:$C,2,FALSE)</f>
        <v>Plafond Metal Stud autoportant</v>
      </c>
      <c r="SI93" s="128" t="str">
        <f>VLOOKUP(SI92,[2]Vertaling!$B:$C,2,FALSE)</f>
        <v>Plafond Metal Stud autoportant</v>
      </c>
      <c r="SJ93" s="128" t="str">
        <f>VLOOKUP(SJ92,[2]Vertaling!$B:$C,2,FALSE)</f>
        <v>Plafond Metal Stud autoportant</v>
      </c>
      <c r="SK93" s="128" t="str">
        <f>VLOOKUP(SK92,[2]Vertaling!$B:$C,2,FALSE)</f>
        <v>Plafond Metal Stud autoportant</v>
      </c>
      <c r="SL93" s="128" t="str">
        <f>VLOOKUP(SL92,[2]Vertaling!$B:$C,2,FALSE)</f>
        <v>Plafond Metal Stud autoportant</v>
      </c>
      <c r="SM93" s="128" t="str">
        <f>VLOOKUP(SM92,[2]Vertaling!$B:$C,2,FALSE)</f>
        <v>Plafond Metal Stud autoportant</v>
      </c>
      <c r="SN93" s="128"/>
      <c r="SO93" s="128" t="str">
        <f>VLOOKUP(SO92,[2]Vertaling!$B:$C,2,FALSE)</f>
        <v>Plafond Metal Stud autoportant pour un meilleur confort acoustique</v>
      </c>
      <c r="SP93" s="128" t="str">
        <f>VLOOKUP(SP92,[2]Vertaling!$B:$C,2,FALSE)</f>
        <v>Plafond Metal Stud autoportant pour un meilleur confort acoustique</v>
      </c>
      <c r="SQ93" s="128" t="str">
        <f>VLOOKUP(SQ92,[2]Vertaling!$B:$C,2,FALSE)</f>
        <v>Plafond Metal Stud autoportant pour un meilleur confort acoustique</v>
      </c>
      <c r="SR93" s="128" t="str">
        <f>VLOOKUP(SR92,[2]Vertaling!$B:$C,2,FALSE)</f>
        <v>Plafond Metal Stud autoportant pour un meilleur confort acoustique</v>
      </c>
      <c r="SS93" s="128" t="str">
        <f>VLOOKUP(SS92,[2]Vertaling!$B:$C,2,FALSE)</f>
        <v>Plafond Metal Stud autoportant pour un meilleur confort acoustique</v>
      </c>
      <c r="ST93" s="128" t="str">
        <f>VLOOKUP(ST92,[2]Vertaling!$B:$C,2,FALSE)</f>
        <v>Plafond Metal Stud autoportant pour un meilleur confort acoustique</v>
      </c>
      <c r="SU93" s="128" t="str">
        <f>VLOOKUP(SU92,[2]Vertaling!$B:$C,2,FALSE)</f>
        <v>Plafond Metal Stud autoportant pour un meilleur confort acoustique</v>
      </c>
      <c r="SV93" s="128" t="str">
        <f>VLOOKUP(SV92,[2]Vertaling!$B:$C,2,FALSE)</f>
        <v>Plafond Metal Stud autoportant pour un meilleur confort acoustique</v>
      </c>
      <c r="SW93" s="128"/>
      <c r="SX93" s="128" t="str">
        <f>VLOOKUP(SX92,[2]Vertaling!$B:$C,2,FALSE)</f>
        <v>Plafond PlaGyp S suspendu sur sous-structure simple</v>
      </c>
      <c r="SY93" s="128" t="str">
        <f>VLOOKUP(SY92,[2]Vertaling!$B:$C,2,FALSE)</f>
        <v>Plafond PlaGyp S suspendu sur sous-structure simple</v>
      </c>
      <c r="SZ93" s="128" t="str">
        <f>VLOOKUP(SZ92,[2]Vertaling!$B:$C,2,FALSE)</f>
        <v>Plafond PlaGyp S suspendu sur sous-structure simple</v>
      </c>
      <c r="TA93" s="128" t="str">
        <f>VLOOKUP(TA92,[2]Vertaling!$B:$C,2,FALSE)</f>
        <v>Plafond PlaGyp S suspendu sur sous-structure simple</v>
      </c>
      <c r="TB93" s="128" t="str">
        <f>VLOOKUP(TB92,[2]Vertaling!$B:$C,2,FALSE)</f>
        <v>Plafond PlaGyp S suspendu sur sous-structure simple</v>
      </c>
      <c r="TC93" s="128" t="str">
        <f>VLOOKUP(TC92,[2]Vertaling!$B:$C,2,FALSE)</f>
        <v>Plafond PlaGyp S suspendu sur sous-structure simple</v>
      </c>
      <c r="TD93" s="142" t="str">
        <f>VLOOKUP(TD92,[2]Vertaling!$B:$C,2,FALSE)</f>
        <v>Plafond PlaGyp S suspendu sur sous-structure simple</v>
      </c>
      <c r="TE93" s="141" t="str">
        <f>VLOOKUP(TE92,[2]Vertaling!$B:$C,2,FALSE)</f>
        <v>Plafond PlaGyp S suspendu sur sous-structure simple</v>
      </c>
      <c r="TF93" s="141" t="str">
        <f>VLOOKUP(TF92,[2]Vertaling!$B:$C,2,FALSE)</f>
        <v>Plafond PlaGyp S suspendu sur sous-structure simple</v>
      </c>
      <c r="TG93" s="128" t="str">
        <f>VLOOKUP(TG92,[2]Vertaling!$B:$C,2,FALSE)</f>
        <v>Plafond PlaGyp S suspendu sur sous-structure simple</v>
      </c>
      <c r="TH93" s="128" t="str">
        <f>VLOOKUP(TH92,[2]Vertaling!$B:$C,2,FALSE)</f>
        <v>Plafond PlaGyp S suspendu sur sous-structure simple pour un meilleur confort acoustique</v>
      </c>
      <c r="TI93" s="128" t="str">
        <f>VLOOKUP(TI92,[2]Vertaling!$B:$C,2,FALSE)</f>
        <v>Plafond PlaGyp S suspendu sur sous-structure simple pour un meilleur confort acoustique</v>
      </c>
      <c r="TJ93" s="128"/>
      <c r="TK93" s="128" t="str">
        <f>VLOOKUP(TK92,[2]Vertaling!$B:$C,2,FALSE)</f>
        <v>Plafond PlaGyp D suspendu sur sous-structure double</v>
      </c>
      <c r="TL93" s="128" t="str">
        <f>VLOOKUP(TL92,[2]Vertaling!$B:$C,2,FALSE)</f>
        <v>Plafond PlaGyp D suspendu sur sous-structure double</v>
      </c>
      <c r="TM93" s="128" t="str">
        <f>VLOOKUP(TM92,[2]Vertaling!$B:$C,2,FALSE)</f>
        <v>Plafond PlaGyp D suspendu sur sous-structure double</v>
      </c>
      <c r="TN93" s="128" t="str">
        <f>VLOOKUP(TN92,[2]Vertaling!$B:$C,2,FALSE)</f>
        <v>Plafond PlaGyp D suspendu sur sous-structure double</v>
      </c>
      <c r="TO93" s="128" t="str">
        <f>VLOOKUP(TO92,[2]Vertaling!$B:$C,2,FALSE)</f>
        <v>Plafond PlaGyp D suspendu sur sous-structure double</v>
      </c>
      <c r="TP93" s="142" t="str">
        <f>VLOOKUP(TP92,[2]Vertaling!$B:$C,2,FALSE)</f>
        <v>Plancher en bois, protégé par plafond PlaGyp D</v>
      </c>
      <c r="TQ93" s="128" t="str">
        <f>VLOOKUP(TQ92,[2]Vertaling!$B:$C,2,FALSE)</f>
        <v>Plafond PlaGyp D suspendu sur sous-structure double</v>
      </c>
      <c r="TR93" s="128" t="str">
        <f>VLOOKUP(TR92,[2]Vertaling!$B:$C,2,FALSE)</f>
        <v>Plafond PlaGyp D suspendu sur sous-structure double pour un meilleur confort acoustique</v>
      </c>
      <c r="TS93" s="128" t="str">
        <f>VLOOKUP(TS92,[2]Vertaling!$B:$C,2,FALSE)</f>
        <v>Plafond PlaGyp D suspendu sur sous-structure double pour un meilleur confort acoustique</v>
      </c>
      <c r="TT93" s="128" t="str">
        <f>VLOOKUP(TT92,[2]Vertaling!$B:$C,2,FALSE)</f>
        <v>Plafond PlaGyp D suspendu sur sous-structure double pour un meilleur confort acoustique</v>
      </c>
      <c r="TU93" s="128" t="str">
        <f>VLOOKUP(TU92,[2]Vertaling!$B:$C,2,FALSE)</f>
        <v>Plafond PlaGyp D suspendu sur sous-structure double pour un meilleur confort acoustique</v>
      </c>
      <c r="TV93" s="128" t="str">
        <f>VLOOKUP(TV92,[2]Vertaling!$B:$C,2,FALSE)</f>
        <v>Plafond PlaGyp D suspendu sur sous-structure double pour un meilleur confort acoustique</v>
      </c>
      <c r="TW93" s="128" t="str">
        <f>VLOOKUP(TW92,[2]Vertaling!$B:$C,2,FALSE)</f>
        <v>Plafond PlaGyp D suspendu sur sous-structure double pour un meilleur confort acoustique</v>
      </c>
      <c r="TX93" s="141" t="str">
        <f>VLOOKUP(TX92,[2]Vertaling!$B:$C,2,FALSE)</f>
        <v>Plafond PlaGyp S suspendu sur sous-structure simple</v>
      </c>
      <c r="TY93" s="141" t="str">
        <f>VLOOKUP(TY92,[2]Vertaling!$B:$C,2,FALSE)</f>
        <v>Plafond PlaGyp S suspendu sur sous-structure simple</v>
      </c>
      <c r="TZ93" s="141" t="str">
        <f>VLOOKUP(TZ92,[2]Vertaling!$B:$C,2,FALSE)</f>
        <v>Plafond PlaGyp S suspendu sur sous-structure simple</v>
      </c>
      <c r="UA93" s="128"/>
      <c r="UB93" s="128" t="str">
        <f>VLOOKUP(UB92,[2]Vertaling!$B:$C,2,FALSE)</f>
        <v>Plafond courbe</v>
      </c>
      <c r="UC93" s="128" t="str">
        <f>VLOOKUP(UC92,[2]Vertaling!$B:$C,2,FALSE)</f>
        <v>Plafond courbe</v>
      </c>
      <c r="UD93" s="128" t="str">
        <f>VLOOKUP(UD92,[2]Vertaling!$B:$C,2,FALSE)</f>
        <v>Plafond courbe</v>
      </c>
      <c r="UE93" s="128" t="str">
        <f>VLOOKUP(UE92,[2]Vertaling!$B:$C,2,FALSE)</f>
        <v>Plafond courbe</v>
      </c>
      <c r="UF93" s="128" t="str">
        <f>VLOOKUP(UF92,[2]Vertaling!$B:$C,2,FALSE)</f>
        <v>Plafond courbe</v>
      </c>
      <c r="UG93" s="128" t="str">
        <f>VLOOKUP(UG92,[2]Vertaling!$B:$C,2,FALSE)</f>
        <v>Plafond courbe</v>
      </c>
      <c r="UH93" s="128" t="str">
        <f>VLOOKUP(UH92,[2]Vertaling!$B:$C,2,FALSE)</f>
        <v>Plafond courbe</v>
      </c>
      <c r="UI93" s="128" t="str">
        <f>VLOOKUP(UI92,[2]Vertaling!$B:$C,2,FALSE)</f>
        <v>Plafond courbe</v>
      </c>
      <c r="UJ93" s="128" t="str">
        <f>VLOOKUP(UJ92,[2]Vertaling!$B:$C,2,FALSE)</f>
        <v>Plafond courbe</v>
      </c>
      <c r="UK93" s="128" t="str">
        <f>VLOOKUP(UK92,[2]Vertaling!$B:$C,2,FALSE)</f>
        <v>Plafond courbe</v>
      </c>
      <c r="UL93" s="128"/>
      <c r="UM93" s="128" t="str">
        <f>VLOOKUP(UM92,[2]Vertaling!$B:$C,2,FALSE)</f>
        <v>Plafond sur profilés à ressort</v>
      </c>
      <c r="UN93" s="128" t="str">
        <f>VLOOKUP(UN92,[2]Vertaling!$B:$C,2,FALSE)</f>
        <v>Plafond sur profilés à ressort</v>
      </c>
      <c r="UO93" s="128" t="str">
        <f>VLOOKUP(UO92,[2]Vertaling!$B:$C,2,FALSE)</f>
        <v>Plafond sur profilés à ressort</v>
      </c>
      <c r="UP93" s="128" t="str">
        <f>VLOOKUP(UP92,[2]Vertaling!$B:$C,2,FALSE)</f>
        <v>Plafond sur profilés à ressort</v>
      </c>
      <c r="UQ93" s="128" t="str">
        <f>VLOOKUP(UQ92,[2]Vertaling!$B:$C,2,FALSE)</f>
        <v>Plafond sur profilés à ressort</v>
      </c>
      <c r="UR93" s="128" t="str">
        <f>VLOOKUP(UR92,[2]Vertaling!$B:$C,2,FALSE)</f>
        <v>Plafond sur profilés à ressort</v>
      </c>
      <c r="US93" s="128" t="str">
        <f>VLOOKUP(US92,[2]Vertaling!$B:$C,2,FALSE)</f>
        <v>Plafond sur profilés à ressort</v>
      </c>
      <c r="UT93" s="128" t="str">
        <f>VLOOKUP(UT92,[2]Vertaling!$B:$C,2,FALSE)</f>
        <v>Plafond sur profilés à ressort</v>
      </c>
      <c r="UU93" s="128" t="str">
        <f>VLOOKUP(UU92,[2]Vertaling!$B:$C,2,FALSE)</f>
        <v>Plafond sur profilés à ressort</v>
      </c>
      <c r="UV93" s="128" t="str">
        <f>VLOOKUP(UV92,[2]Vertaling!$B:$C,2,FALSE)</f>
        <v>Plafond sur profilés à ressort</v>
      </c>
      <c r="UW93" s="128" t="str">
        <f>VLOOKUP(UW92,[2]Vertaling!$B:$C,2,FALSE)</f>
        <v>Plafond sur profilés à ressort</v>
      </c>
      <c r="UX93" s="128" t="str">
        <f>VLOOKUP(UX92,[2]Vertaling!$B:$C,2,FALSE)</f>
        <v>Plafond sur profilés à ressort</v>
      </c>
      <c r="UY93" s="128" t="str">
        <f>VLOOKUP(UY92,[2]Vertaling!$B:$C,2,FALSE)</f>
        <v>Plafond sur profilés à ressort</v>
      </c>
      <c r="UZ93" s="128" t="str">
        <f>VLOOKUP(UZ92,[2]Vertaling!$B:$C,2,FALSE)</f>
        <v>Plafond sur profilés à ressort</v>
      </c>
      <c r="VA93" s="128" t="str">
        <f>VLOOKUP(VA92,[2]Vertaling!$B:$C,2,FALSE)</f>
        <v>Plafond sur profilés à ressort</v>
      </c>
      <c r="VB93" s="128"/>
      <c r="VC93" s="128" t="str">
        <f>VLOOKUP(VC92,[2]Vertaling!$B:$C,2,FALSE)</f>
        <v>Plafond sur sous-structure en bois</v>
      </c>
      <c r="VD93" s="128" t="str">
        <f>VLOOKUP(VD92,[2]Vertaling!$B:$C,2,FALSE)</f>
        <v>Plafond sur sous-structure en bois</v>
      </c>
      <c r="VE93" s="128" t="str">
        <f>VLOOKUP(VE92,[2]Vertaling!$B:$C,2,FALSE)</f>
        <v>Plafond sur sous-structure en bois</v>
      </c>
      <c r="VF93" s="128" t="str">
        <f>VLOOKUP(VF92,[2]Vertaling!$B:$C,2,FALSE)</f>
        <v>Plafond sur sous-structure en bois</v>
      </c>
      <c r="VG93" s="128" t="str">
        <f>VLOOKUP(VG92,[2]Vertaling!$B:$C,2,FALSE)</f>
        <v>Plafond sur sous-structure en bois</v>
      </c>
      <c r="VH93" s="128" t="str">
        <f>VLOOKUP(VH92,[2]Vertaling!$B:$C,2,FALSE)</f>
        <v>Plafond sur sous-structure en bois</v>
      </c>
      <c r="VI93" s="128" t="str">
        <f>VLOOKUP(VI92,[2]Vertaling!$B:$C,2,FALSE)</f>
        <v>Plafond sur sous-structure en bois</v>
      </c>
      <c r="VJ93" s="128" t="str">
        <f>VLOOKUP(VJ92,[2]Vertaling!$B:$C,2,FALSE)</f>
        <v>Plafond sur sous-structure en bois</v>
      </c>
      <c r="VK93" s="128"/>
      <c r="VL93" s="141" t="str">
        <f>VLOOKUP(VL92,[2]Vertaling!$B:$C,2,FALSE)</f>
        <v>Plafond PlaGyp S suspendu sur sous-structure simple avec coating C5-M pour application à l'extérieur</v>
      </c>
      <c r="VM93" s="141" t="str">
        <f>VLOOKUP(VM92,[2]Vertaling!$B:$C,2,FALSE)</f>
        <v>Plafond sur sous-structure en bois pour application à l'extérieure</v>
      </c>
      <c r="VN93" s="141" t="str">
        <f>VLOOKUP(VN92,[2]Vertaling!$B:$C,2,FALSE)</f>
        <v>Plafond PlaGyp S suspendu sur sous-structure simple avec coating C5-M pour application à l'intérieur</v>
      </c>
      <c r="VO93" s="141" t="str">
        <f>VLOOKUP(VO92,[2]Vertaling!$B:$C,2,FALSE)</f>
        <v>Plafond PlaGyp D suspendu sur sous-structure double avec coating C5-M pour application à l'intérieur</v>
      </c>
      <c r="VP93" s="128"/>
      <c r="VU93" s="134" t="str">
        <f>VLOOKUP(VU92,[2]Vertaling!$B:$C,2,FALSE)</f>
        <v>Plafond avec perforations modulaires sur sous-structure PlaGyp D</v>
      </c>
      <c r="VV93" s="134"/>
      <c r="VW93" s="134"/>
      <c r="VX93" s="134"/>
      <c r="VY93" s="134"/>
      <c r="VZ93" s="134"/>
      <c r="WA93" s="134"/>
      <c r="WB93" s="134" t="str">
        <f>VLOOKUP(WB92,[2]Vertaling!$B:$C,2,FALSE)</f>
        <v>Plafond avec perforations modulaires sur sous-structure PlaGyp D</v>
      </c>
      <c r="WC93" s="134"/>
      <c r="WD93" s="134"/>
      <c r="WE93" s="134"/>
      <c r="WF93" s="134" t="str">
        <f>VLOOKUP(WF92,[2]Vertaling!$B:$C,2,FALSE)</f>
        <v>Plafond avec perforations modulaires sur sous-structure PlaGyp D</v>
      </c>
      <c r="WG93" s="134"/>
      <c r="WH93" s="134"/>
      <c r="WI93" s="134"/>
      <c r="WJ93" s="134"/>
      <c r="WK93" s="134"/>
      <c r="WL93" s="134"/>
      <c r="WM93" s="134" t="str">
        <f>VLOOKUP(WM92,[2]Vertaling!$B:$C,2,FALSE)</f>
        <v>Plafond avec perforations modulaires sur sous-structure PlaGyp D</v>
      </c>
      <c r="WN93" s="134"/>
      <c r="WO93" s="134"/>
      <c r="WP93" s="134"/>
      <c r="WQ93" s="134" t="str">
        <f>VLOOKUP(WQ92,[2]Vertaling!$B:$C,2,FALSE)</f>
        <v>Plafond avec perforations modulaires sur sous-structure PlaGyp D</v>
      </c>
      <c r="WR93" s="134"/>
      <c r="WS93" s="134"/>
      <c r="WT93" s="134"/>
      <c r="WU93" s="134"/>
      <c r="WV93" s="134"/>
      <c r="WW93" s="134"/>
      <c r="WX93" s="134" t="str">
        <f>VLOOKUP(WX92,[2]Vertaling!$B:$C,2,FALSE)</f>
        <v>Plafond avec perforations modulaires sur sous-structure PlaGyp D</v>
      </c>
      <c r="WY93" s="134"/>
      <c r="WZ93" s="134"/>
      <c r="XA93" s="134"/>
      <c r="XB93" s="134" t="str">
        <f>VLOOKUP(XB92,[2]Vertaling!$B:$C,2,FALSE)</f>
        <v>Plafond avec perforations modulaires sur sous-structure PlaGyp D</v>
      </c>
      <c r="XC93" s="134"/>
      <c r="XD93" s="134"/>
      <c r="XE93" s="134"/>
      <c r="XF93" s="134"/>
      <c r="XG93" s="134"/>
      <c r="XH93" s="134"/>
      <c r="XI93" s="134" t="str">
        <f>VLOOKUP(XI92,[2]Vertaling!$B:$C,2,FALSE)</f>
        <v>Plafond avec perforations modulaires sur sous-structure PlaGyp D</v>
      </c>
      <c r="XJ93" s="134"/>
      <c r="XK93" s="134"/>
      <c r="XL93" s="134"/>
      <c r="XM93" s="134" t="str">
        <f>VLOOKUP(XM92,[2]Vertaling!$B:$C,2,FALSE)</f>
        <v>Plafond avec perforations modulaires sur sous-structure PlaGyp D</v>
      </c>
      <c r="XN93" s="134"/>
      <c r="XO93" s="134"/>
      <c r="XP93" s="134"/>
      <c r="XQ93" s="134"/>
      <c r="XR93" s="134"/>
      <c r="XS93" s="134"/>
      <c r="XT93" s="134" t="str">
        <f>VLOOKUP(XT92,[2]Vertaling!$B:$C,2,FALSE)</f>
        <v>Plafond avec perforations modulaires sur sous-structure PlaGyp D</v>
      </c>
      <c r="XU93" s="134"/>
      <c r="XV93" s="134"/>
      <c r="XW93" s="134"/>
      <c r="XX93" s="134" t="str">
        <f>VLOOKUP(XX92,[2]Vertaling!$B:$C,2,FALSE)</f>
        <v>Plafond avec perforations modulaires sur sous-structure PlaGyp D</v>
      </c>
      <c r="XY93" s="134"/>
      <c r="XZ93" s="134"/>
      <c r="YA93" s="134"/>
      <c r="YB93" s="134"/>
      <c r="YC93" s="134"/>
      <c r="YD93" s="134"/>
      <c r="YE93" s="134" t="str">
        <f>VLOOKUP(YE92,[2]Vertaling!$B:$C,2,FALSE)</f>
        <v>Plafond avec perforations modulaires sur sous-structure PlaGyp D</v>
      </c>
      <c r="YF93" s="134"/>
      <c r="YG93" s="134"/>
      <c r="YH93" s="134"/>
      <c r="YI93" s="134" t="str">
        <f>VLOOKUP(YI92,[2]Vertaling!$B:$C,2,FALSE)</f>
        <v>Plafond avec perforations modulaires sur sous-structure PlaGyp D</v>
      </c>
      <c r="YJ93" s="134"/>
      <c r="YK93" s="134"/>
      <c r="YL93" s="134"/>
      <c r="YM93" s="134"/>
      <c r="YN93" s="134"/>
      <c r="YO93" s="134"/>
      <c r="YP93" s="134" t="str">
        <f>VLOOKUP(YP92,[2]Vertaling!$B:$C,2,FALSE)</f>
        <v>Plafond avec perforations modulaires sur sous-structure PlaGyp D</v>
      </c>
      <c r="YQ93" s="134"/>
      <c r="YR93" s="134"/>
      <c r="YS93" s="134"/>
      <c r="YT93" s="134" t="str">
        <f>VLOOKUP(YT92,[2]Vertaling!$B:$C,2,FALSE)</f>
        <v>Plafond avec perforations modulaires sur sous-structure PlaGyp D</v>
      </c>
      <c r="YU93" s="134"/>
      <c r="YV93" s="134"/>
      <c r="YW93" s="134"/>
      <c r="YX93" s="134"/>
      <c r="YY93" s="134"/>
      <c r="YZ93" s="134"/>
      <c r="ZA93" s="134" t="str">
        <f>VLOOKUP(ZA92,[2]Vertaling!$B:$C,2,FALSE)</f>
        <v>Plafond avec perforations modulaires sur sous-structure PlaGyp D</v>
      </c>
      <c r="ZB93" s="134"/>
      <c r="ZC93" s="134"/>
      <c r="ZD93" s="134"/>
      <c r="ZE93" s="134" t="str">
        <f>VLOOKUP(ZE92,[2]Vertaling!$B:$C,2,FALSE)</f>
        <v>Plafond avec perforations modulaires sur sous-structure PlaGyp D</v>
      </c>
      <c r="ZF93" s="134"/>
      <c r="ZG93" s="134"/>
      <c r="ZH93" s="134"/>
      <c r="ZI93" s="134"/>
      <c r="ZJ93" s="134"/>
      <c r="ZK93" s="134"/>
      <c r="ZL93" s="134" t="str">
        <f>VLOOKUP(ZL92,[2]Vertaling!$B:$C,2,FALSE)</f>
        <v>Plafond avec perforations modulaires sur sous-structure PlaGyp D</v>
      </c>
      <c r="ZM93" s="134"/>
      <c r="ZN93" s="134"/>
      <c r="ZO93" s="134"/>
      <c r="ZP93" s="134" t="str">
        <f>VLOOKUP(ZP92,[2]Vertaling!$B:$C,2,FALSE)</f>
        <v>Plafond avec perforations modulaires sur sous-structure PlaGyp D</v>
      </c>
      <c r="ZQ93" s="134"/>
      <c r="ZR93" s="134"/>
      <c r="ZS93" s="134"/>
      <c r="ZT93" s="134"/>
      <c r="ZU93" s="134"/>
      <c r="ZV93" s="134"/>
      <c r="ZW93" s="134" t="str">
        <f>VLOOKUP(ZW92,[2]Vertaling!$B:$C,2,FALSE)</f>
        <v>Plafond avec perforations modulaires sur sous-structure PlaGyp D</v>
      </c>
      <c r="ZX93" s="134"/>
      <c r="ZY93" s="134"/>
      <c r="ZZ93" s="134"/>
      <c r="AAA93" s="134" t="str">
        <f>VLOOKUP(AAA92,[2]Vertaling!$B:$C,2,FALSE)</f>
        <v>Plafond avec perforations modulaires sur sous-structure PlaGyp D</v>
      </c>
      <c r="AAB93" s="134"/>
      <c r="AAC93" s="134"/>
      <c r="AAD93" s="134"/>
      <c r="AAE93" s="134"/>
      <c r="AAF93" s="134"/>
      <c r="AAG93" s="134"/>
      <c r="AAH93" s="134" t="str">
        <f>VLOOKUP(AAH92,[2]Vertaling!$B:$C,2,FALSE)</f>
        <v>Plafond avec perforations modulaires sur sous-structure PlaGyp D</v>
      </c>
      <c r="AAM93" s="134" t="str">
        <f>VLOOKUP(AAM92,[2]Vertaling!$B:$C,2,FALSE)</f>
        <v>Plafond avec perforations continues sur sous-structure PlaGyp D</v>
      </c>
      <c r="AAN93" s="134"/>
      <c r="AAO93" s="134"/>
      <c r="AAP93" s="134"/>
      <c r="AAQ93" s="134"/>
      <c r="AAR93" s="134"/>
      <c r="AAS93" s="134"/>
      <c r="AAT93" s="134" t="str">
        <f>VLOOKUP(AAT92,[2]Vertaling!$B:$C,2,FALSE)</f>
        <v>Plafond avec perforations continues sur sous-structure PlaGyp D</v>
      </c>
      <c r="AAU93" s="134"/>
      <c r="AAV93" s="134"/>
      <c r="AAW93" s="134"/>
      <c r="AAX93" s="134" t="str">
        <f>VLOOKUP(AAX92,[2]Vertaling!$B:$C,2,FALSE)</f>
        <v>Plafond avec perforations continues sur sous-structure PlaGyp D</v>
      </c>
      <c r="AAY93" s="134"/>
      <c r="AAZ93" s="134"/>
      <c r="ABA93" s="134"/>
      <c r="ABB93" s="134"/>
      <c r="ABC93" s="134"/>
      <c r="ABD93" s="134"/>
      <c r="ABE93" s="134" t="str">
        <f>VLOOKUP(ABE92,[2]Vertaling!$B:$C,2,FALSE)</f>
        <v>Plafond avec perforations continues sur sous-structure PlaGyp D</v>
      </c>
      <c r="ABF93" s="134"/>
      <c r="ABG93" s="134"/>
      <c r="ABH93" s="134"/>
      <c r="ABI93" s="134" t="str">
        <f>VLOOKUP(ABI92,[2]Vertaling!$B:$C,2,FALSE)</f>
        <v>Plafond avec perforations continues sur sous-structure PlaGyp D</v>
      </c>
      <c r="ABJ93" s="134"/>
      <c r="ABK93" s="134"/>
      <c r="ABL93" s="134"/>
      <c r="ABM93" s="134"/>
      <c r="ABN93" s="134"/>
      <c r="ABO93" s="134"/>
      <c r="ABP93" s="134" t="str">
        <f>VLOOKUP(ABP92,[2]Vertaling!$B:$C,2,FALSE)</f>
        <v>Plafond avec perforations continues sur sous-structure PlaGyp D</v>
      </c>
      <c r="ABQ93" s="134"/>
      <c r="ABR93" s="134"/>
      <c r="ABS93" s="134"/>
      <c r="ABT93" s="134" t="str">
        <f>VLOOKUP(ABT92,[2]Vertaling!$B:$C,2,FALSE)</f>
        <v>Plafond avec perforations continues sur sous-structure PlaGyp D</v>
      </c>
      <c r="ABU93" s="134"/>
      <c r="ABV93" s="134"/>
      <c r="ABW93" s="134"/>
      <c r="ABX93" s="134"/>
      <c r="ABY93" s="134"/>
      <c r="ABZ93" s="134"/>
      <c r="ACA93" s="134" t="str">
        <f>VLOOKUP(ACA92,[2]Vertaling!$B:$C,2,FALSE)</f>
        <v>Plafond avec perforations continues sur sous-structure PlaGyp D</v>
      </c>
      <c r="ACB93" s="134"/>
      <c r="ACC93" s="134"/>
      <c r="ACD93" s="134"/>
      <c r="ACE93" s="134" t="str">
        <f>VLOOKUP(ACE92,[2]Vertaling!$B:$C,2,FALSE)</f>
        <v>Plafond avec perforations continues sur sous-structure PlaGyp D</v>
      </c>
      <c r="ACF93" s="134"/>
      <c r="ACG93" s="134"/>
      <c r="ACH93" s="134"/>
      <c r="ACI93" s="134"/>
      <c r="ACJ93" s="134"/>
      <c r="ACK93" s="134"/>
      <c r="ACL93" s="134" t="str">
        <f>VLOOKUP(ACL92,[2]Vertaling!$B:$C,2,FALSE)</f>
        <v>Plafond avec perforations continues sur sous-structure PlaGyp D</v>
      </c>
      <c r="ACM93" s="134"/>
      <c r="ACN93" s="134"/>
      <c r="ACO93" s="134"/>
      <c r="ACP93" s="134" t="str">
        <f>VLOOKUP(ACP92,[2]Vertaling!$B:$C,2,FALSE)</f>
        <v>Plafond avec perforations continues sur sous-structure PlaGyp D</v>
      </c>
      <c r="ACQ93" s="134"/>
      <c r="ACR93" s="134"/>
      <c r="ACS93" s="134"/>
      <c r="ACT93" s="134"/>
      <c r="ACU93" s="134"/>
      <c r="ACV93" s="134"/>
      <c r="ACW93" s="134" t="str">
        <f>VLOOKUP(ACW92,[2]Vertaling!$B:$C,2,FALSE)</f>
        <v>Plafond avec perforations continues sur sous-structure PlaGyp D</v>
      </c>
      <c r="ACX93" s="134"/>
      <c r="ACY93" s="134"/>
      <c r="ACZ93" s="134"/>
      <c r="ADA93" s="134" t="str">
        <f>VLOOKUP(ADA92,[2]Vertaling!$B:$C,2,FALSE)</f>
        <v>Plafond avec perforations continues sur sous-structure PlaGyp D</v>
      </c>
      <c r="ADB93" s="134"/>
      <c r="ADC93" s="134"/>
      <c r="ADD93" s="134"/>
      <c r="ADE93" s="134"/>
      <c r="ADF93" s="134"/>
      <c r="ADG93" s="134"/>
      <c r="ADH93" s="134" t="str">
        <f>VLOOKUP(ADH92,[2]Vertaling!$B:$C,2,FALSE)</f>
        <v>Plafond avec perforations continues sur sous-structure PlaGyp D</v>
      </c>
      <c r="ADI93" s="134"/>
      <c r="ADJ93" s="134"/>
      <c r="ADK93" s="134"/>
      <c r="ADL93" s="134" t="str">
        <f>VLOOKUP(ADL92,[2]Vertaling!$B:$C,2,FALSE)</f>
        <v>Plafond avec perforations continues sur sous-structure PlaGyp D</v>
      </c>
      <c r="ADM93" s="134"/>
      <c r="ADN93" s="134"/>
      <c r="ADO93" s="134"/>
      <c r="ADP93" s="134"/>
      <c r="ADQ93" s="134"/>
      <c r="ADR93" s="134"/>
      <c r="ADS93" s="134" t="str">
        <f>VLOOKUP(ADS92,[2]Vertaling!$B:$C,2,FALSE)</f>
        <v>Plafond avec perforations continues sur sous-structure PlaGyp D</v>
      </c>
      <c r="ADT93" s="134"/>
      <c r="ADU93" s="134"/>
      <c r="ADV93" s="134"/>
      <c r="ADW93" s="134" t="str">
        <f>VLOOKUP(ADW92,[2]Vertaling!$B:$C,2,FALSE)</f>
        <v>Plafond avec perforations continues sur sous-structure PlaGyp D</v>
      </c>
      <c r="ADX93" s="134"/>
      <c r="ADY93" s="134"/>
      <c r="ADZ93" s="134"/>
      <c r="AEA93" s="134"/>
      <c r="AEB93" s="134"/>
      <c r="AEC93" s="134"/>
      <c r="AED93" s="134" t="str">
        <f>VLOOKUP(AED92,[2]Vertaling!$B:$C,2,FALSE)</f>
        <v>Plafond avec perforations continues sur sous-structure PlaGyp D</v>
      </c>
      <c r="AEE93" s="134"/>
      <c r="AEF93" s="134"/>
      <c r="AEG93" s="134"/>
      <c r="AEH93" s="134" t="str">
        <f>VLOOKUP(AEH92,[2]Vertaling!$B:$C,2,FALSE)</f>
        <v>Plafond avec perforations continues sur sous-structure PlaGyp D</v>
      </c>
      <c r="AEI93" s="134"/>
      <c r="AEJ93" s="134"/>
      <c r="AEK93" s="134"/>
      <c r="AEL93" s="134"/>
      <c r="AEM93" s="134"/>
      <c r="AEN93" s="134"/>
      <c r="AEO93" s="134" t="str">
        <f>VLOOKUP(AEO92,[2]Vertaling!$B:$C,2,FALSE)</f>
        <v>Plafond avec perforations continues sur sous-structure PlaGyp D</v>
      </c>
      <c r="AEP93" s="134"/>
      <c r="AEQ93" s="134"/>
      <c r="AER93" s="134"/>
      <c r="AES93" s="134" t="str">
        <f>VLOOKUP(AES92,[2]Vertaling!$B:$C,2,FALSE)</f>
        <v>Plafond avec perforations continues sur sous-structure PlaGyp D</v>
      </c>
      <c r="AET93" s="134"/>
      <c r="AEU93" s="134"/>
      <c r="AEV93" s="134"/>
      <c r="AEW93" s="134"/>
      <c r="AEX93" s="134"/>
      <c r="AEY93" s="134"/>
      <c r="AEZ93" s="134" t="str">
        <f>VLOOKUP(AEZ92,[2]Vertaling!$B:$C,2,FALSE)</f>
        <v>Plafond avec perforations continues sur sous-structure PlaGyp D</v>
      </c>
      <c r="AFA93" s="134"/>
      <c r="AFB93" s="134"/>
      <c r="AFC93" s="134"/>
      <c r="AFD93" s="134" t="str">
        <f>VLOOKUP(AFD92,[2]Vertaling!$B:$C,2,FALSE)</f>
        <v>Plafond avec perforations continues sur sous-structure PlaGyp D</v>
      </c>
      <c r="AFE93" s="134"/>
      <c r="AFF93" s="134"/>
      <c r="AFG93" s="134"/>
      <c r="AFH93" s="134"/>
      <c r="AFI93" s="134"/>
      <c r="AFJ93" s="134"/>
      <c r="AFK93" s="134" t="str">
        <f>VLOOKUP(AFK92,[2]Vertaling!$B:$C,2,FALSE)</f>
        <v>Plafond avec perforations continues sur sous-structure PlaGyp D</v>
      </c>
      <c r="AFL93" s="134" t="str">
        <f>VLOOKUP(AFL92,[2]Vertaling!$B:$C,2,FALSE)</f>
        <v>x</v>
      </c>
      <c r="AFR93" s="128" t="str">
        <f>VLOOKUP(AFR92,[2]Vertaling!$B:$C,2,FALSE)</f>
        <v>Système de plafond démontable avec des dalles Gyptone bord A</v>
      </c>
      <c r="AFS93" s="128"/>
      <c r="AFT93" s="128"/>
      <c r="AFU93" s="128"/>
      <c r="AFV93" s="128"/>
      <c r="AFW93" s="128" t="str">
        <f>VLOOKUP(AFW92,[2]Vertaling!$B:$C,2,FALSE)</f>
        <v>Système de plafond démontable avec des dalles Gyptone bord A</v>
      </c>
      <c r="AGB93" s="128" t="str">
        <f>VLOOKUP(AGB92,[2]Vertaling!$B:$C,2,FALSE)</f>
        <v>Système de plafond démontable avec des dalles Gyptone bord D1</v>
      </c>
      <c r="AGC93" s="128"/>
      <c r="AGD93" s="128"/>
      <c r="AGE93" s="128"/>
      <c r="AGF93" s="128"/>
      <c r="AGG93" s="128" t="str">
        <f>VLOOKUP(AGG92,[2]Vertaling!$B:$C,2,FALSE)</f>
        <v>Système de plafond démontable avec des dalles Gyptone bord D1</v>
      </c>
      <c r="AGL93" s="128" t="str">
        <f>VLOOKUP(AGL92,[2]Vertaling!$B:$C,2,FALSE)</f>
        <v>Système de plafond démontable avec des dalles Gyptone bord E15</v>
      </c>
      <c r="AGM93" s="128"/>
      <c r="AGN93" s="128"/>
      <c r="AGO93" s="128"/>
      <c r="AGP93" s="128"/>
      <c r="AGQ93" s="128" t="str">
        <f>VLOOKUP(AGQ92,[2]Vertaling!$B:$C,2,FALSE)</f>
        <v>Système de plafond démontable avec des dalles Gyptone bord E15</v>
      </c>
      <c r="AGR93" s="128"/>
      <c r="AGS93" s="128"/>
      <c r="AGT93" s="128"/>
      <c r="AGU93" s="128" t="str">
        <f>VLOOKUP(AGU92,[2]Vertaling!$B:$C,2,FALSE)</f>
        <v>Système de plafond démontable avec des dalles Gyptone bord A</v>
      </c>
      <c r="AGV93" s="128"/>
      <c r="AGW93" s="128"/>
      <c r="AGX93" s="128"/>
      <c r="AGY93" s="128"/>
      <c r="AGZ93" s="128"/>
      <c r="AHA93" s="128"/>
      <c r="AHB93" s="128" t="str">
        <f>VLOOKUP(AHB92,[2]Vertaling!$B:$C,2,FALSE)</f>
        <v>Système de plafond démontable avec des dalles Gyptone bord A</v>
      </c>
      <c r="AHC93" s="128"/>
      <c r="AHD93" s="128"/>
      <c r="AHE93" s="128"/>
      <c r="AHF93" s="128" t="str">
        <f>VLOOKUP(AHF92,[2]Vertaling!$B:$C,2,FALSE)</f>
        <v>Système de plafond démontable avec des dalles Gyptone bord D1</v>
      </c>
      <c r="AHG93" s="128"/>
      <c r="AHH93" s="128"/>
      <c r="AHI93" s="128"/>
      <c r="AHJ93" s="128"/>
      <c r="AHK93" s="128"/>
      <c r="AHL93" s="128"/>
      <c r="AHM93" s="128" t="str">
        <f>VLOOKUP(AHM92,[2]Vertaling!$B:$C,2,FALSE)</f>
        <v>Système de plafond démontable avec des dalles Gyptone bord D1</v>
      </c>
      <c r="AHN93" s="128"/>
      <c r="AHO93" s="128"/>
      <c r="AHP93" s="128"/>
      <c r="AHQ93" s="128" t="str">
        <f>VLOOKUP(AHQ92,[2]Vertaling!$B:$C,2,FALSE)</f>
        <v>Système de plafond démontable avec des dalles Gyptone bord E15</v>
      </c>
      <c r="AHR93" s="128"/>
      <c r="AHS93" s="128"/>
      <c r="AHT93" s="128"/>
      <c r="AHU93" s="128"/>
      <c r="AHV93" s="128"/>
      <c r="AHW93" s="128"/>
      <c r="AHX93" s="128" t="str">
        <f>VLOOKUP(AHX92,[2]Vertaling!$B:$C,2,FALSE)</f>
        <v>Système de plafond démontable avec des dalles Gyptone bord E15</v>
      </c>
      <c r="AHY93" s="128"/>
      <c r="AHZ93" s="128"/>
      <c r="AIA93" s="128"/>
      <c r="AIB93" s="128" t="str">
        <f>VLOOKUP(AIB92,[2]Vertaling!$B:$C,2,FALSE)</f>
        <v>Système de plafond démontable avec des dalles Gyptone bord A</v>
      </c>
      <c r="AIC93" s="128"/>
      <c r="AID93" s="128"/>
      <c r="AIE93" s="128"/>
      <c r="AIF93" s="128"/>
      <c r="AIG93" s="128"/>
      <c r="AIH93" s="128"/>
      <c r="AII93" s="128" t="str">
        <f>VLOOKUP(AII92,[2]Vertaling!$B:$C,2,FALSE)</f>
        <v>Système de plafond démontable avec des dalles Gyptone bord A</v>
      </c>
      <c r="AIJ93" s="128"/>
      <c r="AIK93" s="128"/>
      <c r="AIL93" s="128"/>
      <c r="AIM93" s="128" t="str">
        <f>VLOOKUP(AIM92,[2]Vertaling!$B:$C,2,FALSE)</f>
        <v>Système de plafond démontable avec des dalles Gyptone bord D1</v>
      </c>
      <c r="AIN93" s="128"/>
      <c r="AIO93" s="128"/>
      <c r="AIP93" s="128"/>
      <c r="AIQ93" s="128"/>
      <c r="AIR93" s="128"/>
      <c r="AIS93" s="128"/>
      <c r="AIT93" s="128" t="str">
        <f>VLOOKUP(AIT92,[2]Vertaling!$B:$C,2,FALSE)</f>
        <v>Système de plafond démontable avec des dalles Gyptone bord D1</v>
      </c>
      <c r="AIU93" s="128"/>
      <c r="AIV93" s="128"/>
      <c r="AIW93" s="128"/>
      <c r="AIX93" s="128" t="str">
        <f>VLOOKUP(AIX92,[2]Vertaling!$B:$C,2,FALSE)</f>
        <v>Système de plafond démontable avec des dalles Gyptone bord E15</v>
      </c>
      <c r="AIY93" s="128"/>
      <c r="AIZ93" s="128"/>
      <c r="AJA93" s="128"/>
      <c r="AJB93" s="128"/>
      <c r="AJC93" s="128"/>
      <c r="AJD93" s="128"/>
      <c r="AJE93" s="128" t="str">
        <f>VLOOKUP(AJE92,[2]Vertaling!$B:$C,2,FALSE)</f>
        <v>Système de plafond démontable avec des dalles Gyptone bord E15</v>
      </c>
      <c r="AJF93" s="128"/>
      <c r="AJG93" s="128"/>
      <c r="AJH93" s="128"/>
      <c r="AJI93" s="128" t="str">
        <f>VLOOKUP(AJI92,[2]Vertaling!$B:$C,2,FALSE)</f>
        <v>Système de plafond démontable avec des dalles Gyptone bord A</v>
      </c>
      <c r="AJJ93" s="128"/>
      <c r="AJK93" s="128"/>
      <c r="AJL93" s="128"/>
      <c r="AJM93" s="128"/>
      <c r="AJN93" s="128"/>
      <c r="AJO93" s="128"/>
      <c r="AJP93" s="128" t="str">
        <f>VLOOKUP(AJP92,[2]Vertaling!$B:$C,2,FALSE)</f>
        <v>Système de plafond démontable avec des dalles Gyptone bord A</v>
      </c>
      <c r="AJQ93" s="128"/>
      <c r="AJR93" s="128"/>
      <c r="AJS93" s="128"/>
      <c r="AJT93" s="128" t="str">
        <f>VLOOKUP(AJT92,[2]Vertaling!$B:$C,2,FALSE)</f>
        <v>Système de plafond démontable avec des dalles Gyptone bord D1</v>
      </c>
      <c r="AJU93" s="128"/>
      <c r="AJV93" s="128"/>
      <c r="AJW93" s="128"/>
      <c r="AJX93" s="128"/>
      <c r="AJY93" s="128"/>
      <c r="AJZ93" s="128"/>
      <c r="AKA93" s="128" t="str">
        <f>VLOOKUP(AKA92,[2]Vertaling!$B:$C,2,FALSE)</f>
        <v>Système de plafond démontable avec des dalles Gyptone bord D1</v>
      </c>
      <c r="AKB93" s="128"/>
      <c r="AKC93" s="128"/>
      <c r="AKD93" s="128"/>
      <c r="AKE93" s="128" t="str">
        <f>VLOOKUP(AKE92,[2]Vertaling!$B:$C,2,FALSE)</f>
        <v>Système de plafond démontable avec des dalles Gyptone bord E15</v>
      </c>
      <c r="AKF93" s="128"/>
      <c r="AKG93" s="128"/>
      <c r="AKH93" s="128"/>
      <c r="AKI93" s="128"/>
      <c r="AKJ93" s="128"/>
      <c r="AKK93" s="128"/>
      <c r="AKL93" s="128" t="str">
        <f>VLOOKUP(AKL92,[2]Vertaling!$B:$C,2,FALSE)</f>
        <v>Système de plafond démontable avec des dalles Gyptone bord E15</v>
      </c>
      <c r="AKM93" s="128"/>
      <c r="AKN93" s="128"/>
      <c r="AKO93" s="128"/>
      <c r="AKP93" s="128" t="str">
        <f>VLOOKUP(AKP92,[2]Vertaling!$B:$C,2,FALSE)</f>
        <v>Système de plafond démontable avec des dalles Gyptone bord A</v>
      </c>
      <c r="AKQ93" s="128"/>
      <c r="AKR93" s="128"/>
      <c r="AKS93" s="128"/>
      <c r="AKT93" s="128"/>
      <c r="AKU93" s="128"/>
      <c r="AKV93" s="128"/>
      <c r="AKW93" s="128" t="str">
        <f>VLOOKUP(AKW92,[2]Vertaling!$B:$C,2,FALSE)</f>
        <v>Système de plafond démontable avec des dalles Gyptone bord A</v>
      </c>
      <c r="AKX93" s="128"/>
      <c r="AKY93" s="128"/>
      <c r="AKZ93" s="128"/>
      <c r="ALA93" s="128" t="str">
        <f>VLOOKUP(ALA92,[2]Vertaling!$B:$C,2,FALSE)</f>
        <v>Système de plafond démontable avec des dalles Gyptone bord D1</v>
      </c>
      <c r="ALB93" s="128"/>
      <c r="ALC93" s="128"/>
      <c r="ALD93" s="128"/>
      <c r="ALE93" s="128"/>
      <c r="ALF93" s="128"/>
      <c r="ALG93" s="128"/>
      <c r="ALH93" s="128" t="str">
        <f>VLOOKUP(ALH92,[2]Vertaling!$B:$C,2,FALSE)</f>
        <v>Système de plafond démontable avec des dalles Gyptone bord D1</v>
      </c>
      <c r="ALI93" s="128"/>
      <c r="ALJ93" s="128"/>
      <c r="ALK93" s="128"/>
      <c r="ALL93" s="128" t="str">
        <f>VLOOKUP(ALL92,[2]Vertaling!$B:$C,2,FALSE)</f>
        <v>Système de plafond démontable avec des dalles Gyptone bord E15</v>
      </c>
      <c r="ALM93" s="128"/>
      <c r="ALN93" s="128"/>
      <c r="ALO93" s="128"/>
      <c r="ALP93" s="128"/>
      <c r="ALQ93" s="128"/>
      <c r="ALR93" s="128"/>
      <c r="ALS93" s="128" t="str">
        <f>VLOOKUP(ALS92,[2]Vertaling!$B:$C,2,FALSE)</f>
        <v>Système de plafond démontable avec des dalles Gyptone bord E15</v>
      </c>
      <c r="ALT93" s="128"/>
      <c r="ALU93" s="128"/>
      <c r="ALV93" s="128"/>
      <c r="ALW93" s="128" t="str">
        <f>VLOOKUP(ALW92,[2]Vertaling!$B:$C,2,FALSE)</f>
        <v>Système de plafond démontable avec des dalles Gyptone bord A</v>
      </c>
      <c r="ALX93" s="128"/>
      <c r="ALY93" s="128"/>
      <c r="ALZ93" s="128"/>
      <c r="AMA93" s="128"/>
      <c r="AMB93" s="128"/>
      <c r="AMC93" s="128"/>
      <c r="AMD93" s="128" t="str">
        <f>VLOOKUP(AMD92,[2]Vertaling!$B:$C,2,FALSE)</f>
        <v>Système de plafond démontable avec des dalles Gyptone bord A</v>
      </c>
      <c r="AME93" s="128"/>
      <c r="AMF93" s="128"/>
      <c r="AMG93" s="128"/>
      <c r="AMH93" s="128" t="str">
        <f>VLOOKUP(AMH92,[2]Vertaling!$B:$C,2,FALSE)</f>
        <v>Système de plafond démontable avec des dalles Gyptone bord D1</v>
      </c>
      <c r="AMI93" s="128"/>
      <c r="AMJ93" s="128"/>
      <c r="AMK93" s="128"/>
      <c r="AML93" s="128"/>
      <c r="AMM93" s="128"/>
      <c r="AMN93" s="128"/>
      <c r="AMO93" s="128" t="str">
        <f>VLOOKUP(AMO92,[2]Vertaling!$B:$C,2,FALSE)</f>
        <v>Système de plafond démontable avec des dalles Gyptone bord D1</v>
      </c>
      <c r="AMP93" s="128"/>
      <c r="AMQ93" s="128"/>
      <c r="AMR93" s="128"/>
      <c r="AMS93" s="128" t="str">
        <f>VLOOKUP(AMS92,[2]Vertaling!$B:$C,2,FALSE)</f>
        <v>Système de plafond démontable avec des dalles Gyptone bord E15</v>
      </c>
      <c r="AMT93" s="128"/>
      <c r="AMU93" s="128"/>
      <c r="AMV93" s="128"/>
      <c r="AMW93" s="128"/>
      <c r="AMX93" s="128"/>
      <c r="AMY93" s="128"/>
      <c r="AMZ93" s="128" t="str">
        <f>VLOOKUP(AMZ92,[2]Vertaling!$B:$C,2,FALSE)</f>
        <v>Système de plafond démontable avec des dalles Gyptone bord E15</v>
      </c>
      <c r="ANA93" s="128"/>
      <c r="ANB93" s="128"/>
      <c r="ANC93" s="128"/>
      <c r="AND93" s="128" t="str">
        <f>VLOOKUP(AND92,[2]Vertaling!$B:$C,2,FALSE)</f>
        <v>Système de plafond démontable avec des dalles Gyptone bord A</v>
      </c>
      <c r="ANE93" s="128"/>
      <c r="ANF93" s="128"/>
      <c r="ANG93" s="128"/>
      <c r="ANH93" s="128"/>
      <c r="ANI93" s="128"/>
      <c r="ANJ93" s="128"/>
      <c r="ANK93" s="128" t="str">
        <f>VLOOKUP(ANK92,[2]Vertaling!$B:$C,2,FALSE)</f>
        <v>Système de plafond démontable avec des dalles Gyptone bord A</v>
      </c>
      <c r="ANL93" s="128"/>
      <c r="ANM93" s="128"/>
      <c r="ANN93" s="128"/>
      <c r="ANO93" s="128" t="str">
        <f>VLOOKUP(ANO92,[2]Vertaling!$B:$C,2,FALSE)</f>
        <v>Système de plafond démontable avec des dalles Gyptone bord D1</v>
      </c>
      <c r="ANP93" s="128"/>
      <c r="ANQ93" s="128"/>
      <c r="ANR93" s="128"/>
      <c r="ANS93" s="128"/>
      <c r="ANT93" s="128"/>
      <c r="ANU93" s="128"/>
      <c r="ANV93" s="128" t="str">
        <f>VLOOKUP(ANV92,[2]Vertaling!$B:$C,2,FALSE)</f>
        <v>Système de plafond démontable avec des dalles Gyptone bord D1</v>
      </c>
      <c r="ANW93" s="128"/>
      <c r="ANX93" s="128"/>
      <c r="ANY93" s="128"/>
      <c r="ANZ93" s="128" t="str">
        <f>VLOOKUP(ANZ92,[2]Vertaling!$B:$C,2,FALSE)</f>
        <v>Système de plafond démontable avec des dalles Gyptone bord E15</v>
      </c>
      <c r="AOA93" s="128"/>
      <c r="AOB93" s="128"/>
      <c r="AOC93" s="128"/>
      <c r="AOD93" s="128"/>
      <c r="AOE93" s="128"/>
      <c r="AOF93" s="128"/>
      <c r="AOG93" s="128" t="str">
        <f>VLOOKUP(AOG92,[2]Vertaling!$B:$C,2,FALSE)</f>
        <v>Système de plafond démontable avec des dalles Gyptone bord E15</v>
      </c>
      <c r="AOH93" s="128"/>
      <c r="AOI93" s="128"/>
      <c r="AOJ93" s="128"/>
      <c r="AOK93" s="128" t="str">
        <f>VLOOKUP(AOK92,[2]Vertaling!$B:$C,2,FALSE)</f>
        <v>Système de plafond démontable avec des dalles Gyptone bord A</v>
      </c>
      <c r="AOL93" s="128"/>
      <c r="AOM93" s="128"/>
      <c r="AON93" s="128"/>
      <c r="AOO93" s="128"/>
      <c r="AOP93" s="128"/>
      <c r="AOQ93" s="128"/>
      <c r="AOR93" s="128" t="str">
        <f>VLOOKUP(AOR92,[2]Vertaling!$B:$C,2,FALSE)</f>
        <v>Système de plafond démontable avec des dalles Gyptone bord A</v>
      </c>
      <c r="AOS93" s="128"/>
      <c r="AOT93" s="128"/>
      <c r="AOU93" s="128"/>
      <c r="AOV93" s="128" t="str">
        <f>VLOOKUP(AOV92,[2]Vertaling!$B:$C,2,FALSE)</f>
        <v>Système de plafond démontable avec des dalles Gyptone bord D1</v>
      </c>
      <c r="AOW93" s="128"/>
      <c r="AOX93" s="128"/>
      <c r="AOY93" s="128"/>
      <c r="AOZ93" s="128"/>
      <c r="APA93" s="128"/>
      <c r="APB93" s="128"/>
      <c r="APC93" s="128" t="str">
        <f>VLOOKUP(APC92,[2]Vertaling!$B:$C,2,FALSE)</f>
        <v>Système de plafond démontable avec des dalles Gyptone bord D1</v>
      </c>
      <c r="APD93" s="128"/>
      <c r="APE93" s="128"/>
      <c r="APF93" s="128"/>
      <c r="APG93" s="128" t="str">
        <f>VLOOKUP(APG92,[2]Vertaling!$B:$C,2,FALSE)</f>
        <v>Système de plafond démontable avec des dalles Gyptone bord E15</v>
      </c>
      <c r="APH93" s="128"/>
      <c r="API93" s="128"/>
      <c r="APJ93" s="128"/>
      <c r="APK93" s="128"/>
      <c r="APL93" s="128"/>
      <c r="APM93" s="128"/>
      <c r="APN93" s="128" t="str">
        <f>VLOOKUP(APN92,[2]Vertaling!$B:$C,2,FALSE)</f>
        <v>Système de plafond démontable avec des dalles Gyptone bord E15</v>
      </c>
      <c r="APS93" s="130" t="s">
        <v>3790</v>
      </c>
      <c r="APX93" s="130" t="s">
        <v>3790</v>
      </c>
      <c r="AQB93" s="130" t="s">
        <v>3790</v>
      </c>
      <c r="AQI93" s="130" t="s">
        <v>3790</v>
      </c>
      <c r="AQM93" s="130" t="s">
        <v>3790</v>
      </c>
      <c r="AQT93" s="130" t="s">
        <v>3790</v>
      </c>
      <c r="AQX93" s="130" t="s">
        <v>3790</v>
      </c>
      <c r="ARE93" s="130" t="s">
        <v>3790</v>
      </c>
      <c r="ARI93" s="130" t="s">
        <v>3790</v>
      </c>
      <c r="ARP93" s="130" t="s">
        <v>3790</v>
      </c>
      <c r="ART93" s="130" t="s">
        <v>3790</v>
      </c>
      <c r="ASA93" s="130" t="s">
        <v>3790</v>
      </c>
      <c r="ASE93" s="130" t="s">
        <v>3790</v>
      </c>
      <c r="ASL93" s="130" t="s">
        <v>3790</v>
      </c>
      <c r="ASP93" s="130" t="s">
        <v>3790</v>
      </c>
      <c r="ASW93" s="130" t="s">
        <v>3790</v>
      </c>
      <c r="ASX93" s="128"/>
      <c r="ASY93" s="128"/>
      <c r="ASZ93" s="128"/>
      <c r="ATA93" s="128"/>
      <c r="ATB93" s="128" t="str">
        <f>VLOOKUP(ATB92,[2]Vertaling!$B:$C,2,FALSE)</f>
        <v>Système de plafond démontable avec des panneaux Gyptone bord d'about A et bord longitudinal E15</v>
      </c>
      <c r="ATC93" s="128"/>
      <c r="ATD93" s="128"/>
      <c r="ATE93" s="128"/>
      <c r="ATF93" s="128"/>
      <c r="ATG93" s="128" t="str">
        <f>VLOOKUP(ATG92,[2]Vertaling!$B:$C,2,FALSE)</f>
        <v>Système de plafond démontable avec des panneaux Gyptone bord d'about A et bord longitudinal E15</v>
      </c>
      <c r="ATH93" s="128"/>
      <c r="ATI93" s="128"/>
      <c r="ATJ93" s="128"/>
      <c r="ATK93" s="128" t="str">
        <f>VLOOKUP(ATK92,[2]Vertaling!$B:$C,2,FALSE)</f>
        <v>Système de plafond démontable avec des panneaux Gyptone bord d'about A et bord longitudinal E15</v>
      </c>
      <c r="ATL93" s="128"/>
      <c r="ATM93" s="128"/>
      <c r="ATN93" s="128"/>
      <c r="ATO93" s="128"/>
      <c r="ATP93" s="128"/>
      <c r="ATQ93" s="128"/>
      <c r="ATR93" s="128" t="str">
        <f>VLOOKUP(ATR92,[2]Vertaling!$B:$C,2,FALSE)</f>
        <v>Système de plafond démontable avec des panneaux Gyptone bord d'about A et bord longitudinal E15</v>
      </c>
      <c r="ATS93" s="128"/>
      <c r="ATT93" s="128"/>
      <c r="ATU93" s="128"/>
      <c r="ATV93" s="128" t="str">
        <f>VLOOKUP(ATV92,[2]Vertaling!$B:$C,2,FALSE)</f>
        <v>Système de plafond démontable avec des panneaux Gyptone bord d'about A et bord longitudinal E15</v>
      </c>
      <c r="ATW93" s="128"/>
      <c r="ATX93" s="128"/>
      <c r="ATY93" s="128"/>
      <c r="ATZ93" s="128"/>
      <c r="AUA93" s="128"/>
      <c r="AUB93" s="128"/>
      <c r="AUC93" s="128" t="str">
        <f>VLOOKUP(AUC92,[2]Vertaling!$B:$C,2,FALSE)</f>
        <v>Système de plafond démontable avec des panneaux Gyptone bord d'about A et bord longitudinal E15</v>
      </c>
      <c r="AUD93" s="128"/>
      <c r="AUE93" s="128"/>
      <c r="AUF93" s="128"/>
      <c r="AUG93" s="128" t="str">
        <f>VLOOKUP(AUG92,[2]Vertaling!$B:$C,2,FALSE)</f>
        <v>Système de plafond démontable avec des panneaux Gyptone bord d'about A et bord longitudinal E15</v>
      </c>
      <c r="AUH93" s="128"/>
      <c r="AUI93" s="128"/>
      <c r="AUJ93" s="128"/>
      <c r="AUK93" s="128"/>
      <c r="AUL93" s="128"/>
      <c r="AUM93" s="128"/>
      <c r="AUN93" s="128" t="str">
        <f>VLOOKUP(AUN92,[2]Vertaling!$B:$C,2,FALSE)</f>
        <v>Système de plafond démontable avec des panneaux Gyptone bord d'about A et bord longitudinal E15</v>
      </c>
      <c r="AUO93" s="128"/>
      <c r="AUP93" s="128"/>
      <c r="AUQ93" s="128"/>
      <c r="AUR93" s="128"/>
      <c r="AUS93" s="128" t="str">
        <f>VLOOKUP(AUS92,[2]Vertaling!$B:$C,2,FALSE)</f>
        <v>Système de plafond démontable avec des dalles Gyprex bord A</v>
      </c>
      <c r="AUT93" s="128"/>
      <c r="AUU93" s="128"/>
      <c r="AUV93" s="128"/>
      <c r="AUW93" s="128"/>
      <c r="AUX93" s="128" t="str">
        <f>VLOOKUP(AUX92,[2]Vertaling!$B:$C,2,FALSE)</f>
        <v>Système de plafond démontable avec des dalles Gyprex bord A</v>
      </c>
      <c r="AUY93" s="128"/>
      <c r="AUZ93" s="128"/>
      <c r="AVA93" s="128" t="str">
        <f>VLOOKUP(AVA92,[2]Vertaling!$B:$C,2,FALSE)</f>
        <v>Système de plafond démontable avec des dalles Gyprex bord A</v>
      </c>
      <c r="AVB93" s="128"/>
      <c r="AVC93" s="128"/>
      <c r="AVD93" s="128"/>
      <c r="AVE93" s="128"/>
      <c r="AVF93" s="128" t="str">
        <f>VLOOKUP(AVF92,[2]Vertaling!$B:$C,2,FALSE)</f>
        <v>Système de plafond démontable avec des dalles Gyprex bord A</v>
      </c>
      <c r="AVG93" s="128" t="str">
        <f>VLOOKUP(AVG92,[2]Vertaling!$B:$C,2,FALSE)</f>
        <v>Système de plafond démontable avec des dalles Gyprex bord A</v>
      </c>
      <c r="AVJ93" s="128" t="str">
        <f>VLOOKUP(AVJ92,[2]Structuur!$E:$F,2,FALSE)</f>
        <v>Rigidur Floor système de chape sèche</v>
      </c>
      <c r="AVK93" s="128" t="str">
        <f>VLOOKUP(AVK92,[2]Structuur!$E:$F,2,FALSE)</f>
        <v>Rigidur Floor système de chape sèche</v>
      </c>
      <c r="AVL93" s="128" t="str">
        <f>VLOOKUP(AVL92,[2]Structuur!$E:$F,2,FALSE)</f>
        <v>Rigidur Floor système de chape sèche</v>
      </c>
      <c r="AVM93" s="128" t="str">
        <f>VLOOKUP(AVM92,[2]Structuur!$E:$F,2,FALSE)</f>
        <v>Rigidur Floor système de chape sèche</v>
      </c>
      <c r="AVN93" s="128" t="str">
        <f>VLOOKUP(AVN92,[2]Structuur!$E:$F,2,FALSE)</f>
        <v>Rigidur Floor système de chape sèche</v>
      </c>
      <c r="AVO93" s="128" t="str">
        <f>VLOOKUP(AVO92,[2]Vertaling!$B:$C,2,FALSE)</f>
        <v>Rigidur Floor système de chape sèche</v>
      </c>
      <c r="AVP93" s="128" t="str">
        <f>VLOOKUP(AVP92,[2]Vertaling!$B:$C,2,FALSE)</f>
        <v>Rigidur Floor système de chape sèche</v>
      </c>
      <c r="AVQ93" s="128" t="str">
        <f>VLOOKUP(AVQ92,[2]Vertaling!$B:$C,2,FALSE)</f>
        <v>Rigidur Floor système de chape sèche</v>
      </c>
      <c r="AVR93" s="128" t="str">
        <f>VLOOKUP(AVR92,[2]Vertaling!$B:$C,2,FALSE)</f>
        <v>Rigidur Floor système de chape sèche</v>
      </c>
      <c r="AVS93" s="128" t="str">
        <f>VLOOKUP(AVS92,[2]Vertaling!$B:$C,2,FALSE)</f>
        <v>Rigidur Floor système de chape sèche</v>
      </c>
      <c r="AVT93" s="128" t="str">
        <f>VLOOKUP(AVT92,[2]Vertaling!$B:$C,2,FALSE)</f>
        <v>Rigidur Floor système de chape sèche</v>
      </c>
      <c r="AVU93" s="128" t="str">
        <f>VLOOKUP(AVU92,[2]Vertaling!$B:$C,2,FALSE)</f>
        <v>Rigidur Floor système de chape sèche</v>
      </c>
      <c r="AVV93" s="128" t="str">
        <f>VLOOKUP(AVV92,[2]Vertaling!$B:$C,2,FALSE)</f>
        <v>Rigidur Floor système de chape sèche</v>
      </c>
      <c r="AVW93" s="128" t="str">
        <f>VLOOKUP(AVW92,[2]Vertaling!$B:$C,2,FALSE)</f>
        <v>Rigidur Floor système de chape sèche</v>
      </c>
      <c r="AVX93" s="128" t="str">
        <f>VLOOKUP(AVX92,[2]Vertaling!$B:$C,2,FALSE)</f>
        <v>Rigidur Floor système de chape sèche</v>
      </c>
      <c r="AVY93" s="128" t="str">
        <f>VLOOKUP(AVY92,[2]Vertaling!$B:$C,2,FALSE)</f>
        <v>Rigidur Floor système de chape sèche</v>
      </c>
      <c r="AVZ93" s="128" t="str">
        <f>VLOOKUP(AVZ92,[2]Vertaling!$B:$C,2,FALSE)</f>
        <v>Rigidur Floor système de chape sèche</v>
      </c>
      <c r="AWA93" s="128" t="str">
        <f>VLOOKUP(AWA92,[2]Vertaling!$B:$C,2,FALSE)</f>
        <v>Rigidur Floor système de chape sèche</v>
      </c>
      <c r="AWB93" s="128" t="str">
        <f>VLOOKUP(AWB92,[2]Vertaling!$B:$C,2,FALSE)</f>
        <v>Rigidur Floor système de chape sèche</v>
      </c>
      <c r="AWC93" s="128" t="str">
        <f>VLOOKUP(AWC92,[2]Vertaling!$B:$C,2,FALSE)</f>
        <v>Rigidur Floor système de chape sèche</v>
      </c>
      <c r="AWD93" s="128" t="str">
        <f>VLOOKUP(AWD92,[2]Vertaling!$B:$C,2,FALSE)</f>
        <v>Rigidur Floor système de chape sèche</v>
      </c>
      <c r="AWE93" s="128" t="str">
        <f>VLOOKUP(AWE92,[2]Vertaling!$B:$C,2,FALSE)</f>
        <v>Rigidur Floor système de chape sèche</v>
      </c>
      <c r="AWF93" s="128" t="str">
        <f>VLOOKUP(AWF92,[2]Vertaling!$B:$C,2,FALSE)</f>
        <v>Rigidur Floor système de chape sèche</v>
      </c>
      <c r="AWG93" s="128" t="str">
        <f>VLOOKUP(AWG92,[2]Vertaling!$B:$C,2,FALSE)</f>
        <v>Rigidur Floor système de chape sèche</v>
      </c>
      <c r="AWH93" s="128" t="str">
        <f>VLOOKUP(AWH92,[2]Vertaling!$B:$C,2,FALSE)</f>
        <v>Rigidur Floor système de chape sèche</v>
      </c>
      <c r="AWI93" s="128" t="str">
        <f>VLOOKUP(AWI92,[2]Vertaling!$B:$C,2,FALSE)</f>
        <v>Rigidur Floor système de chape sèche</v>
      </c>
      <c r="AWJ93" s="128" t="str">
        <f>VLOOKUP(AWJ92,[2]Vertaling!$B:$C,2,FALSE)</f>
        <v>Rigidur Floor système de chape sèche</v>
      </c>
      <c r="AWK93" s="128" t="str">
        <f>VLOOKUP(AWK92,[2]Vertaling!$B:$C,2,FALSE)</f>
        <v>Rigidur Floor système de chape sèche</v>
      </c>
      <c r="AWL93" s="128" t="str">
        <f>VLOOKUP(AWL92,[2]Vertaling!$B:$C,2,FALSE)</f>
        <v>Rigidur Floor système de chape sèche</v>
      </c>
      <c r="AWM93" s="128" t="str">
        <f>VLOOKUP(AWM92,[2]Vertaling!$B:$C,2,FALSE)</f>
        <v>Rigidur Floor système de chape sèche</v>
      </c>
      <c r="AWN93" s="128" t="str">
        <f>VLOOKUP(AWN92,[2]Vertaling!$B:$C,2,FALSE)</f>
        <v>Rigidur Floor système de chape sèche</v>
      </c>
      <c r="AWO93" s="128" t="str">
        <f>VLOOKUP(AWO92,[2]Vertaling!$B:$C,2,FALSE)</f>
        <v>Rigidur Floor système de chape sèche</v>
      </c>
      <c r="AWP93" s="128" t="str">
        <f>VLOOKUP(AWP92,[2]Vertaling!$B:$C,2,FALSE)</f>
        <v>Rigidur Floor système de chape sèche</v>
      </c>
      <c r="AWQ93" s="128" t="str">
        <f>VLOOKUP(AWQ92,[2]Vertaling!$B:$C,2,FALSE)</f>
        <v>Rigidur Floor système de chape sèche</v>
      </c>
      <c r="AWR93" s="128" t="str">
        <f>VLOOKUP(AWR92,[2]Vertaling!$B:$C,2,FALSE)</f>
        <v>Rigidur Floor système de chape sèche</v>
      </c>
      <c r="AWS93" s="128" t="str">
        <f>VLOOKUP(AWS92,[2]Vertaling!$B:$C,2,FALSE)</f>
        <v>Rigidur Floor système de chape sèche</v>
      </c>
      <c r="AWT93" s="128" t="str">
        <f>VLOOKUP(AWT92,[2]Vertaling!$B:$C,2,FALSE)</f>
        <v>Rigidur Floor système de chape sèche</v>
      </c>
      <c r="AWU93" s="128" t="str">
        <f>VLOOKUP(AWU92,[2]Vertaling!$B:$C,2,FALSE)</f>
        <v>Rigidur Floor système de chape sèche</v>
      </c>
      <c r="AWV93" s="128" t="str">
        <f>VLOOKUP(AWV92,[2]Vertaling!$B:$C,2,FALSE)</f>
        <v>Rigidur Floor système de chape sèche</v>
      </c>
    </row>
    <row r="94" spans="1:1296" outlineLevel="1">
      <c r="A94" s="137" t="s">
        <v>367</v>
      </c>
      <c r="B94" s="140" t="s">
        <v>370</v>
      </c>
      <c r="C94" s="139" t="s">
        <v>371</v>
      </c>
      <c r="D94" s="139" t="s">
        <v>372</v>
      </c>
      <c r="E94" s="137">
        <v>160</v>
      </c>
      <c r="G94" s="136" t="s">
        <v>17</v>
      </c>
      <c r="H94" s="136" t="s">
        <v>13</v>
      </c>
      <c r="I94" s="136" t="s">
        <v>13</v>
      </c>
      <c r="J94" s="136" t="s">
        <v>13</v>
      </c>
      <c r="K94" s="136" t="s">
        <v>13</v>
      </c>
      <c r="L94" s="136" t="s">
        <v>13</v>
      </c>
      <c r="N94" s="136" t="s">
        <v>13</v>
      </c>
      <c r="P94" s="129" t="s">
        <v>3788</v>
      </c>
      <c r="Q94" s="129" t="s">
        <v>3788</v>
      </c>
      <c r="R94" s="129" t="s">
        <v>3788</v>
      </c>
      <c r="S94" s="129" t="s">
        <v>3788</v>
      </c>
      <c r="T94" s="129" t="s">
        <v>3788</v>
      </c>
      <c r="U94" s="128" t="s">
        <v>3788</v>
      </c>
      <c r="V94" s="129" t="s">
        <v>3788</v>
      </c>
      <c r="W94" s="129" t="s">
        <v>3788</v>
      </c>
      <c r="X94" s="129" t="s">
        <v>3788</v>
      </c>
      <c r="Y94" s="129" t="s">
        <v>3788</v>
      </c>
      <c r="Z94" s="129" t="s">
        <v>3788</v>
      </c>
      <c r="AA94" s="128" t="s">
        <v>3789</v>
      </c>
      <c r="AB94" s="128" t="s">
        <v>3789</v>
      </c>
      <c r="AC94" s="128" t="s">
        <v>3788</v>
      </c>
      <c r="AD94" s="128" t="s">
        <v>3789</v>
      </c>
      <c r="AE94" s="129" t="s">
        <v>3788</v>
      </c>
      <c r="AF94" s="128" t="s">
        <v>3789</v>
      </c>
      <c r="AG94" s="128" t="s">
        <v>3789</v>
      </c>
      <c r="AH94" s="129" t="s">
        <v>3788</v>
      </c>
      <c r="AI94" s="128" t="s">
        <v>3788</v>
      </c>
      <c r="AJ94" s="128" t="s">
        <v>3789</v>
      </c>
      <c r="AK94" s="128" t="s">
        <v>3788</v>
      </c>
      <c r="AL94" s="128" t="s">
        <v>3788</v>
      </c>
      <c r="AM94" s="129" t="s">
        <v>3788</v>
      </c>
      <c r="AN94" s="128" t="s">
        <v>3789</v>
      </c>
      <c r="AO94" s="128" t="s">
        <v>3789</v>
      </c>
      <c r="AP94" s="128" t="s">
        <v>3789</v>
      </c>
      <c r="AQ94" s="128" t="s">
        <v>3789</v>
      </c>
      <c r="AR94" s="128" t="s">
        <v>3788</v>
      </c>
      <c r="AS94" s="128" t="s">
        <v>3789</v>
      </c>
      <c r="AT94" s="128" t="s">
        <v>3788</v>
      </c>
      <c r="AU94" s="128" t="s">
        <v>3788</v>
      </c>
      <c r="AV94" s="128" t="s">
        <v>3788</v>
      </c>
      <c r="AW94" s="128" t="s">
        <v>3789</v>
      </c>
      <c r="DC94" s="129"/>
      <c r="FP94" s="128" t="s">
        <v>3789</v>
      </c>
      <c r="GR94" s="129" t="s">
        <v>3787</v>
      </c>
      <c r="GS94" s="129" t="s">
        <v>3787</v>
      </c>
      <c r="GT94" s="129" t="s">
        <v>3787</v>
      </c>
      <c r="GU94" s="129" t="s">
        <v>3787</v>
      </c>
      <c r="GV94" s="129" t="s">
        <v>3787</v>
      </c>
      <c r="GW94" s="129" t="s">
        <v>3787</v>
      </c>
      <c r="GX94" s="129" t="s">
        <v>3787</v>
      </c>
      <c r="GY94" s="129" t="s">
        <v>3787</v>
      </c>
      <c r="GZ94" s="129" t="s">
        <v>3787</v>
      </c>
      <c r="HA94" s="129" t="s">
        <v>3787</v>
      </c>
      <c r="HB94" s="129" t="s">
        <v>3787</v>
      </c>
      <c r="HC94" s="129" t="s">
        <v>3787</v>
      </c>
      <c r="HD94" s="129" t="s">
        <v>3787</v>
      </c>
      <c r="HE94" s="129" t="s">
        <v>3787</v>
      </c>
      <c r="HF94" s="129" t="s">
        <v>3787</v>
      </c>
      <c r="HH94" s="129" t="s">
        <v>3788</v>
      </c>
      <c r="HI94" s="129" t="s">
        <v>3788</v>
      </c>
      <c r="HJ94" s="129" t="s">
        <v>3788</v>
      </c>
      <c r="HK94" s="129" t="s">
        <v>3788</v>
      </c>
      <c r="HL94" s="129" t="s">
        <v>3788</v>
      </c>
      <c r="HM94" s="129" t="s">
        <v>3788</v>
      </c>
      <c r="HN94" s="129" t="s">
        <v>3788</v>
      </c>
      <c r="HO94" s="129" t="s">
        <v>3788</v>
      </c>
      <c r="HP94" s="129" t="s">
        <v>3788</v>
      </c>
      <c r="HS94" s="129" t="s">
        <v>3788</v>
      </c>
      <c r="HT94" s="129" t="s">
        <v>3788</v>
      </c>
      <c r="HU94" s="129" t="s">
        <v>3788</v>
      </c>
      <c r="HV94" s="129" t="s">
        <v>3788</v>
      </c>
      <c r="HW94" s="129" t="s">
        <v>3788</v>
      </c>
      <c r="HX94" s="129" t="s">
        <v>3788</v>
      </c>
      <c r="HY94" s="129" t="s">
        <v>3788</v>
      </c>
      <c r="HZ94" s="129" t="s">
        <v>3788</v>
      </c>
      <c r="IA94" s="129" t="s">
        <v>3788</v>
      </c>
      <c r="IB94" s="129" t="s">
        <v>3788</v>
      </c>
      <c r="IC94" s="129" t="s">
        <v>3788</v>
      </c>
      <c r="ID94" s="129" t="s">
        <v>3788</v>
      </c>
      <c r="IE94" s="129" t="s">
        <v>3788</v>
      </c>
      <c r="IF94" s="129" t="s">
        <v>3788</v>
      </c>
      <c r="IG94" s="129" t="s">
        <v>3788</v>
      </c>
      <c r="IH94" s="129" t="s">
        <v>3788</v>
      </c>
      <c r="II94" s="129" t="s">
        <v>3788</v>
      </c>
      <c r="IJ94" s="129" t="s">
        <v>3788</v>
      </c>
      <c r="IK94" s="129" t="s">
        <v>3788</v>
      </c>
      <c r="IL94" s="129" t="s">
        <v>3788</v>
      </c>
      <c r="IM94" s="129" t="s">
        <v>3788</v>
      </c>
      <c r="IN94" s="129" t="s">
        <v>3788</v>
      </c>
      <c r="IO94" s="129" t="s">
        <v>3789</v>
      </c>
      <c r="IP94" s="129" t="s">
        <v>3789</v>
      </c>
      <c r="IQ94" s="129" t="s">
        <v>3789</v>
      </c>
      <c r="IR94" s="129" t="s">
        <v>3789</v>
      </c>
      <c r="IS94" s="129" t="s">
        <v>3789</v>
      </c>
      <c r="IT94" s="128"/>
      <c r="NS94" s="129" t="s">
        <v>3787</v>
      </c>
      <c r="NT94" s="129" t="s">
        <v>3787</v>
      </c>
      <c r="NU94" s="129" t="s">
        <v>3787</v>
      </c>
      <c r="NV94" s="129" t="s">
        <v>3787</v>
      </c>
      <c r="NW94" s="129" t="s">
        <v>3787</v>
      </c>
      <c r="NX94" s="129" t="s">
        <v>3787</v>
      </c>
      <c r="NY94" s="129" t="s">
        <v>3787</v>
      </c>
      <c r="NZ94" s="129" t="s">
        <v>3787</v>
      </c>
      <c r="OA94" s="129" t="s">
        <v>3787</v>
      </c>
      <c r="OB94" s="129" t="s">
        <v>3787</v>
      </c>
      <c r="OC94" s="129" t="s">
        <v>3787</v>
      </c>
      <c r="OD94" s="129" t="s">
        <v>3787</v>
      </c>
      <c r="OF94" s="129" t="s">
        <v>3787</v>
      </c>
      <c r="OG94" s="129" t="s">
        <v>3787</v>
      </c>
      <c r="OH94" s="129" t="s">
        <v>3787</v>
      </c>
      <c r="OI94" s="129" t="s">
        <v>3787</v>
      </c>
      <c r="OJ94" s="129" t="s">
        <v>3787</v>
      </c>
      <c r="OK94" s="129" t="s">
        <v>3787</v>
      </c>
      <c r="OL94" s="129" t="s">
        <v>3787</v>
      </c>
      <c r="OM94" s="129" t="s">
        <v>3787</v>
      </c>
      <c r="ON94" s="129" t="s">
        <v>3787</v>
      </c>
      <c r="OQ94" s="129" t="s">
        <v>3788</v>
      </c>
      <c r="OT94" s="129" t="s">
        <v>3788</v>
      </c>
      <c r="OU94" s="129" t="s">
        <v>3788</v>
      </c>
      <c r="OV94" s="129" t="s">
        <v>3788</v>
      </c>
      <c r="OW94" s="129" t="s">
        <v>3788</v>
      </c>
      <c r="OX94" s="129" t="s">
        <v>3788</v>
      </c>
      <c r="OY94" s="129" t="s">
        <v>3788</v>
      </c>
      <c r="OZ94" s="129" t="s">
        <v>3788</v>
      </c>
      <c r="PA94" s="129" t="s">
        <v>3788</v>
      </c>
      <c r="PB94" s="129" t="s">
        <v>3788</v>
      </c>
      <c r="PC94" s="129" t="s">
        <v>3788</v>
      </c>
      <c r="PD94" s="129" t="s">
        <v>3788</v>
      </c>
      <c r="PE94" s="129" t="s">
        <v>3788</v>
      </c>
      <c r="PF94" s="129" t="s">
        <v>3788</v>
      </c>
      <c r="PG94" s="129" t="s">
        <v>3788</v>
      </c>
      <c r="PH94" s="129" t="s">
        <v>3788</v>
      </c>
      <c r="PI94" s="129" t="s">
        <v>3788</v>
      </c>
      <c r="PJ94" s="129" t="s">
        <v>3788</v>
      </c>
      <c r="PK94" s="129" t="s">
        <v>3788</v>
      </c>
      <c r="PL94" s="129" t="s">
        <v>3788</v>
      </c>
      <c r="PM94" s="129" t="s">
        <v>3788</v>
      </c>
      <c r="PN94" s="129" t="s">
        <v>3788</v>
      </c>
      <c r="PO94" s="129" t="s">
        <v>3788</v>
      </c>
      <c r="PP94" s="129" t="s">
        <v>3788</v>
      </c>
      <c r="PQ94" s="129" t="s">
        <v>3788</v>
      </c>
      <c r="PR94" s="129" t="s">
        <v>3788</v>
      </c>
      <c r="PS94" s="129" t="s">
        <v>3788</v>
      </c>
      <c r="PT94" s="129" t="s">
        <v>3788</v>
      </c>
      <c r="PU94" s="129" t="s">
        <v>3788</v>
      </c>
      <c r="PV94" s="129" t="s">
        <v>3788</v>
      </c>
      <c r="PW94" s="129" t="s">
        <v>3788</v>
      </c>
      <c r="PX94" s="129" t="s">
        <v>3788</v>
      </c>
      <c r="PY94" s="129" t="s">
        <v>3788</v>
      </c>
      <c r="PZ94" s="129" t="s">
        <v>3788</v>
      </c>
      <c r="QA94" s="129" t="s">
        <v>3788</v>
      </c>
      <c r="QB94" s="129" t="s">
        <v>3788</v>
      </c>
      <c r="QC94" s="129" t="s">
        <v>3788</v>
      </c>
      <c r="QD94" s="129" t="s">
        <v>3788</v>
      </c>
      <c r="QE94" s="129" t="s">
        <v>3788</v>
      </c>
      <c r="QF94" s="129" t="s">
        <v>3788</v>
      </c>
      <c r="QG94" s="129" t="s">
        <v>3788</v>
      </c>
      <c r="QH94" s="129" t="s">
        <v>3788</v>
      </c>
      <c r="QI94" s="129" t="s">
        <v>3788</v>
      </c>
      <c r="QJ94" s="129" t="s">
        <v>3788</v>
      </c>
      <c r="QK94" s="129" t="s">
        <v>3788</v>
      </c>
      <c r="QL94" s="129" t="s">
        <v>3788</v>
      </c>
      <c r="QM94" s="129" t="s">
        <v>3788</v>
      </c>
      <c r="QN94" s="129" t="s">
        <v>3788</v>
      </c>
      <c r="QO94" s="129" t="s">
        <v>3788</v>
      </c>
      <c r="QP94" s="129" t="s">
        <v>3788</v>
      </c>
      <c r="QQ94" s="129" t="s">
        <v>3788</v>
      </c>
      <c r="QR94" s="129" t="s">
        <v>3788</v>
      </c>
      <c r="QS94" s="129" t="s">
        <v>3788</v>
      </c>
      <c r="QT94" s="129" t="s">
        <v>3788</v>
      </c>
      <c r="QU94" s="129" t="s">
        <v>3788</v>
      </c>
      <c r="QV94" s="129" t="s">
        <v>3788</v>
      </c>
      <c r="QW94" s="129" t="s">
        <v>3788</v>
      </c>
      <c r="QX94" s="129" t="s">
        <v>3788</v>
      </c>
      <c r="QY94" s="129" t="s">
        <v>3788</v>
      </c>
      <c r="QZ94" s="129" t="s">
        <v>3788</v>
      </c>
      <c r="RA94" s="129" t="s">
        <v>3788</v>
      </c>
      <c r="RB94" s="129" t="s">
        <v>3788</v>
      </c>
      <c r="RC94" s="129" t="s">
        <v>3788</v>
      </c>
      <c r="RD94" s="129" t="s">
        <v>3788</v>
      </c>
      <c r="RE94" s="129" t="s">
        <v>3788</v>
      </c>
      <c r="RF94" s="129" t="s">
        <v>3788</v>
      </c>
      <c r="RG94" s="129" t="s">
        <v>3788</v>
      </c>
      <c r="RH94" s="129" t="s">
        <v>3788</v>
      </c>
      <c r="RI94" s="129" t="s">
        <v>3788</v>
      </c>
      <c r="RJ94" s="129" t="s">
        <v>3788</v>
      </c>
      <c r="RK94" s="129" t="s">
        <v>3788</v>
      </c>
      <c r="RL94" s="129" t="s">
        <v>3788</v>
      </c>
      <c r="RM94" s="129" t="s">
        <v>3788</v>
      </c>
      <c r="RN94" s="129" t="s">
        <v>3788</v>
      </c>
      <c r="RO94" s="129" t="s">
        <v>3788</v>
      </c>
      <c r="RP94" s="129" t="s">
        <v>3788</v>
      </c>
      <c r="RQ94" s="134" t="s">
        <v>3788</v>
      </c>
      <c r="RR94" s="134" t="s">
        <v>3788</v>
      </c>
      <c r="RS94" s="134" t="s">
        <v>3788</v>
      </c>
      <c r="RT94" s="134" t="s">
        <v>3788</v>
      </c>
    </row>
    <row r="95" spans="1:1296" ht="25.5" outlineLevel="1">
      <c r="A95" s="137" t="s">
        <v>367</v>
      </c>
      <c r="B95" s="140" t="s">
        <v>373</v>
      </c>
      <c r="C95" s="139" t="s">
        <v>374</v>
      </c>
      <c r="D95" s="139" t="s">
        <v>375</v>
      </c>
      <c r="E95" s="137">
        <v>161</v>
      </c>
      <c r="G95" s="136" t="s">
        <v>17</v>
      </c>
      <c r="H95" s="136" t="s">
        <v>13</v>
      </c>
      <c r="I95" s="136" t="s">
        <v>366</v>
      </c>
      <c r="J95" s="136" t="s">
        <v>366</v>
      </c>
      <c r="K95" s="136" t="s">
        <v>366</v>
      </c>
      <c r="L95" s="136" t="s">
        <v>13</v>
      </c>
      <c r="N95" s="136" t="s">
        <v>13</v>
      </c>
      <c r="P95" s="129" t="s">
        <v>3788</v>
      </c>
      <c r="Q95" s="129" t="s">
        <v>3788</v>
      </c>
      <c r="R95" s="129" t="s">
        <v>3788</v>
      </c>
      <c r="S95" s="129" t="s">
        <v>3788</v>
      </c>
      <c r="T95" s="129" t="s">
        <v>3788</v>
      </c>
      <c r="U95" s="128" t="s">
        <v>3788</v>
      </c>
      <c r="V95" s="129" t="s">
        <v>3788</v>
      </c>
      <c r="W95" s="129" t="s">
        <v>3788</v>
      </c>
      <c r="X95" s="129" t="s">
        <v>3788</v>
      </c>
      <c r="Y95" s="129" t="s">
        <v>3788</v>
      </c>
      <c r="Z95" s="129" t="s">
        <v>3788</v>
      </c>
      <c r="AA95" s="128" t="s">
        <v>3789</v>
      </c>
      <c r="AB95" s="128" t="s">
        <v>3789</v>
      </c>
      <c r="AC95" s="128" t="s">
        <v>3788</v>
      </c>
      <c r="AD95" s="128" t="s">
        <v>3789</v>
      </c>
      <c r="AE95" s="129" t="s">
        <v>3788</v>
      </c>
      <c r="AF95" s="128" t="s">
        <v>3789</v>
      </c>
      <c r="AG95" s="128" t="s">
        <v>3789</v>
      </c>
      <c r="AH95" s="129" t="s">
        <v>3788</v>
      </c>
      <c r="AI95" s="128" t="s">
        <v>3788</v>
      </c>
      <c r="AJ95" s="128" t="s">
        <v>3789</v>
      </c>
      <c r="AK95" s="128" t="s">
        <v>3788</v>
      </c>
      <c r="AL95" s="128" t="s">
        <v>3788</v>
      </c>
      <c r="AM95" s="129" t="s">
        <v>3788</v>
      </c>
      <c r="AN95" s="128" t="s">
        <v>3789</v>
      </c>
      <c r="AO95" s="128" t="s">
        <v>3789</v>
      </c>
      <c r="AP95" s="128" t="s">
        <v>3789</v>
      </c>
      <c r="AQ95" s="128" t="s">
        <v>3789</v>
      </c>
      <c r="AR95" s="128" t="s">
        <v>3788</v>
      </c>
      <c r="AS95" s="128" t="s">
        <v>3789</v>
      </c>
      <c r="AT95" s="128" t="s">
        <v>3789</v>
      </c>
      <c r="AU95" s="128" t="s">
        <v>3789</v>
      </c>
      <c r="AV95" s="128" t="s">
        <v>3789</v>
      </c>
      <c r="AW95" s="128" t="s">
        <v>3789</v>
      </c>
      <c r="DC95" s="129"/>
      <c r="FP95" s="128" t="s">
        <v>3789</v>
      </c>
      <c r="GR95" s="129" t="s">
        <v>3787</v>
      </c>
      <c r="GS95" s="129" t="s">
        <v>3787</v>
      </c>
      <c r="GT95" s="129" t="s">
        <v>3787</v>
      </c>
      <c r="GU95" s="129" t="s">
        <v>3787</v>
      </c>
      <c r="GV95" s="129" t="s">
        <v>3787</v>
      </c>
      <c r="GW95" s="129" t="s">
        <v>3787</v>
      </c>
      <c r="GX95" s="129" t="s">
        <v>3787</v>
      </c>
      <c r="GY95" s="129" t="s">
        <v>3787</v>
      </c>
      <c r="GZ95" s="129" t="s">
        <v>3787</v>
      </c>
      <c r="HA95" s="129" t="s">
        <v>3787</v>
      </c>
      <c r="HB95" s="129" t="s">
        <v>3787</v>
      </c>
      <c r="HC95" s="129" t="s">
        <v>3787</v>
      </c>
      <c r="HD95" s="129" t="s">
        <v>3787</v>
      </c>
      <c r="HE95" s="129" t="s">
        <v>3787</v>
      </c>
      <c r="HF95" s="129" t="s">
        <v>3787</v>
      </c>
      <c r="HH95" s="129" t="s">
        <v>3788</v>
      </c>
      <c r="HI95" s="129" t="s">
        <v>3788</v>
      </c>
      <c r="HJ95" s="129" t="s">
        <v>3788</v>
      </c>
      <c r="HK95" s="129" t="s">
        <v>3788</v>
      </c>
      <c r="HL95" s="129" t="s">
        <v>3788</v>
      </c>
      <c r="HM95" s="129" t="s">
        <v>3788</v>
      </c>
      <c r="HN95" s="129" t="s">
        <v>3788</v>
      </c>
      <c r="HO95" s="129" t="s">
        <v>3788</v>
      </c>
      <c r="HP95" s="129" t="s">
        <v>3788</v>
      </c>
      <c r="IT95" s="128"/>
      <c r="NS95" s="129" t="s">
        <v>3787</v>
      </c>
      <c r="NT95" s="129" t="s">
        <v>3787</v>
      </c>
      <c r="NU95" s="129" t="s">
        <v>3787</v>
      </c>
      <c r="NV95" s="129" t="s">
        <v>3787</v>
      </c>
      <c r="NW95" s="129" t="s">
        <v>3787</v>
      </c>
      <c r="NX95" s="129" t="s">
        <v>3787</v>
      </c>
      <c r="NY95" s="129" t="s">
        <v>3787</v>
      </c>
      <c r="NZ95" s="129" t="s">
        <v>3787</v>
      </c>
      <c r="OA95" s="129" t="s">
        <v>3787</v>
      </c>
      <c r="OB95" s="129" t="s">
        <v>3787</v>
      </c>
      <c r="OC95" s="129" t="s">
        <v>3787</v>
      </c>
      <c r="OD95" s="129" t="s">
        <v>3787</v>
      </c>
      <c r="OF95" s="129" t="s">
        <v>3787</v>
      </c>
      <c r="OG95" s="129" t="s">
        <v>3787</v>
      </c>
      <c r="OH95" s="129" t="s">
        <v>3787</v>
      </c>
      <c r="OI95" s="129" t="s">
        <v>3787</v>
      </c>
      <c r="OJ95" s="129" t="s">
        <v>3787</v>
      </c>
      <c r="OK95" s="129" t="s">
        <v>3787</v>
      </c>
      <c r="OL95" s="129" t="s">
        <v>3787</v>
      </c>
      <c r="OM95" s="129" t="s">
        <v>3787</v>
      </c>
      <c r="ON95" s="129" t="s">
        <v>3787</v>
      </c>
    </row>
    <row r="96" spans="1:1296">
      <c r="B96" s="136" t="s">
        <v>5493</v>
      </c>
    </row>
    <row r="97" spans="2:2">
      <c r="B97" s="136" t="s">
        <v>5494</v>
      </c>
    </row>
  </sheetData>
  <autoFilter ref="A2:GQ95"/>
  <conditionalFormatting sqref="AFN2:AOG2">
    <cfRule type="expression" dxfId="2" priority="3" stopIfTrue="1">
      <formula>$F7="0"</formula>
    </cfRule>
  </conditionalFormatting>
  <conditionalFormatting sqref="ASX2:AVF2">
    <cfRule type="expression" dxfId="1" priority="1" stopIfTrue="1">
      <formula>$E7="0"</formula>
    </cfRule>
  </conditionalFormatting>
  <pageMargins left="0.75" right="0.75" top="0.56999999999999995" bottom="0.57999999999999996" header="0.5" footer="0.5"/>
  <pageSetup scale="96" orientation="portrait" r:id="rId1"/>
  <headerFooter alignWithMargins="0"/>
  <colBreaks count="1" manualBreakCount="1">
    <brk id="77" max="1048575" man="1"/>
  </colBreaks>
  <extLst>
    <ext xmlns:x14="http://schemas.microsoft.com/office/spreadsheetml/2009/9/main" uri="{78C0D931-6437-407d-A8EE-F0AAD7539E65}">
      <x14:conditionalFormattings>
        <x14:conditionalFormatting xmlns:xm="http://schemas.microsoft.com/office/excel/2006/main">
          <x14:cfRule type="expression" priority="2" stopIfTrue="1" id="{DC3E1012-511B-48FD-AFF1-929271EB07C0}">
            <xm:f>'MC-S\[MC-S 24.xlsm]Demont_GTpanelen_GR'!#REF!="0"</xm:f>
            <x14:dxf>
              <fill>
                <patternFill>
                  <bgColor indexed="13"/>
                </patternFill>
              </fill>
            </x14:dxf>
          </x14:cfRule>
          <xm:sqref>AOS2:APN2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Eig Producten</vt:lpstr>
      <vt:lpstr>Productenlijst</vt:lpstr>
      <vt:lpstr>Eig Systemen + lijst</vt:lpstr>
      <vt:lpstr>'Eig Producten'!Print_Titles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Moeyersons, Els</dc:creator>
  <cp:lastModifiedBy>Moeyersons, Els</cp:lastModifiedBy>
  <dcterms:created xsi:type="dcterms:W3CDTF">2017-08-04T14:18:36Z</dcterms:created>
  <dcterms:modified xsi:type="dcterms:W3CDTF">2017-08-07T12:24:26Z</dcterms:modified>
</cp:coreProperties>
</file>